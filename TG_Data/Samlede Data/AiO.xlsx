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amlede Data/"/>
    </mc:Choice>
  </mc:AlternateContent>
  <xr:revisionPtr revIDLastSave="0" documentId="13_ncr:1_{F89D9F58-A777-F340-871B-88FCEE8474BB}" xr6:coauthVersionLast="47" xr6:coauthVersionMax="47" xr10:uidLastSave="{00000000-0000-0000-0000-000000000000}"/>
  <bookViews>
    <workbookView xWindow="6240" yWindow="3920" windowWidth="27640" windowHeight="16680" activeTab="2" xr2:uid="{919A5FC1-9FDC-FB4F-B049-6BF795C021FC}"/>
  </bookViews>
  <sheets>
    <sheet name="Overview, 20% O2" sheetId="6" r:id="rId1"/>
    <sheet name="All Data, BRF500 20% O2" sheetId="3" r:id="rId2"/>
    <sheet name="All Data, WS500 20% O2" sheetId="2" r:id="rId3"/>
    <sheet name="All Data, PW500, 20% O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2" l="1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199" i="5"/>
  <c r="AS200" i="5"/>
  <c r="AS201" i="5"/>
  <c r="AS202" i="5"/>
  <c r="AS203" i="5"/>
  <c r="AS204" i="5"/>
  <c r="AS205" i="5"/>
  <c r="AS206" i="5"/>
  <c r="AS207" i="5"/>
  <c r="AS208" i="5"/>
  <c r="AS209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7" i="5"/>
  <c r="AS238" i="5"/>
  <c r="AS239" i="5"/>
  <c r="AS240" i="5"/>
  <c r="AS241" i="5"/>
  <c r="AS242" i="5"/>
  <c r="AS243" i="5"/>
  <c r="AS244" i="5"/>
  <c r="AS245" i="5"/>
  <c r="AS246" i="5"/>
  <c r="AS247" i="5"/>
  <c r="AS24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99" i="5"/>
  <c r="AS300" i="5"/>
  <c r="AS301" i="5"/>
  <c r="AS302" i="5"/>
  <c r="AS303" i="5"/>
  <c r="AS304" i="5"/>
  <c r="AS305" i="5"/>
  <c r="AS306" i="5"/>
  <c r="AS307" i="5"/>
  <c r="AS308" i="5"/>
  <c r="AS309" i="5"/>
  <c r="AS310" i="5"/>
  <c r="AS311" i="5"/>
  <c r="AS312" i="5"/>
  <c r="AS313" i="5"/>
  <c r="AS314" i="5"/>
  <c r="AS315" i="5"/>
  <c r="AS316" i="5"/>
  <c r="AS317" i="5"/>
  <c r="AS318" i="5"/>
  <c r="AS319" i="5"/>
  <c r="AS320" i="5"/>
  <c r="AS321" i="5"/>
  <c r="AS322" i="5"/>
  <c r="AS323" i="5"/>
  <c r="AS324" i="5"/>
  <c r="AS325" i="5"/>
  <c r="AS326" i="5"/>
  <c r="AS327" i="5"/>
  <c r="AS328" i="5"/>
  <c r="AS329" i="5"/>
  <c r="AS330" i="5"/>
  <c r="AS331" i="5"/>
  <c r="AS332" i="5"/>
  <c r="AS333" i="5"/>
  <c r="AS334" i="5"/>
  <c r="AS335" i="5"/>
  <c r="AS6" i="5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4" i="3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5" i="5"/>
  <c r="AN186" i="5"/>
  <c r="AN187" i="5"/>
  <c r="AN188" i="5"/>
  <c r="AN189" i="5"/>
  <c r="AN190" i="5"/>
  <c r="AN191" i="5"/>
  <c r="AN192" i="5"/>
  <c r="AN193" i="5"/>
  <c r="AN194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39" i="5"/>
  <c r="AN240" i="5"/>
  <c r="AN241" i="5"/>
  <c r="AN242" i="5"/>
  <c r="AN243" i="5"/>
  <c r="AN244" i="5"/>
  <c r="AN245" i="5"/>
  <c r="AN246" i="5"/>
  <c r="AN247" i="5"/>
  <c r="AN24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72" i="5"/>
  <c r="AN273" i="5"/>
  <c r="AN274" i="5"/>
  <c r="AN275" i="5"/>
  <c r="AN276" i="5"/>
  <c r="AN277" i="5"/>
  <c r="AN278" i="5"/>
  <c r="AN279" i="5"/>
  <c r="AN280" i="5"/>
  <c r="AN281" i="5"/>
  <c r="AN282" i="5"/>
  <c r="AN283" i="5"/>
  <c r="AN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6" i="5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6" i="2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4" i="3"/>
  <c r="M1" i="2"/>
  <c r="AP12" i="2" l="1"/>
  <c r="AP28" i="2"/>
  <c r="AP44" i="2"/>
  <c r="AP60" i="2"/>
  <c r="AP10" i="2"/>
  <c r="AP14" i="2"/>
  <c r="AP30" i="2"/>
  <c r="AP46" i="2"/>
  <c r="AP62" i="2"/>
  <c r="AP78" i="2"/>
  <c r="AP94" i="2"/>
  <c r="AP110" i="2"/>
  <c r="AP126" i="2"/>
  <c r="AP142" i="2"/>
  <c r="AP158" i="2"/>
  <c r="AP174" i="2"/>
  <c r="AP190" i="2"/>
  <c r="AP206" i="2"/>
  <c r="AP222" i="2"/>
  <c r="AP238" i="2"/>
  <c r="AP254" i="2"/>
  <c r="AP270" i="2"/>
  <c r="AP21" i="2"/>
  <c r="AP37" i="2"/>
  <c r="AP53" i="2"/>
  <c r="AP69" i="2"/>
  <c r="AP85" i="2"/>
  <c r="AP101" i="2"/>
  <c r="AP117" i="2"/>
  <c r="AP133" i="2"/>
  <c r="AP149" i="2"/>
  <c r="AP165" i="2"/>
  <c r="AP181" i="2"/>
  <c r="AP197" i="2"/>
  <c r="AP213" i="2"/>
  <c r="AP229" i="2"/>
  <c r="AP245" i="2"/>
  <c r="AP261" i="2"/>
  <c r="AP277" i="2"/>
  <c r="AP275" i="2"/>
  <c r="AP259" i="2"/>
  <c r="AP243" i="2"/>
  <c r="AP227" i="2"/>
  <c r="AP211" i="2"/>
  <c r="AP195" i="2"/>
  <c r="AP179" i="2"/>
  <c r="AP163" i="2"/>
  <c r="AP147" i="2"/>
  <c r="AP131" i="2"/>
  <c r="AP115" i="2"/>
  <c r="AP99" i="2"/>
  <c r="AP83" i="2"/>
  <c r="AP67" i="2"/>
  <c r="AP51" i="2"/>
  <c r="AP35" i="2"/>
  <c r="AP273" i="2"/>
  <c r="AP257" i="2"/>
  <c r="AP241" i="2"/>
  <c r="AP225" i="2"/>
  <c r="AP209" i="2"/>
  <c r="AP193" i="2"/>
  <c r="AP177" i="2"/>
  <c r="AP161" i="2"/>
  <c r="AP145" i="2"/>
  <c r="AP129" i="2"/>
  <c r="AP113" i="2"/>
  <c r="AP97" i="2"/>
  <c r="AP81" i="2"/>
  <c r="AP65" i="2"/>
  <c r="AP49" i="2"/>
  <c r="AP33" i="2"/>
  <c r="AP17" i="2"/>
  <c r="AP271" i="2"/>
  <c r="AP255" i="2"/>
  <c r="AP239" i="2"/>
  <c r="AP223" i="2"/>
  <c r="AP207" i="2"/>
  <c r="AP191" i="2"/>
  <c r="AP175" i="2"/>
  <c r="AP159" i="2"/>
  <c r="AP143" i="2"/>
  <c r="AP127" i="2"/>
  <c r="AP111" i="2"/>
  <c r="AP95" i="2"/>
  <c r="AP79" i="2"/>
  <c r="AP63" i="2"/>
  <c r="AP47" i="2"/>
  <c r="AP31" i="2"/>
  <c r="AP15" i="2"/>
  <c r="AJ12" i="2"/>
  <c r="AP269" i="2"/>
  <c r="AP253" i="2"/>
  <c r="AP237" i="2"/>
  <c r="AP221" i="2"/>
  <c r="AP205" i="2"/>
  <c r="AP189" i="2"/>
  <c r="AP173" i="2"/>
  <c r="AP157" i="2"/>
  <c r="AP141" i="2"/>
  <c r="AP125" i="2"/>
  <c r="AP109" i="2"/>
  <c r="AP93" i="2"/>
  <c r="AP77" i="2"/>
  <c r="AP61" i="2"/>
  <c r="AP45" i="2"/>
  <c r="AP29" i="2"/>
  <c r="AP13" i="2"/>
  <c r="AP268" i="2"/>
  <c r="AP252" i="2"/>
  <c r="AP236" i="2"/>
  <c r="AP220" i="2"/>
  <c r="AP204" i="2"/>
  <c r="AP188" i="2"/>
  <c r="AP172" i="2"/>
  <c r="AP156" i="2"/>
  <c r="AP140" i="2"/>
  <c r="AP124" i="2"/>
  <c r="AP108" i="2"/>
  <c r="AP92" i="2"/>
  <c r="AP76" i="2"/>
  <c r="AP283" i="2"/>
  <c r="AP267" i="2"/>
  <c r="AP26" i="2"/>
  <c r="AP281" i="2"/>
  <c r="AP265" i="2"/>
  <c r="AP249" i="2"/>
  <c r="AP233" i="2"/>
  <c r="AP217" i="2"/>
  <c r="AP201" i="2"/>
  <c r="AP185" i="2"/>
  <c r="AP169" i="2"/>
  <c r="AP153" i="2"/>
  <c r="AP137" i="2"/>
  <c r="AP121" i="2"/>
  <c r="AP105" i="2"/>
  <c r="AP89" i="2"/>
  <c r="AP73" i="2"/>
  <c r="AP57" i="2"/>
  <c r="AP41" i="2"/>
  <c r="AP25" i="2"/>
  <c r="AP280" i="2"/>
  <c r="AP264" i="2"/>
  <c r="AP248" i="2"/>
  <c r="AP232" i="2"/>
  <c r="AP216" i="2"/>
  <c r="AP200" i="2"/>
  <c r="AP184" i="2"/>
  <c r="AP168" i="2"/>
  <c r="AP152" i="2"/>
  <c r="AP136" i="2"/>
  <c r="AP120" i="2"/>
  <c r="AP104" i="2"/>
  <c r="AP88" i="2"/>
  <c r="AP72" i="2"/>
  <c r="AP56" i="2"/>
  <c r="AP40" i="2"/>
  <c r="AP24" i="2"/>
  <c r="AP279" i="2"/>
  <c r="AP263" i="2"/>
  <c r="AP247" i="2"/>
  <c r="AP231" i="2"/>
  <c r="AP215" i="2"/>
  <c r="AP199" i="2"/>
  <c r="AP183" i="2"/>
  <c r="AP167" i="2"/>
  <c r="AP151" i="2"/>
  <c r="AP135" i="2"/>
  <c r="AP119" i="2"/>
  <c r="AP103" i="2"/>
  <c r="AP87" i="2"/>
  <c r="AP71" i="2"/>
  <c r="AP55" i="2"/>
  <c r="AP39" i="2"/>
  <c r="AP23" i="2"/>
  <c r="AP278" i="2"/>
  <c r="AJ283" i="2"/>
  <c r="AJ267" i="2"/>
  <c r="AJ251" i="2"/>
  <c r="AJ235" i="2"/>
  <c r="AJ219" i="2"/>
  <c r="AJ203" i="2"/>
  <c r="AJ187" i="2"/>
  <c r="AJ171" i="2"/>
  <c r="AJ155" i="2"/>
  <c r="AJ139" i="2"/>
  <c r="AJ123" i="2"/>
  <c r="AJ107" i="2"/>
  <c r="AJ91" i="2"/>
  <c r="AJ75" i="2"/>
  <c r="AJ59" i="2"/>
  <c r="AJ43" i="2"/>
  <c r="AJ27" i="2"/>
  <c r="AJ11" i="2"/>
  <c r="AP262" i="2"/>
  <c r="AP246" i="2"/>
  <c r="AP230" i="2"/>
  <c r="AP214" i="2"/>
  <c r="AP198" i="2"/>
  <c r="AP182" i="2"/>
  <c r="AP166" i="2"/>
  <c r="AP150" i="2"/>
  <c r="AP134" i="2"/>
  <c r="AP118" i="2"/>
  <c r="AP102" i="2"/>
  <c r="AP86" i="2"/>
  <c r="AP70" i="2"/>
  <c r="AP54" i="2"/>
  <c r="AP38" i="2"/>
  <c r="AP22" i="2"/>
  <c r="AJ282" i="2"/>
  <c r="AJ266" i="2"/>
  <c r="AJ250" i="2"/>
  <c r="AJ234" i="2"/>
  <c r="AJ218" i="2"/>
  <c r="AJ202" i="2"/>
  <c r="AJ186" i="2"/>
  <c r="AJ170" i="2"/>
  <c r="AJ154" i="2"/>
  <c r="AJ138" i="2"/>
  <c r="AJ122" i="2"/>
  <c r="AJ106" i="2"/>
  <c r="AJ90" i="2"/>
  <c r="AJ74" i="2"/>
  <c r="AJ58" i="2"/>
  <c r="AJ42" i="2"/>
  <c r="AJ26" i="2"/>
  <c r="AJ10" i="2"/>
  <c r="AJ281" i="2"/>
  <c r="AJ265" i="2"/>
  <c r="AJ249" i="2"/>
  <c r="AJ233" i="2"/>
  <c r="AJ217" i="2"/>
  <c r="AJ201" i="2"/>
  <c r="AJ185" i="2"/>
  <c r="AJ169" i="2"/>
  <c r="AJ153" i="2"/>
  <c r="AJ137" i="2"/>
  <c r="AJ121" i="2"/>
  <c r="AJ105" i="2"/>
  <c r="AJ89" i="2"/>
  <c r="AJ73" i="2"/>
  <c r="AJ57" i="2"/>
  <c r="AJ41" i="2"/>
  <c r="AJ25" i="2"/>
  <c r="AJ9" i="2"/>
  <c r="AP276" i="2"/>
  <c r="AP260" i="2"/>
  <c r="AP244" i="2"/>
  <c r="AP228" i="2"/>
  <c r="AP212" i="2"/>
  <c r="AP196" i="2"/>
  <c r="AP180" i="2"/>
  <c r="AP164" i="2"/>
  <c r="AP148" i="2"/>
  <c r="AP132" i="2"/>
  <c r="AP116" i="2"/>
  <c r="AP100" i="2"/>
  <c r="AP84" i="2"/>
  <c r="AP68" i="2"/>
  <c r="AP52" i="2"/>
  <c r="AP36" i="2"/>
  <c r="AP20" i="2"/>
  <c r="AJ280" i="2"/>
  <c r="AJ264" i="2"/>
  <c r="AJ248" i="2"/>
  <c r="AJ232" i="2"/>
  <c r="AJ216" i="2"/>
  <c r="AJ200" i="2"/>
  <c r="AJ184" i="2"/>
  <c r="AJ168" i="2"/>
  <c r="AJ152" i="2"/>
  <c r="AJ136" i="2"/>
  <c r="AJ120" i="2"/>
  <c r="AJ104" i="2"/>
  <c r="AJ88" i="2"/>
  <c r="AJ72" i="2"/>
  <c r="AJ56" i="2"/>
  <c r="AJ40" i="2"/>
  <c r="AJ24" i="2"/>
  <c r="AJ8" i="2"/>
  <c r="AP19" i="2"/>
  <c r="AJ279" i="2"/>
  <c r="AJ263" i="2"/>
  <c r="AJ247" i="2"/>
  <c r="AJ231" i="2"/>
  <c r="AJ215" i="2"/>
  <c r="AJ199" i="2"/>
  <c r="AJ183" i="2"/>
  <c r="AJ167" i="2"/>
  <c r="AJ151" i="2"/>
  <c r="AJ135" i="2"/>
  <c r="AJ119" i="2"/>
  <c r="AJ103" i="2"/>
  <c r="AJ87" i="2"/>
  <c r="AJ71" i="2"/>
  <c r="AJ55" i="2"/>
  <c r="AJ39" i="2"/>
  <c r="AJ23" i="2"/>
  <c r="AP274" i="2"/>
  <c r="AP258" i="2"/>
  <c r="AP242" i="2"/>
  <c r="AP226" i="2"/>
  <c r="AP210" i="2"/>
  <c r="AP194" i="2"/>
  <c r="AP178" i="2"/>
  <c r="AP162" i="2"/>
  <c r="AP146" i="2"/>
  <c r="AP130" i="2"/>
  <c r="AP114" i="2"/>
  <c r="AP98" i="2"/>
  <c r="AP82" i="2"/>
  <c r="AP66" i="2"/>
  <c r="AP50" i="2"/>
  <c r="AP34" i="2"/>
  <c r="AP18" i="2"/>
  <c r="AJ278" i="2"/>
  <c r="AJ262" i="2"/>
  <c r="AJ246" i="2"/>
  <c r="AJ230" i="2"/>
  <c r="AJ214" i="2"/>
  <c r="AJ198" i="2"/>
  <c r="AJ182" i="2"/>
  <c r="AJ166" i="2"/>
  <c r="AJ150" i="2"/>
  <c r="AJ134" i="2"/>
  <c r="AJ118" i="2"/>
  <c r="AJ102" i="2"/>
  <c r="AJ86" i="2"/>
  <c r="AJ70" i="2"/>
  <c r="AJ54" i="2"/>
  <c r="AJ38" i="2"/>
  <c r="AJ22" i="2"/>
  <c r="AJ277" i="2"/>
  <c r="AJ261" i="2"/>
  <c r="AJ245" i="2"/>
  <c r="AJ229" i="2"/>
  <c r="AJ213" i="2"/>
  <c r="AJ197" i="2"/>
  <c r="AJ181" i="2"/>
  <c r="AJ165" i="2"/>
  <c r="AJ149" i="2"/>
  <c r="AJ133" i="2"/>
  <c r="AJ117" i="2"/>
  <c r="AJ101" i="2"/>
  <c r="AJ85" i="2"/>
  <c r="AJ69" i="2"/>
  <c r="AJ53" i="2"/>
  <c r="AJ37" i="2"/>
  <c r="AJ21" i="2"/>
  <c r="AP272" i="2"/>
  <c r="AP256" i="2"/>
  <c r="AP240" i="2"/>
  <c r="AP224" i="2"/>
  <c r="AP208" i="2"/>
  <c r="AP192" i="2"/>
  <c r="AP176" i="2"/>
  <c r="AP160" i="2"/>
  <c r="AP144" i="2"/>
  <c r="AP128" i="2"/>
  <c r="AP112" i="2"/>
  <c r="AP96" i="2"/>
  <c r="AP80" i="2"/>
  <c r="AP64" i="2"/>
  <c r="AP48" i="2"/>
  <c r="AP32" i="2"/>
  <c r="AP16" i="2"/>
  <c r="AJ276" i="2"/>
  <c r="AJ260" i="2"/>
  <c r="AJ244" i="2"/>
  <c r="AJ228" i="2"/>
  <c r="AJ212" i="2"/>
  <c r="AJ196" i="2"/>
  <c r="AJ180" i="2"/>
  <c r="AJ164" i="2"/>
  <c r="AJ148" i="2"/>
  <c r="AJ132" i="2"/>
  <c r="AJ116" i="2"/>
  <c r="AJ100" i="2"/>
  <c r="AJ84" i="2"/>
  <c r="AJ68" i="2"/>
  <c r="AJ52" i="2"/>
  <c r="AJ36" i="2"/>
  <c r="AJ20" i="2"/>
  <c r="AJ275" i="2"/>
  <c r="AJ259" i="2"/>
  <c r="AJ243" i="2"/>
  <c r="AJ227" i="2"/>
  <c r="AJ211" i="2"/>
  <c r="AJ195" i="2"/>
  <c r="AJ179" i="2"/>
  <c r="AJ163" i="2"/>
  <c r="AJ147" i="2"/>
  <c r="AJ131" i="2"/>
  <c r="AJ115" i="2"/>
  <c r="AJ99" i="2"/>
  <c r="AJ83" i="2"/>
  <c r="AJ67" i="2"/>
  <c r="AJ51" i="2"/>
  <c r="AJ35" i="2"/>
  <c r="AJ19" i="2"/>
  <c r="AJ274" i="2"/>
  <c r="AJ258" i="2"/>
  <c r="AJ242" i="2"/>
  <c r="AJ226" i="2"/>
  <c r="AJ210" i="2"/>
  <c r="AJ194" i="2"/>
  <c r="AJ178" i="2"/>
  <c r="AJ162" i="2"/>
  <c r="AJ146" i="2"/>
  <c r="AJ130" i="2"/>
  <c r="AJ114" i="2"/>
  <c r="AJ98" i="2"/>
  <c r="AJ82" i="2"/>
  <c r="AJ66" i="2"/>
  <c r="AJ50" i="2"/>
  <c r="AJ34" i="2"/>
  <c r="AJ18" i="2"/>
  <c r="AJ273" i="2"/>
  <c r="AJ257" i="2"/>
  <c r="AJ241" i="2"/>
  <c r="AJ225" i="2"/>
  <c r="AJ209" i="2"/>
  <c r="AJ193" i="2"/>
  <c r="AJ177" i="2"/>
  <c r="AJ161" i="2"/>
  <c r="AJ145" i="2"/>
  <c r="AJ129" i="2"/>
  <c r="AJ113" i="2"/>
  <c r="AJ97" i="2"/>
  <c r="AJ81" i="2"/>
  <c r="AJ65" i="2"/>
  <c r="AJ49" i="2"/>
  <c r="AJ33" i="2"/>
  <c r="AJ17" i="2"/>
  <c r="AJ272" i="2"/>
  <c r="AJ256" i="2"/>
  <c r="AJ240" i="2"/>
  <c r="AJ224" i="2"/>
  <c r="AJ208" i="2"/>
  <c r="AJ192" i="2"/>
  <c r="AJ176" i="2"/>
  <c r="AJ160" i="2"/>
  <c r="AJ144" i="2"/>
  <c r="AJ128" i="2"/>
  <c r="AJ112" i="2"/>
  <c r="AJ96" i="2"/>
  <c r="AJ80" i="2"/>
  <c r="AJ64" i="2"/>
  <c r="AJ48" i="2"/>
  <c r="AJ32" i="2"/>
  <c r="AJ16" i="2"/>
  <c r="AP251" i="2"/>
  <c r="AP235" i="2"/>
  <c r="AP219" i="2"/>
  <c r="AP203" i="2"/>
  <c r="AP187" i="2"/>
  <c r="AP171" i="2"/>
  <c r="AP155" i="2"/>
  <c r="AP139" i="2"/>
  <c r="AP123" i="2"/>
  <c r="AP107" i="2"/>
  <c r="AP91" i="2"/>
  <c r="AP75" i="2"/>
  <c r="AP59" i="2"/>
  <c r="AP43" i="2"/>
  <c r="AP27" i="2"/>
  <c r="AP11" i="2"/>
  <c r="AJ271" i="2"/>
  <c r="AJ255" i="2"/>
  <c r="AJ239" i="2"/>
  <c r="AJ223" i="2"/>
  <c r="AJ207" i="2"/>
  <c r="AJ191" i="2"/>
  <c r="AJ175" i="2"/>
  <c r="AJ159" i="2"/>
  <c r="AJ143" i="2"/>
  <c r="AJ127" i="2"/>
  <c r="AJ111" i="2"/>
  <c r="AJ95" i="2"/>
  <c r="AJ79" i="2"/>
  <c r="AJ63" i="2"/>
  <c r="AJ47" i="2"/>
  <c r="AJ31" i="2"/>
  <c r="AJ15" i="2"/>
  <c r="AP282" i="2"/>
  <c r="AP266" i="2"/>
  <c r="AP250" i="2"/>
  <c r="AP234" i="2"/>
  <c r="AP218" i="2"/>
  <c r="AP202" i="2"/>
  <c r="AP186" i="2"/>
  <c r="AP170" i="2"/>
  <c r="AP154" i="2"/>
  <c r="AP138" i="2"/>
  <c r="AP122" i="2"/>
  <c r="AP106" i="2"/>
  <c r="AP90" i="2"/>
  <c r="AP74" i="2"/>
  <c r="AP58" i="2"/>
  <c r="AP42" i="2"/>
  <c r="AJ270" i="2"/>
  <c r="AJ254" i="2"/>
  <c r="AJ238" i="2"/>
  <c r="AJ222" i="2"/>
  <c r="AJ206" i="2"/>
  <c r="AJ190" i="2"/>
  <c r="AJ174" i="2"/>
  <c r="AJ158" i="2"/>
  <c r="AJ142" i="2"/>
  <c r="AJ126" i="2"/>
  <c r="AJ110" i="2"/>
  <c r="AJ94" i="2"/>
  <c r="AJ78" i="2"/>
  <c r="AJ62" i="2"/>
  <c r="AJ46" i="2"/>
  <c r="AJ30" i="2"/>
  <c r="AJ14" i="2"/>
  <c r="AJ269" i="2"/>
  <c r="AJ253" i="2"/>
  <c r="AJ237" i="2"/>
  <c r="AJ221" i="2"/>
  <c r="AJ205" i="2"/>
  <c r="AJ189" i="2"/>
  <c r="AJ173" i="2"/>
  <c r="AJ157" i="2"/>
  <c r="AJ141" i="2"/>
  <c r="AJ125" i="2"/>
  <c r="AJ109" i="2"/>
  <c r="AJ93" i="2"/>
  <c r="AJ77" i="2"/>
  <c r="AJ61" i="2"/>
  <c r="AJ45" i="2"/>
  <c r="AJ29" i="2"/>
  <c r="AJ13" i="2"/>
  <c r="AJ7" i="2"/>
  <c r="AJ268" i="2"/>
  <c r="AJ252" i="2"/>
  <c r="AJ236" i="2"/>
  <c r="AJ220" i="2"/>
  <c r="AJ204" i="2"/>
  <c r="AJ188" i="2"/>
  <c r="AJ172" i="2"/>
  <c r="AJ156" i="2"/>
  <c r="AJ140" i="2"/>
  <c r="AJ124" i="2"/>
  <c r="AJ108" i="2"/>
  <c r="AJ92" i="2"/>
  <c r="AJ76" i="2"/>
  <c r="AJ60" i="2"/>
  <c r="AJ44" i="2"/>
  <c r="AJ28" i="2"/>
  <c r="N1" i="3" l="1"/>
  <c r="AO147" i="3" l="1"/>
  <c r="AO163" i="3"/>
  <c r="AO179" i="3"/>
  <c r="AO195" i="3"/>
  <c r="AO211" i="3"/>
  <c r="AO227" i="3"/>
  <c r="AO243" i="3"/>
  <c r="AO259" i="3"/>
  <c r="AO275" i="3"/>
  <c r="AO51" i="3"/>
  <c r="AO83" i="3"/>
  <c r="AO115" i="3"/>
  <c r="AO142" i="3"/>
  <c r="AO159" i="3"/>
  <c r="AO175" i="3"/>
  <c r="AO191" i="3"/>
  <c r="AO207" i="3"/>
  <c r="AO223" i="3"/>
  <c r="AO239" i="3"/>
  <c r="AO255" i="3"/>
  <c r="AO271" i="3"/>
  <c r="AO19" i="3"/>
  <c r="AO56" i="3"/>
  <c r="AO88" i="3"/>
  <c r="AO120" i="3"/>
  <c r="AO161" i="3"/>
  <c r="AO177" i="3"/>
  <c r="AO193" i="3"/>
  <c r="AO209" i="3"/>
  <c r="AO225" i="3"/>
  <c r="AO241" i="3"/>
  <c r="AO257" i="3"/>
  <c r="AO273" i="3"/>
  <c r="AO20" i="3"/>
  <c r="AO146" i="3"/>
  <c r="AO162" i="3"/>
  <c r="AO178" i="3"/>
  <c r="AO194" i="3"/>
  <c r="AO210" i="3"/>
  <c r="AO226" i="3"/>
  <c r="AO242" i="3"/>
  <c r="AO258" i="3"/>
  <c r="AO274" i="3"/>
  <c r="AO84" i="3"/>
  <c r="AO246" i="3"/>
  <c r="AO116" i="3"/>
  <c r="AO128" i="3"/>
  <c r="AO262" i="3"/>
  <c r="AO143" i="3"/>
  <c r="AO272" i="3"/>
  <c r="AO150" i="3"/>
  <c r="AO278" i="3"/>
  <c r="AO160" i="3"/>
  <c r="AO166" i="3"/>
  <c r="AO176" i="3"/>
  <c r="AO182" i="3"/>
  <c r="AO192" i="3"/>
  <c r="AO198" i="3"/>
  <c r="AO208" i="3"/>
  <c r="AO214" i="3"/>
  <c r="AO224" i="3"/>
  <c r="AO230" i="3"/>
  <c r="AO12" i="3"/>
  <c r="AO52" i="3"/>
  <c r="AO64" i="3"/>
  <c r="AO96" i="3"/>
  <c r="AO34" i="3"/>
  <c r="AO54" i="3"/>
  <c r="AO10" i="3"/>
  <c r="AO109" i="3"/>
  <c r="AO65" i="3"/>
  <c r="AO80" i="3"/>
  <c r="AO252" i="3"/>
  <c r="AO219" i="3"/>
  <c r="AO170" i="3"/>
  <c r="AO153" i="3"/>
  <c r="AO277" i="3"/>
  <c r="AO260" i="3"/>
  <c r="AU167" i="3"/>
  <c r="AU86" i="3"/>
  <c r="AU85" i="3"/>
  <c r="AU276" i="3"/>
  <c r="AU20" i="3"/>
  <c r="AU259" i="3"/>
  <c r="AU226" i="3"/>
  <c r="AU145" i="3"/>
  <c r="AU48" i="3"/>
  <c r="AO144" i="3"/>
  <c r="AO50" i="3"/>
  <c r="AO70" i="3"/>
  <c r="AO11" i="3"/>
  <c r="AO125" i="3"/>
  <c r="AO81" i="3"/>
  <c r="AO48" i="3"/>
  <c r="AO236" i="3"/>
  <c r="AO203" i="3"/>
  <c r="AO154" i="3"/>
  <c r="AO133" i="3"/>
  <c r="AO279" i="3"/>
  <c r="AO261" i="3"/>
  <c r="AO244" i="3"/>
  <c r="AU151" i="3"/>
  <c r="AU70" i="3"/>
  <c r="AU69" i="3"/>
  <c r="AU260" i="3"/>
  <c r="AU243" i="3"/>
  <c r="AU210" i="3"/>
  <c r="AU129" i="3"/>
  <c r="AU32" i="3"/>
  <c r="AU207" i="3"/>
  <c r="AU110" i="3"/>
  <c r="AU269" i="3"/>
  <c r="AU13" i="3"/>
  <c r="AU172" i="3"/>
  <c r="AU75" i="3"/>
  <c r="AU234" i="3"/>
  <c r="AU137" i="3"/>
  <c r="AU104" i="3"/>
  <c r="AO32" i="3"/>
  <c r="AO66" i="3"/>
  <c r="AO86" i="3"/>
  <c r="AO27" i="3"/>
  <c r="AO14" i="3"/>
  <c r="AO97" i="3"/>
  <c r="AO220" i="3"/>
  <c r="AO187" i="3"/>
  <c r="AO136" i="3"/>
  <c r="AO104" i="3"/>
  <c r="AO280" i="3"/>
  <c r="AO263" i="3"/>
  <c r="AO245" i="3"/>
  <c r="AO228" i="3"/>
  <c r="AU135" i="3"/>
  <c r="AU54" i="3"/>
  <c r="AU53" i="3"/>
  <c r="AU244" i="3"/>
  <c r="AU227" i="3"/>
  <c r="AU194" i="3"/>
  <c r="AU113" i="3"/>
  <c r="AU272" i="3"/>
  <c r="AU16" i="3"/>
  <c r="AU191" i="3"/>
  <c r="AO82" i="3"/>
  <c r="AO102" i="3"/>
  <c r="AO43" i="3"/>
  <c r="AO30" i="3"/>
  <c r="AO113" i="3"/>
  <c r="AO269" i="3"/>
  <c r="AO204" i="3"/>
  <c r="AO171" i="3"/>
  <c r="AO105" i="3"/>
  <c r="AO72" i="3"/>
  <c r="AO264" i="3"/>
  <c r="AO247" i="3"/>
  <c r="AO229" i="3"/>
  <c r="AO212" i="3"/>
  <c r="AU119" i="3"/>
  <c r="AU38" i="3"/>
  <c r="AU37" i="3"/>
  <c r="AU228" i="3"/>
  <c r="AU211" i="3"/>
  <c r="AU178" i="3"/>
  <c r="AU97" i="3"/>
  <c r="AO98" i="3"/>
  <c r="AO118" i="3"/>
  <c r="AO59" i="3"/>
  <c r="AO15" i="3"/>
  <c r="AO129" i="3"/>
  <c r="AO253" i="3"/>
  <c r="AO188" i="3"/>
  <c r="AO155" i="3"/>
  <c r="AO73" i="3"/>
  <c r="AO40" i="3"/>
  <c r="AO248" i="3"/>
  <c r="AO231" i="3"/>
  <c r="AO213" i="3"/>
  <c r="AO196" i="3"/>
  <c r="AU103" i="3"/>
  <c r="AU278" i="3"/>
  <c r="AU22" i="3"/>
  <c r="AU277" i="3"/>
  <c r="AU21" i="3"/>
  <c r="AU212" i="3"/>
  <c r="AU195" i="3"/>
  <c r="AU162" i="3"/>
  <c r="AU81" i="3"/>
  <c r="AU240" i="3"/>
  <c r="AU159" i="3"/>
  <c r="AO114" i="3"/>
  <c r="AO134" i="3"/>
  <c r="AO75" i="3"/>
  <c r="AO31" i="3"/>
  <c r="AO145" i="3"/>
  <c r="AO237" i="3"/>
  <c r="AO172" i="3"/>
  <c r="AO137" i="3"/>
  <c r="AO41" i="3"/>
  <c r="AO232" i="3"/>
  <c r="AO215" i="3"/>
  <c r="AO197" i="3"/>
  <c r="AO180" i="3"/>
  <c r="AU87" i="3"/>
  <c r="AU262" i="3"/>
  <c r="AU261" i="3"/>
  <c r="AU196" i="3"/>
  <c r="AU179" i="3"/>
  <c r="AU146" i="3"/>
  <c r="AU65" i="3"/>
  <c r="AU224" i="3"/>
  <c r="AU143" i="3"/>
  <c r="AU46" i="3"/>
  <c r="AU205" i="3"/>
  <c r="AU108" i="3"/>
  <c r="AO130" i="3"/>
  <c r="AO23" i="3"/>
  <c r="AO91" i="3"/>
  <c r="AO47" i="3"/>
  <c r="AO270" i="3"/>
  <c r="AO221" i="3"/>
  <c r="AO156" i="3"/>
  <c r="AO106" i="3"/>
  <c r="AO216" i="3"/>
  <c r="AO199" i="3"/>
  <c r="AO181" i="3"/>
  <c r="AO164" i="3"/>
  <c r="AU71" i="3"/>
  <c r="AU246" i="3"/>
  <c r="AU245" i="3"/>
  <c r="AU180" i="3"/>
  <c r="AU163" i="3"/>
  <c r="AU130" i="3"/>
  <c r="AU49" i="3"/>
  <c r="AU208" i="3"/>
  <c r="AU127" i="3"/>
  <c r="AU30" i="3"/>
  <c r="AO122" i="3"/>
  <c r="AO21" i="3"/>
  <c r="AO39" i="3"/>
  <c r="AO107" i="3"/>
  <c r="AO63" i="3"/>
  <c r="AO254" i="3"/>
  <c r="AO205" i="3"/>
  <c r="AO138" i="3"/>
  <c r="AO74" i="3"/>
  <c r="AO200" i="3"/>
  <c r="AO183" i="3"/>
  <c r="AO165" i="3"/>
  <c r="AO148" i="3"/>
  <c r="AU55" i="3"/>
  <c r="AU230" i="3"/>
  <c r="AU229" i="3"/>
  <c r="AU164" i="3"/>
  <c r="AU147" i="3"/>
  <c r="AU114" i="3"/>
  <c r="AO90" i="3"/>
  <c r="AO37" i="3"/>
  <c r="AO55" i="3"/>
  <c r="AO123" i="3"/>
  <c r="AO79" i="3"/>
  <c r="AO238" i="3"/>
  <c r="AO189" i="3"/>
  <c r="AO108" i="3"/>
  <c r="AO42" i="3"/>
  <c r="AO281" i="3"/>
  <c r="AO184" i="3"/>
  <c r="AO167" i="3"/>
  <c r="AO149" i="3"/>
  <c r="AO124" i="3"/>
  <c r="AU39" i="3"/>
  <c r="AU214" i="3"/>
  <c r="AU213" i="3"/>
  <c r="AU148" i="3"/>
  <c r="AU131" i="3"/>
  <c r="AU98" i="3"/>
  <c r="AU273" i="3"/>
  <c r="AU17" i="3"/>
  <c r="AU176" i="3"/>
  <c r="AU95" i="3"/>
  <c r="AO58" i="3"/>
  <c r="AO53" i="3"/>
  <c r="AO71" i="3"/>
  <c r="AO139" i="3"/>
  <c r="AO95" i="3"/>
  <c r="AO222" i="3"/>
  <c r="AO173" i="3"/>
  <c r="AO76" i="3"/>
  <c r="AO8" i="3"/>
  <c r="AO265" i="3"/>
  <c r="AO168" i="3"/>
  <c r="AO151" i="3"/>
  <c r="AO126" i="3"/>
  <c r="AO92" i="3"/>
  <c r="AU279" i="3"/>
  <c r="AU23" i="3"/>
  <c r="AU198" i="3"/>
  <c r="AU197" i="3"/>
  <c r="AU132" i="3"/>
  <c r="AU115" i="3"/>
  <c r="AU82" i="3"/>
  <c r="AU257" i="3"/>
  <c r="AU160" i="3"/>
  <c r="AU79" i="3"/>
  <c r="AO121" i="3"/>
  <c r="AO69" i="3"/>
  <c r="AO87" i="3"/>
  <c r="AO13" i="3"/>
  <c r="AO111" i="3"/>
  <c r="AO206" i="3"/>
  <c r="AO157" i="3"/>
  <c r="AO44" i="3"/>
  <c r="AO266" i="3"/>
  <c r="AO249" i="3"/>
  <c r="AO152" i="3"/>
  <c r="AO131" i="3"/>
  <c r="AO94" i="3"/>
  <c r="AO60" i="3"/>
  <c r="AU263" i="3"/>
  <c r="AU182" i="3"/>
  <c r="AU181" i="3"/>
  <c r="AU116" i="3"/>
  <c r="AU99" i="3"/>
  <c r="AU66" i="3"/>
  <c r="AU241" i="3"/>
  <c r="AO89" i="3"/>
  <c r="AO85" i="3"/>
  <c r="AO103" i="3"/>
  <c r="AO29" i="3"/>
  <c r="AO127" i="3"/>
  <c r="AO190" i="3"/>
  <c r="AO140" i="3"/>
  <c r="AO250" i="3"/>
  <c r="AO233" i="3"/>
  <c r="AO132" i="3"/>
  <c r="AO99" i="3"/>
  <c r="AO62" i="3"/>
  <c r="AO26" i="3"/>
  <c r="AU247" i="3"/>
  <c r="AU166" i="3"/>
  <c r="AU165" i="3"/>
  <c r="AU100" i="3"/>
  <c r="AU83" i="3"/>
  <c r="AU50" i="3"/>
  <c r="AU225" i="3"/>
  <c r="AO57" i="3"/>
  <c r="AO101" i="3"/>
  <c r="AO119" i="3"/>
  <c r="AO45" i="3"/>
  <c r="AO16" i="3"/>
  <c r="AO174" i="3"/>
  <c r="AO110" i="3"/>
  <c r="AO234" i="3"/>
  <c r="AO217" i="3"/>
  <c r="AO100" i="3"/>
  <c r="AO67" i="3"/>
  <c r="AO28" i="3"/>
  <c r="AU231" i="3"/>
  <c r="AU150" i="3"/>
  <c r="AU149" i="3"/>
  <c r="AU84" i="3"/>
  <c r="AO25" i="3"/>
  <c r="AO117" i="3"/>
  <c r="AO135" i="3"/>
  <c r="AO61" i="3"/>
  <c r="AO17" i="3"/>
  <c r="AO158" i="3"/>
  <c r="AO78" i="3"/>
  <c r="AO267" i="3"/>
  <c r="AO218" i="3"/>
  <c r="AO201" i="3"/>
  <c r="AO68" i="3"/>
  <c r="AO35" i="3"/>
  <c r="AU215" i="3"/>
  <c r="AU134" i="3"/>
  <c r="AU133" i="3"/>
  <c r="AU68" i="3"/>
  <c r="AU51" i="3"/>
  <c r="AU274" i="3"/>
  <c r="AU18" i="3"/>
  <c r="AU193" i="3"/>
  <c r="AU96" i="3"/>
  <c r="AU271" i="3"/>
  <c r="AU15" i="3"/>
  <c r="AU174" i="3"/>
  <c r="AU77" i="3"/>
  <c r="AU236" i="3"/>
  <c r="AU139" i="3"/>
  <c r="AU42" i="3"/>
  <c r="AU201" i="3"/>
  <c r="AU168" i="3"/>
  <c r="AO256" i="3"/>
  <c r="AO22" i="3"/>
  <c r="AO24" i="3"/>
  <c r="AO77" i="3"/>
  <c r="AO33" i="3"/>
  <c r="AO141" i="3"/>
  <c r="AO46" i="3"/>
  <c r="AO251" i="3"/>
  <c r="AO202" i="3"/>
  <c r="AO185" i="3"/>
  <c r="AO36" i="3"/>
  <c r="AU8" i="3"/>
  <c r="AU199" i="3"/>
  <c r="AU118" i="3"/>
  <c r="AU117" i="3"/>
  <c r="AU52" i="3"/>
  <c r="AO240" i="3"/>
  <c r="AO18" i="3"/>
  <c r="AO38" i="3"/>
  <c r="AO9" i="3"/>
  <c r="AO93" i="3"/>
  <c r="AO49" i="3"/>
  <c r="AO112" i="3"/>
  <c r="AO268" i="3"/>
  <c r="AO235" i="3"/>
  <c r="AO186" i="3"/>
  <c r="AO169" i="3"/>
  <c r="AO276" i="3"/>
  <c r="AU183" i="3"/>
  <c r="AU102" i="3"/>
  <c r="AU101" i="3"/>
  <c r="AU36" i="3"/>
  <c r="AU275" i="3"/>
  <c r="AU19" i="3"/>
  <c r="AU242" i="3"/>
  <c r="AU161" i="3"/>
  <c r="AU64" i="3"/>
  <c r="AU239" i="3"/>
  <c r="AU142" i="3"/>
  <c r="AU258" i="3"/>
  <c r="AU222" i="3"/>
  <c r="AU189" i="3"/>
  <c r="AU252" i="3"/>
  <c r="AU11" i="3"/>
  <c r="AU106" i="3"/>
  <c r="AU185" i="3"/>
  <c r="AU72" i="3"/>
  <c r="AU169" i="3"/>
  <c r="AU34" i="3"/>
  <c r="AU206" i="3"/>
  <c r="AU173" i="3"/>
  <c r="AU220" i="3"/>
  <c r="AU90" i="3"/>
  <c r="AU190" i="3"/>
  <c r="AU157" i="3"/>
  <c r="AU204" i="3"/>
  <c r="AU267" i="3"/>
  <c r="AU74" i="3"/>
  <c r="AU153" i="3"/>
  <c r="AU40" i="3"/>
  <c r="AU158" i="3"/>
  <c r="AU126" i="3"/>
  <c r="AU125" i="3"/>
  <c r="AU256" i="3"/>
  <c r="AU94" i="3"/>
  <c r="AU109" i="3"/>
  <c r="AU192" i="3"/>
  <c r="AU78" i="3"/>
  <c r="AU93" i="3"/>
  <c r="AU144" i="3"/>
  <c r="AU255" i="3"/>
  <c r="AU62" i="3"/>
  <c r="AU61" i="3"/>
  <c r="AU209" i="3"/>
  <c r="AU128" i="3"/>
  <c r="AU223" i="3"/>
  <c r="AU14" i="3"/>
  <c r="AU45" i="3"/>
  <c r="AU177" i="3"/>
  <c r="AU112" i="3"/>
  <c r="AU175" i="3"/>
  <c r="AU29" i="3"/>
  <c r="AU60" i="3"/>
  <c r="AU33" i="3"/>
  <c r="AU80" i="3"/>
  <c r="AU111" i="3"/>
  <c r="AU44" i="3"/>
  <c r="AU63" i="3"/>
  <c r="AU67" i="3"/>
  <c r="AU47" i="3"/>
  <c r="AU35" i="3"/>
  <c r="AU31" i="3"/>
  <c r="AU270" i="3"/>
  <c r="AU253" i="3"/>
  <c r="AU59" i="3"/>
  <c r="AU238" i="3"/>
  <c r="AU221" i="3"/>
  <c r="AU203" i="3"/>
  <c r="AU170" i="3"/>
  <c r="AU254" i="3"/>
  <c r="AU187" i="3"/>
  <c r="AU154" i="3"/>
  <c r="AU73" i="3"/>
  <c r="AU216" i="3"/>
  <c r="AU171" i="3"/>
  <c r="AU138" i="3"/>
  <c r="AU57" i="3"/>
  <c r="AU200" i="3"/>
  <c r="AU155" i="3"/>
  <c r="AU122" i="3"/>
  <c r="AU41" i="3"/>
  <c r="AU184" i="3"/>
  <c r="AU268" i="3"/>
  <c r="AU107" i="3"/>
  <c r="AU26" i="3"/>
  <c r="AU188" i="3"/>
  <c r="AU237" i="3"/>
  <c r="AU156" i="3"/>
  <c r="AU43" i="3"/>
  <c r="AU141" i="3"/>
  <c r="AU140" i="3"/>
  <c r="AU124" i="3"/>
  <c r="AU7" i="3"/>
  <c r="AU92" i="3"/>
  <c r="AU76" i="3"/>
  <c r="AU28" i="3"/>
  <c r="AU250" i="3"/>
  <c r="AU12" i="3"/>
  <c r="AU235" i="3"/>
  <c r="AU202" i="3"/>
  <c r="AU121" i="3"/>
  <c r="AU280" i="3"/>
  <c r="AU265" i="3"/>
  <c r="AU264" i="3"/>
  <c r="AU266" i="3"/>
  <c r="AU249" i="3"/>
  <c r="AU248" i="3"/>
  <c r="AU218" i="3"/>
  <c r="AU233" i="3"/>
  <c r="AU232" i="3"/>
  <c r="AU251" i="3"/>
  <c r="AU186" i="3"/>
  <c r="AU217" i="3"/>
  <c r="AU152" i="3"/>
  <c r="AU219" i="3"/>
  <c r="AU58" i="3"/>
  <c r="AU105" i="3"/>
  <c r="AU136" i="3"/>
  <c r="AU123" i="3"/>
  <c r="AU25" i="3"/>
  <c r="AU9" i="3"/>
  <c r="AU91" i="3"/>
  <c r="AU27" i="3"/>
  <c r="AU120" i="3"/>
  <c r="AU56" i="3"/>
  <c r="AU10" i="3"/>
  <c r="AU24" i="3"/>
  <c r="AU89" i="3"/>
  <c r="AU88" i="3"/>
  <c r="AB1205" i="5"/>
  <c r="E20" i="6" s="1"/>
  <c r="V1205" i="5"/>
  <c r="E5" i="6" s="1"/>
  <c r="AB1204" i="5"/>
  <c r="V1204" i="5"/>
  <c r="AB1203" i="5"/>
  <c r="V1203" i="5"/>
  <c r="AB1202" i="5"/>
  <c r="V1202" i="5"/>
  <c r="AB1201" i="5"/>
  <c r="V1201" i="5"/>
  <c r="AB1200" i="5"/>
  <c r="V1200" i="5"/>
  <c r="AB1199" i="5"/>
  <c r="V1199" i="5"/>
  <c r="AB1198" i="5"/>
  <c r="V1198" i="5"/>
  <c r="AB1197" i="5"/>
  <c r="V1197" i="5"/>
  <c r="AB1196" i="5"/>
  <c r="V1196" i="5"/>
  <c r="AB1195" i="5"/>
  <c r="V1195" i="5"/>
  <c r="AB1194" i="5"/>
  <c r="V1194" i="5"/>
  <c r="AB1193" i="5"/>
  <c r="V1193" i="5"/>
  <c r="AB1192" i="5"/>
  <c r="V1192" i="5"/>
  <c r="AB1191" i="5"/>
  <c r="V1191" i="5"/>
  <c r="AB1190" i="5"/>
  <c r="V1190" i="5"/>
  <c r="AB1189" i="5"/>
  <c r="V1189" i="5"/>
  <c r="AB1188" i="5"/>
  <c r="V1188" i="5"/>
  <c r="AB1187" i="5"/>
  <c r="V1187" i="5"/>
  <c r="AB1186" i="5"/>
  <c r="V1186" i="5"/>
  <c r="AB1185" i="5"/>
  <c r="V1185" i="5"/>
  <c r="AB1184" i="5"/>
  <c r="V1184" i="5"/>
  <c r="AB1183" i="5"/>
  <c r="V1183" i="5"/>
  <c r="AB1182" i="5"/>
  <c r="V1182" i="5"/>
  <c r="AB1181" i="5"/>
  <c r="V1181" i="5"/>
  <c r="AB1180" i="5"/>
  <c r="V1180" i="5"/>
  <c r="AB1179" i="5"/>
  <c r="V1179" i="5"/>
  <c r="AB1178" i="5"/>
  <c r="V1178" i="5"/>
  <c r="AB1177" i="5"/>
  <c r="V1177" i="5"/>
  <c r="AB1176" i="5"/>
  <c r="V1176" i="5"/>
  <c r="AB1175" i="5"/>
  <c r="V1175" i="5"/>
  <c r="AB1174" i="5"/>
  <c r="V1174" i="5"/>
  <c r="AB1173" i="5"/>
  <c r="V1173" i="5"/>
  <c r="AB1172" i="5"/>
  <c r="V1172" i="5"/>
  <c r="AB1171" i="5"/>
  <c r="V1171" i="5"/>
  <c r="AB1170" i="5"/>
  <c r="V1170" i="5"/>
  <c r="AB1169" i="5"/>
  <c r="V1169" i="5"/>
  <c r="AB1168" i="5"/>
  <c r="V1168" i="5"/>
  <c r="AB1167" i="5"/>
  <c r="V1167" i="5"/>
  <c r="AB1166" i="5"/>
  <c r="V1166" i="5"/>
  <c r="AB1165" i="5"/>
  <c r="V1165" i="5"/>
  <c r="AB1164" i="5"/>
  <c r="V1164" i="5"/>
  <c r="AB1163" i="5"/>
  <c r="V1163" i="5"/>
  <c r="AB1162" i="5"/>
  <c r="V1162" i="5"/>
  <c r="AB1161" i="5"/>
  <c r="V1161" i="5"/>
  <c r="AB1160" i="5"/>
  <c r="V1160" i="5"/>
  <c r="AB1159" i="5"/>
  <c r="V1159" i="5"/>
  <c r="AB1158" i="5"/>
  <c r="V1158" i="5"/>
  <c r="AB1157" i="5"/>
  <c r="V1157" i="5"/>
  <c r="AB1156" i="5"/>
  <c r="V1156" i="5"/>
  <c r="AB1155" i="5"/>
  <c r="V1155" i="5"/>
  <c r="AB1154" i="5"/>
  <c r="V1154" i="5"/>
  <c r="AB1153" i="5"/>
  <c r="V1153" i="5"/>
  <c r="AB1152" i="5"/>
  <c r="V1152" i="5"/>
  <c r="AB1151" i="5"/>
  <c r="V1151" i="5"/>
  <c r="AB1150" i="5"/>
  <c r="V1150" i="5"/>
  <c r="AB1149" i="5"/>
  <c r="V1149" i="5"/>
  <c r="AB1148" i="5"/>
  <c r="V1148" i="5"/>
  <c r="AB1147" i="5"/>
  <c r="V1147" i="5"/>
  <c r="AB1146" i="5"/>
  <c r="V1146" i="5"/>
  <c r="AB1145" i="5"/>
  <c r="V1145" i="5"/>
  <c r="AB1144" i="5"/>
  <c r="V1144" i="5"/>
  <c r="AB1143" i="5"/>
  <c r="V1143" i="5"/>
  <c r="AB1142" i="5"/>
  <c r="V1142" i="5"/>
  <c r="AB1141" i="5"/>
  <c r="V1141" i="5"/>
  <c r="AB1140" i="5"/>
  <c r="V1140" i="5"/>
  <c r="AB1139" i="5"/>
  <c r="V1139" i="5"/>
  <c r="AB1138" i="5"/>
  <c r="V1138" i="5"/>
  <c r="AB1137" i="5"/>
  <c r="V1137" i="5"/>
  <c r="AB1136" i="5"/>
  <c r="V1136" i="5"/>
  <c r="AB1135" i="5"/>
  <c r="V1135" i="5"/>
  <c r="AB1134" i="5"/>
  <c r="V1134" i="5"/>
  <c r="AB1133" i="5"/>
  <c r="V1133" i="5"/>
  <c r="AB1132" i="5"/>
  <c r="V1132" i="5"/>
  <c r="AB1131" i="5"/>
  <c r="V1131" i="5"/>
  <c r="AB1130" i="5"/>
  <c r="V1130" i="5"/>
  <c r="AB1129" i="5"/>
  <c r="V1129" i="5"/>
  <c r="AB1128" i="5"/>
  <c r="V1128" i="5"/>
  <c r="AB1127" i="5"/>
  <c r="V1127" i="5"/>
  <c r="AB1126" i="5"/>
  <c r="V1126" i="5"/>
  <c r="AB1125" i="5"/>
  <c r="V1125" i="5"/>
  <c r="AB1124" i="5"/>
  <c r="V1124" i="5"/>
  <c r="AB1123" i="5"/>
  <c r="V1123" i="5"/>
  <c r="AB1122" i="5"/>
  <c r="V1122" i="5"/>
  <c r="AB1121" i="5"/>
  <c r="V1121" i="5"/>
  <c r="AB1120" i="5"/>
  <c r="V1120" i="5"/>
  <c r="AB1119" i="5"/>
  <c r="V1119" i="5"/>
  <c r="AB1118" i="5"/>
  <c r="V1118" i="5"/>
  <c r="AB1117" i="5"/>
  <c r="V1117" i="5"/>
  <c r="AB1116" i="5"/>
  <c r="V1116" i="5"/>
  <c r="AB1115" i="5"/>
  <c r="V1115" i="5"/>
  <c r="AB1114" i="5"/>
  <c r="V1114" i="5"/>
  <c r="AB1113" i="5"/>
  <c r="V1113" i="5"/>
  <c r="AB1112" i="5"/>
  <c r="V1112" i="5"/>
  <c r="AB1111" i="5"/>
  <c r="V1111" i="5"/>
  <c r="AB1110" i="5"/>
  <c r="V1110" i="5"/>
  <c r="AB1109" i="5"/>
  <c r="V1109" i="5"/>
  <c r="AB1108" i="5"/>
  <c r="V1108" i="5"/>
  <c r="AB1107" i="5"/>
  <c r="V1107" i="5"/>
  <c r="AB1106" i="5"/>
  <c r="V1106" i="5"/>
  <c r="AB1105" i="5"/>
  <c r="V1105" i="5"/>
  <c r="AB1104" i="5"/>
  <c r="V1104" i="5"/>
  <c r="AB1103" i="5"/>
  <c r="V1103" i="5"/>
  <c r="AB1102" i="5"/>
  <c r="V1102" i="5"/>
  <c r="AB1101" i="5"/>
  <c r="V1101" i="5"/>
  <c r="AB1100" i="5"/>
  <c r="V1100" i="5"/>
  <c r="AB1099" i="5"/>
  <c r="V1099" i="5"/>
  <c r="AB1098" i="5"/>
  <c r="V1098" i="5"/>
  <c r="AB1097" i="5"/>
  <c r="V1097" i="5"/>
  <c r="AB1096" i="5"/>
  <c r="V1096" i="5"/>
  <c r="AB1095" i="5"/>
  <c r="V1095" i="5"/>
  <c r="AB1094" i="5"/>
  <c r="V1094" i="5"/>
  <c r="AB1093" i="5"/>
  <c r="V1093" i="5"/>
  <c r="AB1092" i="5"/>
  <c r="V1092" i="5"/>
  <c r="AB1091" i="5"/>
  <c r="V1091" i="5"/>
  <c r="AB1090" i="5"/>
  <c r="V1090" i="5"/>
  <c r="AB1089" i="5"/>
  <c r="V1089" i="5"/>
  <c r="AB1088" i="5"/>
  <c r="V1088" i="5"/>
  <c r="AB1087" i="5"/>
  <c r="V1087" i="5"/>
  <c r="AB1086" i="5"/>
  <c r="V1086" i="5"/>
  <c r="AB1085" i="5"/>
  <c r="V1085" i="5"/>
  <c r="AB1084" i="5"/>
  <c r="V1084" i="5"/>
  <c r="AB1083" i="5"/>
  <c r="V1083" i="5"/>
  <c r="AB1082" i="5"/>
  <c r="V1082" i="5"/>
  <c r="AB1081" i="5"/>
  <c r="V1081" i="5"/>
  <c r="AB1080" i="5"/>
  <c r="V1080" i="5"/>
  <c r="AB1079" i="5"/>
  <c r="V1079" i="5"/>
  <c r="AB1078" i="5"/>
  <c r="V1078" i="5"/>
  <c r="AB1077" i="5"/>
  <c r="V1077" i="5"/>
  <c r="AB1076" i="5"/>
  <c r="V1076" i="5"/>
  <c r="AB1075" i="5"/>
  <c r="V1075" i="5"/>
  <c r="AB1074" i="5"/>
  <c r="V1074" i="5"/>
  <c r="AB1073" i="5"/>
  <c r="V1073" i="5"/>
  <c r="AB1072" i="5"/>
  <c r="V1072" i="5"/>
  <c r="AB1071" i="5"/>
  <c r="V1071" i="5"/>
  <c r="AB1070" i="5"/>
  <c r="V1070" i="5"/>
  <c r="AB1069" i="5"/>
  <c r="V1069" i="5"/>
  <c r="AB1068" i="5"/>
  <c r="V1068" i="5"/>
  <c r="AB1067" i="5"/>
  <c r="V1067" i="5"/>
  <c r="AB1066" i="5"/>
  <c r="V1066" i="5"/>
  <c r="AB1065" i="5"/>
  <c r="V1065" i="5"/>
  <c r="AB1064" i="5"/>
  <c r="V1064" i="5"/>
  <c r="AB1063" i="5"/>
  <c r="V1063" i="5"/>
  <c r="AB1062" i="5"/>
  <c r="V1062" i="5"/>
  <c r="AB1061" i="5"/>
  <c r="V1061" i="5"/>
  <c r="AB1060" i="5"/>
  <c r="V1060" i="5"/>
  <c r="AB1059" i="5"/>
  <c r="V1059" i="5"/>
  <c r="AB1058" i="5"/>
  <c r="V1058" i="5"/>
  <c r="AB1057" i="5"/>
  <c r="V1057" i="5"/>
  <c r="AB1056" i="5"/>
  <c r="V1056" i="5"/>
  <c r="AB1055" i="5"/>
  <c r="V1055" i="5"/>
  <c r="AB1054" i="5"/>
  <c r="V1054" i="5"/>
  <c r="AB1053" i="5"/>
  <c r="V1053" i="5"/>
  <c r="AB1052" i="5"/>
  <c r="V1052" i="5"/>
  <c r="AB1051" i="5"/>
  <c r="V1051" i="5"/>
  <c r="AB1050" i="5"/>
  <c r="V1050" i="5"/>
  <c r="AB1049" i="5"/>
  <c r="V1049" i="5"/>
  <c r="AB1048" i="5"/>
  <c r="V1048" i="5"/>
  <c r="AB1047" i="5"/>
  <c r="V1047" i="5"/>
  <c r="AB1046" i="5"/>
  <c r="V1046" i="5"/>
  <c r="AB1045" i="5"/>
  <c r="V1045" i="5"/>
  <c r="AB1044" i="5"/>
  <c r="V1044" i="5"/>
  <c r="AB1043" i="5"/>
  <c r="V1043" i="5"/>
  <c r="AB1042" i="5"/>
  <c r="V1042" i="5"/>
  <c r="AB1041" i="5"/>
  <c r="V1041" i="5"/>
  <c r="AB1040" i="5"/>
  <c r="V1040" i="5"/>
  <c r="AB1039" i="5"/>
  <c r="V1039" i="5"/>
  <c r="AB1038" i="5"/>
  <c r="V1038" i="5"/>
  <c r="AB1037" i="5"/>
  <c r="V1037" i="5"/>
  <c r="AB1036" i="5"/>
  <c r="V1036" i="5"/>
  <c r="AB1035" i="5"/>
  <c r="V1035" i="5"/>
  <c r="AB1034" i="5"/>
  <c r="V1034" i="5"/>
  <c r="AB1033" i="5"/>
  <c r="V1033" i="5"/>
  <c r="AB1032" i="5"/>
  <c r="V1032" i="5"/>
  <c r="AB1031" i="5"/>
  <c r="V1031" i="5"/>
  <c r="AB1030" i="5"/>
  <c r="V1030" i="5"/>
  <c r="AB1029" i="5"/>
  <c r="V1029" i="5"/>
  <c r="AB1028" i="5"/>
  <c r="V1028" i="5"/>
  <c r="AB1027" i="5"/>
  <c r="V1027" i="5"/>
  <c r="AB1026" i="5"/>
  <c r="V1026" i="5"/>
  <c r="AB1025" i="5"/>
  <c r="V1025" i="5"/>
  <c r="AB1024" i="5"/>
  <c r="V1024" i="5"/>
  <c r="AB1023" i="5"/>
  <c r="V1023" i="5"/>
  <c r="AB1022" i="5"/>
  <c r="V1022" i="5"/>
  <c r="AB1021" i="5"/>
  <c r="V1021" i="5"/>
  <c r="AB1020" i="5"/>
  <c r="V1020" i="5"/>
  <c r="AB1019" i="5"/>
  <c r="V1019" i="5"/>
  <c r="AB1018" i="5"/>
  <c r="V1018" i="5"/>
  <c r="AB1017" i="5"/>
  <c r="V1017" i="5"/>
  <c r="AB1016" i="5"/>
  <c r="V1016" i="5"/>
  <c r="AB1015" i="5"/>
  <c r="V1015" i="5"/>
  <c r="AB1014" i="5"/>
  <c r="V1014" i="5"/>
  <c r="AB1013" i="5"/>
  <c r="V1013" i="5"/>
  <c r="AB1012" i="5"/>
  <c r="V1012" i="5"/>
  <c r="AB1011" i="5"/>
  <c r="V1011" i="5"/>
  <c r="AB1010" i="5"/>
  <c r="V1010" i="5"/>
  <c r="AB1009" i="5"/>
  <c r="V1009" i="5"/>
  <c r="AB1008" i="5"/>
  <c r="V1008" i="5"/>
  <c r="AB1007" i="5"/>
  <c r="V1007" i="5"/>
  <c r="AB1006" i="5"/>
  <c r="V1006" i="5"/>
  <c r="AB1005" i="5"/>
  <c r="V1005" i="5"/>
  <c r="AB1004" i="5"/>
  <c r="V1004" i="5"/>
  <c r="AB1003" i="5"/>
  <c r="V1003" i="5"/>
  <c r="AB1002" i="5"/>
  <c r="V1002" i="5"/>
  <c r="AB1001" i="5"/>
  <c r="V1001" i="5"/>
  <c r="AB1000" i="5"/>
  <c r="V1000" i="5"/>
  <c r="AB999" i="5"/>
  <c r="V999" i="5"/>
  <c r="AB998" i="5"/>
  <c r="V998" i="5"/>
  <c r="AB997" i="5"/>
  <c r="V997" i="5"/>
  <c r="AB996" i="5"/>
  <c r="V996" i="5"/>
  <c r="AB995" i="5"/>
  <c r="V995" i="5"/>
  <c r="AB994" i="5"/>
  <c r="V994" i="5"/>
  <c r="AB993" i="5"/>
  <c r="V993" i="5"/>
  <c r="AB992" i="5"/>
  <c r="V992" i="5"/>
  <c r="AB991" i="5"/>
  <c r="V991" i="5"/>
  <c r="AB990" i="5"/>
  <c r="V990" i="5"/>
  <c r="AB989" i="5"/>
  <c r="V989" i="5"/>
  <c r="AB988" i="5"/>
  <c r="V988" i="5"/>
  <c r="AB987" i="5"/>
  <c r="V987" i="5"/>
  <c r="AB986" i="5"/>
  <c r="V986" i="5"/>
  <c r="AB985" i="5"/>
  <c r="V985" i="5"/>
  <c r="AB984" i="5"/>
  <c r="V984" i="5"/>
  <c r="AB983" i="5"/>
  <c r="V983" i="5"/>
  <c r="AB982" i="5"/>
  <c r="V982" i="5"/>
  <c r="AB981" i="5"/>
  <c r="V981" i="5"/>
  <c r="AB980" i="5"/>
  <c r="V980" i="5"/>
  <c r="AB979" i="5"/>
  <c r="V979" i="5"/>
  <c r="AB978" i="5"/>
  <c r="V978" i="5"/>
  <c r="AB977" i="5"/>
  <c r="V977" i="5"/>
  <c r="AB976" i="5"/>
  <c r="V976" i="5"/>
  <c r="AB975" i="5"/>
  <c r="V975" i="5"/>
  <c r="AB974" i="5"/>
  <c r="V974" i="5"/>
  <c r="AB973" i="5"/>
  <c r="V973" i="5"/>
  <c r="AB972" i="5"/>
  <c r="V972" i="5"/>
  <c r="AB971" i="5"/>
  <c r="V971" i="5"/>
  <c r="AB970" i="5"/>
  <c r="V970" i="5"/>
  <c r="AB969" i="5"/>
  <c r="V969" i="5"/>
  <c r="AB968" i="5"/>
  <c r="V968" i="5"/>
  <c r="AB967" i="5"/>
  <c r="V967" i="5"/>
  <c r="AB966" i="5"/>
  <c r="V966" i="5"/>
  <c r="AB965" i="5"/>
  <c r="V965" i="5"/>
  <c r="AB964" i="5"/>
  <c r="V964" i="5"/>
  <c r="AB963" i="5"/>
  <c r="V963" i="5"/>
  <c r="AB962" i="5"/>
  <c r="V962" i="5"/>
  <c r="AB961" i="5"/>
  <c r="V961" i="5"/>
  <c r="AB960" i="5"/>
  <c r="V960" i="5"/>
  <c r="AB959" i="5"/>
  <c r="V959" i="5"/>
  <c r="AB958" i="5"/>
  <c r="V958" i="5"/>
  <c r="AB957" i="5"/>
  <c r="V957" i="5"/>
  <c r="AB956" i="5"/>
  <c r="V956" i="5"/>
  <c r="AB955" i="5"/>
  <c r="V955" i="5"/>
  <c r="AB954" i="5"/>
  <c r="V954" i="5"/>
  <c r="AB953" i="5"/>
  <c r="V953" i="5"/>
  <c r="AB952" i="5"/>
  <c r="V952" i="5"/>
  <c r="AB951" i="5"/>
  <c r="V951" i="5"/>
  <c r="AB950" i="5"/>
  <c r="V950" i="5"/>
  <c r="AB949" i="5"/>
  <c r="V949" i="5"/>
  <c r="AB948" i="5"/>
  <c r="V948" i="5"/>
  <c r="AB947" i="5"/>
  <c r="V947" i="5"/>
  <c r="AB946" i="5"/>
  <c r="V946" i="5"/>
  <c r="AB945" i="5"/>
  <c r="V945" i="5"/>
  <c r="AB944" i="5"/>
  <c r="V944" i="5"/>
  <c r="AB943" i="5"/>
  <c r="V943" i="5"/>
  <c r="AB942" i="5"/>
  <c r="V942" i="5"/>
  <c r="AB941" i="5"/>
  <c r="V941" i="5"/>
  <c r="AB940" i="5"/>
  <c r="V940" i="5"/>
  <c r="AB939" i="5"/>
  <c r="V939" i="5"/>
  <c r="AB938" i="5"/>
  <c r="V938" i="5"/>
  <c r="AB937" i="5"/>
  <c r="V937" i="5"/>
  <c r="AB936" i="5"/>
  <c r="V936" i="5"/>
  <c r="AB935" i="5"/>
  <c r="V935" i="5"/>
  <c r="AB934" i="5"/>
  <c r="V934" i="5"/>
  <c r="AB933" i="5"/>
  <c r="V933" i="5"/>
  <c r="AB932" i="5"/>
  <c r="V932" i="5"/>
  <c r="AB931" i="5"/>
  <c r="V931" i="5"/>
  <c r="AB930" i="5"/>
  <c r="V930" i="5"/>
  <c r="AB929" i="5"/>
  <c r="V929" i="5"/>
  <c r="AB928" i="5"/>
  <c r="V928" i="5"/>
  <c r="AB927" i="5"/>
  <c r="V927" i="5"/>
  <c r="AB926" i="5"/>
  <c r="V926" i="5"/>
  <c r="AB925" i="5"/>
  <c r="V925" i="5"/>
  <c r="AB924" i="5"/>
  <c r="V924" i="5"/>
  <c r="AB923" i="5"/>
  <c r="V923" i="5"/>
  <c r="AB922" i="5"/>
  <c r="V922" i="5"/>
  <c r="AB921" i="5"/>
  <c r="V921" i="5"/>
  <c r="AB920" i="5"/>
  <c r="V920" i="5"/>
  <c r="AB919" i="5"/>
  <c r="V919" i="5"/>
  <c r="AB918" i="5"/>
  <c r="V918" i="5"/>
  <c r="AB917" i="5"/>
  <c r="V917" i="5"/>
  <c r="AB916" i="5"/>
  <c r="V916" i="5"/>
  <c r="AB915" i="5"/>
  <c r="V915" i="5"/>
  <c r="AB914" i="5"/>
  <c r="V914" i="5"/>
  <c r="AB913" i="5"/>
  <c r="V913" i="5"/>
  <c r="AB912" i="5"/>
  <c r="V912" i="5"/>
  <c r="AB911" i="5"/>
  <c r="V911" i="5"/>
  <c r="AB910" i="5"/>
  <c r="V910" i="5"/>
  <c r="AB909" i="5"/>
  <c r="V909" i="5"/>
  <c r="AB908" i="5"/>
  <c r="V908" i="5"/>
  <c r="AB907" i="5"/>
  <c r="V907" i="5"/>
  <c r="AB906" i="5"/>
  <c r="V906" i="5"/>
  <c r="AB905" i="5"/>
  <c r="V905" i="5"/>
  <c r="AB904" i="5"/>
  <c r="V904" i="5"/>
  <c r="AB903" i="5"/>
  <c r="V903" i="5"/>
  <c r="AB902" i="5"/>
  <c r="V902" i="5"/>
  <c r="AB901" i="5"/>
  <c r="V901" i="5"/>
  <c r="AB900" i="5"/>
  <c r="V900" i="5"/>
  <c r="AB899" i="5"/>
  <c r="V899" i="5"/>
  <c r="AB898" i="5"/>
  <c r="V898" i="5"/>
  <c r="AB897" i="5"/>
  <c r="V897" i="5"/>
  <c r="AB896" i="5"/>
  <c r="V896" i="5"/>
  <c r="AB895" i="5"/>
  <c r="V895" i="5"/>
  <c r="AB894" i="5"/>
  <c r="V894" i="5"/>
  <c r="AB893" i="5"/>
  <c r="V893" i="5"/>
  <c r="AB892" i="5"/>
  <c r="V892" i="5"/>
  <c r="AB891" i="5"/>
  <c r="V891" i="5"/>
  <c r="AB890" i="5"/>
  <c r="V890" i="5"/>
  <c r="AB889" i="5"/>
  <c r="V889" i="5"/>
  <c r="AB888" i="5"/>
  <c r="V888" i="5"/>
  <c r="AB887" i="5"/>
  <c r="V887" i="5"/>
  <c r="AB886" i="5"/>
  <c r="V886" i="5"/>
  <c r="AB885" i="5"/>
  <c r="V885" i="5"/>
  <c r="AB884" i="5"/>
  <c r="V884" i="5"/>
  <c r="AB883" i="5"/>
  <c r="V883" i="5"/>
  <c r="AB882" i="5"/>
  <c r="V882" i="5"/>
  <c r="AB881" i="5"/>
  <c r="V881" i="5"/>
  <c r="AB880" i="5"/>
  <c r="V880" i="5"/>
  <c r="AB879" i="5"/>
  <c r="V879" i="5"/>
  <c r="AB878" i="5"/>
  <c r="V878" i="5"/>
  <c r="AB877" i="5"/>
  <c r="V877" i="5"/>
  <c r="AB876" i="5"/>
  <c r="V876" i="5"/>
  <c r="AB875" i="5"/>
  <c r="V875" i="5"/>
  <c r="AB874" i="5"/>
  <c r="V874" i="5"/>
  <c r="AB873" i="5"/>
  <c r="V873" i="5"/>
  <c r="AB872" i="5"/>
  <c r="V872" i="5"/>
  <c r="AB871" i="5"/>
  <c r="V871" i="5"/>
  <c r="AB870" i="5"/>
  <c r="V870" i="5"/>
  <c r="AB869" i="5"/>
  <c r="V869" i="5"/>
  <c r="AB868" i="5"/>
  <c r="V868" i="5"/>
  <c r="AB867" i="5"/>
  <c r="V867" i="5"/>
  <c r="AB866" i="5"/>
  <c r="V866" i="5"/>
  <c r="AB865" i="5"/>
  <c r="V865" i="5"/>
  <c r="AB864" i="5"/>
  <c r="V864" i="5"/>
  <c r="AB863" i="5"/>
  <c r="V863" i="5"/>
  <c r="AB862" i="5"/>
  <c r="V862" i="5"/>
  <c r="AB861" i="5"/>
  <c r="V861" i="5"/>
  <c r="AB860" i="5"/>
  <c r="V860" i="5"/>
  <c r="AB859" i="5"/>
  <c r="V859" i="5"/>
  <c r="AB858" i="5"/>
  <c r="V858" i="5"/>
  <c r="AB857" i="5"/>
  <c r="V857" i="5"/>
  <c r="AB856" i="5"/>
  <c r="V856" i="5"/>
  <c r="AB855" i="5"/>
  <c r="V855" i="5"/>
  <c r="AB854" i="5"/>
  <c r="V854" i="5"/>
  <c r="AB853" i="5"/>
  <c r="V853" i="5"/>
  <c r="AB852" i="5"/>
  <c r="V852" i="5"/>
  <c r="AB851" i="5"/>
  <c r="V851" i="5"/>
  <c r="AB850" i="5"/>
  <c r="V850" i="5"/>
  <c r="AB849" i="5"/>
  <c r="V849" i="5"/>
  <c r="AB848" i="5"/>
  <c r="V848" i="5"/>
  <c r="AB847" i="5"/>
  <c r="V847" i="5"/>
  <c r="AB846" i="5"/>
  <c r="V846" i="5"/>
  <c r="AB845" i="5"/>
  <c r="V845" i="5"/>
  <c r="AB844" i="5"/>
  <c r="V844" i="5"/>
  <c r="AB843" i="5"/>
  <c r="V843" i="5"/>
  <c r="AB842" i="5"/>
  <c r="V842" i="5"/>
  <c r="AB841" i="5"/>
  <c r="V841" i="5"/>
  <c r="AB840" i="5"/>
  <c r="V840" i="5"/>
  <c r="AB839" i="5"/>
  <c r="V839" i="5"/>
  <c r="AB838" i="5"/>
  <c r="V838" i="5"/>
  <c r="AB837" i="5"/>
  <c r="V837" i="5"/>
  <c r="AB836" i="5"/>
  <c r="V836" i="5"/>
  <c r="AB835" i="5"/>
  <c r="V835" i="5"/>
  <c r="AB834" i="5"/>
  <c r="V834" i="5"/>
  <c r="AB833" i="5"/>
  <c r="V833" i="5"/>
  <c r="AB832" i="5"/>
  <c r="V832" i="5"/>
  <c r="AB831" i="5"/>
  <c r="V831" i="5"/>
  <c r="AB830" i="5"/>
  <c r="V830" i="5"/>
  <c r="AB829" i="5"/>
  <c r="V829" i="5"/>
  <c r="AB828" i="5"/>
  <c r="V828" i="5"/>
  <c r="AB827" i="5"/>
  <c r="V827" i="5"/>
  <c r="AB826" i="5"/>
  <c r="V826" i="5"/>
  <c r="AB825" i="5"/>
  <c r="V825" i="5"/>
  <c r="AB824" i="5"/>
  <c r="V824" i="5"/>
  <c r="AB823" i="5"/>
  <c r="V823" i="5"/>
  <c r="AB822" i="5"/>
  <c r="V822" i="5"/>
  <c r="AB821" i="5"/>
  <c r="V821" i="5"/>
  <c r="AB820" i="5"/>
  <c r="V820" i="5"/>
  <c r="AB819" i="5"/>
  <c r="V819" i="5"/>
  <c r="AB818" i="5"/>
  <c r="V818" i="5"/>
  <c r="AB817" i="5"/>
  <c r="V817" i="5"/>
  <c r="AB816" i="5"/>
  <c r="V816" i="5"/>
  <c r="AB815" i="5"/>
  <c r="V815" i="5"/>
  <c r="AB814" i="5"/>
  <c r="V814" i="5"/>
  <c r="AB813" i="5"/>
  <c r="V813" i="5"/>
  <c r="AB812" i="5"/>
  <c r="V812" i="5"/>
  <c r="AB811" i="5"/>
  <c r="V811" i="5"/>
  <c r="AB810" i="5"/>
  <c r="V810" i="5"/>
  <c r="AB809" i="5"/>
  <c r="V809" i="5"/>
  <c r="AB808" i="5"/>
  <c r="V808" i="5"/>
  <c r="AB807" i="5"/>
  <c r="V807" i="5"/>
  <c r="AB806" i="5"/>
  <c r="V806" i="5"/>
  <c r="AB805" i="5"/>
  <c r="V805" i="5"/>
  <c r="AB804" i="5"/>
  <c r="V804" i="5"/>
  <c r="AB803" i="5"/>
  <c r="V803" i="5"/>
  <c r="AB802" i="5"/>
  <c r="V802" i="5"/>
  <c r="AB801" i="5"/>
  <c r="V801" i="5"/>
  <c r="AB800" i="5"/>
  <c r="V800" i="5"/>
  <c r="AB799" i="5"/>
  <c r="V799" i="5"/>
  <c r="AB798" i="5"/>
  <c r="V798" i="5"/>
  <c r="AB797" i="5"/>
  <c r="V797" i="5"/>
  <c r="AB796" i="5"/>
  <c r="V796" i="5"/>
  <c r="AB795" i="5"/>
  <c r="V795" i="5"/>
  <c r="AB794" i="5"/>
  <c r="V794" i="5"/>
  <c r="AB793" i="5"/>
  <c r="V793" i="5"/>
  <c r="AB792" i="5"/>
  <c r="V792" i="5"/>
  <c r="AB791" i="5"/>
  <c r="V791" i="5"/>
  <c r="AB790" i="5"/>
  <c r="V790" i="5"/>
  <c r="AB789" i="5"/>
  <c r="V789" i="5"/>
  <c r="AB788" i="5"/>
  <c r="V788" i="5"/>
  <c r="AB787" i="5"/>
  <c r="V787" i="5"/>
  <c r="AB786" i="5"/>
  <c r="V786" i="5"/>
  <c r="AB785" i="5"/>
  <c r="V785" i="5"/>
  <c r="AB784" i="5"/>
  <c r="V784" i="5"/>
  <c r="AB783" i="5"/>
  <c r="V783" i="5"/>
  <c r="AB782" i="5"/>
  <c r="V782" i="5"/>
  <c r="AB781" i="5"/>
  <c r="V781" i="5"/>
  <c r="AB780" i="5"/>
  <c r="V780" i="5"/>
  <c r="AB779" i="5"/>
  <c r="V779" i="5"/>
  <c r="AB778" i="5"/>
  <c r="V778" i="5"/>
  <c r="AB777" i="5"/>
  <c r="V777" i="5"/>
  <c r="AB776" i="5"/>
  <c r="V776" i="5"/>
  <c r="AB775" i="5"/>
  <c r="V775" i="5"/>
  <c r="AB774" i="5"/>
  <c r="V774" i="5"/>
  <c r="AB773" i="5"/>
  <c r="V773" i="5"/>
  <c r="AB772" i="5"/>
  <c r="V772" i="5"/>
  <c r="AB771" i="5"/>
  <c r="V771" i="5"/>
  <c r="AB770" i="5"/>
  <c r="V770" i="5"/>
  <c r="AB769" i="5"/>
  <c r="V769" i="5"/>
  <c r="AB768" i="5"/>
  <c r="V768" i="5"/>
  <c r="AB767" i="5"/>
  <c r="V767" i="5"/>
  <c r="AB766" i="5"/>
  <c r="V766" i="5"/>
  <c r="AB765" i="5"/>
  <c r="V765" i="5"/>
  <c r="AB764" i="5"/>
  <c r="V764" i="5"/>
  <c r="AB763" i="5"/>
  <c r="V763" i="5"/>
  <c r="AB762" i="5"/>
  <c r="V762" i="5"/>
  <c r="AB761" i="5"/>
  <c r="V761" i="5"/>
  <c r="AB760" i="5"/>
  <c r="V760" i="5"/>
  <c r="AB759" i="5"/>
  <c r="V759" i="5"/>
  <c r="AB758" i="5"/>
  <c r="V758" i="5"/>
  <c r="AB757" i="5"/>
  <c r="V757" i="5"/>
  <c r="AB756" i="5"/>
  <c r="V756" i="5"/>
  <c r="AB755" i="5"/>
  <c r="V755" i="5"/>
  <c r="AB754" i="5"/>
  <c r="V754" i="5"/>
  <c r="AB753" i="5"/>
  <c r="V753" i="5"/>
  <c r="AB752" i="5"/>
  <c r="V752" i="5"/>
  <c r="AB751" i="5"/>
  <c r="V751" i="5"/>
  <c r="AB750" i="5"/>
  <c r="V750" i="5"/>
  <c r="AB749" i="5"/>
  <c r="V749" i="5"/>
  <c r="AB748" i="5"/>
  <c r="V748" i="5"/>
  <c r="AB747" i="5"/>
  <c r="V747" i="5"/>
  <c r="AB746" i="5"/>
  <c r="V746" i="5"/>
  <c r="AB745" i="5"/>
  <c r="V745" i="5"/>
  <c r="AB744" i="5"/>
  <c r="V744" i="5"/>
  <c r="AB743" i="5"/>
  <c r="V743" i="5"/>
  <c r="AB742" i="5"/>
  <c r="V742" i="5"/>
  <c r="AB741" i="5"/>
  <c r="V741" i="5"/>
  <c r="AB740" i="5"/>
  <c r="V740" i="5"/>
  <c r="AB739" i="5"/>
  <c r="V739" i="5"/>
  <c r="AB738" i="5"/>
  <c r="V738" i="5"/>
  <c r="AB737" i="5"/>
  <c r="V737" i="5"/>
  <c r="AB736" i="5"/>
  <c r="V736" i="5"/>
  <c r="AB735" i="5"/>
  <c r="V735" i="5"/>
  <c r="AB734" i="5"/>
  <c r="V734" i="5"/>
  <c r="AB733" i="5"/>
  <c r="V733" i="5"/>
  <c r="AB732" i="5"/>
  <c r="V732" i="5"/>
  <c r="AB731" i="5"/>
  <c r="V731" i="5"/>
  <c r="AB730" i="5"/>
  <c r="V730" i="5"/>
  <c r="AB729" i="5"/>
  <c r="V729" i="5"/>
  <c r="AB728" i="5"/>
  <c r="V728" i="5"/>
  <c r="AB727" i="5"/>
  <c r="V727" i="5"/>
  <c r="AB726" i="5"/>
  <c r="V726" i="5"/>
  <c r="AB725" i="5"/>
  <c r="V725" i="5"/>
  <c r="AB724" i="5"/>
  <c r="V724" i="5"/>
  <c r="AB723" i="5"/>
  <c r="V723" i="5"/>
  <c r="AB722" i="5"/>
  <c r="V722" i="5"/>
  <c r="AB721" i="5"/>
  <c r="V721" i="5"/>
  <c r="AB720" i="5"/>
  <c r="V720" i="5"/>
  <c r="AB719" i="5"/>
  <c r="V719" i="5"/>
  <c r="AB718" i="5"/>
  <c r="V718" i="5"/>
  <c r="AB717" i="5"/>
  <c r="V717" i="5"/>
  <c r="AB716" i="5"/>
  <c r="V716" i="5"/>
  <c r="AB715" i="5"/>
  <c r="V715" i="5"/>
  <c r="AB714" i="5"/>
  <c r="V714" i="5"/>
  <c r="AB713" i="5"/>
  <c r="V713" i="5"/>
  <c r="AB712" i="5"/>
  <c r="V712" i="5"/>
  <c r="AB711" i="5"/>
  <c r="V711" i="5"/>
  <c r="AB710" i="5"/>
  <c r="V710" i="5"/>
  <c r="AB709" i="5"/>
  <c r="V709" i="5"/>
  <c r="AB708" i="5"/>
  <c r="V708" i="5"/>
  <c r="AB707" i="5"/>
  <c r="V707" i="5"/>
  <c r="AB706" i="5"/>
  <c r="V706" i="5"/>
  <c r="AB705" i="5"/>
  <c r="V705" i="5"/>
  <c r="AB704" i="5"/>
  <c r="V704" i="5"/>
  <c r="AB703" i="5"/>
  <c r="V703" i="5"/>
  <c r="AB702" i="5"/>
  <c r="V702" i="5"/>
  <c r="AB701" i="5"/>
  <c r="V701" i="5"/>
  <c r="AB700" i="5"/>
  <c r="V700" i="5"/>
  <c r="AB699" i="5"/>
  <c r="V699" i="5"/>
  <c r="AB698" i="5"/>
  <c r="V698" i="5"/>
  <c r="AB697" i="5"/>
  <c r="V697" i="5"/>
  <c r="AB696" i="5"/>
  <c r="V696" i="5"/>
  <c r="AB695" i="5"/>
  <c r="V695" i="5"/>
  <c r="AB694" i="5"/>
  <c r="V694" i="5"/>
  <c r="AB693" i="5"/>
  <c r="V693" i="5"/>
  <c r="AB692" i="5"/>
  <c r="V692" i="5"/>
  <c r="AB691" i="5"/>
  <c r="V691" i="5"/>
  <c r="AB690" i="5"/>
  <c r="V690" i="5"/>
  <c r="AB689" i="5"/>
  <c r="V689" i="5"/>
  <c r="AB688" i="5"/>
  <c r="V688" i="5"/>
  <c r="AB687" i="5"/>
  <c r="V687" i="5"/>
  <c r="AB686" i="5"/>
  <c r="V686" i="5"/>
  <c r="AB685" i="5"/>
  <c r="V685" i="5"/>
  <c r="AB684" i="5"/>
  <c r="V684" i="5"/>
  <c r="AB683" i="5"/>
  <c r="V683" i="5"/>
  <c r="AB682" i="5"/>
  <c r="V682" i="5"/>
  <c r="AB681" i="5"/>
  <c r="V681" i="5"/>
  <c r="AB680" i="5"/>
  <c r="V680" i="5"/>
  <c r="AB679" i="5"/>
  <c r="V679" i="5"/>
  <c r="AB678" i="5"/>
  <c r="V678" i="5"/>
  <c r="AB677" i="5"/>
  <c r="V677" i="5"/>
  <c r="AB676" i="5"/>
  <c r="V676" i="5"/>
  <c r="AB675" i="5"/>
  <c r="V675" i="5"/>
  <c r="AB674" i="5"/>
  <c r="V674" i="5"/>
  <c r="AB673" i="5"/>
  <c r="V673" i="5"/>
  <c r="AB672" i="5"/>
  <c r="V672" i="5"/>
  <c r="AB671" i="5"/>
  <c r="V671" i="5"/>
  <c r="AB670" i="5"/>
  <c r="V670" i="5"/>
  <c r="AB669" i="5"/>
  <c r="V669" i="5"/>
  <c r="AB668" i="5"/>
  <c r="V668" i="5"/>
  <c r="AB667" i="5"/>
  <c r="V667" i="5"/>
  <c r="AB666" i="5"/>
  <c r="V666" i="5"/>
  <c r="AB665" i="5"/>
  <c r="V665" i="5"/>
  <c r="AB664" i="5"/>
  <c r="V664" i="5"/>
  <c r="AB663" i="5"/>
  <c r="V663" i="5"/>
  <c r="AB662" i="5"/>
  <c r="V662" i="5"/>
  <c r="AB661" i="5"/>
  <c r="V661" i="5"/>
  <c r="AB660" i="5"/>
  <c r="V660" i="5"/>
  <c r="AB659" i="5"/>
  <c r="V659" i="5"/>
  <c r="AB658" i="5"/>
  <c r="V658" i="5"/>
  <c r="AB657" i="5"/>
  <c r="V657" i="5"/>
  <c r="AB656" i="5"/>
  <c r="V656" i="5"/>
  <c r="AB655" i="5"/>
  <c r="V655" i="5"/>
  <c r="AB654" i="5"/>
  <c r="V654" i="5"/>
  <c r="AB653" i="5"/>
  <c r="V653" i="5"/>
  <c r="AB652" i="5"/>
  <c r="V652" i="5"/>
  <c r="AB651" i="5"/>
  <c r="V651" i="5"/>
  <c r="AB650" i="5"/>
  <c r="V650" i="5"/>
  <c r="AB649" i="5"/>
  <c r="V649" i="5"/>
  <c r="AB648" i="5"/>
  <c r="V648" i="5"/>
  <c r="AB647" i="5"/>
  <c r="V647" i="5"/>
  <c r="AB646" i="5"/>
  <c r="V646" i="5"/>
  <c r="AB645" i="5"/>
  <c r="V645" i="5"/>
  <c r="AB644" i="5"/>
  <c r="V644" i="5"/>
  <c r="AB643" i="5"/>
  <c r="V643" i="5"/>
  <c r="AB642" i="5"/>
  <c r="V642" i="5"/>
  <c r="AB641" i="5"/>
  <c r="V641" i="5"/>
  <c r="AB640" i="5"/>
  <c r="V640" i="5"/>
  <c r="AB639" i="5"/>
  <c r="V639" i="5"/>
  <c r="AB638" i="5"/>
  <c r="V638" i="5"/>
  <c r="AB637" i="5"/>
  <c r="V637" i="5"/>
  <c r="AB636" i="5"/>
  <c r="V636" i="5"/>
  <c r="AB635" i="5"/>
  <c r="V635" i="5"/>
  <c r="AB634" i="5"/>
  <c r="V634" i="5"/>
  <c r="AB633" i="5"/>
  <c r="V633" i="5"/>
  <c r="AB632" i="5"/>
  <c r="V632" i="5"/>
  <c r="AB631" i="5"/>
  <c r="V631" i="5"/>
  <c r="AB630" i="5"/>
  <c r="V630" i="5"/>
  <c r="AB629" i="5"/>
  <c r="V629" i="5"/>
  <c r="AB628" i="5"/>
  <c r="V628" i="5"/>
  <c r="AB627" i="5"/>
  <c r="V627" i="5"/>
  <c r="AB626" i="5"/>
  <c r="V626" i="5"/>
  <c r="AB625" i="5"/>
  <c r="V625" i="5"/>
  <c r="AB624" i="5"/>
  <c r="V624" i="5"/>
  <c r="AB623" i="5"/>
  <c r="V623" i="5"/>
  <c r="AB622" i="5"/>
  <c r="V622" i="5"/>
  <c r="AB621" i="5"/>
  <c r="V621" i="5"/>
  <c r="AB620" i="5"/>
  <c r="V620" i="5"/>
  <c r="AB619" i="5"/>
  <c r="V619" i="5"/>
  <c r="AB618" i="5"/>
  <c r="V618" i="5"/>
  <c r="AB617" i="5"/>
  <c r="V617" i="5"/>
  <c r="AB616" i="5"/>
  <c r="V616" i="5"/>
  <c r="AB615" i="5"/>
  <c r="V615" i="5"/>
  <c r="AB614" i="5"/>
  <c r="V614" i="5"/>
  <c r="AB613" i="5"/>
  <c r="V613" i="5"/>
  <c r="AB612" i="5"/>
  <c r="V612" i="5"/>
  <c r="AB611" i="5"/>
  <c r="V611" i="5"/>
  <c r="AB610" i="5"/>
  <c r="V610" i="5"/>
  <c r="AB609" i="5"/>
  <c r="V609" i="5"/>
  <c r="AB608" i="5"/>
  <c r="V608" i="5"/>
  <c r="AB607" i="5"/>
  <c r="V607" i="5"/>
  <c r="AB606" i="5"/>
  <c r="V606" i="5"/>
  <c r="AB605" i="5"/>
  <c r="V605" i="5"/>
  <c r="AB604" i="5"/>
  <c r="V604" i="5"/>
  <c r="AB603" i="5"/>
  <c r="V603" i="5"/>
  <c r="AB602" i="5"/>
  <c r="V602" i="5"/>
  <c r="AB601" i="5"/>
  <c r="V601" i="5"/>
  <c r="AB600" i="5"/>
  <c r="V600" i="5"/>
  <c r="AB599" i="5"/>
  <c r="V599" i="5"/>
  <c r="AB598" i="5"/>
  <c r="V598" i="5"/>
  <c r="AB597" i="5"/>
  <c r="V597" i="5"/>
  <c r="AB596" i="5"/>
  <c r="V596" i="5"/>
  <c r="AB595" i="5"/>
  <c r="V595" i="5"/>
  <c r="AB594" i="5"/>
  <c r="V594" i="5"/>
  <c r="AB593" i="5"/>
  <c r="V593" i="5"/>
  <c r="AB592" i="5"/>
  <c r="V592" i="5"/>
  <c r="AB591" i="5"/>
  <c r="V591" i="5"/>
  <c r="AB590" i="5"/>
  <c r="V590" i="5"/>
  <c r="AB589" i="5"/>
  <c r="V589" i="5"/>
  <c r="AB588" i="5"/>
  <c r="V588" i="5"/>
  <c r="AB587" i="5"/>
  <c r="V587" i="5"/>
  <c r="AB586" i="5"/>
  <c r="V586" i="5"/>
  <c r="AB585" i="5"/>
  <c r="V585" i="5"/>
  <c r="AB584" i="5"/>
  <c r="V584" i="5"/>
  <c r="AB583" i="5"/>
  <c r="V583" i="5"/>
  <c r="AB582" i="5"/>
  <c r="V582" i="5"/>
  <c r="AB581" i="5"/>
  <c r="V581" i="5"/>
  <c r="AB580" i="5"/>
  <c r="V580" i="5"/>
  <c r="AB579" i="5"/>
  <c r="V579" i="5"/>
  <c r="AB578" i="5"/>
  <c r="V578" i="5"/>
  <c r="AB577" i="5"/>
  <c r="V577" i="5"/>
  <c r="AB576" i="5"/>
  <c r="V576" i="5"/>
  <c r="AB575" i="5"/>
  <c r="V575" i="5"/>
  <c r="AB574" i="5"/>
  <c r="V574" i="5"/>
  <c r="AB573" i="5"/>
  <c r="V573" i="5"/>
  <c r="AB572" i="5"/>
  <c r="V572" i="5"/>
  <c r="AB571" i="5"/>
  <c r="V571" i="5"/>
  <c r="AB570" i="5"/>
  <c r="V570" i="5"/>
  <c r="AB569" i="5"/>
  <c r="V569" i="5"/>
  <c r="AB568" i="5"/>
  <c r="V568" i="5"/>
  <c r="AB567" i="5"/>
  <c r="V567" i="5"/>
  <c r="AB566" i="5"/>
  <c r="V566" i="5"/>
  <c r="AB565" i="5"/>
  <c r="V565" i="5"/>
  <c r="AB564" i="5"/>
  <c r="V564" i="5"/>
  <c r="AB563" i="5"/>
  <c r="V563" i="5"/>
  <c r="AB562" i="5"/>
  <c r="V562" i="5"/>
  <c r="AB561" i="5"/>
  <c r="V561" i="5"/>
  <c r="AB560" i="5"/>
  <c r="V560" i="5"/>
  <c r="AB559" i="5"/>
  <c r="V559" i="5"/>
  <c r="AB558" i="5"/>
  <c r="V558" i="5"/>
  <c r="AB557" i="5"/>
  <c r="V557" i="5"/>
  <c r="AB556" i="5"/>
  <c r="V556" i="5"/>
  <c r="AB555" i="5"/>
  <c r="V555" i="5"/>
  <c r="AB554" i="5"/>
  <c r="V554" i="5"/>
  <c r="AB553" i="5"/>
  <c r="V553" i="5"/>
  <c r="AB552" i="5"/>
  <c r="V552" i="5"/>
  <c r="AB551" i="5"/>
  <c r="V551" i="5"/>
  <c r="AB550" i="5"/>
  <c r="V550" i="5"/>
  <c r="AB549" i="5"/>
  <c r="V549" i="5"/>
  <c r="AB548" i="5"/>
  <c r="V548" i="5"/>
  <c r="AB547" i="5"/>
  <c r="V547" i="5"/>
  <c r="AB546" i="5"/>
  <c r="V546" i="5"/>
  <c r="AB545" i="5"/>
  <c r="V545" i="5"/>
  <c r="AB544" i="5"/>
  <c r="V544" i="5"/>
  <c r="AB543" i="5"/>
  <c r="V543" i="5"/>
  <c r="AB542" i="5"/>
  <c r="V542" i="5"/>
  <c r="AB541" i="5"/>
  <c r="V541" i="5"/>
  <c r="AB540" i="5"/>
  <c r="V540" i="5"/>
  <c r="AB539" i="5"/>
  <c r="V539" i="5"/>
  <c r="AB538" i="5"/>
  <c r="V538" i="5"/>
  <c r="AB537" i="5"/>
  <c r="V537" i="5"/>
  <c r="AB536" i="5"/>
  <c r="V536" i="5"/>
  <c r="AB535" i="5"/>
  <c r="V535" i="5"/>
  <c r="AB534" i="5"/>
  <c r="V534" i="5"/>
  <c r="AB533" i="5"/>
  <c r="V533" i="5"/>
  <c r="AB532" i="5"/>
  <c r="V532" i="5"/>
  <c r="AB531" i="5"/>
  <c r="V531" i="5"/>
  <c r="AB530" i="5"/>
  <c r="V530" i="5"/>
  <c r="AB529" i="5"/>
  <c r="V529" i="5"/>
  <c r="AB528" i="5"/>
  <c r="V528" i="5"/>
  <c r="AB527" i="5"/>
  <c r="V527" i="5"/>
  <c r="AB526" i="5"/>
  <c r="V526" i="5"/>
  <c r="AB525" i="5"/>
  <c r="V525" i="5"/>
  <c r="AB524" i="5"/>
  <c r="V524" i="5"/>
  <c r="AB523" i="5"/>
  <c r="V523" i="5"/>
  <c r="AB522" i="5"/>
  <c r="V522" i="5"/>
  <c r="AB521" i="5"/>
  <c r="V521" i="5"/>
  <c r="AB520" i="5"/>
  <c r="V520" i="5"/>
  <c r="AB519" i="5"/>
  <c r="V519" i="5"/>
  <c r="AB518" i="5"/>
  <c r="V518" i="5"/>
  <c r="AB517" i="5"/>
  <c r="V517" i="5"/>
  <c r="AB516" i="5"/>
  <c r="V516" i="5"/>
  <c r="AB515" i="5"/>
  <c r="V515" i="5"/>
  <c r="AB514" i="5"/>
  <c r="V514" i="5"/>
  <c r="AB513" i="5"/>
  <c r="V513" i="5"/>
  <c r="AB512" i="5"/>
  <c r="V512" i="5"/>
  <c r="AB511" i="5"/>
  <c r="V511" i="5"/>
  <c r="AB510" i="5"/>
  <c r="V510" i="5"/>
  <c r="AB509" i="5"/>
  <c r="V509" i="5"/>
  <c r="AB508" i="5"/>
  <c r="V508" i="5"/>
  <c r="AB507" i="5"/>
  <c r="V507" i="5"/>
  <c r="AB506" i="5"/>
  <c r="V506" i="5"/>
  <c r="AB505" i="5"/>
  <c r="V505" i="5"/>
  <c r="AB504" i="5"/>
  <c r="V504" i="5"/>
  <c r="AB503" i="5"/>
  <c r="V503" i="5"/>
  <c r="AB502" i="5"/>
  <c r="V502" i="5"/>
  <c r="AB501" i="5"/>
  <c r="V501" i="5"/>
  <c r="AB500" i="5"/>
  <c r="V500" i="5"/>
  <c r="AB499" i="5"/>
  <c r="V499" i="5"/>
  <c r="AB498" i="5"/>
  <c r="V498" i="5"/>
  <c r="AB497" i="5"/>
  <c r="V497" i="5"/>
  <c r="AB496" i="5"/>
  <c r="V496" i="5"/>
  <c r="AB495" i="5"/>
  <c r="V495" i="5"/>
  <c r="AB494" i="5"/>
  <c r="V494" i="5"/>
  <c r="AB493" i="5"/>
  <c r="V493" i="5"/>
  <c r="AB492" i="5"/>
  <c r="V492" i="5"/>
  <c r="AB491" i="5"/>
  <c r="V491" i="5"/>
  <c r="AB490" i="5"/>
  <c r="V490" i="5"/>
  <c r="AB489" i="5"/>
  <c r="V489" i="5"/>
  <c r="AB488" i="5"/>
  <c r="V488" i="5"/>
  <c r="AB487" i="5"/>
  <c r="V487" i="5"/>
  <c r="AB486" i="5"/>
  <c r="V486" i="5"/>
  <c r="AB485" i="5"/>
  <c r="V485" i="5"/>
  <c r="P485" i="5"/>
  <c r="J485" i="5"/>
  <c r="E4" i="6" s="1"/>
  <c r="D485" i="5"/>
  <c r="E3" i="6" s="1"/>
  <c r="AB484" i="5"/>
  <c r="V484" i="5"/>
  <c r="P484" i="5"/>
  <c r="J484" i="5"/>
  <c r="D484" i="5"/>
  <c r="AB483" i="5"/>
  <c r="V483" i="5"/>
  <c r="P483" i="5"/>
  <c r="J483" i="5"/>
  <c r="D483" i="5"/>
  <c r="AB482" i="5"/>
  <c r="V482" i="5"/>
  <c r="P482" i="5"/>
  <c r="J482" i="5"/>
  <c r="D482" i="5"/>
  <c r="AB481" i="5"/>
  <c r="V481" i="5"/>
  <c r="P481" i="5"/>
  <c r="J481" i="5"/>
  <c r="D481" i="5"/>
  <c r="AB480" i="5"/>
  <c r="V480" i="5"/>
  <c r="P480" i="5"/>
  <c r="J480" i="5"/>
  <c r="D480" i="5"/>
  <c r="AB479" i="5"/>
  <c r="V479" i="5"/>
  <c r="P479" i="5"/>
  <c r="J479" i="5"/>
  <c r="D479" i="5"/>
  <c r="AB478" i="5"/>
  <c r="V478" i="5"/>
  <c r="P478" i="5"/>
  <c r="J478" i="5"/>
  <c r="D478" i="5"/>
  <c r="AB477" i="5"/>
  <c r="V477" i="5"/>
  <c r="P477" i="5"/>
  <c r="J477" i="5"/>
  <c r="D477" i="5"/>
  <c r="AB476" i="5"/>
  <c r="V476" i="5"/>
  <c r="P476" i="5"/>
  <c r="J476" i="5"/>
  <c r="D476" i="5"/>
  <c r="AB475" i="5"/>
  <c r="V475" i="5"/>
  <c r="P475" i="5"/>
  <c r="J475" i="5"/>
  <c r="D475" i="5"/>
  <c r="AB474" i="5"/>
  <c r="V474" i="5"/>
  <c r="P474" i="5"/>
  <c r="J474" i="5"/>
  <c r="D474" i="5"/>
  <c r="AB473" i="5"/>
  <c r="V473" i="5"/>
  <c r="P473" i="5"/>
  <c r="J473" i="5"/>
  <c r="D473" i="5"/>
  <c r="AB472" i="5"/>
  <c r="V472" i="5"/>
  <c r="P472" i="5"/>
  <c r="J472" i="5"/>
  <c r="D472" i="5"/>
  <c r="AB471" i="5"/>
  <c r="V471" i="5"/>
  <c r="P471" i="5"/>
  <c r="J471" i="5"/>
  <c r="D471" i="5"/>
  <c r="AB470" i="5"/>
  <c r="V470" i="5"/>
  <c r="P470" i="5"/>
  <c r="J470" i="5"/>
  <c r="D470" i="5"/>
  <c r="AB469" i="5"/>
  <c r="V469" i="5"/>
  <c r="P469" i="5"/>
  <c r="J469" i="5"/>
  <c r="D469" i="5"/>
  <c r="AB468" i="5"/>
  <c r="V468" i="5"/>
  <c r="P468" i="5"/>
  <c r="J468" i="5"/>
  <c r="D468" i="5"/>
  <c r="AB467" i="5"/>
  <c r="V467" i="5"/>
  <c r="P467" i="5"/>
  <c r="J467" i="5"/>
  <c r="D467" i="5"/>
  <c r="AB466" i="5"/>
  <c r="V466" i="5"/>
  <c r="P466" i="5"/>
  <c r="J466" i="5"/>
  <c r="D466" i="5"/>
  <c r="AB465" i="5"/>
  <c r="V465" i="5"/>
  <c r="P465" i="5"/>
  <c r="J465" i="5"/>
  <c r="D465" i="5"/>
  <c r="AB464" i="5"/>
  <c r="V464" i="5"/>
  <c r="P464" i="5"/>
  <c r="J464" i="5"/>
  <c r="D464" i="5"/>
  <c r="AB463" i="5"/>
  <c r="V463" i="5"/>
  <c r="P463" i="5"/>
  <c r="J463" i="5"/>
  <c r="D463" i="5"/>
  <c r="AB462" i="5"/>
  <c r="V462" i="5"/>
  <c r="P462" i="5"/>
  <c r="J462" i="5"/>
  <c r="D462" i="5"/>
  <c r="AB461" i="5"/>
  <c r="V461" i="5"/>
  <c r="P461" i="5"/>
  <c r="J461" i="5"/>
  <c r="D461" i="5"/>
  <c r="AB460" i="5"/>
  <c r="V460" i="5"/>
  <c r="P460" i="5"/>
  <c r="J460" i="5"/>
  <c r="D460" i="5"/>
  <c r="AB459" i="5"/>
  <c r="V459" i="5"/>
  <c r="P459" i="5"/>
  <c r="J459" i="5"/>
  <c r="D459" i="5"/>
  <c r="AB458" i="5"/>
  <c r="V458" i="5"/>
  <c r="P458" i="5"/>
  <c r="J458" i="5"/>
  <c r="D458" i="5"/>
  <c r="AB457" i="5"/>
  <c r="V457" i="5"/>
  <c r="P457" i="5"/>
  <c r="J457" i="5"/>
  <c r="D457" i="5"/>
  <c r="AB456" i="5"/>
  <c r="V456" i="5"/>
  <c r="P456" i="5"/>
  <c r="J456" i="5"/>
  <c r="D456" i="5"/>
  <c r="AB455" i="5"/>
  <c r="V455" i="5"/>
  <c r="P455" i="5"/>
  <c r="J455" i="5"/>
  <c r="D455" i="5"/>
  <c r="AB454" i="5"/>
  <c r="V454" i="5"/>
  <c r="P454" i="5"/>
  <c r="J454" i="5"/>
  <c r="D454" i="5"/>
  <c r="AB453" i="5"/>
  <c r="V453" i="5"/>
  <c r="P453" i="5"/>
  <c r="J453" i="5"/>
  <c r="D453" i="5"/>
  <c r="AB452" i="5"/>
  <c r="V452" i="5"/>
  <c r="P452" i="5"/>
  <c r="J452" i="5"/>
  <c r="D452" i="5"/>
  <c r="AB451" i="5"/>
  <c r="V451" i="5"/>
  <c r="P451" i="5"/>
  <c r="J451" i="5"/>
  <c r="D451" i="5"/>
  <c r="AB450" i="5"/>
  <c r="V450" i="5"/>
  <c r="P450" i="5"/>
  <c r="J450" i="5"/>
  <c r="D450" i="5"/>
  <c r="AB449" i="5"/>
  <c r="V449" i="5"/>
  <c r="P449" i="5"/>
  <c r="J449" i="5"/>
  <c r="D449" i="5"/>
  <c r="AB448" i="5"/>
  <c r="V448" i="5"/>
  <c r="P448" i="5"/>
  <c r="J448" i="5"/>
  <c r="D448" i="5"/>
  <c r="AB447" i="5"/>
  <c r="V447" i="5"/>
  <c r="P447" i="5"/>
  <c r="J447" i="5"/>
  <c r="D447" i="5"/>
  <c r="AB446" i="5"/>
  <c r="V446" i="5"/>
  <c r="P446" i="5"/>
  <c r="J446" i="5"/>
  <c r="D446" i="5"/>
  <c r="AB445" i="5"/>
  <c r="V445" i="5"/>
  <c r="P445" i="5"/>
  <c r="J445" i="5"/>
  <c r="D445" i="5"/>
  <c r="AB444" i="5"/>
  <c r="V444" i="5"/>
  <c r="P444" i="5"/>
  <c r="J444" i="5"/>
  <c r="D444" i="5"/>
  <c r="AB443" i="5"/>
  <c r="V443" i="5"/>
  <c r="P443" i="5"/>
  <c r="J443" i="5"/>
  <c r="D443" i="5"/>
  <c r="AB442" i="5"/>
  <c r="V442" i="5"/>
  <c r="P442" i="5"/>
  <c r="J442" i="5"/>
  <c r="D442" i="5"/>
  <c r="AB441" i="5"/>
  <c r="V441" i="5"/>
  <c r="P441" i="5"/>
  <c r="J441" i="5"/>
  <c r="D441" i="5"/>
  <c r="AB440" i="5"/>
  <c r="V440" i="5"/>
  <c r="P440" i="5"/>
  <c r="J440" i="5"/>
  <c r="D440" i="5"/>
  <c r="AB439" i="5"/>
  <c r="V439" i="5"/>
  <c r="P439" i="5"/>
  <c r="J439" i="5"/>
  <c r="D439" i="5"/>
  <c r="AB438" i="5"/>
  <c r="V438" i="5"/>
  <c r="P438" i="5"/>
  <c r="J438" i="5"/>
  <c r="D438" i="5"/>
  <c r="AB437" i="5"/>
  <c r="V437" i="5"/>
  <c r="P437" i="5"/>
  <c r="J437" i="5"/>
  <c r="D437" i="5"/>
  <c r="AB436" i="5"/>
  <c r="V436" i="5"/>
  <c r="P436" i="5"/>
  <c r="J436" i="5"/>
  <c r="D436" i="5"/>
  <c r="AB435" i="5"/>
  <c r="V435" i="5"/>
  <c r="P435" i="5"/>
  <c r="J435" i="5"/>
  <c r="D435" i="5"/>
  <c r="AB434" i="5"/>
  <c r="V434" i="5"/>
  <c r="P434" i="5"/>
  <c r="J434" i="5"/>
  <c r="D434" i="5"/>
  <c r="AB433" i="5"/>
  <c r="V433" i="5"/>
  <c r="P433" i="5"/>
  <c r="J433" i="5"/>
  <c r="D433" i="5"/>
  <c r="AB432" i="5"/>
  <c r="V432" i="5"/>
  <c r="P432" i="5"/>
  <c r="J432" i="5"/>
  <c r="D432" i="5"/>
  <c r="AB431" i="5"/>
  <c r="V431" i="5"/>
  <c r="P431" i="5"/>
  <c r="J431" i="5"/>
  <c r="D431" i="5"/>
  <c r="AB430" i="5"/>
  <c r="V430" i="5"/>
  <c r="P430" i="5"/>
  <c r="J430" i="5"/>
  <c r="D430" i="5"/>
  <c r="AB429" i="5"/>
  <c r="V429" i="5"/>
  <c r="P429" i="5"/>
  <c r="J429" i="5"/>
  <c r="D429" i="5"/>
  <c r="AB428" i="5"/>
  <c r="V428" i="5"/>
  <c r="P428" i="5"/>
  <c r="J428" i="5"/>
  <c r="D428" i="5"/>
  <c r="AB427" i="5"/>
  <c r="V427" i="5"/>
  <c r="P427" i="5"/>
  <c r="J427" i="5"/>
  <c r="D427" i="5"/>
  <c r="AB426" i="5"/>
  <c r="V426" i="5"/>
  <c r="P426" i="5"/>
  <c r="J426" i="5"/>
  <c r="D426" i="5"/>
  <c r="AB425" i="5"/>
  <c r="V425" i="5"/>
  <c r="P425" i="5"/>
  <c r="J425" i="5"/>
  <c r="D425" i="5"/>
  <c r="AB424" i="5"/>
  <c r="V424" i="5"/>
  <c r="P424" i="5"/>
  <c r="J424" i="5"/>
  <c r="D424" i="5"/>
  <c r="AB423" i="5"/>
  <c r="V423" i="5"/>
  <c r="P423" i="5"/>
  <c r="J423" i="5"/>
  <c r="D423" i="5"/>
  <c r="AB422" i="5"/>
  <c r="V422" i="5"/>
  <c r="P422" i="5"/>
  <c r="J422" i="5"/>
  <c r="D422" i="5"/>
  <c r="AB421" i="5"/>
  <c r="V421" i="5"/>
  <c r="P421" i="5"/>
  <c r="J421" i="5"/>
  <c r="D421" i="5"/>
  <c r="AB420" i="5"/>
  <c r="V420" i="5"/>
  <c r="P420" i="5"/>
  <c r="J420" i="5"/>
  <c r="D420" i="5"/>
  <c r="AB419" i="5"/>
  <c r="V419" i="5"/>
  <c r="P419" i="5"/>
  <c r="J419" i="5"/>
  <c r="D419" i="5"/>
  <c r="AB418" i="5"/>
  <c r="V418" i="5"/>
  <c r="P418" i="5"/>
  <c r="J418" i="5"/>
  <c r="D418" i="5"/>
  <c r="AB417" i="5"/>
  <c r="V417" i="5"/>
  <c r="P417" i="5"/>
  <c r="J417" i="5"/>
  <c r="D417" i="5"/>
  <c r="AB416" i="5"/>
  <c r="V416" i="5"/>
  <c r="P416" i="5"/>
  <c r="J416" i="5"/>
  <c r="D416" i="5"/>
  <c r="AB415" i="5"/>
  <c r="V415" i="5"/>
  <c r="P415" i="5"/>
  <c r="J415" i="5"/>
  <c r="D415" i="5"/>
  <c r="AB414" i="5"/>
  <c r="V414" i="5"/>
  <c r="P414" i="5"/>
  <c r="J414" i="5"/>
  <c r="D414" i="5"/>
  <c r="AB413" i="5"/>
  <c r="V413" i="5"/>
  <c r="P413" i="5"/>
  <c r="J413" i="5"/>
  <c r="D413" i="5"/>
  <c r="AB412" i="5"/>
  <c r="V412" i="5"/>
  <c r="P412" i="5"/>
  <c r="J412" i="5"/>
  <c r="D412" i="5"/>
  <c r="AB411" i="5"/>
  <c r="V411" i="5"/>
  <c r="P411" i="5"/>
  <c r="J411" i="5"/>
  <c r="D411" i="5"/>
  <c r="AB410" i="5"/>
  <c r="V410" i="5"/>
  <c r="P410" i="5"/>
  <c r="J410" i="5"/>
  <c r="D410" i="5"/>
  <c r="AB409" i="5"/>
  <c r="V409" i="5"/>
  <c r="P409" i="5"/>
  <c r="J409" i="5"/>
  <c r="D409" i="5"/>
  <c r="AB408" i="5"/>
  <c r="V408" i="5"/>
  <c r="P408" i="5"/>
  <c r="J408" i="5"/>
  <c r="D408" i="5"/>
  <c r="AB407" i="5"/>
  <c r="V407" i="5"/>
  <c r="P407" i="5"/>
  <c r="J407" i="5"/>
  <c r="D407" i="5"/>
  <c r="AB406" i="5"/>
  <c r="V406" i="5"/>
  <c r="P406" i="5"/>
  <c r="J406" i="5"/>
  <c r="D406" i="5"/>
  <c r="AB405" i="5"/>
  <c r="V405" i="5"/>
  <c r="P405" i="5"/>
  <c r="J405" i="5"/>
  <c r="D405" i="5"/>
  <c r="AB404" i="5"/>
  <c r="V404" i="5"/>
  <c r="P404" i="5"/>
  <c r="J404" i="5"/>
  <c r="D404" i="5"/>
  <c r="AB403" i="5"/>
  <c r="V403" i="5"/>
  <c r="P403" i="5"/>
  <c r="J403" i="5"/>
  <c r="D403" i="5"/>
  <c r="AB402" i="5"/>
  <c r="V402" i="5"/>
  <c r="P402" i="5"/>
  <c r="J402" i="5"/>
  <c r="D402" i="5"/>
  <c r="AB401" i="5"/>
  <c r="V401" i="5"/>
  <c r="P401" i="5"/>
  <c r="J401" i="5"/>
  <c r="D401" i="5"/>
  <c r="AB400" i="5"/>
  <c r="V400" i="5"/>
  <c r="P400" i="5"/>
  <c r="J400" i="5"/>
  <c r="D400" i="5"/>
  <c r="AB399" i="5"/>
  <c r="V399" i="5"/>
  <c r="P399" i="5"/>
  <c r="J399" i="5"/>
  <c r="D399" i="5"/>
  <c r="AB398" i="5"/>
  <c r="V398" i="5"/>
  <c r="P398" i="5"/>
  <c r="J398" i="5"/>
  <c r="D398" i="5"/>
  <c r="AB397" i="5"/>
  <c r="V397" i="5"/>
  <c r="P397" i="5"/>
  <c r="J397" i="5"/>
  <c r="D397" i="5"/>
  <c r="AB396" i="5"/>
  <c r="V396" i="5"/>
  <c r="P396" i="5"/>
  <c r="J396" i="5"/>
  <c r="D396" i="5"/>
  <c r="AB395" i="5"/>
  <c r="V395" i="5"/>
  <c r="P395" i="5"/>
  <c r="J395" i="5"/>
  <c r="D395" i="5"/>
  <c r="AB394" i="5"/>
  <c r="V394" i="5"/>
  <c r="P394" i="5"/>
  <c r="J394" i="5"/>
  <c r="D394" i="5"/>
  <c r="AB393" i="5"/>
  <c r="V393" i="5"/>
  <c r="P393" i="5"/>
  <c r="J393" i="5"/>
  <c r="D393" i="5"/>
  <c r="AB392" i="5"/>
  <c r="V392" i="5"/>
  <c r="P392" i="5"/>
  <c r="J392" i="5"/>
  <c r="D392" i="5"/>
  <c r="AB391" i="5"/>
  <c r="V391" i="5"/>
  <c r="P391" i="5"/>
  <c r="J391" i="5"/>
  <c r="D391" i="5"/>
  <c r="AB390" i="5"/>
  <c r="V390" i="5"/>
  <c r="P390" i="5"/>
  <c r="J390" i="5"/>
  <c r="D390" i="5"/>
  <c r="AB389" i="5"/>
  <c r="V389" i="5"/>
  <c r="P389" i="5"/>
  <c r="J389" i="5"/>
  <c r="D389" i="5"/>
  <c r="AB388" i="5"/>
  <c r="V388" i="5"/>
  <c r="P388" i="5"/>
  <c r="J388" i="5"/>
  <c r="D388" i="5"/>
  <c r="AB387" i="5"/>
  <c r="V387" i="5"/>
  <c r="P387" i="5"/>
  <c r="J387" i="5"/>
  <c r="D387" i="5"/>
  <c r="AB386" i="5"/>
  <c r="V386" i="5"/>
  <c r="P386" i="5"/>
  <c r="J386" i="5"/>
  <c r="D386" i="5"/>
  <c r="AB385" i="5"/>
  <c r="V385" i="5"/>
  <c r="P385" i="5"/>
  <c r="J385" i="5"/>
  <c r="D385" i="5"/>
  <c r="AB384" i="5"/>
  <c r="V384" i="5"/>
  <c r="P384" i="5"/>
  <c r="J384" i="5"/>
  <c r="D384" i="5"/>
  <c r="AB383" i="5"/>
  <c r="V383" i="5"/>
  <c r="P383" i="5"/>
  <c r="J383" i="5"/>
  <c r="D383" i="5"/>
  <c r="AB382" i="5"/>
  <c r="V382" i="5"/>
  <c r="P382" i="5"/>
  <c r="J382" i="5"/>
  <c r="D382" i="5"/>
  <c r="AB381" i="5"/>
  <c r="V381" i="5"/>
  <c r="P381" i="5"/>
  <c r="J381" i="5"/>
  <c r="D381" i="5"/>
  <c r="AB380" i="5"/>
  <c r="V380" i="5"/>
  <c r="P380" i="5"/>
  <c r="J380" i="5"/>
  <c r="D380" i="5"/>
  <c r="AB379" i="5"/>
  <c r="V379" i="5"/>
  <c r="P379" i="5"/>
  <c r="J379" i="5"/>
  <c r="D379" i="5"/>
  <c r="AB378" i="5"/>
  <c r="V378" i="5"/>
  <c r="P378" i="5"/>
  <c r="J378" i="5"/>
  <c r="D378" i="5"/>
  <c r="AB377" i="5"/>
  <c r="V377" i="5"/>
  <c r="P377" i="5"/>
  <c r="J377" i="5"/>
  <c r="D377" i="5"/>
  <c r="AB376" i="5"/>
  <c r="V376" i="5"/>
  <c r="P376" i="5"/>
  <c r="J376" i="5"/>
  <c r="D376" i="5"/>
  <c r="AB375" i="5"/>
  <c r="V375" i="5"/>
  <c r="P375" i="5"/>
  <c r="J375" i="5"/>
  <c r="D375" i="5"/>
  <c r="AB374" i="5"/>
  <c r="V374" i="5"/>
  <c r="P374" i="5"/>
  <c r="J374" i="5"/>
  <c r="D374" i="5"/>
  <c r="AB373" i="5"/>
  <c r="V373" i="5"/>
  <c r="P373" i="5"/>
  <c r="J373" i="5"/>
  <c r="D373" i="5"/>
  <c r="AB372" i="5"/>
  <c r="V372" i="5"/>
  <c r="P372" i="5"/>
  <c r="J372" i="5"/>
  <c r="D372" i="5"/>
  <c r="AB371" i="5"/>
  <c r="V371" i="5"/>
  <c r="P371" i="5"/>
  <c r="J371" i="5"/>
  <c r="D371" i="5"/>
  <c r="AB370" i="5"/>
  <c r="V370" i="5"/>
  <c r="P370" i="5"/>
  <c r="J370" i="5"/>
  <c r="D370" i="5"/>
  <c r="AB369" i="5"/>
  <c r="V369" i="5"/>
  <c r="P369" i="5"/>
  <c r="J369" i="5"/>
  <c r="D369" i="5"/>
  <c r="AB368" i="5"/>
  <c r="V368" i="5"/>
  <c r="P368" i="5"/>
  <c r="J368" i="5"/>
  <c r="D368" i="5"/>
  <c r="AB367" i="5"/>
  <c r="V367" i="5"/>
  <c r="P367" i="5"/>
  <c r="J367" i="5"/>
  <c r="D367" i="5"/>
  <c r="AB366" i="5"/>
  <c r="V366" i="5"/>
  <c r="P366" i="5"/>
  <c r="J366" i="5"/>
  <c r="D366" i="5"/>
  <c r="AB365" i="5"/>
  <c r="V365" i="5"/>
  <c r="P365" i="5"/>
  <c r="J365" i="5"/>
  <c r="D365" i="5"/>
  <c r="AB364" i="5"/>
  <c r="V364" i="5"/>
  <c r="P364" i="5"/>
  <c r="J364" i="5"/>
  <c r="D364" i="5"/>
  <c r="AB363" i="5"/>
  <c r="V363" i="5"/>
  <c r="P363" i="5"/>
  <c r="J363" i="5"/>
  <c r="D363" i="5"/>
  <c r="AB362" i="5"/>
  <c r="V362" i="5"/>
  <c r="P362" i="5"/>
  <c r="J362" i="5"/>
  <c r="D362" i="5"/>
  <c r="AB361" i="5"/>
  <c r="V361" i="5"/>
  <c r="P361" i="5"/>
  <c r="J361" i="5"/>
  <c r="D361" i="5"/>
  <c r="AB360" i="5"/>
  <c r="V360" i="5"/>
  <c r="P360" i="5"/>
  <c r="J360" i="5"/>
  <c r="D360" i="5"/>
  <c r="AB359" i="5"/>
  <c r="V359" i="5"/>
  <c r="P359" i="5"/>
  <c r="J359" i="5"/>
  <c r="D359" i="5"/>
  <c r="AB358" i="5"/>
  <c r="V358" i="5"/>
  <c r="P358" i="5"/>
  <c r="J358" i="5"/>
  <c r="D358" i="5"/>
  <c r="AB357" i="5"/>
  <c r="V357" i="5"/>
  <c r="P357" i="5"/>
  <c r="J357" i="5"/>
  <c r="D357" i="5"/>
  <c r="AB356" i="5"/>
  <c r="V356" i="5"/>
  <c r="P356" i="5"/>
  <c r="J356" i="5"/>
  <c r="D356" i="5"/>
  <c r="AB355" i="5"/>
  <c r="V355" i="5"/>
  <c r="P355" i="5"/>
  <c r="J355" i="5"/>
  <c r="D355" i="5"/>
  <c r="AB354" i="5"/>
  <c r="V354" i="5"/>
  <c r="P354" i="5"/>
  <c r="J354" i="5"/>
  <c r="D354" i="5"/>
  <c r="AB353" i="5"/>
  <c r="V353" i="5"/>
  <c r="P353" i="5"/>
  <c r="J353" i="5"/>
  <c r="D353" i="5"/>
  <c r="AB352" i="5"/>
  <c r="V352" i="5"/>
  <c r="P352" i="5"/>
  <c r="J352" i="5"/>
  <c r="D352" i="5"/>
  <c r="AB351" i="5"/>
  <c r="V351" i="5"/>
  <c r="P351" i="5"/>
  <c r="J351" i="5"/>
  <c r="D351" i="5"/>
  <c r="AB350" i="5"/>
  <c r="V350" i="5"/>
  <c r="P350" i="5"/>
  <c r="J350" i="5"/>
  <c r="D350" i="5"/>
  <c r="AB349" i="5"/>
  <c r="V349" i="5"/>
  <c r="P349" i="5"/>
  <c r="J349" i="5"/>
  <c r="D349" i="5"/>
  <c r="AB348" i="5"/>
  <c r="V348" i="5"/>
  <c r="P348" i="5"/>
  <c r="J348" i="5"/>
  <c r="D348" i="5"/>
  <c r="AB347" i="5"/>
  <c r="V347" i="5"/>
  <c r="P347" i="5"/>
  <c r="J347" i="5"/>
  <c r="D347" i="5"/>
  <c r="AB346" i="5"/>
  <c r="V346" i="5"/>
  <c r="P346" i="5"/>
  <c r="J346" i="5"/>
  <c r="D346" i="5"/>
  <c r="AB345" i="5"/>
  <c r="V345" i="5"/>
  <c r="P345" i="5"/>
  <c r="J345" i="5"/>
  <c r="D345" i="5"/>
  <c r="AB344" i="5"/>
  <c r="V344" i="5"/>
  <c r="P344" i="5"/>
  <c r="J344" i="5"/>
  <c r="D344" i="5"/>
  <c r="AB343" i="5"/>
  <c r="V343" i="5"/>
  <c r="P343" i="5"/>
  <c r="J343" i="5"/>
  <c r="D343" i="5"/>
  <c r="AB342" i="5"/>
  <c r="V342" i="5"/>
  <c r="P342" i="5"/>
  <c r="J342" i="5"/>
  <c r="D342" i="5"/>
  <c r="AB341" i="5"/>
  <c r="V341" i="5"/>
  <c r="P341" i="5"/>
  <c r="J341" i="5"/>
  <c r="D341" i="5"/>
  <c r="AB340" i="5"/>
  <c r="V340" i="5"/>
  <c r="P340" i="5"/>
  <c r="J340" i="5"/>
  <c r="D340" i="5"/>
  <c r="AB339" i="5"/>
  <c r="V339" i="5"/>
  <c r="P339" i="5"/>
  <c r="J339" i="5"/>
  <c r="D339" i="5"/>
  <c r="AB338" i="5"/>
  <c r="V338" i="5"/>
  <c r="P338" i="5"/>
  <c r="J338" i="5"/>
  <c r="D338" i="5"/>
  <c r="AB337" i="5"/>
  <c r="V337" i="5"/>
  <c r="P337" i="5"/>
  <c r="J337" i="5"/>
  <c r="D337" i="5"/>
  <c r="AB336" i="5"/>
  <c r="V336" i="5"/>
  <c r="P336" i="5"/>
  <c r="J336" i="5"/>
  <c r="D336" i="5"/>
  <c r="AB335" i="5"/>
  <c r="V335" i="5"/>
  <c r="P335" i="5"/>
  <c r="J335" i="5"/>
  <c r="D335" i="5"/>
  <c r="AB334" i="5"/>
  <c r="V334" i="5"/>
  <c r="P334" i="5"/>
  <c r="J334" i="5"/>
  <c r="D334" i="5"/>
  <c r="AB333" i="5"/>
  <c r="V333" i="5"/>
  <c r="P333" i="5"/>
  <c r="J333" i="5"/>
  <c r="D333" i="5"/>
  <c r="AB332" i="5"/>
  <c r="V332" i="5"/>
  <c r="P332" i="5"/>
  <c r="J332" i="5"/>
  <c r="D332" i="5"/>
  <c r="AB331" i="5"/>
  <c r="V331" i="5"/>
  <c r="P331" i="5"/>
  <c r="J331" i="5"/>
  <c r="D331" i="5"/>
  <c r="AB330" i="5"/>
  <c r="V330" i="5"/>
  <c r="P330" i="5"/>
  <c r="J330" i="5"/>
  <c r="D330" i="5"/>
  <c r="AB329" i="5"/>
  <c r="V329" i="5"/>
  <c r="P329" i="5"/>
  <c r="J329" i="5"/>
  <c r="D329" i="5"/>
  <c r="AB328" i="5"/>
  <c r="V328" i="5"/>
  <c r="P328" i="5"/>
  <c r="J328" i="5"/>
  <c r="D328" i="5"/>
  <c r="AB327" i="5"/>
  <c r="V327" i="5"/>
  <c r="P327" i="5"/>
  <c r="J327" i="5"/>
  <c r="D327" i="5"/>
  <c r="AB326" i="5"/>
  <c r="V326" i="5"/>
  <c r="P326" i="5"/>
  <c r="J326" i="5"/>
  <c r="D326" i="5"/>
  <c r="AB325" i="5"/>
  <c r="V325" i="5"/>
  <c r="P325" i="5"/>
  <c r="J325" i="5"/>
  <c r="D325" i="5"/>
  <c r="AB324" i="5"/>
  <c r="V324" i="5"/>
  <c r="P324" i="5"/>
  <c r="J324" i="5"/>
  <c r="D324" i="5"/>
  <c r="AB323" i="5"/>
  <c r="V323" i="5"/>
  <c r="P323" i="5"/>
  <c r="J323" i="5"/>
  <c r="D323" i="5"/>
  <c r="AB322" i="5"/>
  <c r="V322" i="5"/>
  <c r="P322" i="5"/>
  <c r="J322" i="5"/>
  <c r="D322" i="5"/>
  <c r="AB321" i="5"/>
  <c r="V321" i="5"/>
  <c r="P321" i="5"/>
  <c r="J321" i="5"/>
  <c r="D321" i="5"/>
  <c r="AB320" i="5"/>
  <c r="V320" i="5"/>
  <c r="P320" i="5"/>
  <c r="J320" i="5"/>
  <c r="D320" i="5"/>
  <c r="AB319" i="5"/>
  <c r="V319" i="5"/>
  <c r="P319" i="5"/>
  <c r="J319" i="5"/>
  <c r="D319" i="5"/>
  <c r="AB318" i="5"/>
  <c r="V318" i="5"/>
  <c r="P318" i="5"/>
  <c r="J318" i="5"/>
  <c r="D318" i="5"/>
  <c r="AB317" i="5"/>
  <c r="V317" i="5"/>
  <c r="P317" i="5"/>
  <c r="J317" i="5"/>
  <c r="D317" i="5"/>
  <c r="AB316" i="5"/>
  <c r="V316" i="5"/>
  <c r="P316" i="5"/>
  <c r="J316" i="5"/>
  <c r="D316" i="5"/>
  <c r="AB315" i="5"/>
  <c r="V315" i="5"/>
  <c r="P315" i="5"/>
  <c r="J315" i="5"/>
  <c r="D315" i="5"/>
  <c r="AB314" i="5"/>
  <c r="V314" i="5"/>
  <c r="P314" i="5"/>
  <c r="J314" i="5"/>
  <c r="D314" i="5"/>
  <c r="AB313" i="5"/>
  <c r="V313" i="5"/>
  <c r="P313" i="5"/>
  <c r="J313" i="5"/>
  <c r="D313" i="5"/>
  <c r="AB312" i="5"/>
  <c r="V312" i="5"/>
  <c r="P312" i="5"/>
  <c r="J312" i="5"/>
  <c r="D312" i="5"/>
  <c r="AB311" i="5"/>
  <c r="V311" i="5"/>
  <c r="P311" i="5"/>
  <c r="J311" i="5"/>
  <c r="D311" i="5"/>
  <c r="AB310" i="5"/>
  <c r="V310" i="5"/>
  <c r="P310" i="5"/>
  <c r="J310" i="5"/>
  <c r="D310" i="5"/>
  <c r="AB309" i="5"/>
  <c r="V309" i="5"/>
  <c r="P309" i="5"/>
  <c r="J309" i="5"/>
  <c r="D309" i="5"/>
  <c r="AB308" i="5"/>
  <c r="V308" i="5"/>
  <c r="P308" i="5"/>
  <c r="J308" i="5"/>
  <c r="D308" i="5"/>
  <c r="AB307" i="5"/>
  <c r="V307" i="5"/>
  <c r="P307" i="5"/>
  <c r="J307" i="5"/>
  <c r="D307" i="5"/>
  <c r="AB306" i="5"/>
  <c r="V306" i="5"/>
  <c r="P306" i="5"/>
  <c r="J306" i="5"/>
  <c r="D306" i="5"/>
  <c r="AB305" i="5"/>
  <c r="V305" i="5"/>
  <c r="P305" i="5"/>
  <c r="J305" i="5"/>
  <c r="D305" i="5"/>
  <c r="AB304" i="5"/>
  <c r="V304" i="5"/>
  <c r="P304" i="5"/>
  <c r="J304" i="5"/>
  <c r="D304" i="5"/>
  <c r="AB303" i="5"/>
  <c r="V303" i="5"/>
  <c r="P303" i="5"/>
  <c r="J303" i="5"/>
  <c r="D303" i="5"/>
  <c r="AB302" i="5"/>
  <c r="V302" i="5"/>
  <c r="P302" i="5"/>
  <c r="J302" i="5"/>
  <c r="D302" i="5"/>
  <c r="AB301" i="5"/>
  <c r="V301" i="5"/>
  <c r="P301" i="5"/>
  <c r="J301" i="5"/>
  <c r="D301" i="5"/>
  <c r="AB300" i="5"/>
  <c r="V300" i="5"/>
  <c r="P300" i="5"/>
  <c r="J300" i="5"/>
  <c r="D300" i="5"/>
  <c r="AB299" i="5"/>
  <c r="V299" i="5"/>
  <c r="P299" i="5"/>
  <c r="J299" i="5"/>
  <c r="D299" i="5"/>
  <c r="AB298" i="5"/>
  <c r="V298" i="5"/>
  <c r="P298" i="5"/>
  <c r="J298" i="5"/>
  <c r="D298" i="5"/>
  <c r="AB297" i="5"/>
  <c r="V297" i="5"/>
  <c r="P297" i="5"/>
  <c r="J297" i="5"/>
  <c r="D297" i="5"/>
  <c r="AB296" i="5"/>
  <c r="V296" i="5"/>
  <c r="P296" i="5"/>
  <c r="J296" i="5"/>
  <c r="D296" i="5"/>
  <c r="AB295" i="5"/>
  <c r="V295" i="5"/>
  <c r="P295" i="5"/>
  <c r="J295" i="5"/>
  <c r="D295" i="5"/>
  <c r="AB294" i="5"/>
  <c r="V294" i="5"/>
  <c r="P294" i="5"/>
  <c r="J294" i="5"/>
  <c r="D294" i="5"/>
  <c r="AB293" i="5"/>
  <c r="V293" i="5"/>
  <c r="P293" i="5"/>
  <c r="J293" i="5"/>
  <c r="D293" i="5"/>
  <c r="AB292" i="5"/>
  <c r="V292" i="5"/>
  <c r="P292" i="5"/>
  <c r="J292" i="5"/>
  <c r="D292" i="5"/>
  <c r="AB291" i="5"/>
  <c r="V291" i="5"/>
  <c r="P291" i="5"/>
  <c r="J291" i="5"/>
  <c r="D291" i="5"/>
  <c r="AB290" i="5"/>
  <c r="V290" i="5"/>
  <c r="P290" i="5"/>
  <c r="J290" i="5"/>
  <c r="D290" i="5"/>
  <c r="AB289" i="5"/>
  <c r="V289" i="5"/>
  <c r="P289" i="5"/>
  <c r="J289" i="5"/>
  <c r="D289" i="5"/>
  <c r="AB288" i="5"/>
  <c r="V288" i="5"/>
  <c r="P288" i="5"/>
  <c r="J288" i="5"/>
  <c r="D288" i="5"/>
  <c r="AB287" i="5"/>
  <c r="V287" i="5"/>
  <c r="P287" i="5"/>
  <c r="J287" i="5"/>
  <c r="D287" i="5"/>
  <c r="AB286" i="5"/>
  <c r="V286" i="5"/>
  <c r="P286" i="5"/>
  <c r="J286" i="5"/>
  <c r="D286" i="5"/>
  <c r="AB285" i="5"/>
  <c r="V285" i="5"/>
  <c r="P285" i="5"/>
  <c r="J285" i="5"/>
  <c r="D285" i="5"/>
  <c r="AB284" i="5"/>
  <c r="V284" i="5"/>
  <c r="P284" i="5"/>
  <c r="J284" i="5"/>
  <c r="D284" i="5"/>
  <c r="AB283" i="5"/>
  <c r="V283" i="5"/>
  <c r="P283" i="5"/>
  <c r="J283" i="5"/>
  <c r="D283" i="5"/>
  <c r="AB282" i="5"/>
  <c r="V282" i="5"/>
  <c r="P282" i="5"/>
  <c r="J282" i="5"/>
  <c r="D282" i="5"/>
  <c r="AB281" i="5"/>
  <c r="V281" i="5"/>
  <c r="P281" i="5"/>
  <c r="J281" i="5"/>
  <c r="D281" i="5"/>
  <c r="AB280" i="5"/>
  <c r="V280" i="5"/>
  <c r="P280" i="5"/>
  <c r="J280" i="5"/>
  <c r="D280" i="5"/>
  <c r="AB279" i="5"/>
  <c r="V279" i="5"/>
  <c r="P279" i="5"/>
  <c r="J279" i="5"/>
  <c r="D279" i="5"/>
  <c r="AB278" i="5"/>
  <c r="V278" i="5"/>
  <c r="P278" i="5"/>
  <c r="J278" i="5"/>
  <c r="D278" i="5"/>
  <c r="AB277" i="5"/>
  <c r="V277" i="5"/>
  <c r="P277" i="5"/>
  <c r="J277" i="5"/>
  <c r="D277" i="5"/>
  <c r="AB276" i="5"/>
  <c r="V276" i="5"/>
  <c r="P276" i="5"/>
  <c r="J276" i="5"/>
  <c r="D276" i="5"/>
  <c r="AB275" i="5"/>
  <c r="V275" i="5"/>
  <c r="P275" i="5"/>
  <c r="J275" i="5"/>
  <c r="D275" i="5"/>
  <c r="AB274" i="5"/>
  <c r="V274" i="5"/>
  <c r="P274" i="5"/>
  <c r="J274" i="5"/>
  <c r="D274" i="5"/>
  <c r="AB273" i="5"/>
  <c r="V273" i="5"/>
  <c r="P273" i="5"/>
  <c r="J273" i="5"/>
  <c r="D273" i="5"/>
  <c r="AB272" i="5"/>
  <c r="V272" i="5"/>
  <c r="P272" i="5"/>
  <c r="J272" i="5"/>
  <c r="D272" i="5"/>
  <c r="AB271" i="5"/>
  <c r="V271" i="5"/>
  <c r="P271" i="5"/>
  <c r="J271" i="5"/>
  <c r="D271" i="5"/>
  <c r="AB270" i="5"/>
  <c r="V270" i="5"/>
  <c r="P270" i="5"/>
  <c r="J270" i="5"/>
  <c r="D270" i="5"/>
  <c r="AB269" i="5"/>
  <c r="V269" i="5"/>
  <c r="P269" i="5"/>
  <c r="J269" i="5"/>
  <c r="D269" i="5"/>
  <c r="AB268" i="5"/>
  <c r="V268" i="5"/>
  <c r="P268" i="5"/>
  <c r="J268" i="5"/>
  <c r="D268" i="5"/>
  <c r="AB267" i="5"/>
  <c r="V267" i="5"/>
  <c r="P267" i="5"/>
  <c r="J267" i="5"/>
  <c r="D267" i="5"/>
  <c r="AB266" i="5"/>
  <c r="V266" i="5"/>
  <c r="P266" i="5"/>
  <c r="J266" i="5"/>
  <c r="D266" i="5"/>
  <c r="AB265" i="5"/>
  <c r="V265" i="5"/>
  <c r="P265" i="5"/>
  <c r="J265" i="5"/>
  <c r="D265" i="5"/>
  <c r="AB264" i="5"/>
  <c r="V264" i="5"/>
  <c r="P264" i="5"/>
  <c r="J264" i="5"/>
  <c r="D264" i="5"/>
  <c r="AB263" i="5"/>
  <c r="V263" i="5"/>
  <c r="P263" i="5"/>
  <c r="J263" i="5"/>
  <c r="D263" i="5"/>
  <c r="AB262" i="5"/>
  <c r="V262" i="5"/>
  <c r="P262" i="5"/>
  <c r="J262" i="5"/>
  <c r="D262" i="5"/>
  <c r="AB261" i="5"/>
  <c r="V261" i="5"/>
  <c r="P261" i="5"/>
  <c r="J261" i="5"/>
  <c r="D261" i="5"/>
  <c r="AB260" i="5"/>
  <c r="V260" i="5"/>
  <c r="P260" i="5"/>
  <c r="J260" i="5"/>
  <c r="D260" i="5"/>
  <c r="AB259" i="5"/>
  <c r="V259" i="5"/>
  <c r="P259" i="5"/>
  <c r="J259" i="5"/>
  <c r="D259" i="5"/>
  <c r="AB258" i="5"/>
  <c r="V258" i="5"/>
  <c r="P258" i="5"/>
  <c r="J258" i="5"/>
  <c r="D258" i="5"/>
  <c r="AB257" i="5"/>
  <c r="V257" i="5"/>
  <c r="P257" i="5"/>
  <c r="J257" i="5"/>
  <c r="D257" i="5"/>
  <c r="AB256" i="5"/>
  <c r="V256" i="5"/>
  <c r="P256" i="5"/>
  <c r="J256" i="5"/>
  <c r="D256" i="5"/>
  <c r="AB255" i="5"/>
  <c r="V255" i="5"/>
  <c r="P255" i="5"/>
  <c r="J255" i="5"/>
  <c r="D255" i="5"/>
  <c r="AB254" i="5"/>
  <c r="V254" i="5"/>
  <c r="P254" i="5"/>
  <c r="J254" i="5"/>
  <c r="D254" i="5"/>
  <c r="AB253" i="5"/>
  <c r="V253" i="5"/>
  <c r="P253" i="5"/>
  <c r="J253" i="5"/>
  <c r="D253" i="5"/>
  <c r="AB252" i="5"/>
  <c r="V252" i="5"/>
  <c r="P252" i="5"/>
  <c r="J252" i="5"/>
  <c r="D252" i="5"/>
  <c r="AB251" i="5"/>
  <c r="V251" i="5"/>
  <c r="P251" i="5"/>
  <c r="J251" i="5"/>
  <c r="D251" i="5"/>
  <c r="AB250" i="5"/>
  <c r="V250" i="5"/>
  <c r="P250" i="5"/>
  <c r="J250" i="5"/>
  <c r="D250" i="5"/>
  <c r="AB249" i="5"/>
  <c r="V249" i="5"/>
  <c r="P249" i="5"/>
  <c r="J249" i="5"/>
  <c r="D249" i="5"/>
  <c r="AB248" i="5"/>
  <c r="V248" i="5"/>
  <c r="P248" i="5"/>
  <c r="J248" i="5"/>
  <c r="D248" i="5"/>
  <c r="AB247" i="5"/>
  <c r="V247" i="5"/>
  <c r="P247" i="5"/>
  <c r="J247" i="5"/>
  <c r="D247" i="5"/>
  <c r="AB246" i="5"/>
  <c r="V246" i="5"/>
  <c r="P246" i="5"/>
  <c r="J246" i="5"/>
  <c r="D246" i="5"/>
  <c r="AB245" i="5"/>
  <c r="V245" i="5"/>
  <c r="P245" i="5"/>
  <c r="J245" i="5"/>
  <c r="D245" i="5"/>
  <c r="AB244" i="5"/>
  <c r="V244" i="5"/>
  <c r="P244" i="5"/>
  <c r="J244" i="5"/>
  <c r="D244" i="5"/>
  <c r="AB243" i="5"/>
  <c r="V243" i="5"/>
  <c r="P243" i="5"/>
  <c r="J243" i="5"/>
  <c r="D243" i="5"/>
  <c r="AB242" i="5"/>
  <c r="V242" i="5"/>
  <c r="P242" i="5"/>
  <c r="J242" i="5"/>
  <c r="D242" i="5"/>
  <c r="AB241" i="5"/>
  <c r="V241" i="5"/>
  <c r="P241" i="5"/>
  <c r="J241" i="5"/>
  <c r="D241" i="5"/>
  <c r="AB240" i="5"/>
  <c r="V240" i="5"/>
  <c r="P240" i="5"/>
  <c r="J240" i="5"/>
  <c r="D240" i="5"/>
  <c r="AB239" i="5"/>
  <c r="V239" i="5"/>
  <c r="P239" i="5"/>
  <c r="J239" i="5"/>
  <c r="D239" i="5"/>
  <c r="AB238" i="5"/>
  <c r="V238" i="5"/>
  <c r="P238" i="5"/>
  <c r="J238" i="5"/>
  <c r="D238" i="5"/>
  <c r="AB237" i="5"/>
  <c r="V237" i="5"/>
  <c r="P237" i="5"/>
  <c r="J237" i="5"/>
  <c r="D237" i="5"/>
  <c r="AB236" i="5"/>
  <c r="V236" i="5"/>
  <c r="P236" i="5"/>
  <c r="J236" i="5"/>
  <c r="D236" i="5"/>
  <c r="AB235" i="5"/>
  <c r="V235" i="5"/>
  <c r="P235" i="5"/>
  <c r="J235" i="5"/>
  <c r="D235" i="5"/>
  <c r="AB234" i="5"/>
  <c r="V234" i="5"/>
  <c r="P234" i="5"/>
  <c r="J234" i="5"/>
  <c r="D234" i="5"/>
  <c r="AB233" i="5"/>
  <c r="V233" i="5"/>
  <c r="P233" i="5"/>
  <c r="J233" i="5"/>
  <c r="D233" i="5"/>
  <c r="AB232" i="5"/>
  <c r="V232" i="5"/>
  <c r="P232" i="5"/>
  <c r="J232" i="5"/>
  <c r="D232" i="5"/>
  <c r="AB231" i="5"/>
  <c r="V231" i="5"/>
  <c r="P231" i="5"/>
  <c r="J231" i="5"/>
  <c r="D231" i="5"/>
  <c r="AB230" i="5"/>
  <c r="V230" i="5"/>
  <c r="P230" i="5"/>
  <c r="J230" i="5"/>
  <c r="D230" i="5"/>
  <c r="AB229" i="5"/>
  <c r="V229" i="5"/>
  <c r="P229" i="5"/>
  <c r="J229" i="5"/>
  <c r="D229" i="5"/>
  <c r="AB228" i="5"/>
  <c r="V228" i="5"/>
  <c r="P228" i="5"/>
  <c r="J228" i="5"/>
  <c r="D228" i="5"/>
  <c r="AB227" i="5"/>
  <c r="V227" i="5"/>
  <c r="P227" i="5"/>
  <c r="J227" i="5"/>
  <c r="D227" i="5"/>
  <c r="AB226" i="5"/>
  <c r="V226" i="5"/>
  <c r="P226" i="5"/>
  <c r="J226" i="5"/>
  <c r="D226" i="5"/>
  <c r="AB225" i="5"/>
  <c r="V225" i="5"/>
  <c r="P225" i="5"/>
  <c r="J225" i="5"/>
  <c r="D225" i="5"/>
  <c r="AB224" i="5"/>
  <c r="V224" i="5"/>
  <c r="P224" i="5"/>
  <c r="J224" i="5"/>
  <c r="D224" i="5"/>
  <c r="AB223" i="5"/>
  <c r="V223" i="5"/>
  <c r="P223" i="5"/>
  <c r="J223" i="5"/>
  <c r="D223" i="5"/>
  <c r="AB222" i="5"/>
  <c r="V222" i="5"/>
  <c r="P222" i="5"/>
  <c r="J222" i="5"/>
  <c r="D222" i="5"/>
  <c r="AB221" i="5"/>
  <c r="V221" i="5"/>
  <c r="P221" i="5"/>
  <c r="J221" i="5"/>
  <c r="D221" i="5"/>
  <c r="AB220" i="5"/>
  <c r="V220" i="5"/>
  <c r="P220" i="5"/>
  <c r="J220" i="5"/>
  <c r="D220" i="5"/>
  <c r="AB219" i="5"/>
  <c r="V219" i="5"/>
  <c r="P219" i="5"/>
  <c r="J219" i="5"/>
  <c r="D219" i="5"/>
  <c r="AB218" i="5"/>
  <c r="V218" i="5"/>
  <c r="P218" i="5"/>
  <c r="J218" i="5"/>
  <c r="D218" i="5"/>
  <c r="AB217" i="5"/>
  <c r="V217" i="5"/>
  <c r="P217" i="5"/>
  <c r="J217" i="5"/>
  <c r="D217" i="5"/>
  <c r="AB216" i="5"/>
  <c r="V216" i="5"/>
  <c r="P216" i="5"/>
  <c r="J216" i="5"/>
  <c r="D216" i="5"/>
  <c r="AB215" i="5"/>
  <c r="V215" i="5"/>
  <c r="P215" i="5"/>
  <c r="J215" i="5"/>
  <c r="D215" i="5"/>
  <c r="AB214" i="5"/>
  <c r="V214" i="5"/>
  <c r="P214" i="5"/>
  <c r="J214" i="5"/>
  <c r="D214" i="5"/>
  <c r="AB213" i="5"/>
  <c r="V213" i="5"/>
  <c r="P213" i="5"/>
  <c r="J213" i="5"/>
  <c r="D213" i="5"/>
  <c r="AB212" i="5"/>
  <c r="V212" i="5"/>
  <c r="P212" i="5"/>
  <c r="J212" i="5"/>
  <c r="D212" i="5"/>
  <c r="AB211" i="5"/>
  <c r="V211" i="5"/>
  <c r="P211" i="5"/>
  <c r="J211" i="5"/>
  <c r="D211" i="5"/>
  <c r="AB210" i="5"/>
  <c r="V210" i="5"/>
  <c r="P210" i="5"/>
  <c r="J210" i="5"/>
  <c r="D210" i="5"/>
  <c r="AB209" i="5"/>
  <c r="V209" i="5"/>
  <c r="P209" i="5"/>
  <c r="J209" i="5"/>
  <c r="D209" i="5"/>
  <c r="AB208" i="5"/>
  <c r="V208" i="5"/>
  <c r="P208" i="5"/>
  <c r="J208" i="5"/>
  <c r="D208" i="5"/>
  <c r="AB207" i="5"/>
  <c r="V207" i="5"/>
  <c r="P207" i="5"/>
  <c r="J207" i="5"/>
  <c r="D207" i="5"/>
  <c r="AB206" i="5"/>
  <c r="V206" i="5"/>
  <c r="P206" i="5"/>
  <c r="J206" i="5"/>
  <c r="D206" i="5"/>
  <c r="AB205" i="5"/>
  <c r="V205" i="5"/>
  <c r="P205" i="5"/>
  <c r="J205" i="5"/>
  <c r="D205" i="5"/>
  <c r="AB204" i="5"/>
  <c r="V204" i="5"/>
  <c r="P204" i="5"/>
  <c r="J204" i="5"/>
  <c r="D204" i="5"/>
  <c r="AB203" i="5"/>
  <c r="V203" i="5"/>
  <c r="P203" i="5"/>
  <c r="J203" i="5"/>
  <c r="D203" i="5"/>
  <c r="AB202" i="5"/>
  <c r="V202" i="5"/>
  <c r="P202" i="5"/>
  <c r="J202" i="5"/>
  <c r="D202" i="5"/>
  <c r="AB201" i="5"/>
  <c r="V201" i="5"/>
  <c r="P201" i="5"/>
  <c r="J201" i="5"/>
  <c r="D201" i="5"/>
  <c r="AB200" i="5"/>
  <c r="V200" i="5"/>
  <c r="P200" i="5"/>
  <c r="J200" i="5"/>
  <c r="D200" i="5"/>
  <c r="AB199" i="5"/>
  <c r="V199" i="5"/>
  <c r="P199" i="5"/>
  <c r="J199" i="5"/>
  <c r="D199" i="5"/>
  <c r="AB198" i="5"/>
  <c r="V198" i="5"/>
  <c r="P198" i="5"/>
  <c r="J198" i="5"/>
  <c r="D198" i="5"/>
  <c r="AB197" i="5"/>
  <c r="V197" i="5"/>
  <c r="P197" i="5"/>
  <c r="J197" i="5"/>
  <c r="D197" i="5"/>
  <c r="AB196" i="5"/>
  <c r="V196" i="5"/>
  <c r="P196" i="5"/>
  <c r="J196" i="5"/>
  <c r="D196" i="5"/>
  <c r="AB195" i="5"/>
  <c r="V195" i="5"/>
  <c r="P195" i="5"/>
  <c r="J195" i="5"/>
  <c r="D195" i="5"/>
  <c r="AB194" i="5"/>
  <c r="V194" i="5"/>
  <c r="P194" i="5"/>
  <c r="J194" i="5"/>
  <c r="D194" i="5"/>
  <c r="AB193" i="5"/>
  <c r="V193" i="5"/>
  <c r="P193" i="5"/>
  <c r="J193" i="5"/>
  <c r="D193" i="5"/>
  <c r="AB192" i="5"/>
  <c r="V192" i="5"/>
  <c r="P192" i="5"/>
  <c r="J192" i="5"/>
  <c r="D192" i="5"/>
  <c r="AB191" i="5"/>
  <c r="V191" i="5"/>
  <c r="P191" i="5"/>
  <c r="J191" i="5"/>
  <c r="D191" i="5"/>
  <c r="AB190" i="5"/>
  <c r="V190" i="5"/>
  <c r="P190" i="5"/>
  <c r="J190" i="5"/>
  <c r="D190" i="5"/>
  <c r="AB189" i="5"/>
  <c r="V189" i="5"/>
  <c r="P189" i="5"/>
  <c r="J189" i="5"/>
  <c r="D189" i="5"/>
  <c r="AB188" i="5"/>
  <c r="V188" i="5"/>
  <c r="P188" i="5"/>
  <c r="J188" i="5"/>
  <c r="D188" i="5"/>
  <c r="AB187" i="5"/>
  <c r="V187" i="5"/>
  <c r="P187" i="5"/>
  <c r="J187" i="5"/>
  <c r="D187" i="5"/>
  <c r="AB186" i="5"/>
  <c r="V186" i="5"/>
  <c r="P186" i="5"/>
  <c r="J186" i="5"/>
  <c r="D186" i="5"/>
  <c r="AB185" i="5"/>
  <c r="V185" i="5"/>
  <c r="P185" i="5"/>
  <c r="J185" i="5"/>
  <c r="D185" i="5"/>
  <c r="AB184" i="5"/>
  <c r="V184" i="5"/>
  <c r="P184" i="5"/>
  <c r="J184" i="5"/>
  <c r="D184" i="5"/>
  <c r="AB183" i="5"/>
  <c r="V183" i="5"/>
  <c r="P183" i="5"/>
  <c r="J183" i="5"/>
  <c r="D183" i="5"/>
  <c r="AB182" i="5"/>
  <c r="V182" i="5"/>
  <c r="P182" i="5"/>
  <c r="J182" i="5"/>
  <c r="D182" i="5"/>
  <c r="AB181" i="5"/>
  <c r="V181" i="5"/>
  <c r="P181" i="5"/>
  <c r="J181" i="5"/>
  <c r="D181" i="5"/>
  <c r="AB180" i="5"/>
  <c r="V180" i="5"/>
  <c r="P180" i="5"/>
  <c r="J180" i="5"/>
  <c r="D180" i="5"/>
  <c r="AB179" i="5"/>
  <c r="V179" i="5"/>
  <c r="P179" i="5"/>
  <c r="J179" i="5"/>
  <c r="D179" i="5"/>
  <c r="AB178" i="5"/>
  <c r="V178" i="5"/>
  <c r="P178" i="5"/>
  <c r="J178" i="5"/>
  <c r="D178" i="5"/>
  <c r="AB177" i="5"/>
  <c r="V177" i="5"/>
  <c r="P177" i="5"/>
  <c r="J177" i="5"/>
  <c r="D177" i="5"/>
  <c r="AB176" i="5"/>
  <c r="V176" i="5"/>
  <c r="P176" i="5"/>
  <c r="J176" i="5"/>
  <c r="D176" i="5"/>
  <c r="AB175" i="5"/>
  <c r="V175" i="5"/>
  <c r="P175" i="5"/>
  <c r="J175" i="5"/>
  <c r="D175" i="5"/>
  <c r="AB174" i="5"/>
  <c r="V174" i="5"/>
  <c r="P174" i="5"/>
  <c r="J174" i="5"/>
  <c r="D174" i="5"/>
  <c r="AB173" i="5"/>
  <c r="V173" i="5"/>
  <c r="P173" i="5"/>
  <c r="J173" i="5"/>
  <c r="D173" i="5"/>
  <c r="AB172" i="5"/>
  <c r="V172" i="5"/>
  <c r="P172" i="5"/>
  <c r="J172" i="5"/>
  <c r="D172" i="5"/>
  <c r="AB171" i="5"/>
  <c r="V171" i="5"/>
  <c r="P171" i="5"/>
  <c r="J171" i="5"/>
  <c r="D171" i="5"/>
  <c r="AB170" i="5"/>
  <c r="V170" i="5"/>
  <c r="P170" i="5"/>
  <c r="J170" i="5"/>
  <c r="D170" i="5"/>
  <c r="AB169" i="5"/>
  <c r="V169" i="5"/>
  <c r="P169" i="5"/>
  <c r="J169" i="5"/>
  <c r="D169" i="5"/>
  <c r="AB168" i="5"/>
  <c r="V168" i="5"/>
  <c r="P168" i="5"/>
  <c r="J168" i="5"/>
  <c r="D168" i="5"/>
  <c r="AB167" i="5"/>
  <c r="V167" i="5"/>
  <c r="P167" i="5"/>
  <c r="J167" i="5"/>
  <c r="D167" i="5"/>
  <c r="AB166" i="5"/>
  <c r="V166" i="5"/>
  <c r="P166" i="5"/>
  <c r="J166" i="5"/>
  <c r="D166" i="5"/>
  <c r="AB165" i="5"/>
  <c r="V165" i="5"/>
  <c r="P165" i="5"/>
  <c r="J165" i="5"/>
  <c r="D165" i="5"/>
  <c r="AB164" i="5"/>
  <c r="V164" i="5"/>
  <c r="P164" i="5"/>
  <c r="J164" i="5"/>
  <c r="D164" i="5"/>
  <c r="AB163" i="5"/>
  <c r="V163" i="5"/>
  <c r="P163" i="5"/>
  <c r="J163" i="5"/>
  <c r="D163" i="5"/>
  <c r="AB162" i="5"/>
  <c r="V162" i="5"/>
  <c r="P162" i="5"/>
  <c r="J162" i="5"/>
  <c r="D162" i="5"/>
  <c r="AB161" i="5"/>
  <c r="V161" i="5"/>
  <c r="P161" i="5"/>
  <c r="J161" i="5"/>
  <c r="D161" i="5"/>
  <c r="AB160" i="5"/>
  <c r="V160" i="5"/>
  <c r="P160" i="5"/>
  <c r="J160" i="5"/>
  <c r="D160" i="5"/>
  <c r="AB159" i="5"/>
  <c r="V159" i="5"/>
  <c r="P159" i="5"/>
  <c r="J159" i="5"/>
  <c r="D159" i="5"/>
  <c r="AB158" i="5"/>
  <c r="V158" i="5"/>
  <c r="P158" i="5"/>
  <c r="J158" i="5"/>
  <c r="D158" i="5"/>
  <c r="AB157" i="5"/>
  <c r="V157" i="5"/>
  <c r="P157" i="5"/>
  <c r="J157" i="5"/>
  <c r="D157" i="5"/>
  <c r="AB156" i="5"/>
  <c r="V156" i="5"/>
  <c r="P156" i="5"/>
  <c r="J156" i="5"/>
  <c r="D156" i="5"/>
  <c r="AB155" i="5"/>
  <c r="V155" i="5"/>
  <c r="P155" i="5"/>
  <c r="J155" i="5"/>
  <c r="D155" i="5"/>
  <c r="AB154" i="5"/>
  <c r="V154" i="5"/>
  <c r="P154" i="5"/>
  <c r="J154" i="5"/>
  <c r="D154" i="5"/>
  <c r="AB153" i="5"/>
  <c r="V153" i="5"/>
  <c r="P153" i="5"/>
  <c r="J153" i="5"/>
  <c r="D153" i="5"/>
  <c r="AB152" i="5"/>
  <c r="V152" i="5"/>
  <c r="P152" i="5"/>
  <c r="J152" i="5"/>
  <c r="D152" i="5"/>
  <c r="AB151" i="5"/>
  <c r="V151" i="5"/>
  <c r="P151" i="5"/>
  <c r="J151" i="5"/>
  <c r="D151" i="5"/>
  <c r="AB150" i="5"/>
  <c r="V150" i="5"/>
  <c r="P150" i="5"/>
  <c r="J150" i="5"/>
  <c r="D150" i="5"/>
  <c r="AB149" i="5"/>
  <c r="V149" i="5"/>
  <c r="P149" i="5"/>
  <c r="J149" i="5"/>
  <c r="D149" i="5"/>
  <c r="AB148" i="5"/>
  <c r="V148" i="5"/>
  <c r="P148" i="5"/>
  <c r="J148" i="5"/>
  <c r="D148" i="5"/>
  <c r="AB147" i="5"/>
  <c r="V147" i="5"/>
  <c r="P147" i="5"/>
  <c r="J147" i="5"/>
  <c r="D147" i="5"/>
  <c r="AB146" i="5"/>
  <c r="V146" i="5"/>
  <c r="P146" i="5"/>
  <c r="J146" i="5"/>
  <c r="D146" i="5"/>
  <c r="AB145" i="5"/>
  <c r="V145" i="5"/>
  <c r="P145" i="5"/>
  <c r="J145" i="5"/>
  <c r="D145" i="5"/>
  <c r="AB144" i="5"/>
  <c r="V144" i="5"/>
  <c r="P144" i="5"/>
  <c r="J144" i="5"/>
  <c r="D144" i="5"/>
  <c r="AB143" i="5"/>
  <c r="V143" i="5"/>
  <c r="P143" i="5"/>
  <c r="J143" i="5"/>
  <c r="D143" i="5"/>
  <c r="AB142" i="5"/>
  <c r="V142" i="5"/>
  <c r="P142" i="5"/>
  <c r="J142" i="5"/>
  <c r="D142" i="5"/>
  <c r="AB141" i="5"/>
  <c r="V141" i="5"/>
  <c r="P141" i="5"/>
  <c r="J141" i="5"/>
  <c r="D141" i="5"/>
  <c r="AB140" i="5"/>
  <c r="V140" i="5"/>
  <c r="P140" i="5"/>
  <c r="J140" i="5"/>
  <c r="D140" i="5"/>
  <c r="AB139" i="5"/>
  <c r="V139" i="5"/>
  <c r="P139" i="5"/>
  <c r="J139" i="5"/>
  <c r="D139" i="5"/>
  <c r="AB138" i="5"/>
  <c r="V138" i="5"/>
  <c r="P138" i="5"/>
  <c r="J138" i="5"/>
  <c r="D138" i="5"/>
  <c r="AB137" i="5"/>
  <c r="V137" i="5"/>
  <c r="P137" i="5"/>
  <c r="J137" i="5"/>
  <c r="D137" i="5"/>
  <c r="AB136" i="5"/>
  <c r="V136" i="5"/>
  <c r="P136" i="5"/>
  <c r="J136" i="5"/>
  <c r="D136" i="5"/>
  <c r="AB135" i="5"/>
  <c r="V135" i="5"/>
  <c r="P135" i="5"/>
  <c r="J135" i="5"/>
  <c r="D135" i="5"/>
  <c r="AB134" i="5"/>
  <c r="V134" i="5"/>
  <c r="P134" i="5"/>
  <c r="J134" i="5"/>
  <c r="D134" i="5"/>
  <c r="AB133" i="5"/>
  <c r="V133" i="5"/>
  <c r="P133" i="5"/>
  <c r="J133" i="5"/>
  <c r="D133" i="5"/>
  <c r="AB132" i="5"/>
  <c r="V132" i="5"/>
  <c r="P132" i="5"/>
  <c r="J132" i="5"/>
  <c r="D132" i="5"/>
  <c r="AB131" i="5"/>
  <c r="V131" i="5"/>
  <c r="P131" i="5"/>
  <c r="J131" i="5"/>
  <c r="D131" i="5"/>
  <c r="AB130" i="5"/>
  <c r="V130" i="5"/>
  <c r="P130" i="5"/>
  <c r="J130" i="5"/>
  <c r="D130" i="5"/>
  <c r="AB129" i="5"/>
  <c r="V129" i="5"/>
  <c r="P129" i="5"/>
  <c r="J129" i="5"/>
  <c r="D129" i="5"/>
  <c r="AB128" i="5"/>
  <c r="V128" i="5"/>
  <c r="P128" i="5"/>
  <c r="J128" i="5"/>
  <c r="D128" i="5"/>
  <c r="AB127" i="5"/>
  <c r="V127" i="5"/>
  <c r="P127" i="5"/>
  <c r="J127" i="5"/>
  <c r="D127" i="5"/>
  <c r="AB126" i="5"/>
  <c r="V126" i="5"/>
  <c r="P126" i="5"/>
  <c r="J126" i="5"/>
  <c r="D126" i="5"/>
  <c r="AB125" i="5"/>
  <c r="V125" i="5"/>
  <c r="P125" i="5"/>
  <c r="J125" i="5"/>
  <c r="D125" i="5"/>
  <c r="AB124" i="5"/>
  <c r="V124" i="5"/>
  <c r="P124" i="5"/>
  <c r="J124" i="5"/>
  <c r="D124" i="5"/>
  <c r="AB123" i="5"/>
  <c r="V123" i="5"/>
  <c r="P123" i="5"/>
  <c r="J123" i="5"/>
  <c r="D123" i="5"/>
  <c r="AB122" i="5"/>
  <c r="V122" i="5"/>
  <c r="P122" i="5"/>
  <c r="J122" i="5"/>
  <c r="D122" i="5"/>
  <c r="AB121" i="5"/>
  <c r="V121" i="5"/>
  <c r="P121" i="5"/>
  <c r="J121" i="5"/>
  <c r="D121" i="5"/>
  <c r="AB120" i="5"/>
  <c r="V120" i="5"/>
  <c r="P120" i="5"/>
  <c r="J120" i="5"/>
  <c r="D120" i="5"/>
  <c r="AB119" i="5"/>
  <c r="V119" i="5"/>
  <c r="P119" i="5"/>
  <c r="J119" i="5"/>
  <c r="D119" i="5"/>
  <c r="AB118" i="5"/>
  <c r="V118" i="5"/>
  <c r="P118" i="5"/>
  <c r="J118" i="5"/>
  <c r="D118" i="5"/>
  <c r="AB117" i="5"/>
  <c r="V117" i="5"/>
  <c r="P117" i="5"/>
  <c r="J117" i="5"/>
  <c r="D117" i="5"/>
  <c r="AB116" i="5"/>
  <c r="V116" i="5"/>
  <c r="P116" i="5"/>
  <c r="J116" i="5"/>
  <c r="D116" i="5"/>
  <c r="AB115" i="5"/>
  <c r="V115" i="5"/>
  <c r="P115" i="5"/>
  <c r="J115" i="5"/>
  <c r="D115" i="5"/>
  <c r="AB114" i="5"/>
  <c r="V114" i="5"/>
  <c r="P114" i="5"/>
  <c r="J114" i="5"/>
  <c r="D114" i="5"/>
  <c r="AB113" i="5"/>
  <c r="V113" i="5"/>
  <c r="P113" i="5"/>
  <c r="J113" i="5"/>
  <c r="D113" i="5"/>
  <c r="AB112" i="5"/>
  <c r="V112" i="5"/>
  <c r="P112" i="5"/>
  <c r="J112" i="5"/>
  <c r="D112" i="5"/>
  <c r="AB111" i="5"/>
  <c r="V111" i="5"/>
  <c r="P111" i="5"/>
  <c r="J111" i="5"/>
  <c r="D111" i="5"/>
  <c r="AB110" i="5"/>
  <c r="V110" i="5"/>
  <c r="P110" i="5"/>
  <c r="J110" i="5"/>
  <c r="D110" i="5"/>
  <c r="AB109" i="5"/>
  <c r="V109" i="5"/>
  <c r="P109" i="5"/>
  <c r="J109" i="5"/>
  <c r="D109" i="5"/>
  <c r="AB108" i="5"/>
  <c r="V108" i="5"/>
  <c r="P108" i="5"/>
  <c r="J108" i="5"/>
  <c r="D108" i="5"/>
  <c r="AB107" i="5"/>
  <c r="V107" i="5"/>
  <c r="P107" i="5"/>
  <c r="J107" i="5"/>
  <c r="D107" i="5"/>
  <c r="AB106" i="5"/>
  <c r="V106" i="5"/>
  <c r="P106" i="5"/>
  <c r="J106" i="5"/>
  <c r="D106" i="5"/>
  <c r="AB105" i="5"/>
  <c r="V105" i="5"/>
  <c r="P105" i="5"/>
  <c r="J105" i="5"/>
  <c r="D105" i="5"/>
  <c r="AB104" i="5"/>
  <c r="V104" i="5"/>
  <c r="P104" i="5"/>
  <c r="J104" i="5"/>
  <c r="D104" i="5"/>
  <c r="AB103" i="5"/>
  <c r="V103" i="5"/>
  <c r="P103" i="5"/>
  <c r="J103" i="5"/>
  <c r="D103" i="5"/>
  <c r="AB102" i="5"/>
  <c r="V102" i="5"/>
  <c r="P102" i="5"/>
  <c r="J102" i="5"/>
  <c r="D102" i="5"/>
  <c r="AB101" i="5"/>
  <c r="V101" i="5"/>
  <c r="P101" i="5"/>
  <c r="J101" i="5"/>
  <c r="D101" i="5"/>
  <c r="AB100" i="5"/>
  <c r="V100" i="5"/>
  <c r="P100" i="5"/>
  <c r="J100" i="5"/>
  <c r="D100" i="5"/>
  <c r="AB99" i="5"/>
  <c r="V99" i="5"/>
  <c r="P99" i="5"/>
  <c r="J99" i="5"/>
  <c r="D99" i="5"/>
  <c r="AB98" i="5"/>
  <c r="V98" i="5"/>
  <c r="P98" i="5"/>
  <c r="J98" i="5"/>
  <c r="D98" i="5"/>
  <c r="AB97" i="5"/>
  <c r="V97" i="5"/>
  <c r="P97" i="5"/>
  <c r="J97" i="5"/>
  <c r="D97" i="5"/>
  <c r="AB96" i="5"/>
  <c r="V96" i="5"/>
  <c r="P96" i="5"/>
  <c r="J96" i="5"/>
  <c r="D96" i="5"/>
  <c r="AB95" i="5"/>
  <c r="V95" i="5"/>
  <c r="P95" i="5"/>
  <c r="J95" i="5"/>
  <c r="D95" i="5"/>
  <c r="AB94" i="5"/>
  <c r="V94" i="5"/>
  <c r="P94" i="5"/>
  <c r="J94" i="5"/>
  <c r="D94" i="5"/>
  <c r="AB93" i="5"/>
  <c r="V93" i="5"/>
  <c r="P93" i="5"/>
  <c r="J93" i="5"/>
  <c r="D93" i="5"/>
  <c r="AB92" i="5"/>
  <c r="V92" i="5"/>
  <c r="P92" i="5"/>
  <c r="J92" i="5"/>
  <c r="D92" i="5"/>
  <c r="AB91" i="5"/>
  <c r="V91" i="5"/>
  <c r="P91" i="5"/>
  <c r="J91" i="5"/>
  <c r="D91" i="5"/>
  <c r="AB90" i="5"/>
  <c r="V90" i="5"/>
  <c r="P90" i="5"/>
  <c r="J90" i="5"/>
  <c r="D90" i="5"/>
  <c r="AB89" i="5"/>
  <c r="V89" i="5"/>
  <c r="P89" i="5"/>
  <c r="J89" i="5"/>
  <c r="D89" i="5"/>
  <c r="AB88" i="5"/>
  <c r="V88" i="5"/>
  <c r="P88" i="5"/>
  <c r="J88" i="5"/>
  <c r="D88" i="5"/>
  <c r="AB87" i="5"/>
  <c r="V87" i="5"/>
  <c r="P87" i="5"/>
  <c r="J87" i="5"/>
  <c r="D87" i="5"/>
  <c r="AB86" i="5"/>
  <c r="V86" i="5"/>
  <c r="P86" i="5"/>
  <c r="J86" i="5"/>
  <c r="D86" i="5"/>
  <c r="AB85" i="5"/>
  <c r="V85" i="5"/>
  <c r="P85" i="5"/>
  <c r="J85" i="5"/>
  <c r="D85" i="5"/>
  <c r="AB84" i="5"/>
  <c r="V84" i="5"/>
  <c r="P84" i="5"/>
  <c r="J84" i="5"/>
  <c r="D84" i="5"/>
  <c r="AB83" i="5"/>
  <c r="V83" i="5"/>
  <c r="P83" i="5"/>
  <c r="J83" i="5"/>
  <c r="D83" i="5"/>
  <c r="AB82" i="5"/>
  <c r="V82" i="5"/>
  <c r="P82" i="5"/>
  <c r="J82" i="5"/>
  <c r="D82" i="5"/>
  <c r="AB81" i="5"/>
  <c r="V81" i="5"/>
  <c r="P81" i="5"/>
  <c r="J81" i="5"/>
  <c r="D81" i="5"/>
  <c r="AB80" i="5"/>
  <c r="V80" i="5"/>
  <c r="P80" i="5"/>
  <c r="J80" i="5"/>
  <c r="D80" i="5"/>
  <c r="AB79" i="5"/>
  <c r="V79" i="5"/>
  <c r="P79" i="5"/>
  <c r="J79" i="5"/>
  <c r="D79" i="5"/>
  <c r="AB78" i="5"/>
  <c r="V78" i="5"/>
  <c r="P78" i="5"/>
  <c r="J78" i="5"/>
  <c r="D78" i="5"/>
  <c r="AB77" i="5"/>
  <c r="V77" i="5"/>
  <c r="P77" i="5"/>
  <c r="J77" i="5"/>
  <c r="D77" i="5"/>
  <c r="AB76" i="5"/>
  <c r="V76" i="5"/>
  <c r="P76" i="5"/>
  <c r="J76" i="5"/>
  <c r="D76" i="5"/>
  <c r="AB75" i="5"/>
  <c r="V75" i="5"/>
  <c r="P75" i="5"/>
  <c r="J75" i="5"/>
  <c r="D75" i="5"/>
  <c r="AB74" i="5"/>
  <c r="V74" i="5"/>
  <c r="P74" i="5"/>
  <c r="J74" i="5"/>
  <c r="D74" i="5"/>
  <c r="AB73" i="5"/>
  <c r="V73" i="5"/>
  <c r="P73" i="5"/>
  <c r="J73" i="5"/>
  <c r="D73" i="5"/>
  <c r="AB72" i="5"/>
  <c r="V72" i="5"/>
  <c r="P72" i="5"/>
  <c r="J72" i="5"/>
  <c r="D72" i="5"/>
  <c r="AB71" i="5"/>
  <c r="V71" i="5"/>
  <c r="P71" i="5"/>
  <c r="J71" i="5"/>
  <c r="D71" i="5"/>
  <c r="AB70" i="5"/>
  <c r="V70" i="5"/>
  <c r="P70" i="5"/>
  <c r="J70" i="5"/>
  <c r="D70" i="5"/>
  <c r="AB69" i="5"/>
  <c r="V69" i="5"/>
  <c r="P69" i="5"/>
  <c r="J69" i="5"/>
  <c r="D69" i="5"/>
  <c r="AB68" i="5"/>
  <c r="V68" i="5"/>
  <c r="P68" i="5"/>
  <c r="J68" i="5"/>
  <c r="D68" i="5"/>
  <c r="AB67" i="5"/>
  <c r="V67" i="5"/>
  <c r="P67" i="5"/>
  <c r="J67" i="5"/>
  <c r="D67" i="5"/>
  <c r="AB66" i="5"/>
  <c r="V66" i="5"/>
  <c r="P66" i="5"/>
  <c r="J66" i="5"/>
  <c r="D66" i="5"/>
  <c r="AB65" i="5"/>
  <c r="V65" i="5"/>
  <c r="P65" i="5"/>
  <c r="J65" i="5"/>
  <c r="D65" i="5"/>
  <c r="AB64" i="5"/>
  <c r="V64" i="5"/>
  <c r="P64" i="5"/>
  <c r="J64" i="5"/>
  <c r="D64" i="5"/>
  <c r="AB63" i="5"/>
  <c r="V63" i="5"/>
  <c r="P63" i="5"/>
  <c r="J63" i="5"/>
  <c r="D63" i="5"/>
  <c r="AB62" i="5"/>
  <c r="V62" i="5"/>
  <c r="P62" i="5"/>
  <c r="J62" i="5"/>
  <c r="D62" i="5"/>
  <c r="AB61" i="5"/>
  <c r="V61" i="5"/>
  <c r="P61" i="5"/>
  <c r="J61" i="5"/>
  <c r="D61" i="5"/>
  <c r="AB60" i="5"/>
  <c r="V60" i="5"/>
  <c r="P60" i="5"/>
  <c r="J60" i="5"/>
  <c r="D60" i="5"/>
  <c r="AB59" i="5"/>
  <c r="V59" i="5"/>
  <c r="P59" i="5"/>
  <c r="J59" i="5"/>
  <c r="D59" i="5"/>
  <c r="AB58" i="5"/>
  <c r="V58" i="5"/>
  <c r="P58" i="5"/>
  <c r="J58" i="5"/>
  <c r="D58" i="5"/>
  <c r="AB57" i="5"/>
  <c r="V57" i="5"/>
  <c r="P57" i="5"/>
  <c r="J57" i="5"/>
  <c r="D57" i="5"/>
  <c r="AB56" i="5"/>
  <c r="V56" i="5"/>
  <c r="P56" i="5"/>
  <c r="J56" i="5"/>
  <c r="D56" i="5"/>
  <c r="AB55" i="5"/>
  <c r="V55" i="5"/>
  <c r="P55" i="5"/>
  <c r="J55" i="5"/>
  <c r="D55" i="5"/>
  <c r="AB54" i="5"/>
  <c r="V54" i="5"/>
  <c r="P54" i="5"/>
  <c r="J54" i="5"/>
  <c r="D54" i="5"/>
  <c r="AB53" i="5"/>
  <c r="V53" i="5"/>
  <c r="P53" i="5"/>
  <c r="J53" i="5"/>
  <c r="D53" i="5"/>
  <c r="AB52" i="5"/>
  <c r="V52" i="5"/>
  <c r="P52" i="5"/>
  <c r="J52" i="5"/>
  <c r="D52" i="5"/>
  <c r="AB51" i="5"/>
  <c r="V51" i="5"/>
  <c r="P51" i="5"/>
  <c r="J51" i="5"/>
  <c r="D51" i="5"/>
  <c r="AB50" i="5"/>
  <c r="V50" i="5"/>
  <c r="P50" i="5"/>
  <c r="J50" i="5"/>
  <c r="D50" i="5"/>
  <c r="AB49" i="5"/>
  <c r="V49" i="5"/>
  <c r="P49" i="5"/>
  <c r="J49" i="5"/>
  <c r="D49" i="5"/>
  <c r="AB48" i="5"/>
  <c r="V48" i="5"/>
  <c r="P48" i="5"/>
  <c r="J48" i="5"/>
  <c r="D48" i="5"/>
  <c r="AB47" i="5"/>
  <c r="V47" i="5"/>
  <c r="P47" i="5"/>
  <c r="J47" i="5"/>
  <c r="D47" i="5"/>
  <c r="AB46" i="5"/>
  <c r="V46" i="5"/>
  <c r="P46" i="5"/>
  <c r="J46" i="5"/>
  <c r="D46" i="5"/>
  <c r="AB45" i="5"/>
  <c r="V45" i="5"/>
  <c r="P45" i="5"/>
  <c r="J45" i="5"/>
  <c r="D45" i="5"/>
  <c r="AB44" i="5"/>
  <c r="V44" i="5"/>
  <c r="P44" i="5"/>
  <c r="J44" i="5"/>
  <c r="D44" i="5"/>
  <c r="AB43" i="5"/>
  <c r="V43" i="5"/>
  <c r="P43" i="5"/>
  <c r="J43" i="5"/>
  <c r="D43" i="5"/>
  <c r="AB42" i="5"/>
  <c r="V42" i="5"/>
  <c r="P42" i="5"/>
  <c r="J42" i="5"/>
  <c r="D42" i="5"/>
  <c r="AB41" i="5"/>
  <c r="V41" i="5"/>
  <c r="P41" i="5"/>
  <c r="J41" i="5"/>
  <c r="D41" i="5"/>
  <c r="AB40" i="5"/>
  <c r="V40" i="5"/>
  <c r="P40" i="5"/>
  <c r="J40" i="5"/>
  <c r="D40" i="5"/>
  <c r="AB39" i="5"/>
  <c r="V39" i="5"/>
  <c r="P39" i="5"/>
  <c r="J39" i="5"/>
  <c r="D39" i="5"/>
  <c r="AB38" i="5"/>
  <c r="V38" i="5"/>
  <c r="P38" i="5"/>
  <c r="J38" i="5"/>
  <c r="D38" i="5"/>
  <c r="AB37" i="5"/>
  <c r="V37" i="5"/>
  <c r="P37" i="5"/>
  <c r="J37" i="5"/>
  <c r="D37" i="5"/>
  <c r="AB36" i="5"/>
  <c r="V36" i="5"/>
  <c r="P36" i="5"/>
  <c r="J36" i="5"/>
  <c r="D36" i="5"/>
  <c r="AB35" i="5"/>
  <c r="V35" i="5"/>
  <c r="P35" i="5"/>
  <c r="J35" i="5"/>
  <c r="D35" i="5"/>
  <c r="AB34" i="5"/>
  <c r="V34" i="5"/>
  <c r="P34" i="5"/>
  <c r="J34" i="5"/>
  <c r="D34" i="5"/>
  <c r="AB33" i="5"/>
  <c r="V33" i="5"/>
  <c r="P33" i="5"/>
  <c r="J33" i="5"/>
  <c r="D33" i="5"/>
  <c r="AB32" i="5"/>
  <c r="V32" i="5"/>
  <c r="P32" i="5"/>
  <c r="J32" i="5"/>
  <c r="D32" i="5"/>
  <c r="AB31" i="5"/>
  <c r="V31" i="5"/>
  <c r="P31" i="5"/>
  <c r="J31" i="5"/>
  <c r="D31" i="5"/>
  <c r="AB30" i="5"/>
  <c r="V30" i="5"/>
  <c r="P30" i="5"/>
  <c r="J30" i="5"/>
  <c r="D30" i="5"/>
  <c r="AB29" i="5"/>
  <c r="V29" i="5"/>
  <c r="P29" i="5"/>
  <c r="J29" i="5"/>
  <c r="D29" i="5"/>
  <c r="AB28" i="5"/>
  <c r="V28" i="5"/>
  <c r="P28" i="5"/>
  <c r="J28" i="5"/>
  <c r="D28" i="5"/>
  <c r="AB27" i="5"/>
  <c r="V27" i="5"/>
  <c r="P27" i="5"/>
  <c r="J27" i="5"/>
  <c r="D27" i="5"/>
  <c r="AB26" i="5"/>
  <c r="V26" i="5"/>
  <c r="P26" i="5"/>
  <c r="J26" i="5"/>
  <c r="D26" i="5"/>
  <c r="AB25" i="5"/>
  <c r="V25" i="5"/>
  <c r="P25" i="5"/>
  <c r="J25" i="5"/>
  <c r="D25" i="5"/>
  <c r="AB24" i="5"/>
  <c r="V24" i="5"/>
  <c r="P24" i="5"/>
  <c r="J24" i="5"/>
  <c r="D24" i="5"/>
  <c r="AB23" i="5"/>
  <c r="V23" i="5"/>
  <c r="P23" i="5"/>
  <c r="J23" i="5"/>
  <c r="D23" i="5"/>
  <c r="AB22" i="5"/>
  <c r="V22" i="5"/>
  <c r="P22" i="5"/>
  <c r="J22" i="5"/>
  <c r="D22" i="5"/>
  <c r="AB21" i="5"/>
  <c r="V21" i="5"/>
  <c r="P21" i="5"/>
  <c r="J21" i="5"/>
  <c r="D21" i="5"/>
  <c r="AB20" i="5"/>
  <c r="V20" i="5"/>
  <c r="P20" i="5"/>
  <c r="J20" i="5"/>
  <c r="D20" i="5"/>
  <c r="AB19" i="5"/>
  <c r="V19" i="5"/>
  <c r="P19" i="5"/>
  <c r="J19" i="5"/>
  <c r="D19" i="5"/>
  <c r="AB18" i="5"/>
  <c r="V18" i="5"/>
  <c r="P18" i="5"/>
  <c r="J18" i="5"/>
  <c r="D18" i="5"/>
  <c r="AB17" i="5"/>
  <c r="V17" i="5"/>
  <c r="P17" i="5"/>
  <c r="J17" i="5"/>
  <c r="D17" i="5"/>
  <c r="AB16" i="5"/>
  <c r="V16" i="5"/>
  <c r="P16" i="5"/>
  <c r="J16" i="5"/>
  <c r="D16" i="5"/>
  <c r="AB15" i="5"/>
  <c r="V15" i="5"/>
  <c r="P15" i="5"/>
  <c r="J15" i="5"/>
  <c r="D15" i="5"/>
  <c r="AB14" i="5"/>
  <c r="V14" i="5"/>
  <c r="P14" i="5"/>
  <c r="J14" i="5"/>
  <c r="D14" i="5"/>
  <c r="AB13" i="5"/>
  <c r="V13" i="5"/>
  <c r="P13" i="5"/>
  <c r="J13" i="5"/>
  <c r="D13" i="5"/>
  <c r="AB12" i="5"/>
  <c r="V12" i="5"/>
  <c r="P12" i="5"/>
  <c r="J12" i="5"/>
  <c r="D12" i="5"/>
  <c r="AB11" i="5"/>
  <c r="V11" i="5"/>
  <c r="P11" i="5"/>
  <c r="J11" i="5"/>
  <c r="D11" i="5"/>
  <c r="AB10" i="5"/>
  <c r="V10" i="5"/>
  <c r="P10" i="5"/>
  <c r="J10" i="5"/>
  <c r="D10" i="5"/>
  <c r="AB9" i="5"/>
  <c r="V9" i="5"/>
  <c r="P9" i="5"/>
  <c r="J9" i="5"/>
  <c r="D9" i="5"/>
  <c r="AB8" i="5"/>
  <c r="V8" i="5"/>
  <c r="P8" i="5"/>
  <c r="J8" i="5"/>
  <c r="D8" i="5"/>
  <c r="AB7" i="5"/>
  <c r="V7" i="5"/>
  <c r="P7" i="5"/>
  <c r="J7" i="5"/>
  <c r="D7" i="5"/>
  <c r="AB6" i="5"/>
  <c r="V6" i="5"/>
  <c r="H1" i="5"/>
  <c r="E19" i="6" l="1"/>
  <c r="AC607" i="5"/>
  <c r="AC623" i="5"/>
  <c r="AC639" i="5"/>
  <c r="AC655" i="5"/>
  <c r="AC671" i="5"/>
  <c r="AC687" i="5"/>
  <c r="AC703" i="5"/>
  <c r="AC719" i="5"/>
  <c r="AC735" i="5"/>
  <c r="AC751" i="5"/>
  <c r="AC767" i="5"/>
  <c r="AC783" i="5"/>
  <c r="AC799" i="5"/>
  <c r="AC815" i="5"/>
  <c r="AC831" i="5"/>
  <c r="AC847" i="5"/>
  <c r="AC863" i="5"/>
  <c r="AC879" i="5"/>
  <c r="AC895" i="5"/>
  <c r="AC911" i="5"/>
  <c r="AC927" i="5"/>
  <c r="AC943" i="5"/>
  <c r="AC959" i="5"/>
  <c r="AC975" i="5"/>
  <c r="AC991" i="5"/>
  <c r="AC1007" i="5"/>
  <c r="AC1023" i="5"/>
  <c r="AC1039" i="5"/>
  <c r="AC1055" i="5"/>
  <c r="AC1071" i="5"/>
  <c r="AC1087" i="5"/>
  <c r="AC1103" i="5"/>
  <c r="AC1119" i="5"/>
  <c r="AC1135" i="5"/>
  <c r="AC1151" i="5"/>
  <c r="AC1167" i="5"/>
  <c r="AC1183" i="5"/>
  <c r="AC1199" i="5"/>
  <c r="AC609" i="5"/>
  <c r="AC625" i="5"/>
  <c r="AC641" i="5"/>
  <c r="AC657" i="5"/>
  <c r="AC673" i="5"/>
  <c r="AC689" i="5"/>
  <c r="AC705" i="5"/>
  <c r="AC721" i="5"/>
  <c r="AC737" i="5"/>
  <c r="AC753" i="5"/>
  <c r="AC769" i="5"/>
  <c r="AC785" i="5"/>
  <c r="AC801" i="5"/>
  <c r="AC817" i="5"/>
  <c r="AC833" i="5"/>
  <c r="AC849" i="5"/>
  <c r="AC865" i="5"/>
  <c r="AC881" i="5"/>
  <c r="AC897" i="5"/>
  <c r="AC913" i="5"/>
  <c r="AC929" i="5"/>
  <c r="AC945" i="5"/>
  <c r="AC961" i="5"/>
  <c r="AC977" i="5"/>
  <c r="AC993" i="5"/>
  <c r="AC1009" i="5"/>
  <c r="AC1025" i="5"/>
  <c r="AC1041" i="5"/>
  <c r="AC1057" i="5"/>
  <c r="AC1073" i="5"/>
  <c r="AC1089" i="5"/>
  <c r="AC1105" i="5"/>
  <c r="AC1121" i="5"/>
  <c r="AC1137" i="5"/>
  <c r="AC1153" i="5"/>
  <c r="AC1169" i="5"/>
  <c r="AC1185" i="5"/>
  <c r="AC1201" i="5"/>
  <c r="AC611" i="5"/>
  <c r="AC627" i="5"/>
  <c r="AC643" i="5"/>
  <c r="AC659" i="5"/>
  <c r="AC675" i="5"/>
  <c r="AC691" i="5"/>
  <c r="AC707" i="5"/>
  <c r="AC723" i="5"/>
  <c r="AC739" i="5"/>
  <c r="AC755" i="5"/>
  <c r="AC771" i="5"/>
  <c r="AC787" i="5"/>
  <c r="AC803" i="5"/>
  <c r="AC819" i="5"/>
  <c r="AC835" i="5"/>
  <c r="AC851" i="5"/>
  <c r="AC867" i="5"/>
  <c r="AC883" i="5"/>
  <c r="AC899" i="5"/>
  <c r="AC915" i="5"/>
  <c r="AC931" i="5"/>
  <c r="AC947" i="5"/>
  <c r="AC963" i="5"/>
  <c r="AC979" i="5"/>
  <c r="AC995" i="5"/>
  <c r="AC1011" i="5"/>
  <c r="AC1027" i="5"/>
  <c r="AC1043" i="5"/>
  <c r="AC1059" i="5"/>
  <c r="AC1075" i="5"/>
  <c r="AC1091" i="5"/>
  <c r="AC1107" i="5"/>
  <c r="AC1123" i="5"/>
  <c r="AC1139" i="5"/>
  <c r="AC1155" i="5"/>
  <c r="AC1171" i="5"/>
  <c r="AC1187" i="5"/>
  <c r="AC1203" i="5"/>
  <c r="AC612" i="5"/>
  <c r="AC628" i="5"/>
  <c r="AC644" i="5"/>
  <c r="AC660" i="5"/>
  <c r="AC676" i="5"/>
  <c r="AC692" i="5"/>
  <c r="AC708" i="5"/>
  <c r="AC724" i="5"/>
  <c r="AC740" i="5"/>
  <c r="AC756" i="5"/>
  <c r="AC772" i="5"/>
  <c r="AC788" i="5"/>
  <c r="AC804" i="5"/>
  <c r="AC820" i="5"/>
  <c r="AC836" i="5"/>
  <c r="AC852" i="5"/>
  <c r="AC868" i="5"/>
  <c r="AC884" i="5"/>
  <c r="AC900" i="5"/>
  <c r="AC916" i="5"/>
  <c r="AC932" i="5"/>
  <c r="AC948" i="5"/>
  <c r="AC964" i="5"/>
  <c r="AC980" i="5"/>
  <c r="AC996" i="5"/>
  <c r="AC1012" i="5"/>
  <c r="AC1028" i="5"/>
  <c r="AC1044" i="5"/>
  <c r="AC1060" i="5"/>
  <c r="AC1076" i="5"/>
  <c r="AC1092" i="5"/>
  <c r="AC1108" i="5"/>
  <c r="AC1124" i="5"/>
  <c r="AC1140" i="5"/>
  <c r="AC1156" i="5"/>
  <c r="AC1172" i="5"/>
  <c r="AC1188" i="5"/>
  <c r="AC1204" i="5"/>
  <c r="AC613" i="5"/>
  <c r="AC629" i="5"/>
  <c r="AC645" i="5"/>
  <c r="AC661" i="5"/>
  <c r="AC677" i="5"/>
  <c r="AC693" i="5"/>
  <c r="AC709" i="5"/>
  <c r="AC725" i="5"/>
  <c r="AC741" i="5"/>
  <c r="AC757" i="5"/>
  <c r="AC773" i="5"/>
  <c r="AC789" i="5"/>
  <c r="AC805" i="5"/>
  <c r="AC821" i="5"/>
  <c r="AC837" i="5"/>
  <c r="AC853" i="5"/>
  <c r="AC869" i="5"/>
  <c r="AC885" i="5"/>
  <c r="AC901" i="5"/>
  <c r="AC917" i="5"/>
  <c r="AC933" i="5"/>
  <c r="AC949" i="5"/>
  <c r="AC965" i="5"/>
  <c r="AC981" i="5"/>
  <c r="AC997" i="5"/>
  <c r="AC1013" i="5"/>
  <c r="AC1029" i="5"/>
  <c r="AC1045" i="5"/>
  <c r="AC1061" i="5"/>
  <c r="AC1077" i="5"/>
  <c r="AC1093" i="5"/>
  <c r="AC1109" i="5"/>
  <c r="AC1125" i="5"/>
  <c r="AC1141" i="5"/>
  <c r="AC1157" i="5"/>
  <c r="AC1173" i="5"/>
  <c r="AC1189" i="5"/>
  <c r="AC1205" i="5"/>
  <c r="AC614" i="5"/>
  <c r="AC630" i="5"/>
  <c r="AC646" i="5"/>
  <c r="AC662" i="5"/>
  <c r="AC678" i="5"/>
  <c r="AC694" i="5"/>
  <c r="AC710" i="5"/>
  <c r="AC726" i="5"/>
  <c r="AC742" i="5"/>
  <c r="AC758" i="5"/>
  <c r="AC774" i="5"/>
  <c r="AC790" i="5"/>
  <c r="AC806" i="5"/>
  <c r="AC822" i="5"/>
  <c r="AC838" i="5"/>
  <c r="AC854" i="5"/>
  <c r="AC870" i="5"/>
  <c r="AC886" i="5"/>
  <c r="AC902" i="5"/>
  <c r="AC918" i="5"/>
  <c r="AC934" i="5"/>
  <c r="AC950" i="5"/>
  <c r="AC966" i="5"/>
  <c r="AC982" i="5"/>
  <c r="AC998" i="5"/>
  <c r="AC1014" i="5"/>
  <c r="AC1030" i="5"/>
  <c r="AC1046" i="5"/>
  <c r="AC1062" i="5"/>
  <c r="AC1078" i="5"/>
  <c r="AC1094" i="5"/>
  <c r="AC1110" i="5"/>
  <c r="AC1126" i="5"/>
  <c r="AC1142" i="5"/>
  <c r="AC1158" i="5"/>
  <c r="AC1174" i="5"/>
  <c r="AC1190" i="5"/>
  <c r="AC604" i="5"/>
  <c r="AC615" i="5"/>
  <c r="AC631" i="5"/>
  <c r="AC647" i="5"/>
  <c r="AC663" i="5"/>
  <c r="AC679" i="5"/>
  <c r="AC695" i="5"/>
  <c r="AC711" i="5"/>
  <c r="AC727" i="5"/>
  <c r="AC743" i="5"/>
  <c r="AC759" i="5"/>
  <c r="AC775" i="5"/>
  <c r="AC791" i="5"/>
  <c r="AC807" i="5"/>
  <c r="AC823" i="5"/>
  <c r="AC839" i="5"/>
  <c r="AC855" i="5"/>
  <c r="AC871" i="5"/>
  <c r="AC887" i="5"/>
  <c r="AC903" i="5"/>
  <c r="AC919" i="5"/>
  <c r="AC935" i="5"/>
  <c r="AC951" i="5"/>
  <c r="AC967" i="5"/>
  <c r="AC983" i="5"/>
  <c r="AC999" i="5"/>
  <c r="AC1015" i="5"/>
  <c r="AC1031" i="5"/>
  <c r="AC1047" i="5"/>
  <c r="AC1063" i="5"/>
  <c r="AC1079" i="5"/>
  <c r="AC1095" i="5"/>
  <c r="AC1111" i="5"/>
  <c r="AC1127" i="5"/>
  <c r="AC1143" i="5"/>
  <c r="AC1159" i="5"/>
  <c r="AC1175" i="5"/>
  <c r="AC1191" i="5"/>
  <c r="AC616" i="5"/>
  <c r="AC632" i="5"/>
  <c r="AC648" i="5"/>
  <c r="AC664" i="5"/>
  <c r="AC680" i="5"/>
  <c r="AC696" i="5"/>
  <c r="AC712" i="5"/>
  <c r="AC728" i="5"/>
  <c r="AC744" i="5"/>
  <c r="AC760" i="5"/>
  <c r="AC776" i="5"/>
  <c r="AC792" i="5"/>
  <c r="AC808" i="5"/>
  <c r="AC824" i="5"/>
  <c r="AC840" i="5"/>
  <c r="AC856" i="5"/>
  <c r="AC872" i="5"/>
  <c r="AC888" i="5"/>
  <c r="AC904" i="5"/>
  <c r="AC920" i="5"/>
  <c r="AC936" i="5"/>
  <c r="AC952" i="5"/>
  <c r="AC968" i="5"/>
  <c r="AC984" i="5"/>
  <c r="AC1000" i="5"/>
  <c r="AC1016" i="5"/>
  <c r="AC1032" i="5"/>
  <c r="AC1048" i="5"/>
  <c r="AC1064" i="5"/>
  <c r="AC1080" i="5"/>
  <c r="AC1096" i="5"/>
  <c r="AC1112" i="5"/>
  <c r="AC1128" i="5"/>
  <c r="AC1144" i="5"/>
  <c r="AC1160" i="5"/>
  <c r="AC1176" i="5"/>
  <c r="AC1192" i="5"/>
  <c r="AC617" i="5"/>
  <c r="AC633" i="5"/>
  <c r="AC649" i="5"/>
  <c r="AC665" i="5"/>
  <c r="AC681" i="5"/>
  <c r="AC697" i="5"/>
  <c r="AC713" i="5"/>
  <c r="AC729" i="5"/>
  <c r="AC745" i="5"/>
  <c r="AC761" i="5"/>
  <c r="AC777" i="5"/>
  <c r="AC793" i="5"/>
  <c r="AC809" i="5"/>
  <c r="AC825" i="5"/>
  <c r="AC841" i="5"/>
  <c r="AC857" i="5"/>
  <c r="AC873" i="5"/>
  <c r="AC889" i="5"/>
  <c r="AC905" i="5"/>
  <c r="AC921" i="5"/>
  <c r="AC937" i="5"/>
  <c r="AC953" i="5"/>
  <c r="AC969" i="5"/>
  <c r="AC985" i="5"/>
  <c r="AC1001" i="5"/>
  <c r="AC1017" i="5"/>
  <c r="AC1033" i="5"/>
  <c r="AC1049" i="5"/>
  <c r="AC1065" i="5"/>
  <c r="AC1081" i="5"/>
  <c r="AC1097" i="5"/>
  <c r="AC1113" i="5"/>
  <c r="AC1129" i="5"/>
  <c r="AC1145" i="5"/>
  <c r="AC1161" i="5"/>
  <c r="AC1177" i="5"/>
  <c r="AC1193" i="5"/>
  <c r="AC618" i="5"/>
  <c r="AC634" i="5"/>
  <c r="AC650" i="5"/>
  <c r="AC666" i="5"/>
  <c r="AC682" i="5"/>
  <c r="AC698" i="5"/>
  <c r="AC714" i="5"/>
  <c r="AC730" i="5"/>
  <c r="AC746" i="5"/>
  <c r="AC762" i="5"/>
  <c r="AC778" i="5"/>
  <c r="AC794" i="5"/>
  <c r="AC810" i="5"/>
  <c r="AC826" i="5"/>
  <c r="AC842" i="5"/>
  <c r="AC858" i="5"/>
  <c r="AC874" i="5"/>
  <c r="AC890" i="5"/>
  <c r="AC906" i="5"/>
  <c r="AC922" i="5"/>
  <c r="AC938" i="5"/>
  <c r="AC954" i="5"/>
  <c r="AC970" i="5"/>
  <c r="AC986" i="5"/>
  <c r="AC1002" i="5"/>
  <c r="AC1018" i="5"/>
  <c r="AC1034" i="5"/>
  <c r="AC1050" i="5"/>
  <c r="AC1066" i="5"/>
  <c r="AC1082" i="5"/>
  <c r="AC1098" i="5"/>
  <c r="AC1114" i="5"/>
  <c r="AC1130" i="5"/>
  <c r="AC1146" i="5"/>
  <c r="AC1162" i="5"/>
  <c r="AC1178" i="5"/>
  <c r="AC1194" i="5"/>
  <c r="AC606" i="5"/>
  <c r="AC622" i="5"/>
  <c r="AC605" i="5"/>
  <c r="AC653" i="5"/>
  <c r="AC699" i="5"/>
  <c r="AC736" i="5"/>
  <c r="AC781" i="5"/>
  <c r="AC827" i="5"/>
  <c r="AC864" i="5"/>
  <c r="AC909" i="5"/>
  <c r="AC955" i="5"/>
  <c r="AC992" i="5"/>
  <c r="AC1037" i="5"/>
  <c r="AC1083" i="5"/>
  <c r="AC1120" i="5"/>
  <c r="AC1165" i="5"/>
  <c r="AC608" i="5"/>
  <c r="AC654" i="5"/>
  <c r="AC700" i="5"/>
  <c r="AC738" i="5"/>
  <c r="AC782" i="5"/>
  <c r="AC828" i="5"/>
  <c r="AC866" i="5"/>
  <c r="AC910" i="5"/>
  <c r="AC956" i="5"/>
  <c r="AC994" i="5"/>
  <c r="AC1038" i="5"/>
  <c r="AC1084" i="5"/>
  <c r="AC1122" i="5"/>
  <c r="AC1166" i="5"/>
  <c r="AC610" i="5"/>
  <c r="AC656" i="5"/>
  <c r="AC701" i="5"/>
  <c r="AC747" i="5"/>
  <c r="AC784" i="5"/>
  <c r="AC829" i="5"/>
  <c r="AC875" i="5"/>
  <c r="AC912" i="5"/>
  <c r="AC957" i="5"/>
  <c r="AC1003" i="5"/>
  <c r="AC1040" i="5"/>
  <c r="AC1085" i="5"/>
  <c r="AC1131" i="5"/>
  <c r="AC1168" i="5"/>
  <c r="AC619" i="5"/>
  <c r="AC658" i="5"/>
  <c r="AC702" i="5"/>
  <c r="AC748" i="5"/>
  <c r="AC786" i="5"/>
  <c r="AC830" i="5"/>
  <c r="AC876" i="5"/>
  <c r="AC914" i="5"/>
  <c r="AC958" i="5"/>
  <c r="AC1004" i="5"/>
  <c r="AC1042" i="5"/>
  <c r="AC1086" i="5"/>
  <c r="AC1132" i="5"/>
  <c r="AC1170" i="5"/>
  <c r="AC620" i="5"/>
  <c r="AC667" i="5"/>
  <c r="AC704" i="5"/>
  <c r="AC749" i="5"/>
  <c r="AC795" i="5"/>
  <c r="AC832" i="5"/>
  <c r="AC877" i="5"/>
  <c r="AC923" i="5"/>
  <c r="AC960" i="5"/>
  <c r="AC1005" i="5"/>
  <c r="AC1051" i="5"/>
  <c r="AC1088" i="5"/>
  <c r="AC1133" i="5"/>
  <c r="AC1179" i="5"/>
  <c r="AC621" i="5"/>
  <c r="AC668" i="5"/>
  <c r="AC706" i="5"/>
  <c r="AC750" i="5"/>
  <c r="AC796" i="5"/>
  <c r="AC834" i="5"/>
  <c r="AC878" i="5"/>
  <c r="AC924" i="5"/>
  <c r="AC962" i="5"/>
  <c r="AC1006" i="5"/>
  <c r="AC1052" i="5"/>
  <c r="AC1090" i="5"/>
  <c r="AC1134" i="5"/>
  <c r="AC1180" i="5"/>
  <c r="AC624" i="5"/>
  <c r="AC669" i="5"/>
  <c r="AC715" i="5"/>
  <c r="AC752" i="5"/>
  <c r="AC797" i="5"/>
  <c r="AC843" i="5"/>
  <c r="AC880" i="5"/>
  <c r="AC925" i="5"/>
  <c r="AC971" i="5"/>
  <c r="AC1008" i="5"/>
  <c r="AC1053" i="5"/>
  <c r="AC1099" i="5"/>
  <c r="AC1136" i="5"/>
  <c r="AC1181" i="5"/>
  <c r="AC626" i="5"/>
  <c r="AC670" i="5"/>
  <c r="AC716" i="5"/>
  <c r="AC754" i="5"/>
  <c r="AC798" i="5"/>
  <c r="AC844" i="5"/>
  <c r="AC882" i="5"/>
  <c r="AC926" i="5"/>
  <c r="AC972" i="5"/>
  <c r="AC1010" i="5"/>
  <c r="AC1054" i="5"/>
  <c r="AC1100" i="5"/>
  <c r="AC1138" i="5"/>
  <c r="AC1182" i="5"/>
  <c r="AC635" i="5"/>
  <c r="AC672" i="5"/>
  <c r="AC717" i="5"/>
  <c r="AC763" i="5"/>
  <c r="AC800" i="5"/>
  <c r="AC845" i="5"/>
  <c r="AC891" i="5"/>
  <c r="AC928" i="5"/>
  <c r="AC973" i="5"/>
  <c r="AC1019" i="5"/>
  <c r="AC1056" i="5"/>
  <c r="AC1101" i="5"/>
  <c r="AC1147" i="5"/>
  <c r="AC1184" i="5"/>
  <c r="AC636" i="5"/>
  <c r="AC674" i="5"/>
  <c r="AC718" i="5"/>
  <c r="AC764" i="5"/>
  <c r="AC802" i="5"/>
  <c r="AC846" i="5"/>
  <c r="AC892" i="5"/>
  <c r="AC930" i="5"/>
  <c r="AC974" i="5"/>
  <c r="AC1020" i="5"/>
  <c r="AC1058" i="5"/>
  <c r="AC1102" i="5"/>
  <c r="AC1148" i="5"/>
  <c r="AC1186" i="5"/>
  <c r="AC637" i="5"/>
  <c r="AC733" i="5"/>
  <c r="AC859" i="5"/>
  <c r="AC976" i="5"/>
  <c r="AC1072" i="5"/>
  <c r="AC1197" i="5"/>
  <c r="AC638" i="5"/>
  <c r="AC734" i="5"/>
  <c r="AC860" i="5"/>
  <c r="AC978" i="5"/>
  <c r="AC1074" i="5"/>
  <c r="AC1198" i="5"/>
  <c r="AC640" i="5"/>
  <c r="AC765" i="5"/>
  <c r="AC861" i="5"/>
  <c r="AC987" i="5"/>
  <c r="AC1104" i="5"/>
  <c r="AC1200" i="5"/>
  <c r="AC642" i="5"/>
  <c r="AC766" i="5"/>
  <c r="AC862" i="5"/>
  <c r="AC988" i="5"/>
  <c r="AC1106" i="5"/>
  <c r="AC1202" i="5"/>
  <c r="AC651" i="5"/>
  <c r="AC768" i="5"/>
  <c r="AC893" i="5"/>
  <c r="AC989" i="5"/>
  <c r="AC1115" i="5"/>
  <c r="AC652" i="5"/>
  <c r="AC683" i="5"/>
  <c r="AC779" i="5"/>
  <c r="AC896" i="5"/>
  <c r="AC1021" i="5"/>
  <c r="AC1117" i="5"/>
  <c r="AC684" i="5"/>
  <c r="AC780" i="5"/>
  <c r="AC898" i="5"/>
  <c r="AC1022" i="5"/>
  <c r="AC1118" i="5"/>
  <c r="AC685" i="5"/>
  <c r="AC811" i="5"/>
  <c r="AC907" i="5"/>
  <c r="AC1024" i="5"/>
  <c r="AC1149" i="5"/>
  <c r="AC686" i="5"/>
  <c r="AC812" i="5"/>
  <c r="AC908" i="5"/>
  <c r="AC1026" i="5"/>
  <c r="AC1150" i="5"/>
  <c r="AC688" i="5"/>
  <c r="AC813" i="5"/>
  <c r="AC939" i="5"/>
  <c r="AC1035" i="5"/>
  <c r="AC1152" i="5"/>
  <c r="AC816" i="5"/>
  <c r="AC1116" i="5"/>
  <c r="AC818" i="5"/>
  <c r="AC1154" i="5"/>
  <c r="AC848" i="5"/>
  <c r="AC1163" i="5"/>
  <c r="AC850" i="5"/>
  <c r="AC1164" i="5"/>
  <c r="AC894" i="5"/>
  <c r="AC1195" i="5"/>
  <c r="AC940" i="5"/>
  <c r="AC1196" i="5"/>
  <c r="AC941" i="5"/>
  <c r="AC942" i="5"/>
  <c r="AC944" i="5"/>
  <c r="AC690" i="5"/>
  <c r="AC946" i="5"/>
  <c r="AC720" i="5"/>
  <c r="AC990" i="5"/>
  <c r="AC722" i="5"/>
  <c r="AC1036" i="5"/>
  <c r="AC731" i="5"/>
  <c r="AC732" i="5"/>
  <c r="AC770" i="5"/>
  <c r="AC814" i="5"/>
  <c r="AC1067" i="5"/>
  <c r="AC1068" i="5"/>
  <c r="AC1069" i="5"/>
  <c r="AC1070" i="5"/>
  <c r="K133" i="5"/>
  <c r="K149" i="5"/>
  <c r="K165" i="5"/>
  <c r="K181" i="5"/>
  <c r="K197" i="5"/>
  <c r="K213" i="5"/>
  <c r="K229" i="5"/>
  <c r="K245" i="5"/>
  <c r="K261" i="5"/>
  <c r="K277" i="5"/>
  <c r="K293" i="5"/>
  <c r="K309" i="5"/>
  <c r="K134" i="5"/>
  <c r="K150" i="5"/>
  <c r="K166" i="5"/>
  <c r="K182" i="5"/>
  <c r="K198" i="5"/>
  <c r="K214" i="5"/>
  <c r="K230" i="5"/>
  <c r="K246" i="5"/>
  <c r="K262" i="5"/>
  <c r="K278" i="5"/>
  <c r="K294" i="5"/>
  <c r="K119" i="5"/>
  <c r="K135" i="5"/>
  <c r="K151" i="5"/>
  <c r="K167" i="5"/>
  <c r="K183" i="5"/>
  <c r="K199" i="5"/>
  <c r="K215" i="5"/>
  <c r="K231" i="5"/>
  <c r="K247" i="5"/>
  <c r="K263" i="5"/>
  <c r="K279" i="5"/>
  <c r="K295" i="5"/>
  <c r="K311" i="5"/>
  <c r="K126" i="5"/>
  <c r="K145" i="5"/>
  <c r="K164" i="5"/>
  <c r="K186" i="5"/>
  <c r="K205" i="5"/>
  <c r="K224" i="5"/>
  <c r="K243" i="5"/>
  <c r="K265" i="5"/>
  <c r="K284" i="5"/>
  <c r="K303" i="5"/>
  <c r="K321" i="5"/>
  <c r="K337" i="5"/>
  <c r="K353" i="5"/>
  <c r="K369" i="5"/>
  <c r="K385" i="5"/>
  <c r="K401" i="5"/>
  <c r="K417" i="5"/>
  <c r="K433" i="5"/>
  <c r="K449" i="5"/>
  <c r="K465" i="5"/>
  <c r="K481" i="5"/>
  <c r="K127" i="5"/>
  <c r="K146" i="5"/>
  <c r="K168" i="5"/>
  <c r="K187" i="5"/>
  <c r="K206" i="5"/>
  <c r="K225" i="5"/>
  <c r="K244" i="5"/>
  <c r="K266" i="5"/>
  <c r="K285" i="5"/>
  <c r="K304" i="5"/>
  <c r="K322" i="5"/>
  <c r="K338" i="5"/>
  <c r="K354" i="5"/>
  <c r="K370" i="5"/>
  <c r="K386" i="5"/>
  <c r="K402" i="5"/>
  <c r="K418" i="5"/>
  <c r="K434" i="5"/>
  <c r="K450" i="5"/>
  <c r="K466" i="5"/>
  <c r="K482" i="5"/>
  <c r="K128" i="5"/>
  <c r="K147" i="5"/>
  <c r="K169" i="5"/>
  <c r="K188" i="5"/>
  <c r="K207" i="5"/>
  <c r="K226" i="5"/>
  <c r="K248" i="5"/>
  <c r="K267" i="5"/>
  <c r="K286" i="5"/>
  <c r="K305" i="5"/>
  <c r="K323" i="5"/>
  <c r="K339" i="5"/>
  <c r="K355" i="5"/>
  <c r="K371" i="5"/>
  <c r="K387" i="5"/>
  <c r="K403" i="5"/>
  <c r="K419" i="5"/>
  <c r="K435" i="5"/>
  <c r="K451" i="5"/>
  <c r="K467" i="5"/>
  <c r="K483" i="5"/>
  <c r="K129" i="5"/>
  <c r="K148" i="5"/>
  <c r="K170" i="5"/>
  <c r="K189" i="5"/>
  <c r="K208" i="5"/>
  <c r="K227" i="5"/>
  <c r="K249" i="5"/>
  <c r="K268" i="5"/>
  <c r="K287" i="5"/>
  <c r="K306" i="5"/>
  <c r="K324" i="5"/>
  <c r="K340" i="5"/>
  <c r="K356" i="5"/>
  <c r="K372" i="5"/>
  <c r="K388" i="5"/>
  <c r="K404" i="5"/>
  <c r="K420" i="5"/>
  <c r="K436" i="5"/>
  <c r="K452" i="5"/>
  <c r="K468" i="5"/>
  <c r="K484" i="5"/>
  <c r="K130" i="5"/>
  <c r="K152" i="5"/>
  <c r="K171" i="5"/>
  <c r="K190" i="5"/>
  <c r="K209" i="5"/>
  <c r="K228" i="5"/>
  <c r="K250" i="5"/>
  <c r="K269" i="5"/>
  <c r="K288" i="5"/>
  <c r="K307" i="5"/>
  <c r="K325" i="5"/>
  <c r="K341" i="5"/>
  <c r="K357" i="5"/>
  <c r="K373" i="5"/>
  <c r="K389" i="5"/>
  <c r="K405" i="5"/>
  <c r="K421" i="5"/>
  <c r="K437" i="5"/>
  <c r="K453" i="5"/>
  <c r="K469" i="5"/>
  <c r="K485" i="5"/>
  <c r="E12" i="6" s="1"/>
  <c r="K132" i="5"/>
  <c r="K154" i="5"/>
  <c r="K173" i="5"/>
  <c r="K192" i="5"/>
  <c r="K211" i="5"/>
  <c r="K233" i="5"/>
  <c r="K252" i="5"/>
  <c r="K271" i="5"/>
  <c r="K290" i="5"/>
  <c r="K310" i="5"/>
  <c r="K327" i="5"/>
  <c r="K343" i="5"/>
  <c r="K359" i="5"/>
  <c r="K375" i="5"/>
  <c r="K391" i="5"/>
  <c r="K407" i="5"/>
  <c r="K423" i="5"/>
  <c r="K439" i="5"/>
  <c r="K455" i="5"/>
  <c r="K471" i="5"/>
  <c r="K136" i="5"/>
  <c r="K155" i="5"/>
  <c r="K174" i="5"/>
  <c r="K193" i="5"/>
  <c r="K212" i="5"/>
  <c r="K234" i="5"/>
  <c r="K253" i="5"/>
  <c r="K272" i="5"/>
  <c r="K291" i="5"/>
  <c r="K312" i="5"/>
  <c r="K328" i="5"/>
  <c r="K344" i="5"/>
  <c r="K360" i="5"/>
  <c r="K376" i="5"/>
  <c r="K392" i="5"/>
  <c r="K408" i="5"/>
  <c r="K424" i="5"/>
  <c r="K440" i="5"/>
  <c r="K456" i="5"/>
  <c r="K472" i="5"/>
  <c r="K137" i="5"/>
  <c r="K156" i="5"/>
  <c r="K175" i="5"/>
  <c r="K194" i="5"/>
  <c r="K216" i="5"/>
  <c r="K235" i="5"/>
  <c r="K254" i="5"/>
  <c r="K273" i="5"/>
  <c r="K292" i="5"/>
  <c r="K313" i="5"/>
  <c r="K329" i="5"/>
  <c r="K345" i="5"/>
  <c r="K361" i="5"/>
  <c r="K377" i="5"/>
  <c r="K393" i="5"/>
  <c r="K409" i="5"/>
  <c r="K425" i="5"/>
  <c r="K441" i="5"/>
  <c r="K457" i="5"/>
  <c r="K473" i="5"/>
  <c r="K138" i="5"/>
  <c r="K157" i="5"/>
  <c r="K176" i="5"/>
  <c r="K195" i="5"/>
  <c r="K217" i="5"/>
  <c r="K236" i="5"/>
  <c r="K255" i="5"/>
  <c r="K274" i="5"/>
  <c r="K296" i="5"/>
  <c r="K314" i="5"/>
  <c r="K330" i="5"/>
  <c r="K346" i="5"/>
  <c r="K362" i="5"/>
  <c r="K378" i="5"/>
  <c r="K394" i="5"/>
  <c r="K410" i="5"/>
  <c r="K426" i="5"/>
  <c r="K442" i="5"/>
  <c r="K458" i="5"/>
  <c r="K474" i="5"/>
  <c r="K142" i="5"/>
  <c r="K185" i="5"/>
  <c r="K237" i="5"/>
  <c r="K280" i="5"/>
  <c r="K319" i="5"/>
  <c r="K358" i="5"/>
  <c r="K396" i="5"/>
  <c r="K430" i="5"/>
  <c r="K464" i="5"/>
  <c r="K143" i="5"/>
  <c r="K191" i="5"/>
  <c r="K238" i="5"/>
  <c r="K281" i="5"/>
  <c r="K320" i="5"/>
  <c r="K363" i="5"/>
  <c r="K397" i="5"/>
  <c r="K431" i="5"/>
  <c r="K470" i="5"/>
  <c r="K144" i="5"/>
  <c r="K196" i="5"/>
  <c r="K239" i="5"/>
  <c r="K282" i="5"/>
  <c r="K326" i="5"/>
  <c r="K364" i="5"/>
  <c r="K398" i="5"/>
  <c r="K432" i="5"/>
  <c r="K475" i="5"/>
  <c r="K153" i="5"/>
  <c r="K200" i="5"/>
  <c r="K240" i="5"/>
  <c r="K283" i="5"/>
  <c r="K331" i="5"/>
  <c r="K365" i="5"/>
  <c r="K399" i="5"/>
  <c r="K438" i="5"/>
  <c r="K476" i="5"/>
  <c r="K158" i="5"/>
  <c r="K201" i="5"/>
  <c r="K241" i="5"/>
  <c r="K289" i="5"/>
  <c r="K332" i="5"/>
  <c r="K366" i="5"/>
  <c r="K400" i="5"/>
  <c r="K443" i="5"/>
  <c r="K477" i="5"/>
  <c r="K159" i="5"/>
  <c r="K202" i="5"/>
  <c r="K242" i="5"/>
  <c r="K297" i="5"/>
  <c r="K333" i="5"/>
  <c r="K367" i="5"/>
  <c r="K406" i="5"/>
  <c r="K444" i="5"/>
  <c r="K478" i="5"/>
  <c r="K120" i="5"/>
  <c r="K160" i="5"/>
  <c r="K203" i="5"/>
  <c r="K251" i="5"/>
  <c r="K298" i="5"/>
  <c r="K334" i="5"/>
  <c r="K368" i="5"/>
  <c r="K411" i="5"/>
  <c r="K445" i="5"/>
  <c r="K479" i="5"/>
  <c r="K121" i="5"/>
  <c r="K161" i="5"/>
  <c r="K204" i="5"/>
  <c r="K256" i="5"/>
  <c r="K299" i="5"/>
  <c r="K335" i="5"/>
  <c r="K374" i="5"/>
  <c r="K412" i="5"/>
  <c r="K446" i="5"/>
  <c r="K480" i="5"/>
  <c r="K122" i="5"/>
  <c r="K162" i="5"/>
  <c r="K210" i="5"/>
  <c r="K257" i="5"/>
  <c r="K300" i="5"/>
  <c r="K336" i="5"/>
  <c r="K379" i="5"/>
  <c r="K413" i="5"/>
  <c r="K447" i="5"/>
  <c r="K118" i="5"/>
  <c r="K123" i="5"/>
  <c r="K163" i="5"/>
  <c r="K218" i="5"/>
  <c r="K258" i="5"/>
  <c r="K301" i="5"/>
  <c r="K342" i="5"/>
  <c r="K380" i="5"/>
  <c r="K414" i="5"/>
  <c r="K448" i="5"/>
  <c r="K124" i="5"/>
  <c r="K172" i="5"/>
  <c r="K219" i="5"/>
  <c r="K259" i="5"/>
  <c r="K302" i="5"/>
  <c r="K347" i="5"/>
  <c r="K381" i="5"/>
  <c r="K415" i="5"/>
  <c r="K454" i="5"/>
  <c r="K125" i="5"/>
  <c r="K177" i="5"/>
  <c r="K220" i="5"/>
  <c r="K260" i="5"/>
  <c r="K308" i="5"/>
  <c r="K348" i="5"/>
  <c r="K382" i="5"/>
  <c r="K416" i="5"/>
  <c r="K459" i="5"/>
  <c r="K270" i="5"/>
  <c r="K427" i="5"/>
  <c r="K275" i="5"/>
  <c r="K428" i="5"/>
  <c r="K276" i="5"/>
  <c r="K429" i="5"/>
  <c r="K131" i="5"/>
  <c r="K315" i="5"/>
  <c r="K460" i="5"/>
  <c r="K141" i="5"/>
  <c r="K318" i="5"/>
  <c r="K463" i="5"/>
  <c r="K178" i="5"/>
  <c r="K349" i="5"/>
  <c r="K179" i="5"/>
  <c r="K350" i="5"/>
  <c r="K180" i="5"/>
  <c r="K351" i="5"/>
  <c r="K139" i="5"/>
  <c r="K461" i="5"/>
  <c r="K140" i="5"/>
  <c r="K462" i="5"/>
  <c r="K184" i="5"/>
  <c r="K221" i="5"/>
  <c r="K222" i="5"/>
  <c r="K223" i="5"/>
  <c r="K317" i="5"/>
  <c r="K232" i="5"/>
  <c r="K264" i="5"/>
  <c r="K316" i="5"/>
  <c r="K390" i="5"/>
  <c r="K395" i="5"/>
  <c r="K422" i="5"/>
  <c r="K352" i="5"/>
  <c r="K383" i="5"/>
  <c r="K384" i="5"/>
  <c r="E478" i="5"/>
  <c r="E479" i="5"/>
  <c r="E480" i="5"/>
  <c r="E481" i="5"/>
  <c r="E482" i="5"/>
  <c r="E468" i="5"/>
  <c r="E484" i="5"/>
  <c r="E469" i="5"/>
  <c r="E485" i="5"/>
  <c r="E11" i="6" s="1"/>
  <c r="E470" i="5"/>
  <c r="E467" i="5"/>
  <c r="E471" i="5"/>
  <c r="E472" i="5"/>
  <c r="E473" i="5"/>
  <c r="E474" i="5"/>
  <c r="E475" i="5"/>
  <c r="E476" i="5"/>
  <c r="E477" i="5"/>
  <c r="E483" i="5"/>
  <c r="AJ95" i="5"/>
  <c r="AJ111" i="5"/>
  <c r="AJ127" i="5"/>
  <c r="AJ143" i="5"/>
  <c r="AJ159" i="5"/>
  <c r="AJ175" i="5"/>
  <c r="AJ191" i="5"/>
  <c r="AJ207" i="5"/>
  <c r="AJ223" i="5"/>
  <c r="AJ239" i="5"/>
  <c r="AJ255" i="5"/>
  <c r="AJ271" i="5"/>
  <c r="AJ106" i="5"/>
  <c r="AJ122" i="5"/>
  <c r="AJ138" i="5"/>
  <c r="AJ154" i="5"/>
  <c r="AJ170" i="5"/>
  <c r="AJ186" i="5"/>
  <c r="AJ202" i="5"/>
  <c r="AJ218" i="5"/>
  <c r="AJ234" i="5"/>
  <c r="AJ250" i="5"/>
  <c r="AJ266" i="5"/>
  <c r="AJ282" i="5"/>
  <c r="AJ108" i="5"/>
  <c r="AJ124" i="5"/>
  <c r="AJ140" i="5"/>
  <c r="AJ156" i="5"/>
  <c r="AJ172" i="5"/>
  <c r="AJ188" i="5"/>
  <c r="AJ204" i="5"/>
  <c r="AJ220" i="5"/>
  <c r="AJ236" i="5"/>
  <c r="AJ252" i="5"/>
  <c r="AJ268" i="5"/>
  <c r="AJ92" i="5"/>
  <c r="AO228" i="5"/>
  <c r="AJ205" i="5"/>
  <c r="AO147" i="5"/>
  <c r="AO146" i="5"/>
  <c r="AJ155" i="5"/>
  <c r="AJ280" i="5"/>
  <c r="AO206" i="5"/>
  <c r="AJ183" i="5"/>
  <c r="AO109" i="5"/>
  <c r="AJ270" i="5"/>
  <c r="AO212" i="5"/>
  <c r="AJ189" i="5"/>
  <c r="AO131" i="5"/>
  <c r="AO130" i="5"/>
  <c r="AJ139" i="5"/>
  <c r="AO271" i="5"/>
  <c r="AJ264" i="5"/>
  <c r="AO190" i="5"/>
  <c r="AJ167" i="5"/>
  <c r="AO93" i="5"/>
  <c r="AO268" i="5"/>
  <c r="AJ245" i="5"/>
  <c r="AO187" i="5"/>
  <c r="AJ148" i="5"/>
  <c r="AO249" i="5"/>
  <c r="AJ210" i="5"/>
  <c r="AO152" i="5"/>
  <c r="AJ113" i="5"/>
  <c r="AJ272" i="5"/>
  <c r="AO198" i="5"/>
  <c r="AO181" i="5"/>
  <c r="AJ254" i="5"/>
  <c r="AO196" i="5"/>
  <c r="AJ173" i="5"/>
  <c r="AO115" i="5"/>
  <c r="AO114" i="5"/>
  <c r="AJ123" i="5"/>
  <c r="AO255" i="5"/>
  <c r="AJ248" i="5"/>
  <c r="AO174" i="5"/>
  <c r="AJ151" i="5"/>
  <c r="AO252" i="5"/>
  <c r="AJ281" i="5"/>
  <c r="AJ238" i="5"/>
  <c r="AO180" i="5"/>
  <c r="AJ157" i="5"/>
  <c r="AO99" i="5"/>
  <c r="AO98" i="5"/>
  <c r="AJ107" i="5"/>
  <c r="AO272" i="5"/>
  <c r="AO239" i="5"/>
  <c r="AJ232" i="5"/>
  <c r="AO158" i="5"/>
  <c r="AJ265" i="5"/>
  <c r="AJ222" i="5"/>
  <c r="AO164" i="5"/>
  <c r="AJ141" i="5"/>
  <c r="AO273" i="5"/>
  <c r="AO256" i="5"/>
  <c r="AO223" i="5"/>
  <c r="AJ216" i="5"/>
  <c r="AO142" i="5"/>
  <c r="AJ119" i="5"/>
  <c r="AJ278" i="5"/>
  <c r="AO220" i="5"/>
  <c r="AJ249" i="5"/>
  <c r="AJ206" i="5"/>
  <c r="AO148" i="5"/>
  <c r="AJ125" i="5"/>
  <c r="AO257" i="5"/>
  <c r="AO240" i="5"/>
  <c r="AO207" i="5"/>
  <c r="AJ200" i="5"/>
  <c r="AO126" i="5"/>
  <c r="AJ103" i="5"/>
  <c r="AJ262" i="5"/>
  <c r="AO204" i="5"/>
  <c r="AJ181" i="5"/>
  <c r="AO123" i="5"/>
  <c r="AO282" i="5"/>
  <c r="AJ243" i="5"/>
  <c r="AO185" i="5"/>
  <c r="AJ233" i="5"/>
  <c r="AJ190" i="5"/>
  <c r="AO132" i="5"/>
  <c r="AJ109" i="5"/>
  <c r="AO241" i="5"/>
  <c r="AO224" i="5"/>
  <c r="AO191" i="5"/>
  <c r="AJ184" i="5"/>
  <c r="AO110" i="5"/>
  <c r="AO269" i="5"/>
  <c r="AJ246" i="5"/>
  <c r="AO188" i="5"/>
  <c r="AJ165" i="5"/>
  <c r="AO107" i="5"/>
  <c r="AO266" i="5"/>
  <c r="AJ217" i="5"/>
  <c r="AJ174" i="5"/>
  <c r="AO116" i="5"/>
  <c r="AJ93" i="5"/>
  <c r="AO225" i="5"/>
  <c r="AO208" i="5"/>
  <c r="AO175" i="5"/>
  <c r="AJ201" i="5"/>
  <c r="AJ158" i="5"/>
  <c r="AO100" i="5"/>
  <c r="AO275" i="5"/>
  <c r="AO274" i="5"/>
  <c r="AJ283" i="5"/>
  <c r="AO209" i="5"/>
  <c r="AO192" i="5"/>
  <c r="AO159" i="5"/>
  <c r="AJ152" i="5"/>
  <c r="AO237" i="5"/>
  <c r="AJ214" i="5"/>
  <c r="AO156" i="5"/>
  <c r="AJ185" i="5"/>
  <c r="AJ142" i="5"/>
  <c r="AO259" i="5"/>
  <c r="AO258" i="5"/>
  <c r="AJ267" i="5"/>
  <c r="AO193" i="5"/>
  <c r="AO176" i="5"/>
  <c r="AO143" i="5"/>
  <c r="AJ136" i="5"/>
  <c r="AO221" i="5"/>
  <c r="AJ198" i="5"/>
  <c r="AO140" i="5"/>
  <c r="AJ117" i="5"/>
  <c r="AJ169" i="5"/>
  <c r="AJ126" i="5"/>
  <c r="AO243" i="5"/>
  <c r="AO242" i="5"/>
  <c r="AJ251" i="5"/>
  <c r="AO177" i="5"/>
  <c r="AO160" i="5"/>
  <c r="AO127" i="5"/>
  <c r="AJ120" i="5"/>
  <c r="AJ279" i="5"/>
  <c r="AJ153" i="5"/>
  <c r="AJ110" i="5"/>
  <c r="AO227" i="5"/>
  <c r="AO226" i="5"/>
  <c r="AJ235" i="5"/>
  <c r="AO161" i="5"/>
  <c r="AO144" i="5"/>
  <c r="AO111" i="5"/>
  <c r="AJ104" i="5"/>
  <c r="AJ137" i="5"/>
  <c r="AO101" i="5"/>
  <c r="AJ94" i="5"/>
  <c r="AJ269" i="5"/>
  <c r="AO211" i="5"/>
  <c r="AO210" i="5"/>
  <c r="AJ219" i="5"/>
  <c r="AO145" i="5"/>
  <c r="AO128" i="5"/>
  <c r="AJ121" i="5"/>
  <c r="AO276" i="5"/>
  <c r="AJ253" i="5"/>
  <c r="AO195" i="5"/>
  <c r="AO194" i="5"/>
  <c r="AJ203" i="5"/>
  <c r="AO129" i="5"/>
  <c r="AO112" i="5"/>
  <c r="AO254" i="5"/>
  <c r="AJ231" i="5"/>
  <c r="AO157" i="5"/>
  <c r="AJ134" i="5"/>
  <c r="AO251" i="5"/>
  <c r="AJ212" i="5"/>
  <c r="AO154" i="5"/>
  <c r="AJ115" i="5"/>
  <c r="AJ274" i="5"/>
  <c r="AO216" i="5"/>
  <c r="AJ177" i="5"/>
  <c r="AO119" i="5"/>
  <c r="AO262" i="5"/>
  <c r="AO245" i="5"/>
  <c r="AJ105" i="5"/>
  <c r="AJ96" i="5"/>
  <c r="AO260" i="5"/>
  <c r="AJ237" i="5"/>
  <c r="AO179" i="5"/>
  <c r="AO178" i="5"/>
  <c r="AJ187" i="5"/>
  <c r="AO113" i="5"/>
  <c r="AO244" i="5"/>
  <c r="AJ221" i="5"/>
  <c r="AO163" i="5"/>
  <c r="AO162" i="5"/>
  <c r="AJ171" i="5"/>
  <c r="AO97" i="5"/>
  <c r="AO222" i="5"/>
  <c r="AJ199" i="5"/>
  <c r="AO125" i="5"/>
  <c r="AJ102" i="5"/>
  <c r="AJ277" i="5"/>
  <c r="AO219" i="5"/>
  <c r="AO253" i="5"/>
  <c r="AJ118" i="5"/>
  <c r="AJ229" i="5"/>
  <c r="AJ164" i="5"/>
  <c r="AJ179" i="5"/>
  <c r="AJ226" i="5"/>
  <c r="AO120" i="5"/>
  <c r="AO215" i="5"/>
  <c r="AJ112" i="5"/>
  <c r="AO197" i="5"/>
  <c r="AO165" i="5"/>
  <c r="AO205" i="5"/>
  <c r="AO91" i="5"/>
  <c r="AJ213" i="5"/>
  <c r="AJ132" i="5"/>
  <c r="AJ163" i="5"/>
  <c r="AJ194" i="5"/>
  <c r="AO104" i="5"/>
  <c r="AO199" i="5"/>
  <c r="AO278" i="5"/>
  <c r="AO189" i="5"/>
  <c r="AO236" i="5"/>
  <c r="AJ197" i="5"/>
  <c r="AJ116" i="5"/>
  <c r="AJ147" i="5"/>
  <c r="AJ178" i="5"/>
  <c r="AJ273" i="5"/>
  <c r="AO183" i="5"/>
  <c r="AO246" i="5"/>
  <c r="AO149" i="5"/>
  <c r="AO173" i="5"/>
  <c r="AO172" i="5"/>
  <c r="AJ149" i="5"/>
  <c r="AJ168" i="5"/>
  <c r="AO141" i="5"/>
  <c r="AO124" i="5"/>
  <c r="AJ133" i="5"/>
  <c r="AO250" i="5"/>
  <c r="AO270" i="5"/>
  <c r="AO108" i="5"/>
  <c r="AJ101" i="5"/>
  <c r="AO234" i="5"/>
  <c r="AO238" i="5"/>
  <c r="AO92" i="5"/>
  <c r="AO283" i="5"/>
  <c r="AO218" i="5"/>
  <c r="AO265" i="5"/>
  <c r="AO94" i="5"/>
  <c r="AO267" i="5"/>
  <c r="AO202" i="5"/>
  <c r="AO235" i="5"/>
  <c r="AO186" i="5"/>
  <c r="AO203" i="5"/>
  <c r="AO170" i="5"/>
  <c r="AO201" i="5"/>
  <c r="AO171" i="5"/>
  <c r="AJ276" i="5"/>
  <c r="AO138" i="5"/>
  <c r="AO169" i="5"/>
  <c r="AO96" i="5"/>
  <c r="AO155" i="5"/>
  <c r="AJ263" i="5"/>
  <c r="AJ230" i="5"/>
  <c r="AO139" i="5"/>
  <c r="AJ244" i="5"/>
  <c r="AO106" i="5"/>
  <c r="AJ259" i="5"/>
  <c r="AJ247" i="5"/>
  <c r="AJ182" i="5"/>
  <c r="AJ228" i="5"/>
  <c r="AJ227" i="5"/>
  <c r="AO121" i="5"/>
  <c r="AO184" i="5"/>
  <c r="AJ215" i="5"/>
  <c r="AJ166" i="5"/>
  <c r="AO95" i="5"/>
  <c r="AJ135" i="5"/>
  <c r="AJ150" i="5"/>
  <c r="AJ261" i="5"/>
  <c r="AJ180" i="5"/>
  <c r="AO233" i="5"/>
  <c r="AJ242" i="5"/>
  <c r="AJ145" i="5"/>
  <c r="AJ128" i="5"/>
  <c r="AO217" i="5"/>
  <c r="AJ162" i="5"/>
  <c r="AJ129" i="5"/>
  <c r="AO230" i="5"/>
  <c r="AO153" i="5"/>
  <c r="AJ146" i="5"/>
  <c r="AJ97" i="5"/>
  <c r="AO214" i="5"/>
  <c r="AJ260" i="5"/>
  <c r="AO137" i="5"/>
  <c r="AJ130" i="5"/>
  <c r="AO279" i="5"/>
  <c r="AO182" i="5"/>
  <c r="AJ196" i="5"/>
  <c r="AO105" i="5"/>
  <c r="AJ114" i="5"/>
  <c r="AJ100" i="5"/>
  <c r="AJ98" i="5"/>
  <c r="AO247" i="5"/>
  <c r="AO122" i="5"/>
  <c r="AO264" i="5"/>
  <c r="AO167" i="5"/>
  <c r="AO118" i="5"/>
  <c r="AO232" i="5"/>
  <c r="AO135" i="5"/>
  <c r="AJ240" i="5"/>
  <c r="AJ275" i="5"/>
  <c r="AJ211" i="5"/>
  <c r="AO168" i="5"/>
  <c r="AJ195" i="5"/>
  <c r="AO136" i="5"/>
  <c r="AJ225" i="5"/>
  <c r="AJ192" i="5"/>
  <c r="AJ131" i="5"/>
  <c r="AJ99" i="5"/>
  <c r="AJ193" i="5"/>
  <c r="AJ160" i="5"/>
  <c r="AO281" i="5"/>
  <c r="AJ209" i="5"/>
  <c r="AJ144" i="5"/>
  <c r="AO229" i="5"/>
  <c r="AJ161" i="5"/>
  <c r="AO166" i="5"/>
  <c r="AO263" i="5"/>
  <c r="AO150" i="5"/>
  <c r="AO133" i="5"/>
  <c r="AO231" i="5"/>
  <c r="AO134" i="5"/>
  <c r="AO117" i="5"/>
  <c r="AJ258" i="5"/>
  <c r="AO151" i="5"/>
  <c r="AO102" i="5"/>
  <c r="AO280" i="5"/>
  <c r="AO103" i="5"/>
  <c r="AO248" i="5"/>
  <c r="AO200" i="5"/>
  <c r="AO277" i="5"/>
  <c r="AO261" i="5"/>
  <c r="AO213" i="5"/>
  <c r="AJ257" i="5"/>
  <c r="AJ241" i="5"/>
  <c r="AJ256" i="5"/>
  <c r="AJ224" i="5"/>
  <c r="AJ208" i="5"/>
  <c r="AJ176" i="5"/>
  <c r="Q485" i="5"/>
  <c r="Q474" i="5"/>
  <c r="Q475" i="5"/>
  <c r="Q476" i="5"/>
  <c r="Q477" i="5"/>
  <c r="Q478" i="5"/>
  <c r="Q479" i="5"/>
  <c r="Q481" i="5"/>
  <c r="Q482" i="5"/>
  <c r="Q483" i="5"/>
  <c r="Q484" i="5"/>
  <c r="Q480" i="5"/>
  <c r="W208" i="5"/>
  <c r="W224" i="5"/>
  <c r="W240" i="5"/>
  <c r="W210" i="5"/>
  <c r="W226" i="5"/>
  <c r="W242" i="5"/>
  <c r="W258" i="5"/>
  <c r="W274" i="5"/>
  <c r="W290" i="5"/>
  <c r="W306" i="5"/>
  <c r="W322" i="5"/>
  <c r="W338" i="5"/>
  <c r="W354" i="5"/>
  <c r="W370" i="5"/>
  <c r="W386" i="5"/>
  <c r="W402" i="5"/>
  <c r="W418" i="5"/>
  <c r="W434" i="5"/>
  <c r="W212" i="5"/>
  <c r="W228" i="5"/>
  <c r="W244" i="5"/>
  <c r="W260" i="5"/>
  <c r="W276" i="5"/>
  <c r="W292" i="5"/>
  <c r="W308" i="5"/>
  <c r="W324" i="5"/>
  <c r="W340" i="5"/>
  <c r="W356" i="5"/>
  <c r="W372" i="5"/>
  <c r="W388" i="5"/>
  <c r="W404" i="5"/>
  <c r="W420" i="5"/>
  <c r="W436" i="5"/>
  <c r="W213" i="5"/>
  <c r="W229" i="5"/>
  <c r="W245" i="5"/>
  <c r="W261" i="5"/>
  <c r="W277" i="5"/>
  <c r="W293" i="5"/>
  <c r="W309" i="5"/>
  <c r="W325" i="5"/>
  <c r="W341" i="5"/>
  <c r="W357" i="5"/>
  <c r="W373" i="5"/>
  <c r="W389" i="5"/>
  <c r="W405" i="5"/>
  <c r="W421" i="5"/>
  <c r="W437" i="5"/>
  <c r="W214" i="5"/>
  <c r="W230" i="5"/>
  <c r="W246" i="5"/>
  <c r="W262" i="5"/>
  <c r="W278" i="5"/>
  <c r="W294" i="5"/>
  <c r="W310" i="5"/>
  <c r="W326" i="5"/>
  <c r="W342" i="5"/>
  <c r="W358" i="5"/>
  <c r="W374" i="5"/>
  <c r="W390" i="5"/>
  <c r="W406" i="5"/>
  <c r="W422" i="5"/>
  <c r="W438" i="5"/>
  <c r="W215" i="5"/>
  <c r="W231" i="5"/>
  <c r="W247" i="5"/>
  <c r="W263" i="5"/>
  <c r="W279" i="5"/>
  <c r="W295" i="5"/>
  <c r="W311" i="5"/>
  <c r="W327" i="5"/>
  <c r="W343" i="5"/>
  <c r="W359" i="5"/>
  <c r="W375" i="5"/>
  <c r="W391" i="5"/>
  <c r="W407" i="5"/>
  <c r="W423" i="5"/>
  <c r="W439" i="5"/>
  <c r="W200" i="5"/>
  <c r="W216" i="5"/>
  <c r="W232" i="5"/>
  <c r="W248" i="5"/>
  <c r="W264" i="5"/>
  <c r="W280" i="5"/>
  <c r="W296" i="5"/>
  <c r="W312" i="5"/>
  <c r="W328" i="5"/>
  <c r="W344" i="5"/>
  <c r="W360" i="5"/>
  <c r="W376" i="5"/>
  <c r="W392" i="5"/>
  <c r="W408" i="5"/>
  <c r="W424" i="5"/>
  <c r="W440" i="5"/>
  <c r="W201" i="5"/>
  <c r="W217" i="5"/>
  <c r="W233" i="5"/>
  <c r="W249" i="5"/>
  <c r="W265" i="5"/>
  <c r="W281" i="5"/>
  <c r="W297" i="5"/>
  <c r="W313" i="5"/>
  <c r="W329" i="5"/>
  <c r="W345" i="5"/>
  <c r="W361" i="5"/>
  <c r="W377" i="5"/>
  <c r="W393" i="5"/>
  <c r="W409" i="5"/>
  <c r="W425" i="5"/>
  <c r="W441" i="5"/>
  <c r="W202" i="5"/>
  <c r="W218" i="5"/>
  <c r="W234" i="5"/>
  <c r="W250" i="5"/>
  <c r="W266" i="5"/>
  <c r="W282" i="5"/>
  <c r="W298" i="5"/>
  <c r="W314" i="5"/>
  <c r="W330" i="5"/>
  <c r="W346" i="5"/>
  <c r="W362" i="5"/>
  <c r="W203" i="5"/>
  <c r="W219" i="5"/>
  <c r="W235" i="5"/>
  <c r="W251" i="5"/>
  <c r="W267" i="5"/>
  <c r="W283" i="5"/>
  <c r="W299" i="5"/>
  <c r="W315" i="5"/>
  <c r="W331" i="5"/>
  <c r="W347" i="5"/>
  <c r="W363" i="5"/>
  <c r="W379" i="5"/>
  <c r="W395" i="5"/>
  <c r="W411" i="5"/>
  <c r="W427" i="5"/>
  <c r="W443" i="5"/>
  <c r="W204" i="5"/>
  <c r="W241" i="5"/>
  <c r="W284" i="5"/>
  <c r="W318" i="5"/>
  <c r="W352" i="5"/>
  <c r="W385" i="5"/>
  <c r="W417" i="5"/>
  <c r="W449" i="5"/>
  <c r="W465" i="5"/>
  <c r="W481" i="5"/>
  <c r="W497" i="5"/>
  <c r="W513" i="5"/>
  <c r="W529" i="5"/>
  <c r="W545" i="5"/>
  <c r="W561" i="5"/>
  <c r="W577" i="5"/>
  <c r="W593" i="5"/>
  <c r="W609" i="5"/>
  <c r="W625" i="5"/>
  <c r="W641" i="5"/>
  <c r="W657" i="5"/>
  <c r="W673" i="5"/>
  <c r="W689" i="5"/>
  <c r="W705" i="5"/>
  <c r="W721" i="5"/>
  <c r="W737" i="5"/>
  <c r="W753" i="5"/>
  <c r="W769" i="5"/>
  <c r="W785" i="5"/>
  <c r="W801" i="5"/>
  <c r="W817" i="5"/>
  <c r="W833" i="5"/>
  <c r="W849" i="5"/>
  <c r="W865" i="5"/>
  <c r="W881" i="5"/>
  <c r="W897" i="5"/>
  <c r="W913" i="5"/>
  <c r="W929" i="5"/>
  <c r="W945" i="5"/>
  <c r="W961" i="5"/>
  <c r="W977" i="5"/>
  <c r="W993" i="5"/>
  <c r="W1009" i="5"/>
  <c r="W1025" i="5"/>
  <c r="W1041" i="5"/>
  <c r="W1057" i="5"/>
  <c r="W1073" i="5"/>
  <c r="W1089" i="5"/>
  <c r="W1105" i="5"/>
  <c r="W1121" i="5"/>
  <c r="W1137" i="5"/>
  <c r="W1153" i="5"/>
  <c r="W1169" i="5"/>
  <c r="W1185" i="5"/>
  <c r="W1201" i="5"/>
  <c r="W205" i="5"/>
  <c r="W243" i="5"/>
  <c r="W285" i="5"/>
  <c r="W319" i="5"/>
  <c r="W353" i="5"/>
  <c r="W387" i="5"/>
  <c r="W419" i="5"/>
  <c r="W450" i="5"/>
  <c r="W466" i="5"/>
  <c r="W482" i="5"/>
  <c r="W498" i="5"/>
  <c r="W514" i="5"/>
  <c r="W530" i="5"/>
  <c r="W546" i="5"/>
  <c r="W562" i="5"/>
  <c r="W578" i="5"/>
  <c r="W594" i="5"/>
  <c r="W610" i="5"/>
  <c r="W626" i="5"/>
  <c r="W642" i="5"/>
  <c r="W658" i="5"/>
  <c r="W674" i="5"/>
  <c r="W690" i="5"/>
  <c r="W706" i="5"/>
  <c r="W722" i="5"/>
  <c r="W738" i="5"/>
  <c r="W754" i="5"/>
  <c r="W770" i="5"/>
  <c r="W786" i="5"/>
  <c r="W802" i="5"/>
  <c r="W818" i="5"/>
  <c r="W834" i="5"/>
  <c r="W850" i="5"/>
  <c r="W866" i="5"/>
  <c r="W882" i="5"/>
  <c r="W898" i="5"/>
  <c r="W914" i="5"/>
  <c r="W930" i="5"/>
  <c r="W946" i="5"/>
  <c r="W962" i="5"/>
  <c r="W978" i="5"/>
  <c r="W994" i="5"/>
  <c r="W1010" i="5"/>
  <c r="W1026" i="5"/>
  <c r="W1042" i="5"/>
  <c r="W1058" i="5"/>
  <c r="W1074" i="5"/>
  <c r="W1090" i="5"/>
  <c r="W1106" i="5"/>
  <c r="W1122" i="5"/>
  <c r="W1138" i="5"/>
  <c r="W1154" i="5"/>
  <c r="W1170" i="5"/>
  <c r="W1186" i="5"/>
  <c r="W1202" i="5"/>
  <c r="W206" i="5"/>
  <c r="W252" i="5"/>
  <c r="W286" i="5"/>
  <c r="W320" i="5"/>
  <c r="W355" i="5"/>
  <c r="W394" i="5"/>
  <c r="W426" i="5"/>
  <c r="W451" i="5"/>
  <c r="W467" i="5"/>
  <c r="W483" i="5"/>
  <c r="W499" i="5"/>
  <c r="W515" i="5"/>
  <c r="W531" i="5"/>
  <c r="W547" i="5"/>
  <c r="W563" i="5"/>
  <c r="W579" i="5"/>
  <c r="W595" i="5"/>
  <c r="W611" i="5"/>
  <c r="W627" i="5"/>
  <c r="W643" i="5"/>
  <c r="W659" i="5"/>
  <c r="W675" i="5"/>
  <c r="W691" i="5"/>
  <c r="W707" i="5"/>
  <c r="W723" i="5"/>
  <c r="W739" i="5"/>
  <c r="W755" i="5"/>
  <c r="W771" i="5"/>
  <c r="W787" i="5"/>
  <c r="W803" i="5"/>
  <c r="W819" i="5"/>
  <c r="W835" i="5"/>
  <c r="W851" i="5"/>
  <c r="W867" i="5"/>
  <c r="W883" i="5"/>
  <c r="W899" i="5"/>
  <c r="W915" i="5"/>
  <c r="W931" i="5"/>
  <c r="W947" i="5"/>
  <c r="W963" i="5"/>
  <c r="W979" i="5"/>
  <c r="W995" i="5"/>
  <c r="W1011" i="5"/>
  <c r="W1027" i="5"/>
  <c r="W1043" i="5"/>
  <c r="W1059" i="5"/>
  <c r="W1075" i="5"/>
  <c r="W1091" i="5"/>
  <c r="W1107" i="5"/>
  <c r="W1123" i="5"/>
  <c r="W1139" i="5"/>
  <c r="W1155" i="5"/>
  <c r="W1171" i="5"/>
  <c r="W1187" i="5"/>
  <c r="W1203" i="5"/>
  <c r="W207" i="5"/>
  <c r="W253" i="5"/>
  <c r="W287" i="5"/>
  <c r="W321" i="5"/>
  <c r="W364" i="5"/>
  <c r="W396" i="5"/>
  <c r="W428" i="5"/>
  <c r="W452" i="5"/>
  <c r="W468" i="5"/>
  <c r="W484" i="5"/>
  <c r="W500" i="5"/>
  <c r="W516" i="5"/>
  <c r="W532" i="5"/>
  <c r="W548" i="5"/>
  <c r="W564" i="5"/>
  <c r="W580" i="5"/>
  <c r="W596" i="5"/>
  <c r="W612" i="5"/>
  <c r="W628" i="5"/>
  <c r="W644" i="5"/>
  <c r="W660" i="5"/>
  <c r="W676" i="5"/>
  <c r="W692" i="5"/>
  <c r="W708" i="5"/>
  <c r="W724" i="5"/>
  <c r="W740" i="5"/>
  <c r="W756" i="5"/>
  <c r="W772" i="5"/>
  <c r="W209" i="5"/>
  <c r="W254" i="5"/>
  <c r="W288" i="5"/>
  <c r="W323" i="5"/>
  <c r="W365" i="5"/>
  <c r="W397" i="5"/>
  <c r="W429" i="5"/>
  <c r="W453" i="5"/>
  <c r="W469" i="5"/>
  <c r="W485" i="5"/>
  <c r="W501" i="5"/>
  <c r="W517" i="5"/>
  <c r="W533" i="5"/>
  <c r="W549" i="5"/>
  <c r="W565" i="5"/>
  <c r="W581" i="5"/>
  <c r="W597" i="5"/>
  <c r="W613" i="5"/>
  <c r="W629" i="5"/>
  <c r="W645" i="5"/>
  <c r="W661" i="5"/>
  <c r="W677" i="5"/>
  <c r="W693" i="5"/>
  <c r="W709" i="5"/>
  <c r="W725" i="5"/>
  <c r="W741" i="5"/>
  <c r="W757" i="5"/>
  <c r="W773" i="5"/>
  <c r="W789" i="5"/>
  <c r="W211" i="5"/>
  <c r="W255" i="5"/>
  <c r="W289" i="5"/>
  <c r="W332" i="5"/>
  <c r="W366" i="5"/>
  <c r="W398" i="5"/>
  <c r="W430" i="5"/>
  <c r="W454" i="5"/>
  <c r="W470" i="5"/>
  <c r="W486" i="5"/>
  <c r="W502" i="5"/>
  <c r="W518" i="5"/>
  <c r="W534" i="5"/>
  <c r="W550" i="5"/>
  <c r="W566" i="5"/>
  <c r="W582" i="5"/>
  <c r="W598" i="5"/>
  <c r="W614" i="5"/>
  <c r="W630" i="5"/>
  <c r="W646" i="5"/>
  <c r="W662" i="5"/>
  <c r="W678" i="5"/>
  <c r="W694" i="5"/>
  <c r="W710" i="5"/>
  <c r="W726" i="5"/>
  <c r="W742" i="5"/>
  <c r="W758" i="5"/>
  <c r="W774" i="5"/>
  <c r="W790" i="5"/>
  <c r="W220" i="5"/>
  <c r="W256" i="5"/>
  <c r="W291" i="5"/>
  <c r="W333" i="5"/>
  <c r="W367" i="5"/>
  <c r="W399" i="5"/>
  <c r="W431" i="5"/>
  <c r="W455" i="5"/>
  <c r="W471" i="5"/>
  <c r="W487" i="5"/>
  <c r="W503" i="5"/>
  <c r="W519" i="5"/>
  <c r="W535" i="5"/>
  <c r="W551" i="5"/>
  <c r="W567" i="5"/>
  <c r="W221" i="5"/>
  <c r="W257" i="5"/>
  <c r="W300" i="5"/>
  <c r="W334" i="5"/>
  <c r="W368" i="5"/>
  <c r="W400" i="5"/>
  <c r="W432" i="5"/>
  <c r="W456" i="5"/>
  <c r="W472" i="5"/>
  <c r="W488" i="5"/>
  <c r="W504" i="5"/>
  <c r="W520" i="5"/>
  <c r="W536" i="5"/>
  <c r="W552" i="5"/>
  <c r="W568" i="5"/>
  <c r="W584" i="5"/>
  <c r="W600" i="5"/>
  <c r="W616" i="5"/>
  <c r="W222" i="5"/>
  <c r="W259" i="5"/>
  <c r="W301" i="5"/>
  <c r="W335" i="5"/>
  <c r="W369" i="5"/>
  <c r="W401" i="5"/>
  <c r="W433" i="5"/>
  <c r="W457" i="5"/>
  <c r="W473" i="5"/>
  <c r="W489" i="5"/>
  <c r="W505" i="5"/>
  <c r="W521" i="5"/>
  <c r="W537" i="5"/>
  <c r="W553" i="5"/>
  <c r="W569" i="5"/>
  <c r="W223" i="5"/>
  <c r="W268" i="5"/>
  <c r="W302" i="5"/>
  <c r="W336" i="5"/>
  <c r="W371" i="5"/>
  <c r="W403" i="5"/>
  <c r="W435" i="5"/>
  <c r="W458" i="5"/>
  <c r="W474" i="5"/>
  <c r="W490" i="5"/>
  <c r="W506" i="5"/>
  <c r="W522" i="5"/>
  <c r="W538" i="5"/>
  <c r="W554" i="5"/>
  <c r="W570" i="5"/>
  <c r="W303" i="5"/>
  <c r="W383" i="5"/>
  <c r="W461" i="5"/>
  <c r="W507" i="5"/>
  <c r="W543" i="5"/>
  <c r="W586" i="5"/>
  <c r="W615" i="5"/>
  <c r="W638" i="5"/>
  <c r="W666" i="5"/>
  <c r="W688" i="5"/>
  <c r="W716" i="5"/>
  <c r="W744" i="5"/>
  <c r="W766" i="5"/>
  <c r="W793" i="5"/>
  <c r="W812" i="5"/>
  <c r="W831" i="5"/>
  <c r="W853" i="5"/>
  <c r="W872" i="5"/>
  <c r="W891" i="5"/>
  <c r="W910" i="5"/>
  <c r="W932" i="5"/>
  <c r="W951" i="5"/>
  <c r="W970" i="5"/>
  <c r="W989" i="5"/>
  <c r="W1008" i="5"/>
  <c r="W1030" i="5"/>
  <c r="W1049" i="5"/>
  <c r="W1068" i="5"/>
  <c r="W1087" i="5"/>
  <c r="W1109" i="5"/>
  <c r="W1128" i="5"/>
  <c r="W1147" i="5"/>
  <c r="W1166" i="5"/>
  <c r="W1188" i="5"/>
  <c r="W304" i="5"/>
  <c r="W384" i="5"/>
  <c r="W462" i="5"/>
  <c r="W508" i="5"/>
  <c r="W544" i="5"/>
  <c r="W587" i="5"/>
  <c r="W617" i="5"/>
  <c r="W639" i="5"/>
  <c r="W667" i="5"/>
  <c r="W695" i="5"/>
  <c r="W717" i="5"/>
  <c r="W745" i="5"/>
  <c r="W767" i="5"/>
  <c r="W794" i="5"/>
  <c r="W813" i="5"/>
  <c r="W832" i="5"/>
  <c r="W854" i="5"/>
  <c r="W873" i="5"/>
  <c r="W892" i="5"/>
  <c r="W911" i="5"/>
  <c r="W933" i="5"/>
  <c r="W952" i="5"/>
  <c r="W971" i="5"/>
  <c r="W990" i="5"/>
  <c r="W1012" i="5"/>
  <c r="W1031" i="5"/>
  <c r="W1050" i="5"/>
  <c r="W1069" i="5"/>
  <c r="W1088" i="5"/>
  <c r="W1110" i="5"/>
  <c r="W1129" i="5"/>
  <c r="W1148" i="5"/>
  <c r="W1167" i="5"/>
  <c r="W1189" i="5"/>
  <c r="W305" i="5"/>
  <c r="W410" i="5"/>
  <c r="W463" i="5"/>
  <c r="W509" i="5"/>
  <c r="W555" i="5"/>
  <c r="W588" i="5"/>
  <c r="W618" i="5"/>
  <c r="W640" i="5"/>
  <c r="W668" i="5"/>
  <c r="W696" i="5"/>
  <c r="W718" i="5"/>
  <c r="W746" i="5"/>
  <c r="W768" i="5"/>
  <c r="W795" i="5"/>
  <c r="W814" i="5"/>
  <c r="W836" i="5"/>
  <c r="W855" i="5"/>
  <c r="W874" i="5"/>
  <c r="W893" i="5"/>
  <c r="W912" i="5"/>
  <c r="W934" i="5"/>
  <c r="W953" i="5"/>
  <c r="W972" i="5"/>
  <c r="W991" i="5"/>
  <c r="W1013" i="5"/>
  <c r="W1032" i="5"/>
  <c r="W1051" i="5"/>
  <c r="W1070" i="5"/>
  <c r="W1092" i="5"/>
  <c r="W1111" i="5"/>
  <c r="W1130" i="5"/>
  <c r="W1149" i="5"/>
  <c r="W1168" i="5"/>
  <c r="W1190" i="5"/>
  <c r="W307" i="5"/>
  <c r="W412" i="5"/>
  <c r="W464" i="5"/>
  <c r="W510" i="5"/>
  <c r="W556" i="5"/>
  <c r="W589" i="5"/>
  <c r="W619" i="5"/>
  <c r="W647" i="5"/>
  <c r="W669" i="5"/>
  <c r="W697" i="5"/>
  <c r="W719" i="5"/>
  <c r="W747" i="5"/>
  <c r="W775" i="5"/>
  <c r="W796" i="5"/>
  <c r="W815" i="5"/>
  <c r="W837" i="5"/>
  <c r="W856" i="5"/>
  <c r="W875" i="5"/>
  <c r="W894" i="5"/>
  <c r="W916" i="5"/>
  <c r="W935" i="5"/>
  <c r="W954" i="5"/>
  <c r="W973" i="5"/>
  <c r="W992" i="5"/>
  <c r="W1014" i="5"/>
  <c r="W1033" i="5"/>
  <c r="W1052" i="5"/>
  <c r="W1071" i="5"/>
  <c r="W1093" i="5"/>
  <c r="W1112" i="5"/>
  <c r="W1131" i="5"/>
  <c r="W1150" i="5"/>
  <c r="W1172" i="5"/>
  <c r="W1191" i="5"/>
  <c r="W225" i="5"/>
  <c r="W316" i="5"/>
  <c r="W413" i="5"/>
  <c r="W475" i="5"/>
  <c r="W511" i="5"/>
  <c r="W557" i="5"/>
  <c r="W590" i="5"/>
  <c r="W620" i="5"/>
  <c r="W648" i="5"/>
  <c r="W670" i="5"/>
  <c r="W698" i="5"/>
  <c r="W720" i="5"/>
  <c r="W748" i="5"/>
  <c r="W776" i="5"/>
  <c r="W797" i="5"/>
  <c r="W816" i="5"/>
  <c r="W838" i="5"/>
  <c r="W857" i="5"/>
  <c r="W876" i="5"/>
  <c r="W895" i="5"/>
  <c r="W917" i="5"/>
  <c r="W936" i="5"/>
  <c r="W955" i="5"/>
  <c r="W974" i="5"/>
  <c r="W996" i="5"/>
  <c r="W1015" i="5"/>
  <c r="W1034" i="5"/>
  <c r="W1053" i="5"/>
  <c r="W1072" i="5"/>
  <c r="W1094" i="5"/>
  <c r="W1113" i="5"/>
  <c r="W1132" i="5"/>
  <c r="W1151" i="5"/>
  <c r="W1173" i="5"/>
  <c r="W1192" i="5"/>
  <c r="W236" i="5"/>
  <c r="W337" i="5"/>
  <c r="W415" i="5"/>
  <c r="W477" i="5"/>
  <c r="W523" i="5"/>
  <c r="W559" i="5"/>
  <c r="W592" i="5"/>
  <c r="W622" i="5"/>
  <c r="W650" i="5"/>
  <c r="W672" i="5"/>
  <c r="W700" i="5"/>
  <c r="W728" i="5"/>
  <c r="W750" i="5"/>
  <c r="W778" i="5"/>
  <c r="W799" i="5"/>
  <c r="W821" i="5"/>
  <c r="W840" i="5"/>
  <c r="W859" i="5"/>
  <c r="W878" i="5"/>
  <c r="W900" i="5"/>
  <c r="W919" i="5"/>
  <c r="W938" i="5"/>
  <c r="W957" i="5"/>
  <c r="W976" i="5"/>
  <c r="W998" i="5"/>
  <c r="W1017" i="5"/>
  <c r="W1036" i="5"/>
  <c r="W1055" i="5"/>
  <c r="W1077" i="5"/>
  <c r="W1096" i="5"/>
  <c r="W1115" i="5"/>
  <c r="W1134" i="5"/>
  <c r="W1156" i="5"/>
  <c r="W1175" i="5"/>
  <c r="W1194" i="5"/>
  <c r="W237" i="5"/>
  <c r="W339" i="5"/>
  <c r="W416" i="5"/>
  <c r="W478" i="5"/>
  <c r="W524" i="5"/>
  <c r="W560" i="5"/>
  <c r="W599" i="5"/>
  <c r="W623" i="5"/>
  <c r="W651" i="5"/>
  <c r="W679" i="5"/>
  <c r="W701" i="5"/>
  <c r="W729" i="5"/>
  <c r="W751" i="5"/>
  <c r="W779" i="5"/>
  <c r="W800" i="5"/>
  <c r="W822" i="5"/>
  <c r="W841" i="5"/>
  <c r="W860" i="5"/>
  <c r="W879" i="5"/>
  <c r="W901" i="5"/>
  <c r="W920" i="5"/>
  <c r="W939" i="5"/>
  <c r="W958" i="5"/>
  <c r="W980" i="5"/>
  <c r="W999" i="5"/>
  <c r="W1018" i="5"/>
  <c r="W1037" i="5"/>
  <c r="W1056" i="5"/>
  <c r="W1078" i="5"/>
  <c r="W1097" i="5"/>
  <c r="W1116" i="5"/>
  <c r="W1135" i="5"/>
  <c r="W1157" i="5"/>
  <c r="W1176" i="5"/>
  <c r="W1195" i="5"/>
  <c r="W238" i="5"/>
  <c r="W348" i="5"/>
  <c r="W442" i="5"/>
  <c r="W479" i="5"/>
  <c r="W525" i="5"/>
  <c r="W571" i="5"/>
  <c r="W601" i="5"/>
  <c r="W624" i="5"/>
  <c r="W652" i="5"/>
  <c r="W680" i="5"/>
  <c r="W702" i="5"/>
  <c r="W730" i="5"/>
  <c r="W752" i="5"/>
  <c r="W780" i="5"/>
  <c r="W804" i="5"/>
  <c r="W823" i="5"/>
  <c r="W842" i="5"/>
  <c r="W861" i="5"/>
  <c r="W880" i="5"/>
  <c r="W902" i="5"/>
  <c r="W921" i="5"/>
  <c r="W940" i="5"/>
  <c r="W959" i="5"/>
  <c r="W981" i="5"/>
  <c r="W1000" i="5"/>
  <c r="W1019" i="5"/>
  <c r="W1038" i="5"/>
  <c r="W1060" i="5"/>
  <c r="W1079" i="5"/>
  <c r="W1098" i="5"/>
  <c r="W1117" i="5"/>
  <c r="W1136" i="5"/>
  <c r="W1158" i="5"/>
  <c r="W1177" i="5"/>
  <c r="W1196" i="5"/>
  <c r="W239" i="5"/>
  <c r="W349" i="5"/>
  <c r="W444" i="5"/>
  <c r="W480" i="5"/>
  <c r="W526" i="5"/>
  <c r="W572" i="5"/>
  <c r="W602" i="5"/>
  <c r="W631" i="5"/>
  <c r="W653" i="5"/>
  <c r="W681" i="5"/>
  <c r="W703" i="5"/>
  <c r="W731" i="5"/>
  <c r="W759" i="5"/>
  <c r="W781" i="5"/>
  <c r="W805" i="5"/>
  <c r="W824" i="5"/>
  <c r="W843" i="5"/>
  <c r="W862" i="5"/>
  <c r="W884" i="5"/>
  <c r="W903" i="5"/>
  <c r="W922" i="5"/>
  <c r="W941" i="5"/>
  <c r="W960" i="5"/>
  <c r="W982" i="5"/>
  <c r="W1001" i="5"/>
  <c r="W1020" i="5"/>
  <c r="W1039" i="5"/>
  <c r="W1061" i="5"/>
  <c r="W1080" i="5"/>
  <c r="W1099" i="5"/>
  <c r="W1118" i="5"/>
  <c r="W1140" i="5"/>
  <c r="W1159" i="5"/>
  <c r="W1178" i="5"/>
  <c r="W1197" i="5"/>
  <c r="W269" i="5"/>
  <c r="W350" i="5"/>
  <c r="W445" i="5"/>
  <c r="W491" i="5"/>
  <c r="W527" i="5"/>
  <c r="W573" i="5"/>
  <c r="W381" i="5"/>
  <c r="W539" i="5"/>
  <c r="W608" i="5"/>
  <c r="W682" i="5"/>
  <c r="W734" i="5"/>
  <c r="W791" i="5"/>
  <c r="W839" i="5"/>
  <c r="W886" i="5"/>
  <c r="W926" i="5"/>
  <c r="W969" i="5"/>
  <c r="W1021" i="5"/>
  <c r="W1064" i="5"/>
  <c r="W1104" i="5"/>
  <c r="W1152" i="5"/>
  <c r="W1199" i="5"/>
  <c r="W382" i="5"/>
  <c r="W540" i="5"/>
  <c r="W621" i="5"/>
  <c r="W683" i="5"/>
  <c r="W735" i="5"/>
  <c r="W792" i="5"/>
  <c r="W844" i="5"/>
  <c r="W887" i="5"/>
  <c r="W927" i="5"/>
  <c r="W975" i="5"/>
  <c r="W1022" i="5"/>
  <c r="W1065" i="5"/>
  <c r="W1108" i="5"/>
  <c r="W1160" i="5"/>
  <c r="W1200" i="5"/>
  <c r="W414" i="5"/>
  <c r="W541" i="5"/>
  <c r="W632" i="5"/>
  <c r="W684" i="5"/>
  <c r="W736" i="5"/>
  <c r="W798" i="5"/>
  <c r="W845" i="5"/>
  <c r="W888" i="5"/>
  <c r="W928" i="5"/>
  <c r="W983" i="5"/>
  <c r="W1023" i="5"/>
  <c r="W1066" i="5"/>
  <c r="W1114" i="5"/>
  <c r="W1161" i="5"/>
  <c r="W1204" i="5"/>
  <c r="W446" i="5"/>
  <c r="W542" i="5"/>
  <c r="W633" i="5"/>
  <c r="W685" i="5"/>
  <c r="W743" i="5"/>
  <c r="W806" i="5"/>
  <c r="W846" i="5"/>
  <c r="W889" i="5"/>
  <c r="W937" i="5"/>
  <c r="W984" i="5"/>
  <c r="W1024" i="5"/>
  <c r="W1067" i="5"/>
  <c r="W1119" i="5"/>
  <c r="W1162" i="5"/>
  <c r="W1205" i="5"/>
  <c r="E13" i="6" s="1"/>
  <c r="W447" i="5"/>
  <c r="W558" i="5"/>
  <c r="W634" i="5"/>
  <c r="W686" i="5"/>
  <c r="W749" i="5"/>
  <c r="W807" i="5"/>
  <c r="W847" i="5"/>
  <c r="W890" i="5"/>
  <c r="W942" i="5"/>
  <c r="W985" i="5"/>
  <c r="W1028" i="5"/>
  <c r="W1076" i="5"/>
  <c r="W1120" i="5"/>
  <c r="W1163" i="5"/>
  <c r="W199" i="5"/>
  <c r="W448" i="5"/>
  <c r="W574" i="5"/>
  <c r="W635" i="5"/>
  <c r="W687" i="5"/>
  <c r="W760" i="5"/>
  <c r="W808" i="5"/>
  <c r="W848" i="5"/>
  <c r="W896" i="5"/>
  <c r="W943" i="5"/>
  <c r="W986" i="5"/>
  <c r="W1029" i="5"/>
  <c r="W1081" i="5"/>
  <c r="W1124" i="5"/>
  <c r="W1164" i="5"/>
  <c r="W227" i="5"/>
  <c r="W459" i="5"/>
  <c r="W575" i="5"/>
  <c r="W636" i="5"/>
  <c r="W699" i="5"/>
  <c r="W761" i="5"/>
  <c r="W809" i="5"/>
  <c r="W852" i="5"/>
  <c r="W904" i="5"/>
  <c r="W944" i="5"/>
  <c r="W987" i="5"/>
  <c r="W1035" i="5"/>
  <c r="W1082" i="5"/>
  <c r="W1125" i="5"/>
  <c r="W1165" i="5"/>
  <c r="W270" i="5"/>
  <c r="W460" i="5"/>
  <c r="W576" i="5"/>
  <c r="W637" i="5"/>
  <c r="W704" i="5"/>
  <c r="W762" i="5"/>
  <c r="W810" i="5"/>
  <c r="W858" i="5"/>
  <c r="W905" i="5"/>
  <c r="W948" i="5"/>
  <c r="W988" i="5"/>
  <c r="W1040" i="5"/>
  <c r="W1083" i="5"/>
  <c r="W1126" i="5"/>
  <c r="W1174" i="5"/>
  <c r="W271" i="5"/>
  <c r="W476" i="5"/>
  <c r="W583" i="5"/>
  <c r="W649" i="5"/>
  <c r="W711" i="5"/>
  <c r="W763" i="5"/>
  <c r="W811" i="5"/>
  <c r="W863" i="5"/>
  <c r="W906" i="5"/>
  <c r="W949" i="5"/>
  <c r="W997" i="5"/>
  <c r="W1044" i="5"/>
  <c r="W1084" i="5"/>
  <c r="W1127" i="5"/>
  <c r="W1179" i="5"/>
  <c r="W272" i="5"/>
  <c r="W492" i="5"/>
  <c r="W585" i="5"/>
  <c r="W654" i="5"/>
  <c r="W712" i="5"/>
  <c r="W764" i="5"/>
  <c r="W820" i="5"/>
  <c r="W864" i="5"/>
  <c r="W907" i="5"/>
  <c r="W950" i="5"/>
  <c r="W1002" i="5"/>
  <c r="W1045" i="5"/>
  <c r="W1085" i="5"/>
  <c r="W1133" i="5"/>
  <c r="W1180" i="5"/>
  <c r="W273" i="5"/>
  <c r="W493" i="5"/>
  <c r="W591" i="5"/>
  <c r="W655" i="5"/>
  <c r="W713" i="5"/>
  <c r="W765" i="5"/>
  <c r="W825" i="5"/>
  <c r="W868" i="5"/>
  <c r="W908" i="5"/>
  <c r="W956" i="5"/>
  <c r="W1003" i="5"/>
  <c r="W1046" i="5"/>
  <c r="W1086" i="5"/>
  <c r="W1141" i="5"/>
  <c r="W1181" i="5"/>
  <c r="W275" i="5"/>
  <c r="W494" i="5"/>
  <c r="W603" i="5"/>
  <c r="W656" i="5"/>
  <c r="W714" i="5"/>
  <c r="W777" i="5"/>
  <c r="W826" i="5"/>
  <c r="W869" i="5"/>
  <c r="W909" i="5"/>
  <c r="W964" i="5"/>
  <c r="W1004" i="5"/>
  <c r="W1047" i="5"/>
  <c r="W1095" i="5"/>
  <c r="W1142" i="5"/>
  <c r="W1182" i="5"/>
  <c r="W605" i="5"/>
  <c r="W828" i="5"/>
  <c r="W1006" i="5"/>
  <c r="W1184" i="5"/>
  <c r="W606" i="5"/>
  <c r="W829" i="5"/>
  <c r="W1007" i="5"/>
  <c r="W1193" i="5"/>
  <c r="W607" i="5"/>
  <c r="W830" i="5"/>
  <c r="W1016" i="5"/>
  <c r="W1198" i="5"/>
  <c r="W663" i="5"/>
  <c r="W870" i="5"/>
  <c r="W1048" i="5"/>
  <c r="W671" i="5"/>
  <c r="W885" i="5"/>
  <c r="W1063" i="5"/>
  <c r="W317" i="5"/>
  <c r="W715" i="5"/>
  <c r="W918" i="5"/>
  <c r="W1100" i="5"/>
  <c r="W351" i="5"/>
  <c r="W727" i="5"/>
  <c r="W923" i="5"/>
  <c r="W1101" i="5"/>
  <c r="W378" i="5"/>
  <c r="W732" i="5"/>
  <c r="W924" i="5"/>
  <c r="W1102" i="5"/>
  <c r="W380" i="5"/>
  <c r="W871" i="5"/>
  <c r="W965" i="5"/>
  <c r="W877" i="5"/>
  <c r="W925" i="5"/>
  <c r="W495" i="5"/>
  <c r="W496" i="5"/>
  <c r="W966" i="5"/>
  <c r="W512" i="5"/>
  <c r="W967" i="5"/>
  <c r="W1103" i="5"/>
  <c r="W528" i="5"/>
  <c r="W968" i="5"/>
  <c r="W733" i="5"/>
  <c r="W604" i="5"/>
  <c r="W1005" i="5"/>
  <c r="W1062" i="5"/>
  <c r="W664" i="5"/>
  <c r="W1054" i="5"/>
  <c r="W665" i="5"/>
  <c r="W782" i="5"/>
  <c r="W783" i="5"/>
  <c r="W784" i="5"/>
  <c r="W827" i="5"/>
  <c r="W788" i="5"/>
  <c r="W1143" i="5"/>
  <c r="W1144" i="5"/>
  <c r="W1145" i="5"/>
  <c r="W1146" i="5"/>
  <c r="W1183" i="5"/>
  <c r="AG1203" i="3"/>
  <c r="C20" i="6" s="1"/>
  <c r="Z1203" i="3"/>
  <c r="C5" i="6" s="1"/>
  <c r="AG1202" i="3"/>
  <c r="Z1202" i="3"/>
  <c r="AG1201" i="3"/>
  <c r="Z1201" i="3"/>
  <c r="AG1200" i="3"/>
  <c r="Z1200" i="3"/>
  <c r="AG1199" i="3"/>
  <c r="Z1199" i="3"/>
  <c r="AG1198" i="3"/>
  <c r="Z1198" i="3"/>
  <c r="AG1197" i="3"/>
  <c r="Z1197" i="3"/>
  <c r="AG1196" i="3"/>
  <c r="Z1196" i="3"/>
  <c r="AG1195" i="3"/>
  <c r="Z1195" i="3"/>
  <c r="AG1194" i="3"/>
  <c r="Z1194" i="3"/>
  <c r="AG1193" i="3"/>
  <c r="Z1193" i="3"/>
  <c r="AG1192" i="3"/>
  <c r="Z1192" i="3"/>
  <c r="AG1191" i="3"/>
  <c r="Z1191" i="3"/>
  <c r="AG1190" i="3"/>
  <c r="Z1190" i="3"/>
  <c r="AG1189" i="3"/>
  <c r="Z1189" i="3"/>
  <c r="AG1188" i="3"/>
  <c r="Z1188" i="3"/>
  <c r="AG1187" i="3"/>
  <c r="Z1187" i="3"/>
  <c r="AG1186" i="3"/>
  <c r="Z1186" i="3"/>
  <c r="AG1185" i="3"/>
  <c r="Z1185" i="3"/>
  <c r="AG1184" i="3"/>
  <c r="Z1184" i="3"/>
  <c r="AG1183" i="3"/>
  <c r="Z1183" i="3"/>
  <c r="AG1182" i="3"/>
  <c r="Z1182" i="3"/>
  <c r="AG1181" i="3"/>
  <c r="Z1181" i="3"/>
  <c r="AG1180" i="3"/>
  <c r="Z1180" i="3"/>
  <c r="AG1179" i="3"/>
  <c r="Z1179" i="3"/>
  <c r="AG1178" i="3"/>
  <c r="Z1178" i="3"/>
  <c r="AG1177" i="3"/>
  <c r="Z1177" i="3"/>
  <c r="AG1176" i="3"/>
  <c r="Z1176" i="3"/>
  <c r="AG1175" i="3"/>
  <c r="Z1175" i="3"/>
  <c r="AG1174" i="3"/>
  <c r="Z1174" i="3"/>
  <c r="AG1173" i="3"/>
  <c r="Z1173" i="3"/>
  <c r="AG1172" i="3"/>
  <c r="Z1172" i="3"/>
  <c r="AG1171" i="3"/>
  <c r="Z1171" i="3"/>
  <c r="AG1170" i="3"/>
  <c r="Z1170" i="3"/>
  <c r="AG1169" i="3"/>
  <c r="Z1169" i="3"/>
  <c r="AG1168" i="3"/>
  <c r="Z1168" i="3"/>
  <c r="AG1167" i="3"/>
  <c r="Z1167" i="3"/>
  <c r="AG1166" i="3"/>
  <c r="Z1166" i="3"/>
  <c r="AG1165" i="3"/>
  <c r="Z1165" i="3"/>
  <c r="AG1164" i="3"/>
  <c r="Z1164" i="3"/>
  <c r="AG1163" i="3"/>
  <c r="Z1163" i="3"/>
  <c r="AG1162" i="3"/>
  <c r="Z1162" i="3"/>
  <c r="AG1161" i="3"/>
  <c r="Z1161" i="3"/>
  <c r="AG1160" i="3"/>
  <c r="Z1160" i="3"/>
  <c r="AG1159" i="3"/>
  <c r="Z1159" i="3"/>
  <c r="AG1158" i="3"/>
  <c r="Z1158" i="3"/>
  <c r="AG1157" i="3"/>
  <c r="Z1157" i="3"/>
  <c r="AG1156" i="3"/>
  <c r="Z1156" i="3"/>
  <c r="AG1155" i="3"/>
  <c r="Z1155" i="3"/>
  <c r="AG1154" i="3"/>
  <c r="Z1154" i="3"/>
  <c r="AG1153" i="3"/>
  <c r="Z1153" i="3"/>
  <c r="AG1152" i="3"/>
  <c r="Z1152" i="3"/>
  <c r="AG1151" i="3"/>
  <c r="Z1151" i="3"/>
  <c r="AG1150" i="3"/>
  <c r="Z1150" i="3"/>
  <c r="AG1149" i="3"/>
  <c r="Z1149" i="3"/>
  <c r="AG1148" i="3"/>
  <c r="Z1148" i="3"/>
  <c r="AG1147" i="3"/>
  <c r="Z1147" i="3"/>
  <c r="AG1146" i="3"/>
  <c r="Z1146" i="3"/>
  <c r="AG1145" i="3"/>
  <c r="Z1145" i="3"/>
  <c r="AG1144" i="3"/>
  <c r="Z1144" i="3"/>
  <c r="AG1143" i="3"/>
  <c r="Z1143" i="3"/>
  <c r="AG1142" i="3"/>
  <c r="Z1142" i="3"/>
  <c r="AG1141" i="3"/>
  <c r="Z1141" i="3"/>
  <c r="AG1140" i="3"/>
  <c r="Z1140" i="3"/>
  <c r="AG1139" i="3"/>
  <c r="Z1139" i="3"/>
  <c r="AG1138" i="3"/>
  <c r="Z1138" i="3"/>
  <c r="AG1137" i="3"/>
  <c r="Z1137" i="3"/>
  <c r="AG1136" i="3"/>
  <c r="Z1136" i="3"/>
  <c r="AG1135" i="3"/>
  <c r="Z1135" i="3"/>
  <c r="AG1134" i="3"/>
  <c r="Z1134" i="3"/>
  <c r="AG1133" i="3"/>
  <c r="Z1133" i="3"/>
  <c r="AG1132" i="3"/>
  <c r="Z1132" i="3"/>
  <c r="AG1131" i="3"/>
  <c r="Z1131" i="3"/>
  <c r="AG1130" i="3"/>
  <c r="Z1130" i="3"/>
  <c r="AG1129" i="3"/>
  <c r="Z1129" i="3"/>
  <c r="AG1128" i="3"/>
  <c r="Z1128" i="3"/>
  <c r="AG1127" i="3"/>
  <c r="Z1127" i="3"/>
  <c r="AG1126" i="3"/>
  <c r="Z1126" i="3"/>
  <c r="AG1125" i="3"/>
  <c r="Z1125" i="3"/>
  <c r="AG1124" i="3"/>
  <c r="Z1124" i="3"/>
  <c r="AG1123" i="3"/>
  <c r="Z1123" i="3"/>
  <c r="AG1122" i="3"/>
  <c r="Z1122" i="3"/>
  <c r="AG1121" i="3"/>
  <c r="Z1121" i="3"/>
  <c r="AG1120" i="3"/>
  <c r="Z1120" i="3"/>
  <c r="AG1119" i="3"/>
  <c r="Z1119" i="3"/>
  <c r="AG1118" i="3"/>
  <c r="Z1118" i="3"/>
  <c r="AG1117" i="3"/>
  <c r="Z1117" i="3"/>
  <c r="AG1116" i="3"/>
  <c r="Z1116" i="3"/>
  <c r="AG1115" i="3"/>
  <c r="Z1115" i="3"/>
  <c r="AG1114" i="3"/>
  <c r="Z1114" i="3"/>
  <c r="AG1113" i="3"/>
  <c r="Z1113" i="3"/>
  <c r="AG1112" i="3"/>
  <c r="Z1112" i="3"/>
  <c r="AG1111" i="3"/>
  <c r="Z1111" i="3"/>
  <c r="AG1110" i="3"/>
  <c r="Z1110" i="3"/>
  <c r="AG1109" i="3"/>
  <c r="Z1109" i="3"/>
  <c r="AG1108" i="3"/>
  <c r="Z1108" i="3"/>
  <c r="AG1107" i="3"/>
  <c r="Z1107" i="3"/>
  <c r="AG1106" i="3"/>
  <c r="Z1106" i="3"/>
  <c r="AG1105" i="3"/>
  <c r="Z1105" i="3"/>
  <c r="AG1104" i="3"/>
  <c r="Z1104" i="3"/>
  <c r="AG1103" i="3"/>
  <c r="Z1103" i="3"/>
  <c r="AG1102" i="3"/>
  <c r="Z1102" i="3"/>
  <c r="AG1101" i="3"/>
  <c r="Z1101" i="3"/>
  <c r="AG1100" i="3"/>
  <c r="Z1100" i="3"/>
  <c r="AG1099" i="3"/>
  <c r="Z1099" i="3"/>
  <c r="AG1098" i="3"/>
  <c r="Z1098" i="3"/>
  <c r="AG1097" i="3"/>
  <c r="Z1097" i="3"/>
  <c r="AG1096" i="3"/>
  <c r="Z1096" i="3"/>
  <c r="AG1095" i="3"/>
  <c r="Z1095" i="3"/>
  <c r="AG1094" i="3"/>
  <c r="Z1094" i="3"/>
  <c r="AG1093" i="3"/>
  <c r="Z1093" i="3"/>
  <c r="AG1092" i="3"/>
  <c r="Z1092" i="3"/>
  <c r="AG1091" i="3"/>
  <c r="Z1091" i="3"/>
  <c r="AG1090" i="3"/>
  <c r="Z1090" i="3"/>
  <c r="AG1089" i="3"/>
  <c r="Z1089" i="3"/>
  <c r="AG1088" i="3"/>
  <c r="Z1088" i="3"/>
  <c r="AG1087" i="3"/>
  <c r="Z1087" i="3"/>
  <c r="AG1086" i="3"/>
  <c r="Z1086" i="3"/>
  <c r="AG1085" i="3"/>
  <c r="Z1085" i="3"/>
  <c r="AG1084" i="3"/>
  <c r="Z1084" i="3"/>
  <c r="AG1083" i="3"/>
  <c r="Z1083" i="3"/>
  <c r="AG1082" i="3"/>
  <c r="Z1082" i="3"/>
  <c r="AG1081" i="3"/>
  <c r="Z1081" i="3"/>
  <c r="AG1080" i="3"/>
  <c r="Z1080" i="3"/>
  <c r="AG1079" i="3"/>
  <c r="Z1079" i="3"/>
  <c r="AG1078" i="3"/>
  <c r="Z1078" i="3"/>
  <c r="AG1077" i="3"/>
  <c r="Z1077" i="3"/>
  <c r="AG1076" i="3"/>
  <c r="Z1076" i="3"/>
  <c r="AG1075" i="3"/>
  <c r="Z1075" i="3"/>
  <c r="AG1074" i="3"/>
  <c r="Z1074" i="3"/>
  <c r="AG1073" i="3"/>
  <c r="Z1073" i="3"/>
  <c r="AG1072" i="3"/>
  <c r="Z1072" i="3"/>
  <c r="AG1071" i="3"/>
  <c r="Z1071" i="3"/>
  <c r="AG1070" i="3"/>
  <c r="Z1070" i="3"/>
  <c r="AG1069" i="3"/>
  <c r="Z1069" i="3"/>
  <c r="AG1068" i="3"/>
  <c r="Z1068" i="3"/>
  <c r="AG1067" i="3"/>
  <c r="Z1067" i="3"/>
  <c r="AG1066" i="3"/>
  <c r="Z1066" i="3"/>
  <c r="AG1065" i="3"/>
  <c r="Z1065" i="3"/>
  <c r="AG1064" i="3"/>
  <c r="Z1064" i="3"/>
  <c r="AG1063" i="3"/>
  <c r="Z1063" i="3"/>
  <c r="AG1062" i="3"/>
  <c r="Z1062" i="3"/>
  <c r="AG1061" i="3"/>
  <c r="Z1061" i="3"/>
  <c r="AG1060" i="3"/>
  <c r="Z1060" i="3"/>
  <c r="AG1059" i="3"/>
  <c r="Z1059" i="3"/>
  <c r="AG1058" i="3"/>
  <c r="Z1058" i="3"/>
  <c r="AG1057" i="3"/>
  <c r="Z1057" i="3"/>
  <c r="AG1056" i="3"/>
  <c r="Z1056" i="3"/>
  <c r="AG1055" i="3"/>
  <c r="Z1055" i="3"/>
  <c r="AG1054" i="3"/>
  <c r="Z1054" i="3"/>
  <c r="AG1053" i="3"/>
  <c r="Z1053" i="3"/>
  <c r="AG1052" i="3"/>
  <c r="Z1052" i="3"/>
  <c r="AG1051" i="3"/>
  <c r="Z1051" i="3"/>
  <c r="AG1050" i="3"/>
  <c r="Z1050" i="3"/>
  <c r="AG1049" i="3"/>
  <c r="Z1049" i="3"/>
  <c r="AG1048" i="3"/>
  <c r="Z1048" i="3"/>
  <c r="AG1047" i="3"/>
  <c r="Z1047" i="3"/>
  <c r="AG1046" i="3"/>
  <c r="Z1046" i="3"/>
  <c r="AG1045" i="3"/>
  <c r="Z1045" i="3"/>
  <c r="AG1044" i="3"/>
  <c r="Z1044" i="3"/>
  <c r="AG1043" i="3"/>
  <c r="Z1043" i="3"/>
  <c r="AG1042" i="3"/>
  <c r="Z1042" i="3"/>
  <c r="AG1041" i="3"/>
  <c r="Z1041" i="3"/>
  <c r="AG1040" i="3"/>
  <c r="Z1040" i="3"/>
  <c r="AG1039" i="3"/>
  <c r="Z1039" i="3"/>
  <c r="AG1038" i="3"/>
  <c r="Z1038" i="3"/>
  <c r="AG1037" i="3"/>
  <c r="Z1037" i="3"/>
  <c r="AG1036" i="3"/>
  <c r="Z1036" i="3"/>
  <c r="AG1035" i="3"/>
  <c r="Z1035" i="3"/>
  <c r="AG1034" i="3"/>
  <c r="Z1034" i="3"/>
  <c r="AG1033" i="3"/>
  <c r="Z1033" i="3"/>
  <c r="AG1032" i="3"/>
  <c r="Z1032" i="3"/>
  <c r="AG1031" i="3"/>
  <c r="Z1031" i="3"/>
  <c r="AG1030" i="3"/>
  <c r="Z1030" i="3"/>
  <c r="AG1029" i="3"/>
  <c r="Z1029" i="3"/>
  <c r="AG1028" i="3"/>
  <c r="Z1028" i="3"/>
  <c r="AG1027" i="3"/>
  <c r="Z1027" i="3"/>
  <c r="AG1026" i="3"/>
  <c r="Z1026" i="3"/>
  <c r="AG1025" i="3"/>
  <c r="Z1025" i="3"/>
  <c r="AG1024" i="3"/>
  <c r="Z1024" i="3"/>
  <c r="AG1023" i="3"/>
  <c r="Z1023" i="3"/>
  <c r="AG1022" i="3"/>
  <c r="Z1022" i="3"/>
  <c r="AG1021" i="3"/>
  <c r="Z1021" i="3"/>
  <c r="AG1020" i="3"/>
  <c r="Z1020" i="3"/>
  <c r="AG1019" i="3"/>
  <c r="Z1019" i="3"/>
  <c r="AG1018" i="3"/>
  <c r="Z1018" i="3"/>
  <c r="AG1017" i="3"/>
  <c r="Z1017" i="3"/>
  <c r="AG1016" i="3"/>
  <c r="Z1016" i="3"/>
  <c r="AG1015" i="3"/>
  <c r="Z1015" i="3"/>
  <c r="AG1014" i="3"/>
  <c r="Z1014" i="3"/>
  <c r="AG1013" i="3"/>
  <c r="Z1013" i="3"/>
  <c r="AG1012" i="3"/>
  <c r="Z1012" i="3"/>
  <c r="AG1011" i="3"/>
  <c r="Z1011" i="3"/>
  <c r="AG1010" i="3"/>
  <c r="Z1010" i="3"/>
  <c r="AG1009" i="3"/>
  <c r="Z1009" i="3"/>
  <c r="AG1008" i="3"/>
  <c r="Z1008" i="3"/>
  <c r="AG1007" i="3"/>
  <c r="Z1007" i="3"/>
  <c r="AG1006" i="3"/>
  <c r="Z1006" i="3"/>
  <c r="AG1005" i="3"/>
  <c r="Z1005" i="3"/>
  <c r="AG1004" i="3"/>
  <c r="Z1004" i="3"/>
  <c r="AG1003" i="3"/>
  <c r="Z1003" i="3"/>
  <c r="AG1002" i="3"/>
  <c r="Z1002" i="3"/>
  <c r="AG1001" i="3"/>
  <c r="Z1001" i="3"/>
  <c r="AG1000" i="3"/>
  <c r="Z1000" i="3"/>
  <c r="AG999" i="3"/>
  <c r="Z999" i="3"/>
  <c r="AG998" i="3"/>
  <c r="Z998" i="3"/>
  <c r="AG997" i="3"/>
  <c r="Z997" i="3"/>
  <c r="AG996" i="3"/>
  <c r="Z996" i="3"/>
  <c r="AG995" i="3"/>
  <c r="Z995" i="3"/>
  <c r="AG994" i="3"/>
  <c r="Z994" i="3"/>
  <c r="AG993" i="3"/>
  <c r="Z993" i="3"/>
  <c r="AG992" i="3"/>
  <c r="Z992" i="3"/>
  <c r="AG991" i="3"/>
  <c r="Z991" i="3"/>
  <c r="AG990" i="3"/>
  <c r="Z990" i="3"/>
  <c r="AG989" i="3"/>
  <c r="Z989" i="3"/>
  <c r="AG988" i="3"/>
  <c r="Z988" i="3"/>
  <c r="AG987" i="3"/>
  <c r="Z987" i="3"/>
  <c r="AG986" i="3"/>
  <c r="Z986" i="3"/>
  <c r="AG985" i="3"/>
  <c r="Z985" i="3"/>
  <c r="AG984" i="3"/>
  <c r="Z984" i="3"/>
  <c r="AG983" i="3"/>
  <c r="Z983" i="3"/>
  <c r="AG982" i="3"/>
  <c r="Z982" i="3"/>
  <c r="AG981" i="3"/>
  <c r="Z981" i="3"/>
  <c r="AG980" i="3"/>
  <c r="Z980" i="3"/>
  <c r="AG979" i="3"/>
  <c r="Z979" i="3"/>
  <c r="AG978" i="3"/>
  <c r="Z978" i="3"/>
  <c r="AG977" i="3"/>
  <c r="Z977" i="3"/>
  <c r="AG976" i="3"/>
  <c r="Z976" i="3"/>
  <c r="AG975" i="3"/>
  <c r="Z975" i="3"/>
  <c r="AG974" i="3"/>
  <c r="Z974" i="3"/>
  <c r="AG973" i="3"/>
  <c r="Z973" i="3"/>
  <c r="AG972" i="3"/>
  <c r="Z972" i="3"/>
  <c r="AG971" i="3"/>
  <c r="Z971" i="3"/>
  <c r="AG970" i="3"/>
  <c r="Z970" i="3"/>
  <c r="AG969" i="3"/>
  <c r="Z969" i="3"/>
  <c r="AG968" i="3"/>
  <c r="Z968" i="3"/>
  <c r="AG967" i="3"/>
  <c r="Z967" i="3"/>
  <c r="AG966" i="3"/>
  <c r="Z966" i="3"/>
  <c r="AG965" i="3"/>
  <c r="Z965" i="3"/>
  <c r="AG964" i="3"/>
  <c r="Z964" i="3"/>
  <c r="AG963" i="3"/>
  <c r="Z963" i="3"/>
  <c r="AG962" i="3"/>
  <c r="Z962" i="3"/>
  <c r="AG961" i="3"/>
  <c r="Z961" i="3"/>
  <c r="AG960" i="3"/>
  <c r="Z960" i="3"/>
  <c r="AG959" i="3"/>
  <c r="Z959" i="3"/>
  <c r="AG958" i="3"/>
  <c r="Z958" i="3"/>
  <c r="AG957" i="3"/>
  <c r="Z957" i="3"/>
  <c r="AG956" i="3"/>
  <c r="Z956" i="3"/>
  <c r="AG955" i="3"/>
  <c r="Z955" i="3"/>
  <c r="AG954" i="3"/>
  <c r="Z954" i="3"/>
  <c r="AG953" i="3"/>
  <c r="Z953" i="3"/>
  <c r="AG952" i="3"/>
  <c r="Z952" i="3"/>
  <c r="AG951" i="3"/>
  <c r="Z951" i="3"/>
  <c r="AG950" i="3"/>
  <c r="Z950" i="3"/>
  <c r="AG949" i="3"/>
  <c r="Z949" i="3"/>
  <c r="AG948" i="3"/>
  <c r="Z948" i="3"/>
  <c r="AG947" i="3"/>
  <c r="Z947" i="3"/>
  <c r="AG946" i="3"/>
  <c r="Z946" i="3"/>
  <c r="AG945" i="3"/>
  <c r="Z945" i="3"/>
  <c r="AG944" i="3"/>
  <c r="Z944" i="3"/>
  <c r="AG943" i="3"/>
  <c r="Z943" i="3"/>
  <c r="AG942" i="3"/>
  <c r="Z942" i="3"/>
  <c r="AG941" i="3"/>
  <c r="Z941" i="3"/>
  <c r="AG940" i="3"/>
  <c r="Z940" i="3"/>
  <c r="AG939" i="3"/>
  <c r="Z939" i="3"/>
  <c r="AG938" i="3"/>
  <c r="Z938" i="3"/>
  <c r="AG937" i="3"/>
  <c r="Z937" i="3"/>
  <c r="AG936" i="3"/>
  <c r="Z936" i="3"/>
  <c r="AG935" i="3"/>
  <c r="Z935" i="3"/>
  <c r="AG934" i="3"/>
  <c r="Z934" i="3"/>
  <c r="AG933" i="3"/>
  <c r="Z933" i="3"/>
  <c r="AG932" i="3"/>
  <c r="Z932" i="3"/>
  <c r="AG931" i="3"/>
  <c r="Z931" i="3"/>
  <c r="AG930" i="3"/>
  <c r="Z930" i="3"/>
  <c r="AG929" i="3"/>
  <c r="Z929" i="3"/>
  <c r="AG928" i="3"/>
  <c r="Z928" i="3"/>
  <c r="AG927" i="3"/>
  <c r="Z927" i="3"/>
  <c r="AG926" i="3"/>
  <c r="Z926" i="3"/>
  <c r="AG925" i="3"/>
  <c r="Z925" i="3"/>
  <c r="AG924" i="3"/>
  <c r="Z924" i="3"/>
  <c r="AG923" i="3"/>
  <c r="Z923" i="3"/>
  <c r="AG922" i="3"/>
  <c r="Z922" i="3"/>
  <c r="AG921" i="3"/>
  <c r="Z921" i="3"/>
  <c r="AG920" i="3"/>
  <c r="Z920" i="3"/>
  <c r="AG919" i="3"/>
  <c r="Z919" i="3"/>
  <c r="AG918" i="3"/>
  <c r="Z918" i="3"/>
  <c r="AG917" i="3"/>
  <c r="Z917" i="3"/>
  <c r="AG916" i="3"/>
  <c r="Z916" i="3"/>
  <c r="AG915" i="3"/>
  <c r="Z915" i="3"/>
  <c r="AG914" i="3"/>
  <c r="Z914" i="3"/>
  <c r="AG913" i="3"/>
  <c r="Z913" i="3"/>
  <c r="AG912" i="3"/>
  <c r="Z912" i="3"/>
  <c r="AG911" i="3"/>
  <c r="Z911" i="3"/>
  <c r="AG910" i="3"/>
  <c r="Z910" i="3"/>
  <c r="AG909" i="3"/>
  <c r="Z909" i="3"/>
  <c r="AG908" i="3"/>
  <c r="Z908" i="3"/>
  <c r="AG907" i="3"/>
  <c r="Z907" i="3"/>
  <c r="AG906" i="3"/>
  <c r="Z906" i="3"/>
  <c r="AG905" i="3"/>
  <c r="Z905" i="3"/>
  <c r="AG904" i="3"/>
  <c r="Z904" i="3"/>
  <c r="AG903" i="3"/>
  <c r="Z903" i="3"/>
  <c r="AG902" i="3"/>
  <c r="Z902" i="3"/>
  <c r="AG901" i="3"/>
  <c r="Z901" i="3"/>
  <c r="AG900" i="3"/>
  <c r="Z900" i="3"/>
  <c r="AG899" i="3"/>
  <c r="Z899" i="3"/>
  <c r="AG898" i="3"/>
  <c r="Z898" i="3"/>
  <c r="AG897" i="3"/>
  <c r="Z897" i="3"/>
  <c r="AG896" i="3"/>
  <c r="Z896" i="3"/>
  <c r="AG895" i="3"/>
  <c r="Z895" i="3"/>
  <c r="AG894" i="3"/>
  <c r="Z894" i="3"/>
  <c r="AG893" i="3"/>
  <c r="Z893" i="3"/>
  <c r="AG892" i="3"/>
  <c r="Z892" i="3"/>
  <c r="AG891" i="3"/>
  <c r="Z891" i="3"/>
  <c r="AG890" i="3"/>
  <c r="Z890" i="3"/>
  <c r="AG889" i="3"/>
  <c r="Z889" i="3"/>
  <c r="AG888" i="3"/>
  <c r="Z888" i="3"/>
  <c r="AG887" i="3"/>
  <c r="Z887" i="3"/>
  <c r="AG886" i="3"/>
  <c r="Z886" i="3"/>
  <c r="AG885" i="3"/>
  <c r="Z885" i="3"/>
  <c r="AG884" i="3"/>
  <c r="Z884" i="3"/>
  <c r="AG883" i="3"/>
  <c r="Z883" i="3"/>
  <c r="AG882" i="3"/>
  <c r="Z882" i="3"/>
  <c r="AG881" i="3"/>
  <c r="Z881" i="3"/>
  <c r="AG880" i="3"/>
  <c r="Z880" i="3"/>
  <c r="AG879" i="3"/>
  <c r="Z879" i="3"/>
  <c r="AG878" i="3"/>
  <c r="Z878" i="3"/>
  <c r="AG877" i="3"/>
  <c r="Z877" i="3"/>
  <c r="AG876" i="3"/>
  <c r="Z876" i="3"/>
  <c r="AG875" i="3"/>
  <c r="Z875" i="3"/>
  <c r="AG874" i="3"/>
  <c r="Z874" i="3"/>
  <c r="AG873" i="3"/>
  <c r="Z873" i="3"/>
  <c r="AG872" i="3"/>
  <c r="Z872" i="3"/>
  <c r="AG871" i="3"/>
  <c r="Z871" i="3"/>
  <c r="AG870" i="3"/>
  <c r="Z870" i="3"/>
  <c r="AG869" i="3"/>
  <c r="Z869" i="3"/>
  <c r="AG868" i="3"/>
  <c r="Z868" i="3"/>
  <c r="AG867" i="3"/>
  <c r="Z867" i="3"/>
  <c r="AG866" i="3"/>
  <c r="Z866" i="3"/>
  <c r="AG865" i="3"/>
  <c r="Z865" i="3"/>
  <c r="AG864" i="3"/>
  <c r="Z864" i="3"/>
  <c r="AG863" i="3"/>
  <c r="Z863" i="3"/>
  <c r="AG862" i="3"/>
  <c r="Z862" i="3"/>
  <c r="AG861" i="3"/>
  <c r="Z861" i="3"/>
  <c r="AG860" i="3"/>
  <c r="Z860" i="3"/>
  <c r="AG859" i="3"/>
  <c r="Z859" i="3"/>
  <c r="AG858" i="3"/>
  <c r="Z858" i="3"/>
  <c r="AG857" i="3"/>
  <c r="Z857" i="3"/>
  <c r="AG856" i="3"/>
  <c r="Z856" i="3"/>
  <c r="AG855" i="3"/>
  <c r="Z855" i="3"/>
  <c r="AG854" i="3"/>
  <c r="Z854" i="3"/>
  <c r="AG853" i="3"/>
  <c r="Z853" i="3"/>
  <c r="AG852" i="3"/>
  <c r="Z852" i="3"/>
  <c r="AG851" i="3"/>
  <c r="Z851" i="3"/>
  <c r="AG850" i="3"/>
  <c r="Z850" i="3"/>
  <c r="AG849" i="3"/>
  <c r="Z849" i="3"/>
  <c r="AG848" i="3"/>
  <c r="Z848" i="3"/>
  <c r="AG847" i="3"/>
  <c r="Z847" i="3"/>
  <c r="AG846" i="3"/>
  <c r="Z846" i="3"/>
  <c r="AG845" i="3"/>
  <c r="Z845" i="3"/>
  <c r="AG844" i="3"/>
  <c r="Z844" i="3"/>
  <c r="AG843" i="3"/>
  <c r="Z843" i="3"/>
  <c r="AG842" i="3"/>
  <c r="Z842" i="3"/>
  <c r="AG841" i="3"/>
  <c r="Z841" i="3"/>
  <c r="AG840" i="3"/>
  <c r="Z840" i="3"/>
  <c r="AG839" i="3"/>
  <c r="Z839" i="3"/>
  <c r="AG838" i="3"/>
  <c r="Z838" i="3"/>
  <c r="AG837" i="3"/>
  <c r="Z837" i="3"/>
  <c r="AG836" i="3"/>
  <c r="Z836" i="3"/>
  <c r="AG835" i="3"/>
  <c r="Z835" i="3"/>
  <c r="AG834" i="3"/>
  <c r="Z834" i="3"/>
  <c r="AG833" i="3"/>
  <c r="Z833" i="3"/>
  <c r="AG832" i="3"/>
  <c r="Z832" i="3"/>
  <c r="AG831" i="3"/>
  <c r="Z831" i="3"/>
  <c r="AG830" i="3"/>
  <c r="Z830" i="3"/>
  <c r="AG829" i="3"/>
  <c r="Z829" i="3"/>
  <c r="AG828" i="3"/>
  <c r="Z828" i="3"/>
  <c r="AG827" i="3"/>
  <c r="Z827" i="3"/>
  <c r="AG826" i="3"/>
  <c r="Z826" i="3"/>
  <c r="AG825" i="3"/>
  <c r="Z825" i="3"/>
  <c r="AG824" i="3"/>
  <c r="Z824" i="3"/>
  <c r="AG823" i="3"/>
  <c r="Z823" i="3"/>
  <c r="AG822" i="3"/>
  <c r="Z822" i="3"/>
  <c r="AG821" i="3"/>
  <c r="Z821" i="3"/>
  <c r="AG820" i="3"/>
  <c r="Z820" i="3"/>
  <c r="AG819" i="3"/>
  <c r="Z819" i="3"/>
  <c r="AG818" i="3"/>
  <c r="Z818" i="3"/>
  <c r="AG817" i="3"/>
  <c r="Z817" i="3"/>
  <c r="AG816" i="3"/>
  <c r="Z816" i="3"/>
  <c r="AG815" i="3"/>
  <c r="Z815" i="3"/>
  <c r="AG814" i="3"/>
  <c r="Z814" i="3"/>
  <c r="AG813" i="3"/>
  <c r="Z813" i="3"/>
  <c r="AG812" i="3"/>
  <c r="Z812" i="3"/>
  <c r="AG811" i="3"/>
  <c r="Z811" i="3"/>
  <c r="AG810" i="3"/>
  <c r="Z810" i="3"/>
  <c r="AG809" i="3"/>
  <c r="Z809" i="3"/>
  <c r="AG808" i="3"/>
  <c r="Z808" i="3"/>
  <c r="AG807" i="3"/>
  <c r="Z807" i="3"/>
  <c r="AG806" i="3"/>
  <c r="Z806" i="3"/>
  <c r="AG805" i="3"/>
  <c r="Z805" i="3"/>
  <c r="AG804" i="3"/>
  <c r="Z804" i="3"/>
  <c r="AG803" i="3"/>
  <c r="Z803" i="3"/>
  <c r="AG802" i="3"/>
  <c r="Z802" i="3"/>
  <c r="AG801" i="3"/>
  <c r="Z801" i="3"/>
  <c r="AG800" i="3"/>
  <c r="Z800" i="3"/>
  <c r="AG799" i="3"/>
  <c r="Z799" i="3"/>
  <c r="AG798" i="3"/>
  <c r="Z798" i="3"/>
  <c r="AG797" i="3"/>
  <c r="Z797" i="3"/>
  <c r="AG796" i="3"/>
  <c r="Z796" i="3"/>
  <c r="AG795" i="3"/>
  <c r="Z795" i="3"/>
  <c r="AG794" i="3"/>
  <c r="Z794" i="3"/>
  <c r="AG793" i="3"/>
  <c r="Z793" i="3"/>
  <c r="AG792" i="3"/>
  <c r="Z792" i="3"/>
  <c r="AG791" i="3"/>
  <c r="Z791" i="3"/>
  <c r="AG790" i="3"/>
  <c r="Z790" i="3"/>
  <c r="AG789" i="3"/>
  <c r="Z789" i="3"/>
  <c r="AG788" i="3"/>
  <c r="Z788" i="3"/>
  <c r="AG787" i="3"/>
  <c r="Z787" i="3"/>
  <c r="AG786" i="3"/>
  <c r="Z786" i="3"/>
  <c r="AG785" i="3"/>
  <c r="Z785" i="3"/>
  <c r="AG784" i="3"/>
  <c r="Z784" i="3"/>
  <c r="AG783" i="3"/>
  <c r="Z783" i="3"/>
  <c r="AG782" i="3"/>
  <c r="Z782" i="3"/>
  <c r="AG781" i="3"/>
  <c r="Z781" i="3"/>
  <c r="AG780" i="3"/>
  <c r="Z780" i="3"/>
  <c r="AG779" i="3"/>
  <c r="Z779" i="3"/>
  <c r="AG778" i="3"/>
  <c r="Z778" i="3"/>
  <c r="AG777" i="3"/>
  <c r="Z777" i="3"/>
  <c r="AG776" i="3"/>
  <c r="Z776" i="3"/>
  <c r="AG775" i="3"/>
  <c r="Z775" i="3"/>
  <c r="AG774" i="3"/>
  <c r="Z774" i="3"/>
  <c r="AG773" i="3"/>
  <c r="Z773" i="3"/>
  <c r="AG772" i="3"/>
  <c r="Z772" i="3"/>
  <c r="AG771" i="3"/>
  <c r="Z771" i="3"/>
  <c r="AG770" i="3"/>
  <c r="Z770" i="3"/>
  <c r="AG769" i="3"/>
  <c r="Z769" i="3"/>
  <c r="AG768" i="3"/>
  <c r="Z768" i="3"/>
  <c r="AG767" i="3"/>
  <c r="Z767" i="3"/>
  <c r="AG766" i="3"/>
  <c r="Z766" i="3"/>
  <c r="AG765" i="3"/>
  <c r="Z765" i="3"/>
  <c r="AG764" i="3"/>
  <c r="Z764" i="3"/>
  <c r="AG763" i="3"/>
  <c r="Z763" i="3"/>
  <c r="AG762" i="3"/>
  <c r="Z762" i="3"/>
  <c r="AG761" i="3"/>
  <c r="Z761" i="3"/>
  <c r="AG760" i="3"/>
  <c r="Z760" i="3"/>
  <c r="AG759" i="3"/>
  <c r="Z759" i="3"/>
  <c r="AG758" i="3"/>
  <c r="Z758" i="3"/>
  <c r="AG757" i="3"/>
  <c r="Z757" i="3"/>
  <c r="AG756" i="3"/>
  <c r="Z756" i="3"/>
  <c r="AG755" i="3"/>
  <c r="Z755" i="3"/>
  <c r="AG754" i="3"/>
  <c r="Z754" i="3"/>
  <c r="AG753" i="3"/>
  <c r="Z753" i="3"/>
  <c r="AG752" i="3"/>
  <c r="Z752" i="3"/>
  <c r="AG751" i="3"/>
  <c r="Z751" i="3"/>
  <c r="AG750" i="3"/>
  <c r="Z750" i="3"/>
  <c r="AG749" i="3"/>
  <c r="Z749" i="3"/>
  <c r="AG748" i="3"/>
  <c r="Z748" i="3"/>
  <c r="AG747" i="3"/>
  <c r="Z747" i="3"/>
  <c r="AG746" i="3"/>
  <c r="Z746" i="3"/>
  <c r="AG745" i="3"/>
  <c r="Z745" i="3"/>
  <c r="AG744" i="3"/>
  <c r="Z744" i="3"/>
  <c r="AG743" i="3"/>
  <c r="Z743" i="3"/>
  <c r="AG742" i="3"/>
  <c r="Z742" i="3"/>
  <c r="AG741" i="3"/>
  <c r="Z741" i="3"/>
  <c r="AG740" i="3"/>
  <c r="Z740" i="3"/>
  <c r="AG739" i="3"/>
  <c r="Z739" i="3"/>
  <c r="AG738" i="3"/>
  <c r="Z738" i="3"/>
  <c r="AG737" i="3"/>
  <c r="Z737" i="3"/>
  <c r="AG736" i="3"/>
  <c r="Z736" i="3"/>
  <c r="AG735" i="3"/>
  <c r="Z735" i="3"/>
  <c r="AG734" i="3"/>
  <c r="Z734" i="3"/>
  <c r="AG733" i="3"/>
  <c r="Z733" i="3"/>
  <c r="AG732" i="3"/>
  <c r="Z732" i="3"/>
  <c r="AG731" i="3"/>
  <c r="Z731" i="3"/>
  <c r="AG730" i="3"/>
  <c r="Z730" i="3"/>
  <c r="AG729" i="3"/>
  <c r="Z729" i="3"/>
  <c r="AG728" i="3"/>
  <c r="Z728" i="3"/>
  <c r="AG727" i="3"/>
  <c r="Z727" i="3"/>
  <c r="AG726" i="3"/>
  <c r="Z726" i="3"/>
  <c r="AG725" i="3"/>
  <c r="Z725" i="3"/>
  <c r="AG724" i="3"/>
  <c r="Z724" i="3"/>
  <c r="AG723" i="3"/>
  <c r="Z723" i="3"/>
  <c r="AG722" i="3"/>
  <c r="Z722" i="3"/>
  <c r="AG721" i="3"/>
  <c r="Z721" i="3"/>
  <c r="AG720" i="3"/>
  <c r="Z720" i="3"/>
  <c r="AG719" i="3"/>
  <c r="Z719" i="3"/>
  <c r="AG718" i="3"/>
  <c r="Z718" i="3"/>
  <c r="AG717" i="3"/>
  <c r="Z717" i="3"/>
  <c r="AG716" i="3"/>
  <c r="Z716" i="3"/>
  <c r="AG715" i="3"/>
  <c r="Z715" i="3"/>
  <c r="AG714" i="3"/>
  <c r="Z714" i="3"/>
  <c r="AG713" i="3"/>
  <c r="Z713" i="3"/>
  <c r="AG712" i="3"/>
  <c r="Z712" i="3"/>
  <c r="AG711" i="3"/>
  <c r="Z711" i="3"/>
  <c r="AG710" i="3"/>
  <c r="Z710" i="3"/>
  <c r="AG709" i="3"/>
  <c r="Z709" i="3"/>
  <c r="AG708" i="3"/>
  <c r="Z708" i="3"/>
  <c r="AG707" i="3"/>
  <c r="Z707" i="3"/>
  <c r="AG706" i="3"/>
  <c r="Z706" i="3"/>
  <c r="AG705" i="3"/>
  <c r="Z705" i="3"/>
  <c r="AG704" i="3"/>
  <c r="Z704" i="3"/>
  <c r="AG703" i="3"/>
  <c r="Z703" i="3"/>
  <c r="AG702" i="3"/>
  <c r="Z702" i="3"/>
  <c r="AG701" i="3"/>
  <c r="Z701" i="3"/>
  <c r="AG700" i="3"/>
  <c r="Z700" i="3"/>
  <c r="AG699" i="3"/>
  <c r="Z699" i="3"/>
  <c r="AG698" i="3"/>
  <c r="Z698" i="3"/>
  <c r="AG697" i="3"/>
  <c r="Z697" i="3"/>
  <c r="AG696" i="3"/>
  <c r="Z696" i="3"/>
  <c r="AG695" i="3"/>
  <c r="Z695" i="3"/>
  <c r="AG694" i="3"/>
  <c r="Z694" i="3"/>
  <c r="AG693" i="3"/>
  <c r="Z693" i="3"/>
  <c r="AG692" i="3"/>
  <c r="Z692" i="3"/>
  <c r="AG691" i="3"/>
  <c r="Z691" i="3"/>
  <c r="AG690" i="3"/>
  <c r="Z690" i="3"/>
  <c r="AG689" i="3"/>
  <c r="Z689" i="3"/>
  <c r="AG688" i="3"/>
  <c r="Z688" i="3"/>
  <c r="AG687" i="3"/>
  <c r="Z687" i="3"/>
  <c r="AG686" i="3"/>
  <c r="Z686" i="3"/>
  <c r="AG685" i="3"/>
  <c r="Z685" i="3"/>
  <c r="AG684" i="3"/>
  <c r="Z684" i="3"/>
  <c r="AG683" i="3"/>
  <c r="Z683" i="3"/>
  <c r="AG682" i="3"/>
  <c r="Z682" i="3"/>
  <c r="AG681" i="3"/>
  <c r="Z681" i="3"/>
  <c r="AG680" i="3"/>
  <c r="Z680" i="3"/>
  <c r="AG679" i="3"/>
  <c r="Z679" i="3"/>
  <c r="AG678" i="3"/>
  <c r="Z678" i="3"/>
  <c r="AG677" i="3"/>
  <c r="Z677" i="3"/>
  <c r="AG676" i="3"/>
  <c r="Z676" i="3"/>
  <c r="AG675" i="3"/>
  <c r="Z675" i="3"/>
  <c r="AG674" i="3"/>
  <c r="Z674" i="3"/>
  <c r="AG673" i="3"/>
  <c r="Z673" i="3"/>
  <c r="AG672" i="3"/>
  <c r="Z672" i="3"/>
  <c r="AG671" i="3"/>
  <c r="Z671" i="3"/>
  <c r="AG670" i="3"/>
  <c r="Z670" i="3"/>
  <c r="AG669" i="3"/>
  <c r="Z669" i="3"/>
  <c r="AG668" i="3"/>
  <c r="Z668" i="3"/>
  <c r="AG667" i="3"/>
  <c r="Z667" i="3"/>
  <c r="AG666" i="3"/>
  <c r="Z666" i="3"/>
  <c r="AG665" i="3"/>
  <c r="Z665" i="3"/>
  <c r="AG664" i="3"/>
  <c r="Z664" i="3"/>
  <c r="AG663" i="3"/>
  <c r="Z663" i="3"/>
  <c r="AG662" i="3"/>
  <c r="Z662" i="3"/>
  <c r="AG661" i="3"/>
  <c r="Z661" i="3"/>
  <c r="AG660" i="3"/>
  <c r="Z660" i="3"/>
  <c r="AG659" i="3"/>
  <c r="Z659" i="3"/>
  <c r="AG658" i="3"/>
  <c r="Z658" i="3"/>
  <c r="AG657" i="3"/>
  <c r="Z657" i="3"/>
  <c r="AG656" i="3"/>
  <c r="Z656" i="3"/>
  <c r="AG655" i="3"/>
  <c r="Z655" i="3"/>
  <c r="AG654" i="3"/>
  <c r="Z654" i="3"/>
  <c r="AG653" i="3"/>
  <c r="Z653" i="3"/>
  <c r="AG652" i="3"/>
  <c r="Z652" i="3"/>
  <c r="AG651" i="3"/>
  <c r="Z651" i="3"/>
  <c r="AG650" i="3"/>
  <c r="Z650" i="3"/>
  <c r="AG649" i="3"/>
  <c r="Z649" i="3"/>
  <c r="AG648" i="3"/>
  <c r="Z648" i="3"/>
  <c r="AG647" i="3"/>
  <c r="Z647" i="3"/>
  <c r="AG646" i="3"/>
  <c r="Z646" i="3"/>
  <c r="AG645" i="3"/>
  <c r="Z645" i="3"/>
  <c r="AG644" i="3"/>
  <c r="Z644" i="3"/>
  <c r="AG643" i="3"/>
  <c r="Z643" i="3"/>
  <c r="AG642" i="3"/>
  <c r="Z642" i="3"/>
  <c r="AG641" i="3"/>
  <c r="Z641" i="3"/>
  <c r="AG640" i="3"/>
  <c r="Z640" i="3"/>
  <c r="AG639" i="3"/>
  <c r="Z639" i="3"/>
  <c r="AG638" i="3"/>
  <c r="Z638" i="3"/>
  <c r="AG637" i="3"/>
  <c r="Z637" i="3"/>
  <c r="AG636" i="3"/>
  <c r="Z636" i="3"/>
  <c r="AG635" i="3"/>
  <c r="Z635" i="3"/>
  <c r="AG634" i="3"/>
  <c r="Z634" i="3"/>
  <c r="AG633" i="3"/>
  <c r="Z633" i="3"/>
  <c r="AG632" i="3"/>
  <c r="Z632" i="3"/>
  <c r="AG631" i="3"/>
  <c r="Z631" i="3"/>
  <c r="AG630" i="3"/>
  <c r="Z630" i="3"/>
  <c r="AG629" i="3"/>
  <c r="Z629" i="3"/>
  <c r="AG628" i="3"/>
  <c r="Z628" i="3"/>
  <c r="AG627" i="3"/>
  <c r="Z627" i="3"/>
  <c r="AG626" i="3"/>
  <c r="Z626" i="3"/>
  <c r="AG625" i="3"/>
  <c r="Z625" i="3"/>
  <c r="AG624" i="3"/>
  <c r="Z624" i="3"/>
  <c r="AG623" i="3"/>
  <c r="Z623" i="3"/>
  <c r="AG622" i="3"/>
  <c r="Z622" i="3"/>
  <c r="AG621" i="3"/>
  <c r="Z621" i="3"/>
  <c r="AG620" i="3"/>
  <c r="Z620" i="3"/>
  <c r="AG619" i="3"/>
  <c r="Z619" i="3"/>
  <c r="AG618" i="3"/>
  <c r="Z618" i="3"/>
  <c r="AG617" i="3"/>
  <c r="Z617" i="3"/>
  <c r="AG616" i="3"/>
  <c r="Z616" i="3"/>
  <c r="AG615" i="3"/>
  <c r="Z615" i="3"/>
  <c r="AG614" i="3"/>
  <c r="Z614" i="3"/>
  <c r="AG613" i="3"/>
  <c r="Z613" i="3"/>
  <c r="AG612" i="3"/>
  <c r="Z612" i="3"/>
  <c r="AG611" i="3"/>
  <c r="Z611" i="3"/>
  <c r="AG610" i="3"/>
  <c r="Z610" i="3"/>
  <c r="AG609" i="3"/>
  <c r="Z609" i="3"/>
  <c r="AG608" i="3"/>
  <c r="Z608" i="3"/>
  <c r="AG607" i="3"/>
  <c r="Z607" i="3"/>
  <c r="AG606" i="3"/>
  <c r="Z606" i="3"/>
  <c r="AG605" i="3"/>
  <c r="Z605" i="3"/>
  <c r="AG604" i="3"/>
  <c r="Z604" i="3"/>
  <c r="AG603" i="3"/>
  <c r="Z603" i="3"/>
  <c r="AG602" i="3"/>
  <c r="Z602" i="3"/>
  <c r="AG601" i="3"/>
  <c r="Z601" i="3"/>
  <c r="AG600" i="3"/>
  <c r="Z600" i="3"/>
  <c r="AG599" i="3"/>
  <c r="Z599" i="3"/>
  <c r="AG598" i="3"/>
  <c r="Z598" i="3"/>
  <c r="AG597" i="3"/>
  <c r="Z597" i="3"/>
  <c r="AG596" i="3"/>
  <c r="Z596" i="3"/>
  <c r="AG595" i="3"/>
  <c r="Z595" i="3"/>
  <c r="AG594" i="3"/>
  <c r="Z594" i="3"/>
  <c r="AG593" i="3"/>
  <c r="Z593" i="3"/>
  <c r="AG592" i="3"/>
  <c r="Z592" i="3"/>
  <c r="AG591" i="3"/>
  <c r="Z591" i="3"/>
  <c r="AG590" i="3"/>
  <c r="Z590" i="3"/>
  <c r="AG589" i="3"/>
  <c r="Z589" i="3"/>
  <c r="AG588" i="3"/>
  <c r="Z588" i="3"/>
  <c r="AG587" i="3"/>
  <c r="Z587" i="3"/>
  <c r="AG586" i="3"/>
  <c r="Z586" i="3"/>
  <c r="AG585" i="3"/>
  <c r="Z585" i="3"/>
  <c r="AG584" i="3"/>
  <c r="Z584" i="3"/>
  <c r="AG583" i="3"/>
  <c r="Z583" i="3"/>
  <c r="AG582" i="3"/>
  <c r="Z582" i="3"/>
  <c r="AG581" i="3"/>
  <c r="Z581" i="3"/>
  <c r="AG580" i="3"/>
  <c r="Z580" i="3"/>
  <c r="AG579" i="3"/>
  <c r="Z579" i="3"/>
  <c r="AG578" i="3"/>
  <c r="Z578" i="3"/>
  <c r="AG577" i="3"/>
  <c r="Z577" i="3"/>
  <c r="AG576" i="3"/>
  <c r="Z576" i="3"/>
  <c r="AG575" i="3"/>
  <c r="Z575" i="3"/>
  <c r="AG574" i="3"/>
  <c r="Z574" i="3"/>
  <c r="AG573" i="3"/>
  <c r="Z573" i="3"/>
  <c r="AG572" i="3"/>
  <c r="Z572" i="3"/>
  <c r="AG571" i="3"/>
  <c r="Z571" i="3"/>
  <c r="AG570" i="3"/>
  <c r="Z570" i="3"/>
  <c r="AG569" i="3"/>
  <c r="Z569" i="3"/>
  <c r="AG568" i="3"/>
  <c r="Z568" i="3"/>
  <c r="AG567" i="3"/>
  <c r="Z567" i="3"/>
  <c r="AG566" i="3"/>
  <c r="Z566" i="3"/>
  <c r="AG565" i="3"/>
  <c r="Z565" i="3"/>
  <c r="AG564" i="3"/>
  <c r="Z564" i="3"/>
  <c r="AG563" i="3"/>
  <c r="Z563" i="3"/>
  <c r="AG562" i="3"/>
  <c r="Z562" i="3"/>
  <c r="AG561" i="3"/>
  <c r="Z561" i="3"/>
  <c r="AG560" i="3"/>
  <c r="Z560" i="3"/>
  <c r="AG559" i="3"/>
  <c r="Z559" i="3"/>
  <c r="AG558" i="3"/>
  <c r="Z558" i="3"/>
  <c r="AG557" i="3"/>
  <c r="Z557" i="3"/>
  <c r="AG556" i="3"/>
  <c r="Z556" i="3"/>
  <c r="AG555" i="3"/>
  <c r="Z555" i="3"/>
  <c r="AG554" i="3"/>
  <c r="Z554" i="3"/>
  <c r="AG553" i="3"/>
  <c r="Z553" i="3"/>
  <c r="AG552" i="3"/>
  <c r="Z552" i="3"/>
  <c r="AG551" i="3"/>
  <c r="Z551" i="3"/>
  <c r="AG550" i="3"/>
  <c r="Z550" i="3"/>
  <c r="AG549" i="3"/>
  <c r="Z549" i="3"/>
  <c r="AG548" i="3"/>
  <c r="Z548" i="3"/>
  <c r="AG547" i="3"/>
  <c r="Z547" i="3"/>
  <c r="AG546" i="3"/>
  <c r="Z546" i="3"/>
  <c r="AG545" i="3"/>
  <c r="Z545" i="3"/>
  <c r="AG544" i="3"/>
  <c r="Z544" i="3"/>
  <c r="AG543" i="3"/>
  <c r="Z543" i="3"/>
  <c r="AG542" i="3"/>
  <c r="Z542" i="3"/>
  <c r="AG541" i="3"/>
  <c r="Z541" i="3"/>
  <c r="AG540" i="3"/>
  <c r="Z540" i="3"/>
  <c r="AG539" i="3"/>
  <c r="Z539" i="3"/>
  <c r="AG538" i="3"/>
  <c r="Z538" i="3"/>
  <c r="AG537" i="3"/>
  <c r="Z537" i="3"/>
  <c r="AG536" i="3"/>
  <c r="Z536" i="3"/>
  <c r="AG535" i="3"/>
  <c r="Z535" i="3"/>
  <c r="AG534" i="3"/>
  <c r="Z534" i="3"/>
  <c r="AG533" i="3"/>
  <c r="Z533" i="3"/>
  <c r="AG532" i="3"/>
  <c r="Z532" i="3"/>
  <c r="AG531" i="3"/>
  <c r="Z531" i="3"/>
  <c r="AG530" i="3"/>
  <c r="Z530" i="3"/>
  <c r="AG529" i="3"/>
  <c r="Z529" i="3"/>
  <c r="AG528" i="3"/>
  <c r="Z528" i="3"/>
  <c r="AG527" i="3"/>
  <c r="Z527" i="3"/>
  <c r="AG526" i="3"/>
  <c r="Z526" i="3"/>
  <c r="AG525" i="3"/>
  <c r="Z525" i="3"/>
  <c r="AG524" i="3"/>
  <c r="Z524" i="3"/>
  <c r="AG523" i="3"/>
  <c r="Z523" i="3"/>
  <c r="AG522" i="3"/>
  <c r="Z522" i="3"/>
  <c r="AG521" i="3"/>
  <c r="Z521" i="3"/>
  <c r="AG520" i="3"/>
  <c r="Z520" i="3"/>
  <c r="AG519" i="3"/>
  <c r="Z519" i="3"/>
  <c r="AG518" i="3"/>
  <c r="Z518" i="3"/>
  <c r="AG517" i="3"/>
  <c r="Z517" i="3"/>
  <c r="AG516" i="3"/>
  <c r="Z516" i="3"/>
  <c r="AG515" i="3"/>
  <c r="Z515" i="3"/>
  <c r="AG514" i="3"/>
  <c r="Z514" i="3"/>
  <c r="AG513" i="3"/>
  <c r="Z513" i="3"/>
  <c r="AG512" i="3"/>
  <c r="Z512" i="3"/>
  <c r="AG511" i="3"/>
  <c r="Z511" i="3"/>
  <c r="AG510" i="3"/>
  <c r="Z510" i="3"/>
  <c r="AG509" i="3"/>
  <c r="Z509" i="3"/>
  <c r="AG508" i="3"/>
  <c r="Z508" i="3"/>
  <c r="AG507" i="3"/>
  <c r="Z507" i="3"/>
  <c r="AG506" i="3"/>
  <c r="Z506" i="3"/>
  <c r="AG505" i="3"/>
  <c r="Z505" i="3"/>
  <c r="AG504" i="3"/>
  <c r="Z504" i="3"/>
  <c r="AG503" i="3"/>
  <c r="Z503" i="3"/>
  <c r="AG502" i="3"/>
  <c r="Z502" i="3"/>
  <c r="AG501" i="3"/>
  <c r="Z501" i="3"/>
  <c r="AG500" i="3"/>
  <c r="Z500" i="3"/>
  <c r="AG499" i="3"/>
  <c r="Z499" i="3"/>
  <c r="AG498" i="3"/>
  <c r="Z498" i="3"/>
  <c r="AG497" i="3"/>
  <c r="Z497" i="3"/>
  <c r="AG496" i="3"/>
  <c r="Z496" i="3"/>
  <c r="AG495" i="3"/>
  <c r="Z495" i="3"/>
  <c r="AG494" i="3"/>
  <c r="Z494" i="3"/>
  <c r="AG493" i="3"/>
  <c r="Z493" i="3"/>
  <c r="AG492" i="3"/>
  <c r="Z492" i="3"/>
  <c r="AG491" i="3"/>
  <c r="Z491" i="3"/>
  <c r="AG490" i="3"/>
  <c r="Z490" i="3"/>
  <c r="AG489" i="3"/>
  <c r="Z489" i="3"/>
  <c r="AG488" i="3"/>
  <c r="Z488" i="3"/>
  <c r="AG487" i="3"/>
  <c r="Z487" i="3"/>
  <c r="AG486" i="3"/>
  <c r="Z486" i="3"/>
  <c r="AG485" i="3"/>
  <c r="Z485" i="3"/>
  <c r="AG484" i="3"/>
  <c r="Z484" i="3"/>
  <c r="AG483" i="3"/>
  <c r="Z483" i="3"/>
  <c r="S483" i="3"/>
  <c r="L483" i="3"/>
  <c r="C4" i="6" s="1"/>
  <c r="E483" i="3"/>
  <c r="C3" i="6" s="1"/>
  <c r="AG482" i="3"/>
  <c r="Z482" i="3"/>
  <c r="S482" i="3"/>
  <c r="L482" i="3"/>
  <c r="E482" i="3"/>
  <c r="AG481" i="3"/>
  <c r="Z481" i="3"/>
  <c r="S481" i="3"/>
  <c r="L481" i="3"/>
  <c r="E481" i="3"/>
  <c r="AG480" i="3"/>
  <c r="Z480" i="3"/>
  <c r="S480" i="3"/>
  <c r="L480" i="3"/>
  <c r="E480" i="3"/>
  <c r="AG479" i="3"/>
  <c r="Z479" i="3"/>
  <c r="S479" i="3"/>
  <c r="L479" i="3"/>
  <c r="E479" i="3"/>
  <c r="AG478" i="3"/>
  <c r="Z478" i="3"/>
  <c r="S478" i="3"/>
  <c r="L478" i="3"/>
  <c r="E478" i="3"/>
  <c r="AG477" i="3"/>
  <c r="Z477" i="3"/>
  <c r="S477" i="3"/>
  <c r="L477" i="3"/>
  <c r="E477" i="3"/>
  <c r="AG476" i="3"/>
  <c r="Z476" i="3"/>
  <c r="S476" i="3"/>
  <c r="L476" i="3"/>
  <c r="E476" i="3"/>
  <c r="AG475" i="3"/>
  <c r="Z475" i="3"/>
  <c r="S475" i="3"/>
  <c r="L475" i="3"/>
  <c r="E475" i="3"/>
  <c r="AG474" i="3"/>
  <c r="Z474" i="3"/>
  <c r="S474" i="3"/>
  <c r="L474" i="3"/>
  <c r="E474" i="3"/>
  <c r="AG473" i="3"/>
  <c r="Z473" i="3"/>
  <c r="S473" i="3"/>
  <c r="L473" i="3"/>
  <c r="E473" i="3"/>
  <c r="AG472" i="3"/>
  <c r="Z472" i="3"/>
  <c r="S472" i="3"/>
  <c r="L472" i="3"/>
  <c r="E472" i="3"/>
  <c r="AG471" i="3"/>
  <c r="Z471" i="3"/>
  <c r="S471" i="3"/>
  <c r="L471" i="3"/>
  <c r="E471" i="3"/>
  <c r="AG470" i="3"/>
  <c r="Z470" i="3"/>
  <c r="S470" i="3"/>
  <c r="L470" i="3"/>
  <c r="E470" i="3"/>
  <c r="AG469" i="3"/>
  <c r="Z469" i="3"/>
  <c r="S469" i="3"/>
  <c r="L469" i="3"/>
  <c r="E469" i="3"/>
  <c r="AG468" i="3"/>
  <c r="Z468" i="3"/>
  <c r="S468" i="3"/>
  <c r="L468" i="3"/>
  <c r="E468" i="3"/>
  <c r="AG467" i="3"/>
  <c r="Z467" i="3"/>
  <c r="S467" i="3"/>
  <c r="L467" i="3"/>
  <c r="E467" i="3"/>
  <c r="AG466" i="3"/>
  <c r="Z466" i="3"/>
  <c r="S466" i="3"/>
  <c r="L466" i="3"/>
  <c r="E466" i="3"/>
  <c r="AG465" i="3"/>
  <c r="Z465" i="3"/>
  <c r="S465" i="3"/>
  <c r="L465" i="3"/>
  <c r="E465" i="3"/>
  <c r="AG464" i="3"/>
  <c r="Z464" i="3"/>
  <c r="S464" i="3"/>
  <c r="L464" i="3"/>
  <c r="E464" i="3"/>
  <c r="AG463" i="3"/>
  <c r="Z463" i="3"/>
  <c r="S463" i="3"/>
  <c r="L463" i="3"/>
  <c r="E463" i="3"/>
  <c r="AG462" i="3"/>
  <c r="Z462" i="3"/>
  <c r="S462" i="3"/>
  <c r="L462" i="3"/>
  <c r="E462" i="3"/>
  <c r="AG461" i="3"/>
  <c r="Z461" i="3"/>
  <c r="S461" i="3"/>
  <c r="L461" i="3"/>
  <c r="E461" i="3"/>
  <c r="AG460" i="3"/>
  <c r="Z460" i="3"/>
  <c r="S460" i="3"/>
  <c r="L460" i="3"/>
  <c r="E460" i="3"/>
  <c r="AG459" i="3"/>
  <c r="Z459" i="3"/>
  <c r="S459" i="3"/>
  <c r="L459" i="3"/>
  <c r="E459" i="3"/>
  <c r="AG458" i="3"/>
  <c r="Z458" i="3"/>
  <c r="S458" i="3"/>
  <c r="L458" i="3"/>
  <c r="E458" i="3"/>
  <c r="AG457" i="3"/>
  <c r="Z457" i="3"/>
  <c r="S457" i="3"/>
  <c r="L457" i="3"/>
  <c r="E457" i="3"/>
  <c r="AG456" i="3"/>
  <c r="Z456" i="3"/>
  <c r="S456" i="3"/>
  <c r="L456" i="3"/>
  <c r="E456" i="3"/>
  <c r="AG455" i="3"/>
  <c r="Z455" i="3"/>
  <c r="S455" i="3"/>
  <c r="L455" i="3"/>
  <c r="E455" i="3"/>
  <c r="AG454" i="3"/>
  <c r="Z454" i="3"/>
  <c r="S454" i="3"/>
  <c r="L454" i="3"/>
  <c r="E454" i="3"/>
  <c r="AG453" i="3"/>
  <c r="Z453" i="3"/>
  <c r="S453" i="3"/>
  <c r="L453" i="3"/>
  <c r="E453" i="3"/>
  <c r="AG452" i="3"/>
  <c r="Z452" i="3"/>
  <c r="S452" i="3"/>
  <c r="L452" i="3"/>
  <c r="E452" i="3"/>
  <c r="AG451" i="3"/>
  <c r="Z451" i="3"/>
  <c r="S451" i="3"/>
  <c r="L451" i="3"/>
  <c r="E451" i="3"/>
  <c r="AG450" i="3"/>
  <c r="Z450" i="3"/>
  <c r="S450" i="3"/>
  <c r="L450" i="3"/>
  <c r="E450" i="3"/>
  <c r="AG449" i="3"/>
  <c r="Z449" i="3"/>
  <c r="S449" i="3"/>
  <c r="L449" i="3"/>
  <c r="E449" i="3"/>
  <c r="AG448" i="3"/>
  <c r="Z448" i="3"/>
  <c r="S448" i="3"/>
  <c r="L448" i="3"/>
  <c r="E448" i="3"/>
  <c r="AG447" i="3"/>
  <c r="Z447" i="3"/>
  <c r="S447" i="3"/>
  <c r="L447" i="3"/>
  <c r="E447" i="3"/>
  <c r="AG446" i="3"/>
  <c r="Z446" i="3"/>
  <c r="S446" i="3"/>
  <c r="L446" i="3"/>
  <c r="E446" i="3"/>
  <c r="AG445" i="3"/>
  <c r="Z445" i="3"/>
  <c r="S445" i="3"/>
  <c r="L445" i="3"/>
  <c r="E445" i="3"/>
  <c r="AG444" i="3"/>
  <c r="Z444" i="3"/>
  <c r="S444" i="3"/>
  <c r="L444" i="3"/>
  <c r="E444" i="3"/>
  <c r="AG443" i="3"/>
  <c r="Z443" i="3"/>
  <c r="S443" i="3"/>
  <c r="L443" i="3"/>
  <c r="E443" i="3"/>
  <c r="AG442" i="3"/>
  <c r="Z442" i="3"/>
  <c r="S442" i="3"/>
  <c r="L442" i="3"/>
  <c r="E442" i="3"/>
  <c r="AG441" i="3"/>
  <c r="Z441" i="3"/>
  <c r="S441" i="3"/>
  <c r="L441" i="3"/>
  <c r="E441" i="3"/>
  <c r="AG440" i="3"/>
  <c r="Z440" i="3"/>
  <c r="S440" i="3"/>
  <c r="L440" i="3"/>
  <c r="E440" i="3"/>
  <c r="AG439" i="3"/>
  <c r="Z439" i="3"/>
  <c r="S439" i="3"/>
  <c r="L439" i="3"/>
  <c r="E439" i="3"/>
  <c r="AG438" i="3"/>
  <c r="Z438" i="3"/>
  <c r="S438" i="3"/>
  <c r="L438" i="3"/>
  <c r="E438" i="3"/>
  <c r="AG437" i="3"/>
  <c r="Z437" i="3"/>
  <c r="S437" i="3"/>
  <c r="L437" i="3"/>
  <c r="E437" i="3"/>
  <c r="AG436" i="3"/>
  <c r="Z436" i="3"/>
  <c r="S436" i="3"/>
  <c r="L436" i="3"/>
  <c r="E436" i="3"/>
  <c r="AG435" i="3"/>
  <c r="Z435" i="3"/>
  <c r="S435" i="3"/>
  <c r="L435" i="3"/>
  <c r="E435" i="3"/>
  <c r="AG434" i="3"/>
  <c r="Z434" i="3"/>
  <c r="S434" i="3"/>
  <c r="L434" i="3"/>
  <c r="E434" i="3"/>
  <c r="AG433" i="3"/>
  <c r="Z433" i="3"/>
  <c r="S433" i="3"/>
  <c r="L433" i="3"/>
  <c r="E433" i="3"/>
  <c r="AG432" i="3"/>
  <c r="Z432" i="3"/>
  <c r="S432" i="3"/>
  <c r="L432" i="3"/>
  <c r="E432" i="3"/>
  <c r="AG431" i="3"/>
  <c r="Z431" i="3"/>
  <c r="S431" i="3"/>
  <c r="L431" i="3"/>
  <c r="E431" i="3"/>
  <c r="AG430" i="3"/>
  <c r="Z430" i="3"/>
  <c r="S430" i="3"/>
  <c r="L430" i="3"/>
  <c r="E430" i="3"/>
  <c r="AG429" i="3"/>
  <c r="Z429" i="3"/>
  <c r="S429" i="3"/>
  <c r="L429" i="3"/>
  <c r="E429" i="3"/>
  <c r="AG428" i="3"/>
  <c r="Z428" i="3"/>
  <c r="S428" i="3"/>
  <c r="L428" i="3"/>
  <c r="E428" i="3"/>
  <c r="AG427" i="3"/>
  <c r="Z427" i="3"/>
  <c r="S427" i="3"/>
  <c r="L427" i="3"/>
  <c r="E427" i="3"/>
  <c r="AG426" i="3"/>
  <c r="Z426" i="3"/>
  <c r="S426" i="3"/>
  <c r="L426" i="3"/>
  <c r="E426" i="3"/>
  <c r="AG425" i="3"/>
  <c r="Z425" i="3"/>
  <c r="S425" i="3"/>
  <c r="L425" i="3"/>
  <c r="E425" i="3"/>
  <c r="AG424" i="3"/>
  <c r="Z424" i="3"/>
  <c r="S424" i="3"/>
  <c r="L424" i="3"/>
  <c r="E424" i="3"/>
  <c r="AG423" i="3"/>
  <c r="Z423" i="3"/>
  <c r="S423" i="3"/>
  <c r="L423" i="3"/>
  <c r="E423" i="3"/>
  <c r="AG422" i="3"/>
  <c r="Z422" i="3"/>
  <c r="S422" i="3"/>
  <c r="L422" i="3"/>
  <c r="E422" i="3"/>
  <c r="AG421" i="3"/>
  <c r="Z421" i="3"/>
  <c r="S421" i="3"/>
  <c r="L421" i="3"/>
  <c r="E421" i="3"/>
  <c r="AG420" i="3"/>
  <c r="Z420" i="3"/>
  <c r="S420" i="3"/>
  <c r="L420" i="3"/>
  <c r="E420" i="3"/>
  <c r="AG419" i="3"/>
  <c r="Z419" i="3"/>
  <c r="S419" i="3"/>
  <c r="L419" i="3"/>
  <c r="E419" i="3"/>
  <c r="AG418" i="3"/>
  <c r="Z418" i="3"/>
  <c r="S418" i="3"/>
  <c r="L418" i="3"/>
  <c r="E418" i="3"/>
  <c r="AG417" i="3"/>
  <c r="Z417" i="3"/>
  <c r="S417" i="3"/>
  <c r="L417" i="3"/>
  <c r="E417" i="3"/>
  <c r="AG416" i="3"/>
  <c r="Z416" i="3"/>
  <c r="S416" i="3"/>
  <c r="L416" i="3"/>
  <c r="E416" i="3"/>
  <c r="AG415" i="3"/>
  <c r="Z415" i="3"/>
  <c r="S415" i="3"/>
  <c r="L415" i="3"/>
  <c r="E415" i="3"/>
  <c r="AG414" i="3"/>
  <c r="Z414" i="3"/>
  <c r="S414" i="3"/>
  <c r="L414" i="3"/>
  <c r="E414" i="3"/>
  <c r="AG413" i="3"/>
  <c r="Z413" i="3"/>
  <c r="S413" i="3"/>
  <c r="L413" i="3"/>
  <c r="E413" i="3"/>
  <c r="AG412" i="3"/>
  <c r="Z412" i="3"/>
  <c r="S412" i="3"/>
  <c r="L412" i="3"/>
  <c r="E412" i="3"/>
  <c r="AG411" i="3"/>
  <c r="Z411" i="3"/>
  <c r="S411" i="3"/>
  <c r="L411" i="3"/>
  <c r="E411" i="3"/>
  <c r="AG410" i="3"/>
  <c r="Z410" i="3"/>
  <c r="S410" i="3"/>
  <c r="L410" i="3"/>
  <c r="E410" i="3"/>
  <c r="AG409" i="3"/>
  <c r="Z409" i="3"/>
  <c r="S409" i="3"/>
  <c r="L409" i="3"/>
  <c r="E409" i="3"/>
  <c r="AG408" i="3"/>
  <c r="Z408" i="3"/>
  <c r="S408" i="3"/>
  <c r="L408" i="3"/>
  <c r="E408" i="3"/>
  <c r="AG407" i="3"/>
  <c r="Z407" i="3"/>
  <c r="S407" i="3"/>
  <c r="L407" i="3"/>
  <c r="E407" i="3"/>
  <c r="AG406" i="3"/>
  <c r="Z406" i="3"/>
  <c r="S406" i="3"/>
  <c r="L406" i="3"/>
  <c r="E406" i="3"/>
  <c r="AG405" i="3"/>
  <c r="Z405" i="3"/>
  <c r="S405" i="3"/>
  <c r="L405" i="3"/>
  <c r="E405" i="3"/>
  <c r="AG404" i="3"/>
  <c r="Z404" i="3"/>
  <c r="S404" i="3"/>
  <c r="L404" i="3"/>
  <c r="E404" i="3"/>
  <c r="AG403" i="3"/>
  <c r="Z403" i="3"/>
  <c r="S403" i="3"/>
  <c r="L403" i="3"/>
  <c r="E403" i="3"/>
  <c r="AG402" i="3"/>
  <c r="Z402" i="3"/>
  <c r="S402" i="3"/>
  <c r="L402" i="3"/>
  <c r="E402" i="3"/>
  <c r="AG401" i="3"/>
  <c r="Z401" i="3"/>
  <c r="S401" i="3"/>
  <c r="L401" i="3"/>
  <c r="E401" i="3"/>
  <c r="AG400" i="3"/>
  <c r="Z400" i="3"/>
  <c r="S400" i="3"/>
  <c r="L400" i="3"/>
  <c r="E400" i="3"/>
  <c r="AG399" i="3"/>
  <c r="Z399" i="3"/>
  <c r="S399" i="3"/>
  <c r="L399" i="3"/>
  <c r="E399" i="3"/>
  <c r="AG398" i="3"/>
  <c r="Z398" i="3"/>
  <c r="S398" i="3"/>
  <c r="L398" i="3"/>
  <c r="E398" i="3"/>
  <c r="AG397" i="3"/>
  <c r="Z397" i="3"/>
  <c r="S397" i="3"/>
  <c r="L397" i="3"/>
  <c r="E397" i="3"/>
  <c r="AG396" i="3"/>
  <c r="Z396" i="3"/>
  <c r="S396" i="3"/>
  <c r="L396" i="3"/>
  <c r="E396" i="3"/>
  <c r="AG395" i="3"/>
  <c r="Z395" i="3"/>
  <c r="S395" i="3"/>
  <c r="L395" i="3"/>
  <c r="E395" i="3"/>
  <c r="AG394" i="3"/>
  <c r="Z394" i="3"/>
  <c r="S394" i="3"/>
  <c r="L394" i="3"/>
  <c r="E394" i="3"/>
  <c r="AG393" i="3"/>
  <c r="Z393" i="3"/>
  <c r="S393" i="3"/>
  <c r="L393" i="3"/>
  <c r="E393" i="3"/>
  <c r="AG392" i="3"/>
  <c r="Z392" i="3"/>
  <c r="S392" i="3"/>
  <c r="L392" i="3"/>
  <c r="E392" i="3"/>
  <c r="AG391" i="3"/>
  <c r="Z391" i="3"/>
  <c r="S391" i="3"/>
  <c r="L391" i="3"/>
  <c r="E391" i="3"/>
  <c r="AG390" i="3"/>
  <c r="Z390" i="3"/>
  <c r="S390" i="3"/>
  <c r="L390" i="3"/>
  <c r="E390" i="3"/>
  <c r="AG389" i="3"/>
  <c r="Z389" i="3"/>
  <c r="S389" i="3"/>
  <c r="L389" i="3"/>
  <c r="E389" i="3"/>
  <c r="AG388" i="3"/>
  <c r="Z388" i="3"/>
  <c r="S388" i="3"/>
  <c r="L388" i="3"/>
  <c r="E388" i="3"/>
  <c r="AG387" i="3"/>
  <c r="Z387" i="3"/>
  <c r="S387" i="3"/>
  <c r="L387" i="3"/>
  <c r="E387" i="3"/>
  <c r="AG386" i="3"/>
  <c r="Z386" i="3"/>
  <c r="S386" i="3"/>
  <c r="L386" i="3"/>
  <c r="E386" i="3"/>
  <c r="AG385" i="3"/>
  <c r="Z385" i="3"/>
  <c r="S385" i="3"/>
  <c r="L385" i="3"/>
  <c r="E385" i="3"/>
  <c r="AG384" i="3"/>
  <c r="Z384" i="3"/>
  <c r="S384" i="3"/>
  <c r="L384" i="3"/>
  <c r="E384" i="3"/>
  <c r="AG383" i="3"/>
  <c r="Z383" i="3"/>
  <c r="S383" i="3"/>
  <c r="L383" i="3"/>
  <c r="E383" i="3"/>
  <c r="AG382" i="3"/>
  <c r="Z382" i="3"/>
  <c r="S382" i="3"/>
  <c r="L382" i="3"/>
  <c r="E382" i="3"/>
  <c r="AG381" i="3"/>
  <c r="Z381" i="3"/>
  <c r="S381" i="3"/>
  <c r="L381" i="3"/>
  <c r="E381" i="3"/>
  <c r="AG380" i="3"/>
  <c r="Z380" i="3"/>
  <c r="S380" i="3"/>
  <c r="L380" i="3"/>
  <c r="E380" i="3"/>
  <c r="AG379" i="3"/>
  <c r="Z379" i="3"/>
  <c r="S379" i="3"/>
  <c r="L379" i="3"/>
  <c r="E379" i="3"/>
  <c r="AG378" i="3"/>
  <c r="Z378" i="3"/>
  <c r="S378" i="3"/>
  <c r="L378" i="3"/>
  <c r="E378" i="3"/>
  <c r="AG377" i="3"/>
  <c r="Z377" i="3"/>
  <c r="S377" i="3"/>
  <c r="L377" i="3"/>
  <c r="E377" i="3"/>
  <c r="AG376" i="3"/>
  <c r="Z376" i="3"/>
  <c r="S376" i="3"/>
  <c r="L376" i="3"/>
  <c r="E376" i="3"/>
  <c r="AG375" i="3"/>
  <c r="Z375" i="3"/>
  <c r="S375" i="3"/>
  <c r="L375" i="3"/>
  <c r="E375" i="3"/>
  <c r="AG374" i="3"/>
  <c r="Z374" i="3"/>
  <c r="S374" i="3"/>
  <c r="L374" i="3"/>
  <c r="E374" i="3"/>
  <c r="AG373" i="3"/>
  <c r="Z373" i="3"/>
  <c r="S373" i="3"/>
  <c r="L373" i="3"/>
  <c r="E373" i="3"/>
  <c r="AG372" i="3"/>
  <c r="Z372" i="3"/>
  <c r="S372" i="3"/>
  <c r="L372" i="3"/>
  <c r="E372" i="3"/>
  <c r="AG371" i="3"/>
  <c r="Z371" i="3"/>
  <c r="S371" i="3"/>
  <c r="L371" i="3"/>
  <c r="E371" i="3"/>
  <c r="AG370" i="3"/>
  <c r="Z370" i="3"/>
  <c r="S370" i="3"/>
  <c r="L370" i="3"/>
  <c r="E370" i="3"/>
  <c r="AG369" i="3"/>
  <c r="Z369" i="3"/>
  <c r="S369" i="3"/>
  <c r="L369" i="3"/>
  <c r="E369" i="3"/>
  <c r="AG368" i="3"/>
  <c r="Z368" i="3"/>
  <c r="S368" i="3"/>
  <c r="L368" i="3"/>
  <c r="E368" i="3"/>
  <c r="AG367" i="3"/>
  <c r="Z367" i="3"/>
  <c r="S367" i="3"/>
  <c r="L367" i="3"/>
  <c r="E367" i="3"/>
  <c r="AG366" i="3"/>
  <c r="Z366" i="3"/>
  <c r="S366" i="3"/>
  <c r="L366" i="3"/>
  <c r="E366" i="3"/>
  <c r="AG365" i="3"/>
  <c r="Z365" i="3"/>
  <c r="S365" i="3"/>
  <c r="L365" i="3"/>
  <c r="E365" i="3"/>
  <c r="AG364" i="3"/>
  <c r="Z364" i="3"/>
  <c r="S364" i="3"/>
  <c r="L364" i="3"/>
  <c r="E364" i="3"/>
  <c r="AG363" i="3"/>
  <c r="Z363" i="3"/>
  <c r="S363" i="3"/>
  <c r="L363" i="3"/>
  <c r="E363" i="3"/>
  <c r="AG362" i="3"/>
  <c r="Z362" i="3"/>
  <c r="S362" i="3"/>
  <c r="L362" i="3"/>
  <c r="E362" i="3"/>
  <c r="AG361" i="3"/>
  <c r="Z361" i="3"/>
  <c r="S361" i="3"/>
  <c r="L361" i="3"/>
  <c r="E361" i="3"/>
  <c r="AG360" i="3"/>
  <c r="Z360" i="3"/>
  <c r="S360" i="3"/>
  <c r="L360" i="3"/>
  <c r="E360" i="3"/>
  <c r="AG359" i="3"/>
  <c r="Z359" i="3"/>
  <c r="S359" i="3"/>
  <c r="L359" i="3"/>
  <c r="E359" i="3"/>
  <c r="AG358" i="3"/>
  <c r="Z358" i="3"/>
  <c r="S358" i="3"/>
  <c r="L358" i="3"/>
  <c r="E358" i="3"/>
  <c r="AG357" i="3"/>
  <c r="Z357" i="3"/>
  <c r="S357" i="3"/>
  <c r="L357" i="3"/>
  <c r="E357" i="3"/>
  <c r="AG356" i="3"/>
  <c r="Z356" i="3"/>
  <c r="S356" i="3"/>
  <c r="L356" i="3"/>
  <c r="E356" i="3"/>
  <c r="AG355" i="3"/>
  <c r="Z355" i="3"/>
  <c r="S355" i="3"/>
  <c r="L355" i="3"/>
  <c r="E355" i="3"/>
  <c r="AG354" i="3"/>
  <c r="Z354" i="3"/>
  <c r="S354" i="3"/>
  <c r="L354" i="3"/>
  <c r="E354" i="3"/>
  <c r="AG353" i="3"/>
  <c r="Z353" i="3"/>
  <c r="S353" i="3"/>
  <c r="L353" i="3"/>
  <c r="E353" i="3"/>
  <c r="AG352" i="3"/>
  <c r="Z352" i="3"/>
  <c r="S352" i="3"/>
  <c r="L352" i="3"/>
  <c r="E352" i="3"/>
  <c r="AG351" i="3"/>
  <c r="Z351" i="3"/>
  <c r="S351" i="3"/>
  <c r="L351" i="3"/>
  <c r="E351" i="3"/>
  <c r="AG350" i="3"/>
  <c r="Z350" i="3"/>
  <c r="S350" i="3"/>
  <c r="L350" i="3"/>
  <c r="E350" i="3"/>
  <c r="AG349" i="3"/>
  <c r="Z349" i="3"/>
  <c r="S349" i="3"/>
  <c r="L349" i="3"/>
  <c r="E349" i="3"/>
  <c r="AG348" i="3"/>
  <c r="Z348" i="3"/>
  <c r="S348" i="3"/>
  <c r="L348" i="3"/>
  <c r="E348" i="3"/>
  <c r="AG347" i="3"/>
  <c r="Z347" i="3"/>
  <c r="S347" i="3"/>
  <c r="L347" i="3"/>
  <c r="E347" i="3"/>
  <c r="AG346" i="3"/>
  <c r="Z346" i="3"/>
  <c r="S346" i="3"/>
  <c r="L346" i="3"/>
  <c r="E346" i="3"/>
  <c r="AG345" i="3"/>
  <c r="Z345" i="3"/>
  <c r="S345" i="3"/>
  <c r="L345" i="3"/>
  <c r="E345" i="3"/>
  <c r="AG344" i="3"/>
  <c r="Z344" i="3"/>
  <c r="S344" i="3"/>
  <c r="L344" i="3"/>
  <c r="E344" i="3"/>
  <c r="AG343" i="3"/>
  <c r="Z343" i="3"/>
  <c r="S343" i="3"/>
  <c r="L343" i="3"/>
  <c r="E343" i="3"/>
  <c r="AG342" i="3"/>
  <c r="Z342" i="3"/>
  <c r="S342" i="3"/>
  <c r="L342" i="3"/>
  <c r="E342" i="3"/>
  <c r="AG341" i="3"/>
  <c r="Z341" i="3"/>
  <c r="S341" i="3"/>
  <c r="L341" i="3"/>
  <c r="E341" i="3"/>
  <c r="AG340" i="3"/>
  <c r="Z340" i="3"/>
  <c r="S340" i="3"/>
  <c r="L340" i="3"/>
  <c r="E340" i="3"/>
  <c r="AG339" i="3"/>
  <c r="Z339" i="3"/>
  <c r="S339" i="3"/>
  <c r="L339" i="3"/>
  <c r="E339" i="3"/>
  <c r="AG338" i="3"/>
  <c r="Z338" i="3"/>
  <c r="S338" i="3"/>
  <c r="L338" i="3"/>
  <c r="E338" i="3"/>
  <c r="AG337" i="3"/>
  <c r="Z337" i="3"/>
  <c r="S337" i="3"/>
  <c r="L337" i="3"/>
  <c r="E337" i="3"/>
  <c r="AG336" i="3"/>
  <c r="Z336" i="3"/>
  <c r="S336" i="3"/>
  <c r="L336" i="3"/>
  <c r="E336" i="3"/>
  <c r="AG335" i="3"/>
  <c r="Z335" i="3"/>
  <c r="S335" i="3"/>
  <c r="L335" i="3"/>
  <c r="E335" i="3"/>
  <c r="AG334" i="3"/>
  <c r="Z334" i="3"/>
  <c r="S334" i="3"/>
  <c r="L334" i="3"/>
  <c r="E334" i="3"/>
  <c r="AG333" i="3"/>
  <c r="Z333" i="3"/>
  <c r="S333" i="3"/>
  <c r="L333" i="3"/>
  <c r="E333" i="3"/>
  <c r="AG332" i="3"/>
  <c r="Z332" i="3"/>
  <c r="S332" i="3"/>
  <c r="L332" i="3"/>
  <c r="E332" i="3"/>
  <c r="AG331" i="3"/>
  <c r="Z331" i="3"/>
  <c r="S331" i="3"/>
  <c r="L331" i="3"/>
  <c r="E331" i="3"/>
  <c r="AG330" i="3"/>
  <c r="Z330" i="3"/>
  <c r="S330" i="3"/>
  <c r="L330" i="3"/>
  <c r="E330" i="3"/>
  <c r="AG329" i="3"/>
  <c r="Z329" i="3"/>
  <c r="S329" i="3"/>
  <c r="L329" i="3"/>
  <c r="E329" i="3"/>
  <c r="AG328" i="3"/>
  <c r="Z328" i="3"/>
  <c r="S328" i="3"/>
  <c r="L328" i="3"/>
  <c r="E328" i="3"/>
  <c r="AG327" i="3"/>
  <c r="Z327" i="3"/>
  <c r="S327" i="3"/>
  <c r="L327" i="3"/>
  <c r="E327" i="3"/>
  <c r="AG326" i="3"/>
  <c r="Z326" i="3"/>
  <c r="S326" i="3"/>
  <c r="L326" i="3"/>
  <c r="E326" i="3"/>
  <c r="AG325" i="3"/>
  <c r="Z325" i="3"/>
  <c r="S325" i="3"/>
  <c r="L325" i="3"/>
  <c r="E325" i="3"/>
  <c r="AG324" i="3"/>
  <c r="Z324" i="3"/>
  <c r="S324" i="3"/>
  <c r="L324" i="3"/>
  <c r="E324" i="3"/>
  <c r="AG323" i="3"/>
  <c r="Z323" i="3"/>
  <c r="S323" i="3"/>
  <c r="L323" i="3"/>
  <c r="E323" i="3"/>
  <c r="AG322" i="3"/>
  <c r="Z322" i="3"/>
  <c r="S322" i="3"/>
  <c r="L322" i="3"/>
  <c r="E322" i="3"/>
  <c r="AG321" i="3"/>
  <c r="Z321" i="3"/>
  <c r="S321" i="3"/>
  <c r="L321" i="3"/>
  <c r="E321" i="3"/>
  <c r="AG320" i="3"/>
  <c r="Z320" i="3"/>
  <c r="S320" i="3"/>
  <c r="L320" i="3"/>
  <c r="E320" i="3"/>
  <c r="AG319" i="3"/>
  <c r="Z319" i="3"/>
  <c r="S319" i="3"/>
  <c r="L319" i="3"/>
  <c r="E319" i="3"/>
  <c r="AG318" i="3"/>
  <c r="Z318" i="3"/>
  <c r="S318" i="3"/>
  <c r="L318" i="3"/>
  <c r="E318" i="3"/>
  <c r="AG317" i="3"/>
  <c r="Z317" i="3"/>
  <c r="S317" i="3"/>
  <c r="L317" i="3"/>
  <c r="E317" i="3"/>
  <c r="AG316" i="3"/>
  <c r="Z316" i="3"/>
  <c r="S316" i="3"/>
  <c r="L316" i="3"/>
  <c r="E316" i="3"/>
  <c r="AG315" i="3"/>
  <c r="Z315" i="3"/>
  <c r="S315" i="3"/>
  <c r="L315" i="3"/>
  <c r="E315" i="3"/>
  <c r="AG314" i="3"/>
  <c r="Z314" i="3"/>
  <c r="S314" i="3"/>
  <c r="L314" i="3"/>
  <c r="E314" i="3"/>
  <c r="AG313" i="3"/>
  <c r="Z313" i="3"/>
  <c r="S313" i="3"/>
  <c r="L313" i="3"/>
  <c r="E313" i="3"/>
  <c r="AG312" i="3"/>
  <c r="Z312" i="3"/>
  <c r="S312" i="3"/>
  <c r="L312" i="3"/>
  <c r="E312" i="3"/>
  <c r="AG311" i="3"/>
  <c r="Z311" i="3"/>
  <c r="S311" i="3"/>
  <c r="L311" i="3"/>
  <c r="E311" i="3"/>
  <c r="AG310" i="3"/>
  <c r="Z310" i="3"/>
  <c r="S310" i="3"/>
  <c r="L310" i="3"/>
  <c r="E310" i="3"/>
  <c r="AG309" i="3"/>
  <c r="Z309" i="3"/>
  <c r="S309" i="3"/>
  <c r="L309" i="3"/>
  <c r="E309" i="3"/>
  <c r="AG308" i="3"/>
  <c r="Z308" i="3"/>
  <c r="S308" i="3"/>
  <c r="L308" i="3"/>
  <c r="E308" i="3"/>
  <c r="AG307" i="3"/>
  <c r="Z307" i="3"/>
  <c r="S307" i="3"/>
  <c r="L307" i="3"/>
  <c r="E307" i="3"/>
  <c r="AG306" i="3"/>
  <c r="Z306" i="3"/>
  <c r="S306" i="3"/>
  <c r="L306" i="3"/>
  <c r="E306" i="3"/>
  <c r="AG305" i="3"/>
  <c r="Z305" i="3"/>
  <c r="S305" i="3"/>
  <c r="L305" i="3"/>
  <c r="E305" i="3"/>
  <c r="AG304" i="3"/>
  <c r="Z304" i="3"/>
  <c r="S304" i="3"/>
  <c r="L304" i="3"/>
  <c r="E304" i="3"/>
  <c r="AG303" i="3"/>
  <c r="Z303" i="3"/>
  <c r="S303" i="3"/>
  <c r="L303" i="3"/>
  <c r="E303" i="3"/>
  <c r="AG302" i="3"/>
  <c r="Z302" i="3"/>
  <c r="S302" i="3"/>
  <c r="L302" i="3"/>
  <c r="E302" i="3"/>
  <c r="AG301" i="3"/>
  <c r="Z301" i="3"/>
  <c r="S301" i="3"/>
  <c r="L301" i="3"/>
  <c r="E301" i="3"/>
  <c r="AG300" i="3"/>
  <c r="Z300" i="3"/>
  <c r="S300" i="3"/>
  <c r="L300" i="3"/>
  <c r="E300" i="3"/>
  <c r="AG299" i="3"/>
  <c r="Z299" i="3"/>
  <c r="S299" i="3"/>
  <c r="L299" i="3"/>
  <c r="E299" i="3"/>
  <c r="AG298" i="3"/>
  <c r="Z298" i="3"/>
  <c r="S298" i="3"/>
  <c r="L298" i="3"/>
  <c r="E298" i="3"/>
  <c r="AG297" i="3"/>
  <c r="Z297" i="3"/>
  <c r="S297" i="3"/>
  <c r="L297" i="3"/>
  <c r="E297" i="3"/>
  <c r="AG296" i="3"/>
  <c r="Z296" i="3"/>
  <c r="S296" i="3"/>
  <c r="L296" i="3"/>
  <c r="E296" i="3"/>
  <c r="AG295" i="3"/>
  <c r="Z295" i="3"/>
  <c r="S295" i="3"/>
  <c r="L295" i="3"/>
  <c r="E295" i="3"/>
  <c r="AG294" i="3"/>
  <c r="Z294" i="3"/>
  <c r="S294" i="3"/>
  <c r="L294" i="3"/>
  <c r="E294" i="3"/>
  <c r="AG293" i="3"/>
  <c r="Z293" i="3"/>
  <c r="S293" i="3"/>
  <c r="L293" i="3"/>
  <c r="E293" i="3"/>
  <c r="AG292" i="3"/>
  <c r="Z292" i="3"/>
  <c r="S292" i="3"/>
  <c r="L292" i="3"/>
  <c r="E292" i="3"/>
  <c r="AG291" i="3"/>
  <c r="Z291" i="3"/>
  <c r="S291" i="3"/>
  <c r="L291" i="3"/>
  <c r="E291" i="3"/>
  <c r="AG290" i="3"/>
  <c r="Z290" i="3"/>
  <c r="S290" i="3"/>
  <c r="L290" i="3"/>
  <c r="E290" i="3"/>
  <c r="AG289" i="3"/>
  <c r="Z289" i="3"/>
  <c r="S289" i="3"/>
  <c r="L289" i="3"/>
  <c r="E289" i="3"/>
  <c r="AG288" i="3"/>
  <c r="Z288" i="3"/>
  <c r="S288" i="3"/>
  <c r="L288" i="3"/>
  <c r="E288" i="3"/>
  <c r="AG287" i="3"/>
  <c r="Z287" i="3"/>
  <c r="S287" i="3"/>
  <c r="L287" i="3"/>
  <c r="E287" i="3"/>
  <c r="AG286" i="3"/>
  <c r="Z286" i="3"/>
  <c r="S286" i="3"/>
  <c r="L286" i="3"/>
  <c r="E286" i="3"/>
  <c r="AG285" i="3"/>
  <c r="Z285" i="3"/>
  <c r="S285" i="3"/>
  <c r="L285" i="3"/>
  <c r="E285" i="3"/>
  <c r="AG284" i="3"/>
  <c r="Z284" i="3"/>
  <c r="S284" i="3"/>
  <c r="L284" i="3"/>
  <c r="E284" i="3"/>
  <c r="AG283" i="3"/>
  <c r="Z283" i="3"/>
  <c r="S283" i="3"/>
  <c r="L283" i="3"/>
  <c r="E283" i="3"/>
  <c r="AG282" i="3"/>
  <c r="Z282" i="3"/>
  <c r="S282" i="3"/>
  <c r="L282" i="3"/>
  <c r="E282" i="3"/>
  <c r="AG281" i="3"/>
  <c r="Z281" i="3"/>
  <c r="S281" i="3"/>
  <c r="L281" i="3"/>
  <c r="E281" i="3"/>
  <c r="AG280" i="3"/>
  <c r="Z280" i="3"/>
  <c r="S280" i="3"/>
  <c r="L280" i="3"/>
  <c r="E280" i="3"/>
  <c r="AG279" i="3"/>
  <c r="Z279" i="3"/>
  <c r="S279" i="3"/>
  <c r="L279" i="3"/>
  <c r="E279" i="3"/>
  <c r="AG278" i="3"/>
  <c r="Z278" i="3"/>
  <c r="S278" i="3"/>
  <c r="L278" i="3"/>
  <c r="E278" i="3"/>
  <c r="AG277" i="3"/>
  <c r="Z277" i="3"/>
  <c r="S277" i="3"/>
  <c r="L277" i="3"/>
  <c r="E277" i="3"/>
  <c r="AG276" i="3"/>
  <c r="Z276" i="3"/>
  <c r="S276" i="3"/>
  <c r="L276" i="3"/>
  <c r="E276" i="3"/>
  <c r="AG275" i="3"/>
  <c r="Z275" i="3"/>
  <c r="S275" i="3"/>
  <c r="L275" i="3"/>
  <c r="E275" i="3"/>
  <c r="AG274" i="3"/>
  <c r="Z274" i="3"/>
  <c r="S274" i="3"/>
  <c r="L274" i="3"/>
  <c r="E274" i="3"/>
  <c r="AG273" i="3"/>
  <c r="Z273" i="3"/>
  <c r="S273" i="3"/>
  <c r="L273" i="3"/>
  <c r="E273" i="3"/>
  <c r="AG272" i="3"/>
  <c r="Z272" i="3"/>
  <c r="S272" i="3"/>
  <c r="L272" i="3"/>
  <c r="E272" i="3"/>
  <c r="AG271" i="3"/>
  <c r="Z271" i="3"/>
  <c r="S271" i="3"/>
  <c r="L271" i="3"/>
  <c r="E271" i="3"/>
  <c r="AG270" i="3"/>
  <c r="Z270" i="3"/>
  <c r="S270" i="3"/>
  <c r="L270" i="3"/>
  <c r="E270" i="3"/>
  <c r="AG269" i="3"/>
  <c r="Z269" i="3"/>
  <c r="S269" i="3"/>
  <c r="L269" i="3"/>
  <c r="E269" i="3"/>
  <c r="AG268" i="3"/>
  <c r="Z268" i="3"/>
  <c r="S268" i="3"/>
  <c r="L268" i="3"/>
  <c r="E268" i="3"/>
  <c r="AG267" i="3"/>
  <c r="Z267" i="3"/>
  <c r="S267" i="3"/>
  <c r="L267" i="3"/>
  <c r="E267" i="3"/>
  <c r="AG266" i="3"/>
  <c r="Z266" i="3"/>
  <c r="S266" i="3"/>
  <c r="L266" i="3"/>
  <c r="E266" i="3"/>
  <c r="AG265" i="3"/>
  <c r="Z265" i="3"/>
  <c r="S265" i="3"/>
  <c r="L265" i="3"/>
  <c r="E265" i="3"/>
  <c r="AG264" i="3"/>
  <c r="Z264" i="3"/>
  <c r="S264" i="3"/>
  <c r="L264" i="3"/>
  <c r="E264" i="3"/>
  <c r="AG263" i="3"/>
  <c r="Z263" i="3"/>
  <c r="S263" i="3"/>
  <c r="L263" i="3"/>
  <c r="E263" i="3"/>
  <c r="AG262" i="3"/>
  <c r="Z262" i="3"/>
  <c r="S262" i="3"/>
  <c r="L262" i="3"/>
  <c r="E262" i="3"/>
  <c r="AG261" i="3"/>
  <c r="Z261" i="3"/>
  <c r="S261" i="3"/>
  <c r="L261" i="3"/>
  <c r="E261" i="3"/>
  <c r="AG260" i="3"/>
  <c r="Z260" i="3"/>
  <c r="S260" i="3"/>
  <c r="L260" i="3"/>
  <c r="E260" i="3"/>
  <c r="AG259" i="3"/>
  <c r="Z259" i="3"/>
  <c r="S259" i="3"/>
  <c r="L259" i="3"/>
  <c r="E259" i="3"/>
  <c r="AG258" i="3"/>
  <c r="Z258" i="3"/>
  <c r="S258" i="3"/>
  <c r="L258" i="3"/>
  <c r="E258" i="3"/>
  <c r="AG257" i="3"/>
  <c r="Z257" i="3"/>
  <c r="S257" i="3"/>
  <c r="L257" i="3"/>
  <c r="E257" i="3"/>
  <c r="AG256" i="3"/>
  <c r="Z256" i="3"/>
  <c r="S256" i="3"/>
  <c r="L256" i="3"/>
  <c r="E256" i="3"/>
  <c r="AG255" i="3"/>
  <c r="Z255" i="3"/>
  <c r="S255" i="3"/>
  <c r="L255" i="3"/>
  <c r="E255" i="3"/>
  <c r="AG254" i="3"/>
  <c r="Z254" i="3"/>
  <c r="S254" i="3"/>
  <c r="L254" i="3"/>
  <c r="E254" i="3"/>
  <c r="AG253" i="3"/>
  <c r="Z253" i="3"/>
  <c r="S253" i="3"/>
  <c r="L253" i="3"/>
  <c r="E253" i="3"/>
  <c r="AG252" i="3"/>
  <c r="Z252" i="3"/>
  <c r="S252" i="3"/>
  <c r="L252" i="3"/>
  <c r="E252" i="3"/>
  <c r="AG251" i="3"/>
  <c r="Z251" i="3"/>
  <c r="S251" i="3"/>
  <c r="L251" i="3"/>
  <c r="E251" i="3"/>
  <c r="AG250" i="3"/>
  <c r="Z250" i="3"/>
  <c r="S250" i="3"/>
  <c r="L250" i="3"/>
  <c r="E250" i="3"/>
  <c r="AG249" i="3"/>
  <c r="Z249" i="3"/>
  <c r="S249" i="3"/>
  <c r="L249" i="3"/>
  <c r="E249" i="3"/>
  <c r="AG248" i="3"/>
  <c r="Z248" i="3"/>
  <c r="S248" i="3"/>
  <c r="L248" i="3"/>
  <c r="E248" i="3"/>
  <c r="AG247" i="3"/>
  <c r="Z247" i="3"/>
  <c r="S247" i="3"/>
  <c r="L247" i="3"/>
  <c r="E247" i="3"/>
  <c r="AG246" i="3"/>
  <c r="Z246" i="3"/>
  <c r="S246" i="3"/>
  <c r="L246" i="3"/>
  <c r="E246" i="3"/>
  <c r="AG245" i="3"/>
  <c r="Z245" i="3"/>
  <c r="S245" i="3"/>
  <c r="L245" i="3"/>
  <c r="E245" i="3"/>
  <c r="AG244" i="3"/>
  <c r="Z244" i="3"/>
  <c r="S244" i="3"/>
  <c r="L244" i="3"/>
  <c r="E244" i="3"/>
  <c r="AG243" i="3"/>
  <c r="Z243" i="3"/>
  <c r="S243" i="3"/>
  <c r="L243" i="3"/>
  <c r="E243" i="3"/>
  <c r="AG242" i="3"/>
  <c r="Z242" i="3"/>
  <c r="S242" i="3"/>
  <c r="L242" i="3"/>
  <c r="E242" i="3"/>
  <c r="AG241" i="3"/>
  <c r="Z241" i="3"/>
  <c r="S241" i="3"/>
  <c r="L241" i="3"/>
  <c r="E241" i="3"/>
  <c r="AG240" i="3"/>
  <c r="Z240" i="3"/>
  <c r="S240" i="3"/>
  <c r="L240" i="3"/>
  <c r="E240" i="3"/>
  <c r="AG239" i="3"/>
  <c r="Z239" i="3"/>
  <c r="S239" i="3"/>
  <c r="L239" i="3"/>
  <c r="E239" i="3"/>
  <c r="AG238" i="3"/>
  <c r="Z238" i="3"/>
  <c r="S238" i="3"/>
  <c r="L238" i="3"/>
  <c r="E238" i="3"/>
  <c r="AG237" i="3"/>
  <c r="Z237" i="3"/>
  <c r="S237" i="3"/>
  <c r="L237" i="3"/>
  <c r="E237" i="3"/>
  <c r="AG236" i="3"/>
  <c r="Z236" i="3"/>
  <c r="S236" i="3"/>
  <c r="L236" i="3"/>
  <c r="E236" i="3"/>
  <c r="AG235" i="3"/>
  <c r="Z235" i="3"/>
  <c r="S235" i="3"/>
  <c r="L235" i="3"/>
  <c r="E235" i="3"/>
  <c r="AG234" i="3"/>
  <c r="Z234" i="3"/>
  <c r="S234" i="3"/>
  <c r="L234" i="3"/>
  <c r="E234" i="3"/>
  <c r="AG233" i="3"/>
  <c r="Z233" i="3"/>
  <c r="S233" i="3"/>
  <c r="L233" i="3"/>
  <c r="E233" i="3"/>
  <c r="AG232" i="3"/>
  <c r="Z232" i="3"/>
  <c r="S232" i="3"/>
  <c r="L232" i="3"/>
  <c r="E232" i="3"/>
  <c r="AG231" i="3"/>
  <c r="Z231" i="3"/>
  <c r="S231" i="3"/>
  <c r="L231" i="3"/>
  <c r="E231" i="3"/>
  <c r="AG230" i="3"/>
  <c r="Z230" i="3"/>
  <c r="S230" i="3"/>
  <c r="L230" i="3"/>
  <c r="E230" i="3"/>
  <c r="AG229" i="3"/>
  <c r="Z229" i="3"/>
  <c r="S229" i="3"/>
  <c r="L229" i="3"/>
  <c r="E229" i="3"/>
  <c r="AG228" i="3"/>
  <c r="Z228" i="3"/>
  <c r="S228" i="3"/>
  <c r="L228" i="3"/>
  <c r="E228" i="3"/>
  <c r="AG227" i="3"/>
  <c r="Z227" i="3"/>
  <c r="S227" i="3"/>
  <c r="L227" i="3"/>
  <c r="E227" i="3"/>
  <c r="AG226" i="3"/>
  <c r="Z226" i="3"/>
  <c r="S226" i="3"/>
  <c r="L226" i="3"/>
  <c r="E226" i="3"/>
  <c r="AG225" i="3"/>
  <c r="Z225" i="3"/>
  <c r="S225" i="3"/>
  <c r="L225" i="3"/>
  <c r="E225" i="3"/>
  <c r="AG224" i="3"/>
  <c r="Z224" i="3"/>
  <c r="S224" i="3"/>
  <c r="L224" i="3"/>
  <c r="E224" i="3"/>
  <c r="AG223" i="3"/>
  <c r="Z223" i="3"/>
  <c r="S223" i="3"/>
  <c r="L223" i="3"/>
  <c r="E223" i="3"/>
  <c r="AG222" i="3"/>
  <c r="Z222" i="3"/>
  <c r="S222" i="3"/>
  <c r="L222" i="3"/>
  <c r="E222" i="3"/>
  <c r="AG221" i="3"/>
  <c r="Z221" i="3"/>
  <c r="S221" i="3"/>
  <c r="L221" i="3"/>
  <c r="E221" i="3"/>
  <c r="AG220" i="3"/>
  <c r="Z220" i="3"/>
  <c r="S220" i="3"/>
  <c r="L220" i="3"/>
  <c r="E220" i="3"/>
  <c r="AG219" i="3"/>
  <c r="Z219" i="3"/>
  <c r="S219" i="3"/>
  <c r="L219" i="3"/>
  <c r="E219" i="3"/>
  <c r="AG218" i="3"/>
  <c r="Z218" i="3"/>
  <c r="S218" i="3"/>
  <c r="L218" i="3"/>
  <c r="E218" i="3"/>
  <c r="AG217" i="3"/>
  <c r="Z217" i="3"/>
  <c r="S217" i="3"/>
  <c r="L217" i="3"/>
  <c r="E217" i="3"/>
  <c r="AG216" i="3"/>
  <c r="Z216" i="3"/>
  <c r="S216" i="3"/>
  <c r="L216" i="3"/>
  <c r="E216" i="3"/>
  <c r="AG215" i="3"/>
  <c r="Z215" i="3"/>
  <c r="S215" i="3"/>
  <c r="L215" i="3"/>
  <c r="E215" i="3"/>
  <c r="AG214" i="3"/>
  <c r="Z214" i="3"/>
  <c r="S214" i="3"/>
  <c r="L214" i="3"/>
  <c r="E214" i="3"/>
  <c r="AG213" i="3"/>
  <c r="Z213" i="3"/>
  <c r="S213" i="3"/>
  <c r="L213" i="3"/>
  <c r="E213" i="3"/>
  <c r="AG212" i="3"/>
  <c r="Z212" i="3"/>
  <c r="S212" i="3"/>
  <c r="L212" i="3"/>
  <c r="E212" i="3"/>
  <c r="AG211" i="3"/>
  <c r="Z211" i="3"/>
  <c r="S211" i="3"/>
  <c r="L211" i="3"/>
  <c r="E211" i="3"/>
  <c r="AG210" i="3"/>
  <c r="Z210" i="3"/>
  <c r="S210" i="3"/>
  <c r="L210" i="3"/>
  <c r="E210" i="3"/>
  <c r="AG209" i="3"/>
  <c r="Z209" i="3"/>
  <c r="S209" i="3"/>
  <c r="L209" i="3"/>
  <c r="E209" i="3"/>
  <c r="AG208" i="3"/>
  <c r="Z208" i="3"/>
  <c r="S208" i="3"/>
  <c r="L208" i="3"/>
  <c r="E208" i="3"/>
  <c r="AG207" i="3"/>
  <c r="Z207" i="3"/>
  <c r="S207" i="3"/>
  <c r="L207" i="3"/>
  <c r="E207" i="3"/>
  <c r="AG206" i="3"/>
  <c r="Z206" i="3"/>
  <c r="S206" i="3"/>
  <c r="L206" i="3"/>
  <c r="E206" i="3"/>
  <c r="AG205" i="3"/>
  <c r="Z205" i="3"/>
  <c r="S205" i="3"/>
  <c r="L205" i="3"/>
  <c r="E205" i="3"/>
  <c r="AG204" i="3"/>
  <c r="Z204" i="3"/>
  <c r="S204" i="3"/>
  <c r="L204" i="3"/>
  <c r="E204" i="3"/>
  <c r="AG203" i="3"/>
  <c r="Z203" i="3"/>
  <c r="S203" i="3"/>
  <c r="L203" i="3"/>
  <c r="E203" i="3"/>
  <c r="AG202" i="3"/>
  <c r="Z202" i="3"/>
  <c r="S202" i="3"/>
  <c r="L202" i="3"/>
  <c r="E202" i="3"/>
  <c r="AG201" i="3"/>
  <c r="Z201" i="3"/>
  <c r="S201" i="3"/>
  <c r="L201" i="3"/>
  <c r="E201" i="3"/>
  <c r="AG200" i="3"/>
  <c r="Z200" i="3"/>
  <c r="S200" i="3"/>
  <c r="L200" i="3"/>
  <c r="E200" i="3"/>
  <c r="AG199" i="3"/>
  <c r="Z199" i="3"/>
  <c r="S199" i="3"/>
  <c r="L199" i="3"/>
  <c r="E199" i="3"/>
  <c r="AG198" i="3"/>
  <c r="Z198" i="3"/>
  <c r="S198" i="3"/>
  <c r="L198" i="3"/>
  <c r="E198" i="3"/>
  <c r="AG197" i="3"/>
  <c r="Z197" i="3"/>
  <c r="S197" i="3"/>
  <c r="L197" i="3"/>
  <c r="E197" i="3"/>
  <c r="AG196" i="3"/>
  <c r="Z196" i="3"/>
  <c r="S196" i="3"/>
  <c r="L196" i="3"/>
  <c r="E196" i="3"/>
  <c r="AG195" i="3"/>
  <c r="Z195" i="3"/>
  <c r="S195" i="3"/>
  <c r="L195" i="3"/>
  <c r="E195" i="3"/>
  <c r="AG194" i="3"/>
  <c r="Z194" i="3"/>
  <c r="S194" i="3"/>
  <c r="L194" i="3"/>
  <c r="E194" i="3"/>
  <c r="AG193" i="3"/>
  <c r="Z193" i="3"/>
  <c r="S193" i="3"/>
  <c r="L193" i="3"/>
  <c r="E193" i="3"/>
  <c r="AG192" i="3"/>
  <c r="Z192" i="3"/>
  <c r="S192" i="3"/>
  <c r="L192" i="3"/>
  <c r="E192" i="3"/>
  <c r="AG191" i="3"/>
  <c r="Z191" i="3"/>
  <c r="S191" i="3"/>
  <c r="L191" i="3"/>
  <c r="E191" i="3"/>
  <c r="AG190" i="3"/>
  <c r="Z190" i="3"/>
  <c r="S190" i="3"/>
  <c r="L190" i="3"/>
  <c r="E190" i="3"/>
  <c r="AG189" i="3"/>
  <c r="Z189" i="3"/>
  <c r="S189" i="3"/>
  <c r="L189" i="3"/>
  <c r="E189" i="3"/>
  <c r="AG188" i="3"/>
  <c r="Z188" i="3"/>
  <c r="S188" i="3"/>
  <c r="L188" i="3"/>
  <c r="E188" i="3"/>
  <c r="AG187" i="3"/>
  <c r="Z187" i="3"/>
  <c r="S187" i="3"/>
  <c r="L187" i="3"/>
  <c r="E187" i="3"/>
  <c r="AG186" i="3"/>
  <c r="Z186" i="3"/>
  <c r="S186" i="3"/>
  <c r="L186" i="3"/>
  <c r="E186" i="3"/>
  <c r="AG185" i="3"/>
  <c r="Z185" i="3"/>
  <c r="S185" i="3"/>
  <c r="L185" i="3"/>
  <c r="E185" i="3"/>
  <c r="AG184" i="3"/>
  <c r="Z184" i="3"/>
  <c r="S184" i="3"/>
  <c r="L184" i="3"/>
  <c r="E184" i="3"/>
  <c r="AG183" i="3"/>
  <c r="Z183" i="3"/>
  <c r="S183" i="3"/>
  <c r="L183" i="3"/>
  <c r="E183" i="3"/>
  <c r="AG182" i="3"/>
  <c r="Z182" i="3"/>
  <c r="S182" i="3"/>
  <c r="L182" i="3"/>
  <c r="E182" i="3"/>
  <c r="AG181" i="3"/>
  <c r="Z181" i="3"/>
  <c r="S181" i="3"/>
  <c r="L181" i="3"/>
  <c r="E181" i="3"/>
  <c r="AG180" i="3"/>
  <c r="Z180" i="3"/>
  <c r="S180" i="3"/>
  <c r="L180" i="3"/>
  <c r="E180" i="3"/>
  <c r="AG179" i="3"/>
  <c r="Z179" i="3"/>
  <c r="S179" i="3"/>
  <c r="L179" i="3"/>
  <c r="E179" i="3"/>
  <c r="AG178" i="3"/>
  <c r="Z178" i="3"/>
  <c r="S178" i="3"/>
  <c r="L178" i="3"/>
  <c r="E178" i="3"/>
  <c r="AG177" i="3"/>
  <c r="Z177" i="3"/>
  <c r="S177" i="3"/>
  <c r="L177" i="3"/>
  <c r="E177" i="3"/>
  <c r="AG176" i="3"/>
  <c r="Z176" i="3"/>
  <c r="S176" i="3"/>
  <c r="L176" i="3"/>
  <c r="E176" i="3"/>
  <c r="AG175" i="3"/>
  <c r="Z175" i="3"/>
  <c r="S175" i="3"/>
  <c r="L175" i="3"/>
  <c r="E175" i="3"/>
  <c r="AG174" i="3"/>
  <c r="Z174" i="3"/>
  <c r="S174" i="3"/>
  <c r="L174" i="3"/>
  <c r="E174" i="3"/>
  <c r="AG173" i="3"/>
  <c r="Z173" i="3"/>
  <c r="S173" i="3"/>
  <c r="L173" i="3"/>
  <c r="E173" i="3"/>
  <c r="AG172" i="3"/>
  <c r="Z172" i="3"/>
  <c r="S172" i="3"/>
  <c r="L172" i="3"/>
  <c r="E172" i="3"/>
  <c r="AG171" i="3"/>
  <c r="Z171" i="3"/>
  <c r="S171" i="3"/>
  <c r="L171" i="3"/>
  <c r="E171" i="3"/>
  <c r="AG170" i="3"/>
  <c r="Z170" i="3"/>
  <c r="S170" i="3"/>
  <c r="L170" i="3"/>
  <c r="E170" i="3"/>
  <c r="AG169" i="3"/>
  <c r="Z169" i="3"/>
  <c r="S169" i="3"/>
  <c r="L169" i="3"/>
  <c r="E169" i="3"/>
  <c r="AG168" i="3"/>
  <c r="Z168" i="3"/>
  <c r="S168" i="3"/>
  <c r="L168" i="3"/>
  <c r="E168" i="3"/>
  <c r="AG167" i="3"/>
  <c r="Z167" i="3"/>
  <c r="S167" i="3"/>
  <c r="L167" i="3"/>
  <c r="E167" i="3"/>
  <c r="AG166" i="3"/>
  <c r="Z166" i="3"/>
  <c r="S166" i="3"/>
  <c r="L166" i="3"/>
  <c r="E166" i="3"/>
  <c r="AG165" i="3"/>
  <c r="Z165" i="3"/>
  <c r="S165" i="3"/>
  <c r="L165" i="3"/>
  <c r="E165" i="3"/>
  <c r="AG164" i="3"/>
  <c r="Z164" i="3"/>
  <c r="S164" i="3"/>
  <c r="L164" i="3"/>
  <c r="E164" i="3"/>
  <c r="AG163" i="3"/>
  <c r="Z163" i="3"/>
  <c r="S163" i="3"/>
  <c r="L163" i="3"/>
  <c r="E163" i="3"/>
  <c r="AG162" i="3"/>
  <c r="Z162" i="3"/>
  <c r="S162" i="3"/>
  <c r="L162" i="3"/>
  <c r="E162" i="3"/>
  <c r="AG161" i="3"/>
  <c r="Z161" i="3"/>
  <c r="S161" i="3"/>
  <c r="L161" i="3"/>
  <c r="E161" i="3"/>
  <c r="AG160" i="3"/>
  <c r="Z160" i="3"/>
  <c r="S160" i="3"/>
  <c r="L160" i="3"/>
  <c r="E160" i="3"/>
  <c r="AG159" i="3"/>
  <c r="Z159" i="3"/>
  <c r="S159" i="3"/>
  <c r="L159" i="3"/>
  <c r="E159" i="3"/>
  <c r="AG158" i="3"/>
  <c r="Z158" i="3"/>
  <c r="S158" i="3"/>
  <c r="L158" i="3"/>
  <c r="E158" i="3"/>
  <c r="AG157" i="3"/>
  <c r="Z157" i="3"/>
  <c r="S157" i="3"/>
  <c r="L157" i="3"/>
  <c r="E157" i="3"/>
  <c r="AG156" i="3"/>
  <c r="Z156" i="3"/>
  <c r="S156" i="3"/>
  <c r="L156" i="3"/>
  <c r="E156" i="3"/>
  <c r="AG155" i="3"/>
  <c r="Z155" i="3"/>
  <c r="S155" i="3"/>
  <c r="L155" i="3"/>
  <c r="E155" i="3"/>
  <c r="AG154" i="3"/>
  <c r="Z154" i="3"/>
  <c r="S154" i="3"/>
  <c r="L154" i="3"/>
  <c r="E154" i="3"/>
  <c r="AG153" i="3"/>
  <c r="Z153" i="3"/>
  <c r="S153" i="3"/>
  <c r="L153" i="3"/>
  <c r="E153" i="3"/>
  <c r="AG152" i="3"/>
  <c r="Z152" i="3"/>
  <c r="S152" i="3"/>
  <c r="L152" i="3"/>
  <c r="E152" i="3"/>
  <c r="AG151" i="3"/>
  <c r="Z151" i="3"/>
  <c r="S151" i="3"/>
  <c r="L151" i="3"/>
  <c r="E151" i="3"/>
  <c r="AG150" i="3"/>
  <c r="Z150" i="3"/>
  <c r="S150" i="3"/>
  <c r="L150" i="3"/>
  <c r="E150" i="3"/>
  <c r="AG149" i="3"/>
  <c r="Z149" i="3"/>
  <c r="S149" i="3"/>
  <c r="L149" i="3"/>
  <c r="E149" i="3"/>
  <c r="AG148" i="3"/>
  <c r="Z148" i="3"/>
  <c r="S148" i="3"/>
  <c r="L148" i="3"/>
  <c r="E148" i="3"/>
  <c r="AG147" i="3"/>
  <c r="Z147" i="3"/>
  <c r="S147" i="3"/>
  <c r="L147" i="3"/>
  <c r="E147" i="3"/>
  <c r="AG146" i="3"/>
  <c r="Z146" i="3"/>
  <c r="S146" i="3"/>
  <c r="L146" i="3"/>
  <c r="E146" i="3"/>
  <c r="AG145" i="3"/>
  <c r="Z145" i="3"/>
  <c r="S145" i="3"/>
  <c r="L145" i="3"/>
  <c r="E145" i="3"/>
  <c r="AG144" i="3"/>
  <c r="Z144" i="3"/>
  <c r="S144" i="3"/>
  <c r="L144" i="3"/>
  <c r="E144" i="3"/>
  <c r="AG143" i="3"/>
  <c r="Z143" i="3"/>
  <c r="S143" i="3"/>
  <c r="L143" i="3"/>
  <c r="E143" i="3"/>
  <c r="AG142" i="3"/>
  <c r="Z142" i="3"/>
  <c r="S142" i="3"/>
  <c r="L142" i="3"/>
  <c r="E142" i="3"/>
  <c r="AG141" i="3"/>
  <c r="Z141" i="3"/>
  <c r="S141" i="3"/>
  <c r="L141" i="3"/>
  <c r="E141" i="3"/>
  <c r="AG140" i="3"/>
  <c r="Z140" i="3"/>
  <c r="S140" i="3"/>
  <c r="L140" i="3"/>
  <c r="E140" i="3"/>
  <c r="AG139" i="3"/>
  <c r="Z139" i="3"/>
  <c r="S139" i="3"/>
  <c r="L139" i="3"/>
  <c r="E139" i="3"/>
  <c r="AG138" i="3"/>
  <c r="Z138" i="3"/>
  <c r="S138" i="3"/>
  <c r="L138" i="3"/>
  <c r="E138" i="3"/>
  <c r="AG137" i="3"/>
  <c r="Z137" i="3"/>
  <c r="S137" i="3"/>
  <c r="L137" i="3"/>
  <c r="E137" i="3"/>
  <c r="AG136" i="3"/>
  <c r="Z136" i="3"/>
  <c r="S136" i="3"/>
  <c r="L136" i="3"/>
  <c r="E136" i="3"/>
  <c r="AG135" i="3"/>
  <c r="Z135" i="3"/>
  <c r="S135" i="3"/>
  <c r="L135" i="3"/>
  <c r="E135" i="3"/>
  <c r="AG134" i="3"/>
  <c r="Z134" i="3"/>
  <c r="S134" i="3"/>
  <c r="L134" i="3"/>
  <c r="E134" i="3"/>
  <c r="AG133" i="3"/>
  <c r="Z133" i="3"/>
  <c r="S133" i="3"/>
  <c r="L133" i="3"/>
  <c r="E133" i="3"/>
  <c r="AG132" i="3"/>
  <c r="Z132" i="3"/>
  <c r="S132" i="3"/>
  <c r="L132" i="3"/>
  <c r="E132" i="3"/>
  <c r="AG131" i="3"/>
  <c r="Z131" i="3"/>
  <c r="S131" i="3"/>
  <c r="L131" i="3"/>
  <c r="E131" i="3"/>
  <c r="AG130" i="3"/>
  <c r="Z130" i="3"/>
  <c r="S130" i="3"/>
  <c r="L130" i="3"/>
  <c r="E130" i="3"/>
  <c r="AG129" i="3"/>
  <c r="Z129" i="3"/>
  <c r="S129" i="3"/>
  <c r="L129" i="3"/>
  <c r="E129" i="3"/>
  <c r="AG128" i="3"/>
  <c r="Z128" i="3"/>
  <c r="S128" i="3"/>
  <c r="L128" i="3"/>
  <c r="E128" i="3"/>
  <c r="AG127" i="3"/>
  <c r="Z127" i="3"/>
  <c r="S127" i="3"/>
  <c r="L127" i="3"/>
  <c r="E127" i="3"/>
  <c r="AG126" i="3"/>
  <c r="Z126" i="3"/>
  <c r="S126" i="3"/>
  <c r="L126" i="3"/>
  <c r="E126" i="3"/>
  <c r="AG125" i="3"/>
  <c r="Z125" i="3"/>
  <c r="S125" i="3"/>
  <c r="L125" i="3"/>
  <c r="E125" i="3"/>
  <c r="AG124" i="3"/>
  <c r="Z124" i="3"/>
  <c r="S124" i="3"/>
  <c r="L124" i="3"/>
  <c r="E124" i="3"/>
  <c r="AG123" i="3"/>
  <c r="Z123" i="3"/>
  <c r="S123" i="3"/>
  <c r="L123" i="3"/>
  <c r="E123" i="3"/>
  <c r="AG122" i="3"/>
  <c r="Z122" i="3"/>
  <c r="S122" i="3"/>
  <c r="L122" i="3"/>
  <c r="E122" i="3"/>
  <c r="AG121" i="3"/>
  <c r="Z121" i="3"/>
  <c r="S121" i="3"/>
  <c r="L121" i="3"/>
  <c r="E121" i="3"/>
  <c r="AG120" i="3"/>
  <c r="Z120" i="3"/>
  <c r="S120" i="3"/>
  <c r="L120" i="3"/>
  <c r="E120" i="3"/>
  <c r="AG119" i="3"/>
  <c r="Z119" i="3"/>
  <c r="S119" i="3"/>
  <c r="L119" i="3"/>
  <c r="E119" i="3"/>
  <c r="AG118" i="3"/>
  <c r="Z118" i="3"/>
  <c r="S118" i="3"/>
  <c r="L118" i="3"/>
  <c r="E118" i="3"/>
  <c r="AG117" i="3"/>
  <c r="Z117" i="3"/>
  <c r="S117" i="3"/>
  <c r="L117" i="3"/>
  <c r="E117" i="3"/>
  <c r="AG116" i="3"/>
  <c r="Z116" i="3"/>
  <c r="S116" i="3"/>
  <c r="L116" i="3"/>
  <c r="E116" i="3"/>
  <c r="AG115" i="3"/>
  <c r="Z115" i="3"/>
  <c r="S115" i="3"/>
  <c r="L115" i="3"/>
  <c r="E115" i="3"/>
  <c r="AG114" i="3"/>
  <c r="Z114" i="3"/>
  <c r="S114" i="3"/>
  <c r="L114" i="3"/>
  <c r="E114" i="3"/>
  <c r="AG113" i="3"/>
  <c r="Z113" i="3"/>
  <c r="S113" i="3"/>
  <c r="L113" i="3"/>
  <c r="E113" i="3"/>
  <c r="AG112" i="3"/>
  <c r="Z112" i="3"/>
  <c r="S112" i="3"/>
  <c r="L112" i="3"/>
  <c r="E112" i="3"/>
  <c r="AG111" i="3"/>
  <c r="Z111" i="3"/>
  <c r="S111" i="3"/>
  <c r="L111" i="3"/>
  <c r="E111" i="3"/>
  <c r="AG110" i="3"/>
  <c r="Z110" i="3"/>
  <c r="S110" i="3"/>
  <c r="L110" i="3"/>
  <c r="E110" i="3"/>
  <c r="AG109" i="3"/>
  <c r="Z109" i="3"/>
  <c r="S109" i="3"/>
  <c r="L109" i="3"/>
  <c r="E109" i="3"/>
  <c r="AG108" i="3"/>
  <c r="Z108" i="3"/>
  <c r="S108" i="3"/>
  <c r="L108" i="3"/>
  <c r="E108" i="3"/>
  <c r="AG107" i="3"/>
  <c r="Z107" i="3"/>
  <c r="S107" i="3"/>
  <c r="L107" i="3"/>
  <c r="E107" i="3"/>
  <c r="AG106" i="3"/>
  <c r="Z106" i="3"/>
  <c r="S106" i="3"/>
  <c r="L106" i="3"/>
  <c r="E106" i="3"/>
  <c r="AG105" i="3"/>
  <c r="Z105" i="3"/>
  <c r="S105" i="3"/>
  <c r="L105" i="3"/>
  <c r="E105" i="3"/>
  <c r="AG104" i="3"/>
  <c r="Z104" i="3"/>
  <c r="S104" i="3"/>
  <c r="L104" i="3"/>
  <c r="E104" i="3"/>
  <c r="AG103" i="3"/>
  <c r="Z103" i="3"/>
  <c r="S103" i="3"/>
  <c r="L103" i="3"/>
  <c r="E103" i="3"/>
  <c r="AG102" i="3"/>
  <c r="Z102" i="3"/>
  <c r="S102" i="3"/>
  <c r="L102" i="3"/>
  <c r="E102" i="3"/>
  <c r="AG101" i="3"/>
  <c r="Z101" i="3"/>
  <c r="S101" i="3"/>
  <c r="L101" i="3"/>
  <c r="E101" i="3"/>
  <c r="AG100" i="3"/>
  <c r="Z100" i="3"/>
  <c r="S100" i="3"/>
  <c r="L100" i="3"/>
  <c r="E100" i="3"/>
  <c r="AG99" i="3"/>
  <c r="Z99" i="3"/>
  <c r="S99" i="3"/>
  <c r="L99" i="3"/>
  <c r="E99" i="3"/>
  <c r="AG98" i="3"/>
  <c r="Z98" i="3"/>
  <c r="S98" i="3"/>
  <c r="L98" i="3"/>
  <c r="E98" i="3"/>
  <c r="AG97" i="3"/>
  <c r="Z97" i="3"/>
  <c r="S97" i="3"/>
  <c r="L97" i="3"/>
  <c r="E97" i="3"/>
  <c r="AG96" i="3"/>
  <c r="Z96" i="3"/>
  <c r="S96" i="3"/>
  <c r="L96" i="3"/>
  <c r="E96" i="3"/>
  <c r="AG95" i="3"/>
  <c r="Z95" i="3"/>
  <c r="S95" i="3"/>
  <c r="L95" i="3"/>
  <c r="E95" i="3"/>
  <c r="AG94" i="3"/>
  <c r="Z94" i="3"/>
  <c r="S94" i="3"/>
  <c r="L94" i="3"/>
  <c r="E94" i="3"/>
  <c r="AG93" i="3"/>
  <c r="Z93" i="3"/>
  <c r="S93" i="3"/>
  <c r="L93" i="3"/>
  <c r="E93" i="3"/>
  <c r="AG92" i="3"/>
  <c r="Z92" i="3"/>
  <c r="S92" i="3"/>
  <c r="L92" i="3"/>
  <c r="E92" i="3"/>
  <c r="AG91" i="3"/>
  <c r="Z91" i="3"/>
  <c r="S91" i="3"/>
  <c r="L91" i="3"/>
  <c r="E91" i="3"/>
  <c r="AG90" i="3"/>
  <c r="Z90" i="3"/>
  <c r="S90" i="3"/>
  <c r="L90" i="3"/>
  <c r="E90" i="3"/>
  <c r="AG89" i="3"/>
  <c r="Z89" i="3"/>
  <c r="S89" i="3"/>
  <c r="L89" i="3"/>
  <c r="E89" i="3"/>
  <c r="AG88" i="3"/>
  <c r="Z88" i="3"/>
  <c r="S88" i="3"/>
  <c r="L88" i="3"/>
  <c r="E88" i="3"/>
  <c r="AG87" i="3"/>
  <c r="Z87" i="3"/>
  <c r="S87" i="3"/>
  <c r="L87" i="3"/>
  <c r="E87" i="3"/>
  <c r="AG86" i="3"/>
  <c r="Z86" i="3"/>
  <c r="S86" i="3"/>
  <c r="L86" i="3"/>
  <c r="E86" i="3"/>
  <c r="AG85" i="3"/>
  <c r="Z85" i="3"/>
  <c r="S85" i="3"/>
  <c r="L85" i="3"/>
  <c r="E85" i="3"/>
  <c r="AG84" i="3"/>
  <c r="Z84" i="3"/>
  <c r="S84" i="3"/>
  <c r="L84" i="3"/>
  <c r="E84" i="3"/>
  <c r="AG83" i="3"/>
  <c r="Z83" i="3"/>
  <c r="S83" i="3"/>
  <c r="L83" i="3"/>
  <c r="E83" i="3"/>
  <c r="AG82" i="3"/>
  <c r="Z82" i="3"/>
  <c r="S82" i="3"/>
  <c r="L82" i="3"/>
  <c r="E82" i="3"/>
  <c r="AG81" i="3"/>
  <c r="Z81" i="3"/>
  <c r="S81" i="3"/>
  <c r="L81" i="3"/>
  <c r="E81" i="3"/>
  <c r="AG80" i="3"/>
  <c r="Z80" i="3"/>
  <c r="S80" i="3"/>
  <c r="L80" i="3"/>
  <c r="E80" i="3"/>
  <c r="AG79" i="3"/>
  <c r="Z79" i="3"/>
  <c r="S79" i="3"/>
  <c r="L79" i="3"/>
  <c r="E79" i="3"/>
  <c r="AG78" i="3"/>
  <c r="Z78" i="3"/>
  <c r="S78" i="3"/>
  <c r="L78" i="3"/>
  <c r="E78" i="3"/>
  <c r="AG77" i="3"/>
  <c r="Z77" i="3"/>
  <c r="S77" i="3"/>
  <c r="L77" i="3"/>
  <c r="E77" i="3"/>
  <c r="AG76" i="3"/>
  <c r="Z76" i="3"/>
  <c r="S76" i="3"/>
  <c r="L76" i="3"/>
  <c r="E76" i="3"/>
  <c r="AG75" i="3"/>
  <c r="Z75" i="3"/>
  <c r="S75" i="3"/>
  <c r="L75" i="3"/>
  <c r="E75" i="3"/>
  <c r="AG74" i="3"/>
  <c r="Z74" i="3"/>
  <c r="S74" i="3"/>
  <c r="L74" i="3"/>
  <c r="E74" i="3"/>
  <c r="AG73" i="3"/>
  <c r="Z73" i="3"/>
  <c r="S73" i="3"/>
  <c r="L73" i="3"/>
  <c r="E73" i="3"/>
  <c r="AG72" i="3"/>
  <c r="Z72" i="3"/>
  <c r="S72" i="3"/>
  <c r="L72" i="3"/>
  <c r="E72" i="3"/>
  <c r="AG71" i="3"/>
  <c r="Z71" i="3"/>
  <c r="S71" i="3"/>
  <c r="L71" i="3"/>
  <c r="E71" i="3"/>
  <c r="AG70" i="3"/>
  <c r="Z70" i="3"/>
  <c r="S70" i="3"/>
  <c r="L70" i="3"/>
  <c r="E70" i="3"/>
  <c r="AG69" i="3"/>
  <c r="Z69" i="3"/>
  <c r="S69" i="3"/>
  <c r="L69" i="3"/>
  <c r="E69" i="3"/>
  <c r="AG68" i="3"/>
  <c r="Z68" i="3"/>
  <c r="S68" i="3"/>
  <c r="L68" i="3"/>
  <c r="E68" i="3"/>
  <c r="AG67" i="3"/>
  <c r="Z67" i="3"/>
  <c r="S67" i="3"/>
  <c r="L67" i="3"/>
  <c r="E67" i="3"/>
  <c r="AG66" i="3"/>
  <c r="Z66" i="3"/>
  <c r="S66" i="3"/>
  <c r="L66" i="3"/>
  <c r="E66" i="3"/>
  <c r="AG65" i="3"/>
  <c r="Z65" i="3"/>
  <c r="S65" i="3"/>
  <c r="L65" i="3"/>
  <c r="E65" i="3"/>
  <c r="AG64" i="3"/>
  <c r="Z64" i="3"/>
  <c r="S64" i="3"/>
  <c r="L64" i="3"/>
  <c r="E64" i="3"/>
  <c r="AG63" i="3"/>
  <c r="Z63" i="3"/>
  <c r="S63" i="3"/>
  <c r="L63" i="3"/>
  <c r="E63" i="3"/>
  <c r="AG62" i="3"/>
  <c r="Z62" i="3"/>
  <c r="S62" i="3"/>
  <c r="L62" i="3"/>
  <c r="E62" i="3"/>
  <c r="AG61" i="3"/>
  <c r="Z61" i="3"/>
  <c r="S61" i="3"/>
  <c r="L61" i="3"/>
  <c r="E61" i="3"/>
  <c r="AG60" i="3"/>
  <c r="Z60" i="3"/>
  <c r="S60" i="3"/>
  <c r="L60" i="3"/>
  <c r="E60" i="3"/>
  <c r="AG59" i="3"/>
  <c r="Z59" i="3"/>
  <c r="S59" i="3"/>
  <c r="L59" i="3"/>
  <c r="E59" i="3"/>
  <c r="AG58" i="3"/>
  <c r="Z58" i="3"/>
  <c r="S58" i="3"/>
  <c r="L58" i="3"/>
  <c r="E58" i="3"/>
  <c r="AG57" i="3"/>
  <c r="Z57" i="3"/>
  <c r="S57" i="3"/>
  <c r="L57" i="3"/>
  <c r="E57" i="3"/>
  <c r="AG56" i="3"/>
  <c r="Z56" i="3"/>
  <c r="S56" i="3"/>
  <c r="L56" i="3"/>
  <c r="E56" i="3"/>
  <c r="AG55" i="3"/>
  <c r="Z55" i="3"/>
  <c r="S55" i="3"/>
  <c r="L55" i="3"/>
  <c r="E55" i="3"/>
  <c r="AG54" i="3"/>
  <c r="Z54" i="3"/>
  <c r="S54" i="3"/>
  <c r="L54" i="3"/>
  <c r="E54" i="3"/>
  <c r="AG53" i="3"/>
  <c r="Z53" i="3"/>
  <c r="S53" i="3"/>
  <c r="L53" i="3"/>
  <c r="E53" i="3"/>
  <c r="AG52" i="3"/>
  <c r="Z52" i="3"/>
  <c r="S52" i="3"/>
  <c r="L52" i="3"/>
  <c r="E52" i="3"/>
  <c r="AG51" i="3"/>
  <c r="Z51" i="3"/>
  <c r="S51" i="3"/>
  <c r="L51" i="3"/>
  <c r="E51" i="3"/>
  <c r="AG50" i="3"/>
  <c r="Z50" i="3"/>
  <c r="S50" i="3"/>
  <c r="L50" i="3"/>
  <c r="E50" i="3"/>
  <c r="AG49" i="3"/>
  <c r="Z49" i="3"/>
  <c r="S49" i="3"/>
  <c r="L49" i="3"/>
  <c r="E49" i="3"/>
  <c r="AG48" i="3"/>
  <c r="Z48" i="3"/>
  <c r="S48" i="3"/>
  <c r="L48" i="3"/>
  <c r="E48" i="3"/>
  <c r="AG47" i="3"/>
  <c r="Z47" i="3"/>
  <c r="S47" i="3"/>
  <c r="L47" i="3"/>
  <c r="E47" i="3"/>
  <c r="AG46" i="3"/>
  <c r="Z46" i="3"/>
  <c r="S46" i="3"/>
  <c r="L46" i="3"/>
  <c r="E46" i="3"/>
  <c r="AG45" i="3"/>
  <c r="Z45" i="3"/>
  <c r="S45" i="3"/>
  <c r="L45" i="3"/>
  <c r="E45" i="3"/>
  <c r="AG44" i="3"/>
  <c r="Z44" i="3"/>
  <c r="S44" i="3"/>
  <c r="L44" i="3"/>
  <c r="E44" i="3"/>
  <c r="AG43" i="3"/>
  <c r="Z43" i="3"/>
  <c r="S43" i="3"/>
  <c r="L43" i="3"/>
  <c r="E43" i="3"/>
  <c r="AG42" i="3"/>
  <c r="Z42" i="3"/>
  <c r="S42" i="3"/>
  <c r="L42" i="3"/>
  <c r="E42" i="3"/>
  <c r="AG41" i="3"/>
  <c r="Z41" i="3"/>
  <c r="S41" i="3"/>
  <c r="L41" i="3"/>
  <c r="E41" i="3"/>
  <c r="AG40" i="3"/>
  <c r="Z40" i="3"/>
  <c r="S40" i="3"/>
  <c r="L40" i="3"/>
  <c r="E40" i="3"/>
  <c r="AG39" i="3"/>
  <c r="Z39" i="3"/>
  <c r="S39" i="3"/>
  <c r="L39" i="3"/>
  <c r="E39" i="3"/>
  <c r="AG38" i="3"/>
  <c r="Z38" i="3"/>
  <c r="S38" i="3"/>
  <c r="L38" i="3"/>
  <c r="E38" i="3"/>
  <c r="AG37" i="3"/>
  <c r="Z37" i="3"/>
  <c r="S37" i="3"/>
  <c r="L37" i="3"/>
  <c r="E37" i="3"/>
  <c r="AG36" i="3"/>
  <c r="Z36" i="3"/>
  <c r="S36" i="3"/>
  <c r="L36" i="3"/>
  <c r="E36" i="3"/>
  <c r="AG35" i="3"/>
  <c r="Z35" i="3"/>
  <c r="S35" i="3"/>
  <c r="L35" i="3"/>
  <c r="E35" i="3"/>
  <c r="AG34" i="3"/>
  <c r="Z34" i="3"/>
  <c r="S34" i="3"/>
  <c r="L34" i="3"/>
  <c r="E34" i="3"/>
  <c r="AG33" i="3"/>
  <c r="Z33" i="3"/>
  <c r="S33" i="3"/>
  <c r="L33" i="3"/>
  <c r="E33" i="3"/>
  <c r="AG32" i="3"/>
  <c r="Z32" i="3"/>
  <c r="S32" i="3"/>
  <c r="L32" i="3"/>
  <c r="E32" i="3"/>
  <c r="AG31" i="3"/>
  <c r="Z31" i="3"/>
  <c r="S31" i="3"/>
  <c r="L31" i="3"/>
  <c r="E31" i="3"/>
  <c r="AG30" i="3"/>
  <c r="Z30" i="3"/>
  <c r="S30" i="3"/>
  <c r="L30" i="3"/>
  <c r="E30" i="3"/>
  <c r="AG29" i="3"/>
  <c r="Z29" i="3"/>
  <c r="S29" i="3"/>
  <c r="L29" i="3"/>
  <c r="E29" i="3"/>
  <c r="AG28" i="3"/>
  <c r="Z28" i="3"/>
  <c r="S28" i="3"/>
  <c r="L28" i="3"/>
  <c r="E28" i="3"/>
  <c r="AG27" i="3"/>
  <c r="Z27" i="3"/>
  <c r="S27" i="3"/>
  <c r="L27" i="3"/>
  <c r="E27" i="3"/>
  <c r="AG26" i="3"/>
  <c r="Z26" i="3"/>
  <c r="S26" i="3"/>
  <c r="L26" i="3"/>
  <c r="E26" i="3"/>
  <c r="AG25" i="3"/>
  <c r="Z25" i="3"/>
  <c r="S25" i="3"/>
  <c r="L25" i="3"/>
  <c r="E25" i="3"/>
  <c r="AG24" i="3"/>
  <c r="Z24" i="3"/>
  <c r="S24" i="3"/>
  <c r="L24" i="3"/>
  <c r="E24" i="3"/>
  <c r="AG23" i="3"/>
  <c r="Z23" i="3"/>
  <c r="S23" i="3"/>
  <c r="L23" i="3"/>
  <c r="E23" i="3"/>
  <c r="AG22" i="3"/>
  <c r="Z22" i="3"/>
  <c r="S22" i="3"/>
  <c r="L22" i="3"/>
  <c r="E22" i="3"/>
  <c r="AG21" i="3"/>
  <c r="Z21" i="3"/>
  <c r="S21" i="3"/>
  <c r="L21" i="3"/>
  <c r="E21" i="3"/>
  <c r="AG20" i="3"/>
  <c r="Z20" i="3"/>
  <c r="S20" i="3"/>
  <c r="L20" i="3"/>
  <c r="E20" i="3"/>
  <c r="AG19" i="3"/>
  <c r="Z19" i="3"/>
  <c r="S19" i="3"/>
  <c r="L19" i="3"/>
  <c r="E19" i="3"/>
  <c r="AG18" i="3"/>
  <c r="Z18" i="3"/>
  <c r="S18" i="3"/>
  <c r="L18" i="3"/>
  <c r="E18" i="3"/>
  <c r="AG17" i="3"/>
  <c r="Z17" i="3"/>
  <c r="S17" i="3"/>
  <c r="L17" i="3"/>
  <c r="E17" i="3"/>
  <c r="AG16" i="3"/>
  <c r="Z16" i="3"/>
  <c r="S16" i="3"/>
  <c r="L16" i="3"/>
  <c r="E16" i="3"/>
  <c r="AG15" i="3"/>
  <c r="Z15" i="3"/>
  <c r="S15" i="3"/>
  <c r="L15" i="3"/>
  <c r="E15" i="3"/>
  <c r="AG14" i="3"/>
  <c r="Z14" i="3"/>
  <c r="S14" i="3"/>
  <c r="L14" i="3"/>
  <c r="E14" i="3"/>
  <c r="AG13" i="3"/>
  <c r="Z13" i="3"/>
  <c r="S13" i="3"/>
  <c r="L13" i="3"/>
  <c r="E13" i="3"/>
  <c r="AG12" i="3"/>
  <c r="Z12" i="3"/>
  <c r="S12" i="3"/>
  <c r="L12" i="3"/>
  <c r="E12" i="3"/>
  <c r="AG11" i="3"/>
  <c r="Z11" i="3"/>
  <c r="S11" i="3"/>
  <c r="L11" i="3"/>
  <c r="E11" i="3"/>
  <c r="AG10" i="3"/>
  <c r="Z10" i="3"/>
  <c r="S10" i="3"/>
  <c r="L10" i="3"/>
  <c r="E10" i="3"/>
  <c r="AG9" i="3"/>
  <c r="Z9" i="3"/>
  <c r="S9" i="3"/>
  <c r="L9" i="3"/>
  <c r="E9" i="3"/>
  <c r="AG8" i="3"/>
  <c r="Z8" i="3"/>
  <c r="S8" i="3"/>
  <c r="L8" i="3"/>
  <c r="E8" i="3"/>
  <c r="AG7" i="3"/>
  <c r="Z7" i="3"/>
  <c r="S7" i="3"/>
  <c r="L7" i="3"/>
  <c r="E7" i="3"/>
  <c r="AG6" i="3"/>
  <c r="Z6" i="3"/>
  <c r="S6" i="3"/>
  <c r="L6" i="3"/>
  <c r="E6" i="3"/>
  <c r="AG5" i="3"/>
  <c r="Z5" i="3"/>
  <c r="S5" i="3"/>
  <c r="L5" i="3"/>
  <c r="E5" i="3"/>
  <c r="AG4" i="3"/>
  <c r="Z4" i="3"/>
  <c r="S4" i="3"/>
  <c r="L4" i="3"/>
  <c r="E4" i="3"/>
  <c r="AH20" i="3" l="1"/>
  <c r="AH36" i="3"/>
  <c r="AH52" i="3"/>
  <c r="AH68" i="3"/>
  <c r="AH84" i="3"/>
  <c r="AH100" i="3"/>
  <c r="AH116" i="3"/>
  <c r="AH132" i="3"/>
  <c r="AH148" i="3"/>
  <c r="AH164" i="3"/>
  <c r="AH180" i="3"/>
  <c r="AH196" i="3"/>
  <c r="AH212" i="3"/>
  <c r="AH228" i="3"/>
  <c r="AH244" i="3"/>
  <c r="AH260" i="3"/>
  <c r="AH276" i="3"/>
  <c r="AH292" i="3"/>
  <c r="AH308" i="3"/>
  <c r="AH324" i="3"/>
  <c r="AH340" i="3"/>
  <c r="AH356" i="3"/>
  <c r="AH372" i="3"/>
  <c r="AH388" i="3"/>
  <c r="AH404" i="3"/>
  <c r="AH420" i="3"/>
  <c r="AH436" i="3"/>
  <c r="AH452" i="3"/>
  <c r="AH468" i="3"/>
  <c r="AH484" i="3"/>
  <c r="AH500" i="3"/>
  <c r="AH516" i="3"/>
  <c r="AH532" i="3"/>
  <c r="AH548" i="3"/>
  <c r="AH564" i="3"/>
  <c r="AH580" i="3"/>
  <c r="AH596" i="3"/>
  <c r="AH612" i="3"/>
  <c r="AH628" i="3"/>
  <c r="AH644" i="3"/>
  <c r="AH660" i="3"/>
  <c r="AH676" i="3"/>
  <c r="AH692" i="3"/>
  <c r="AH708" i="3"/>
  <c r="AH724" i="3"/>
  <c r="AH740" i="3"/>
  <c r="AH756" i="3"/>
  <c r="AH772" i="3"/>
  <c r="AH788" i="3"/>
  <c r="AH804" i="3"/>
  <c r="AH820" i="3"/>
  <c r="AH836" i="3"/>
  <c r="AH852" i="3"/>
  <c r="AH868" i="3"/>
  <c r="AH884" i="3"/>
  <c r="AH900" i="3"/>
  <c r="AH916" i="3"/>
  <c r="AH932" i="3"/>
  <c r="AH948" i="3"/>
  <c r="AH964" i="3"/>
  <c r="AH980" i="3"/>
  <c r="AH996" i="3"/>
  <c r="AH1012" i="3"/>
  <c r="AH1028" i="3"/>
  <c r="AH1044" i="3"/>
  <c r="AH1060" i="3"/>
  <c r="AH1076" i="3"/>
  <c r="AH1092" i="3"/>
  <c r="AH1108" i="3"/>
  <c r="AH1124" i="3"/>
  <c r="AH1140" i="3"/>
  <c r="AH16" i="3"/>
  <c r="AH32" i="3"/>
  <c r="AH48" i="3"/>
  <c r="AH64" i="3"/>
  <c r="AH80" i="3"/>
  <c r="AH96" i="3"/>
  <c r="AH112" i="3"/>
  <c r="AH128" i="3"/>
  <c r="AH144" i="3"/>
  <c r="AH160" i="3"/>
  <c r="AH176" i="3"/>
  <c r="AH192" i="3"/>
  <c r="AH208" i="3"/>
  <c r="AH224" i="3"/>
  <c r="AH240" i="3"/>
  <c r="AH256" i="3"/>
  <c r="AH272" i="3"/>
  <c r="AH288" i="3"/>
  <c r="AH304" i="3"/>
  <c r="AH320" i="3"/>
  <c r="AH336" i="3"/>
  <c r="AH352" i="3"/>
  <c r="AH368" i="3"/>
  <c r="AH384" i="3"/>
  <c r="AH400" i="3"/>
  <c r="AH416" i="3"/>
  <c r="AH432" i="3"/>
  <c r="AH448" i="3"/>
  <c r="AH464" i="3"/>
  <c r="AH480" i="3"/>
  <c r="AH496" i="3"/>
  <c r="AH512" i="3"/>
  <c r="AH528" i="3"/>
  <c r="AH24" i="3"/>
  <c r="AH42" i="3"/>
  <c r="AH60" i="3"/>
  <c r="AH78" i="3"/>
  <c r="AH97" i="3"/>
  <c r="AH115" i="3"/>
  <c r="AH134" i="3"/>
  <c r="AH152" i="3"/>
  <c r="AH170" i="3"/>
  <c r="AH188" i="3"/>
  <c r="AH206" i="3"/>
  <c r="AH225" i="3"/>
  <c r="AH243" i="3"/>
  <c r="AH262" i="3"/>
  <c r="AH280" i="3"/>
  <c r="AH298" i="3"/>
  <c r="AH316" i="3"/>
  <c r="AH334" i="3"/>
  <c r="AH353" i="3"/>
  <c r="AH371" i="3"/>
  <c r="AH390" i="3"/>
  <c r="AH408" i="3"/>
  <c r="AH426" i="3"/>
  <c r="AH444" i="3"/>
  <c r="AH462" i="3"/>
  <c r="AH481" i="3"/>
  <c r="AH499" i="3"/>
  <c r="AH518" i="3"/>
  <c r="AH536" i="3"/>
  <c r="AH553" i="3"/>
  <c r="AH570" i="3"/>
  <c r="AH587" i="3"/>
  <c r="AH604" i="3"/>
  <c r="AH621" i="3"/>
  <c r="AH638" i="3"/>
  <c r="AH655" i="3"/>
  <c r="AH672" i="3"/>
  <c r="AH689" i="3"/>
  <c r="AH706" i="3"/>
  <c r="AH723" i="3"/>
  <c r="AH741" i="3"/>
  <c r="AH758" i="3"/>
  <c r="AH775" i="3"/>
  <c r="AH792" i="3"/>
  <c r="AH809" i="3"/>
  <c r="AH826" i="3"/>
  <c r="AH843" i="3"/>
  <c r="AH860" i="3"/>
  <c r="AH877" i="3"/>
  <c r="AH894" i="3"/>
  <c r="AH911" i="3"/>
  <c r="AH928" i="3"/>
  <c r="AH945" i="3"/>
  <c r="AH962" i="3"/>
  <c r="AH979" i="3"/>
  <c r="AH997" i="3"/>
  <c r="AH1014" i="3"/>
  <c r="AH1031" i="3"/>
  <c r="AH1048" i="3"/>
  <c r="AH1065" i="3"/>
  <c r="AH1082" i="3"/>
  <c r="AH1099" i="3"/>
  <c r="AH1116" i="3"/>
  <c r="AH1133" i="3"/>
  <c r="AH1150" i="3"/>
  <c r="AH1166" i="3"/>
  <c r="AH1182" i="3"/>
  <c r="AH1198" i="3"/>
  <c r="AH26" i="3"/>
  <c r="AH44" i="3"/>
  <c r="AH62" i="3"/>
  <c r="AH81" i="3"/>
  <c r="AH99" i="3"/>
  <c r="AH118" i="3"/>
  <c r="AH136" i="3"/>
  <c r="AH154" i="3"/>
  <c r="AH172" i="3"/>
  <c r="AH190" i="3"/>
  <c r="AH209" i="3"/>
  <c r="AH227" i="3"/>
  <c r="AH246" i="3"/>
  <c r="AH264" i="3"/>
  <c r="AH282" i="3"/>
  <c r="AH300" i="3"/>
  <c r="AH318" i="3"/>
  <c r="AH337" i="3"/>
  <c r="AH355" i="3"/>
  <c r="AH374" i="3"/>
  <c r="AH392" i="3"/>
  <c r="AH410" i="3"/>
  <c r="AH428" i="3"/>
  <c r="AH446" i="3"/>
  <c r="AH465" i="3"/>
  <c r="AH483" i="3"/>
  <c r="AH502" i="3"/>
  <c r="AH520" i="3"/>
  <c r="AH538" i="3"/>
  <c r="AH555" i="3"/>
  <c r="AH572" i="3"/>
  <c r="AH589" i="3"/>
  <c r="AH606" i="3"/>
  <c r="AH623" i="3"/>
  <c r="AH640" i="3"/>
  <c r="AH657" i="3"/>
  <c r="AH674" i="3"/>
  <c r="AH691" i="3"/>
  <c r="AH709" i="3"/>
  <c r="AH726" i="3"/>
  <c r="AH743" i="3"/>
  <c r="AH760" i="3"/>
  <c r="AH777" i="3"/>
  <c r="AH794" i="3"/>
  <c r="AH811" i="3"/>
  <c r="AH828" i="3"/>
  <c r="AH845" i="3"/>
  <c r="AH862" i="3"/>
  <c r="AH879" i="3"/>
  <c r="AH896" i="3"/>
  <c r="AH913" i="3"/>
  <c r="AH930" i="3"/>
  <c r="AH947" i="3"/>
  <c r="AH965" i="3"/>
  <c r="AH982" i="3"/>
  <c r="AH999" i="3"/>
  <c r="AH1016" i="3"/>
  <c r="AH1033" i="3"/>
  <c r="AH1050" i="3"/>
  <c r="AH1067" i="3"/>
  <c r="AH1084" i="3"/>
  <c r="AH1101" i="3"/>
  <c r="AH1118" i="3"/>
  <c r="AH1135" i="3"/>
  <c r="AH1152" i="3"/>
  <c r="AH1168" i="3"/>
  <c r="AH1184" i="3"/>
  <c r="AH1200" i="3"/>
  <c r="AH18" i="3"/>
  <c r="AH39" i="3"/>
  <c r="AH59" i="3"/>
  <c r="AH82" i="3"/>
  <c r="AH103" i="3"/>
  <c r="AH123" i="3"/>
  <c r="AH143" i="3"/>
  <c r="AH165" i="3"/>
  <c r="AH185" i="3"/>
  <c r="AH205" i="3"/>
  <c r="AH229" i="3"/>
  <c r="AH249" i="3"/>
  <c r="AH269" i="3"/>
  <c r="AH290" i="3"/>
  <c r="AH311" i="3"/>
  <c r="AH331" i="3"/>
  <c r="AH351" i="3"/>
  <c r="AH375" i="3"/>
  <c r="AH395" i="3"/>
  <c r="AH415" i="3"/>
  <c r="AH437" i="3"/>
  <c r="AH457" i="3"/>
  <c r="AH477" i="3"/>
  <c r="AH498" i="3"/>
  <c r="AH521" i="3"/>
  <c r="AH541" i="3"/>
  <c r="AH560" i="3"/>
  <c r="AH579" i="3"/>
  <c r="AH599" i="3"/>
  <c r="AH618" i="3"/>
  <c r="AH637" i="3"/>
  <c r="AH658" i="3"/>
  <c r="AH678" i="3"/>
  <c r="AH697" i="3"/>
  <c r="AH716" i="3"/>
  <c r="AH735" i="3"/>
  <c r="AH754" i="3"/>
  <c r="AH774" i="3"/>
  <c r="AH795" i="3"/>
  <c r="AH814" i="3"/>
  <c r="AH833" i="3"/>
  <c r="AH853" i="3"/>
  <c r="AH872" i="3"/>
  <c r="AH891" i="3"/>
  <c r="AH910" i="3"/>
  <c r="AH931" i="3"/>
  <c r="AH951" i="3"/>
  <c r="AH970" i="3"/>
  <c r="AH989" i="3"/>
  <c r="AH1008" i="3"/>
  <c r="AH1027" i="3"/>
  <c r="AH1047" i="3"/>
  <c r="AH1068" i="3"/>
  <c r="AH1087" i="3"/>
  <c r="AH1106" i="3"/>
  <c r="AH1126" i="3"/>
  <c r="AH1145" i="3"/>
  <c r="AH1163" i="3"/>
  <c r="AH1181" i="3"/>
  <c r="AH1201" i="3"/>
  <c r="AH19" i="3"/>
  <c r="AH40" i="3"/>
  <c r="AH61" i="3"/>
  <c r="AH83" i="3"/>
  <c r="AH104" i="3"/>
  <c r="AH124" i="3"/>
  <c r="AH145" i="3"/>
  <c r="AH166" i="3"/>
  <c r="AH186" i="3"/>
  <c r="AH207" i="3"/>
  <c r="AH230" i="3"/>
  <c r="AH250" i="3"/>
  <c r="AH270" i="3"/>
  <c r="AH291" i="3"/>
  <c r="AH312" i="3"/>
  <c r="AH332" i="3"/>
  <c r="AH354" i="3"/>
  <c r="AH376" i="3"/>
  <c r="AH396" i="3"/>
  <c r="AH417" i="3"/>
  <c r="AH438" i="3"/>
  <c r="AH458" i="3"/>
  <c r="AH478" i="3"/>
  <c r="AH501" i="3"/>
  <c r="AH522" i="3"/>
  <c r="AH542" i="3"/>
  <c r="AH561" i="3"/>
  <c r="AH581" i="3"/>
  <c r="AH600" i="3"/>
  <c r="AH619" i="3"/>
  <c r="AH639" i="3"/>
  <c r="AH659" i="3"/>
  <c r="AH679" i="3"/>
  <c r="AH698" i="3"/>
  <c r="AH717" i="3"/>
  <c r="AH736" i="3"/>
  <c r="AH755" i="3"/>
  <c r="AH776" i="3"/>
  <c r="AH796" i="3"/>
  <c r="AH815" i="3"/>
  <c r="AH834" i="3"/>
  <c r="AH854" i="3"/>
  <c r="AH873" i="3"/>
  <c r="AH892" i="3"/>
  <c r="AH912" i="3"/>
  <c r="AH933" i="3"/>
  <c r="AH952" i="3"/>
  <c r="AH971" i="3"/>
  <c r="AH990" i="3"/>
  <c r="AH1009" i="3"/>
  <c r="AH1029" i="3"/>
  <c r="AH1049" i="3"/>
  <c r="AH1069" i="3"/>
  <c r="AH1088" i="3"/>
  <c r="AH1107" i="3"/>
  <c r="AH1127" i="3"/>
  <c r="AH1146" i="3"/>
  <c r="AH1164" i="3"/>
  <c r="AH1183" i="3"/>
  <c r="AH1202" i="3"/>
  <c r="AH21" i="3"/>
  <c r="AH41" i="3"/>
  <c r="AH63" i="3"/>
  <c r="AH85" i="3"/>
  <c r="AH105" i="3"/>
  <c r="AH125" i="3"/>
  <c r="AH146" i="3"/>
  <c r="AH167" i="3"/>
  <c r="AH187" i="3"/>
  <c r="AH210" i="3"/>
  <c r="AH231" i="3"/>
  <c r="AH251" i="3"/>
  <c r="AH271" i="3"/>
  <c r="AH293" i="3"/>
  <c r="AH313" i="3"/>
  <c r="AH333" i="3"/>
  <c r="AH357" i="3"/>
  <c r="AH377" i="3"/>
  <c r="AH397" i="3"/>
  <c r="AH418" i="3"/>
  <c r="AH439" i="3"/>
  <c r="AH459" i="3"/>
  <c r="AH479" i="3"/>
  <c r="AH503" i="3"/>
  <c r="AH523" i="3"/>
  <c r="AH543" i="3"/>
  <c r="AH562" i="3"/>
  <c r="AH582" i="3"/>
  <c r="AH601" i="3"/>
  <c r="AH620" i="3"/>
  <c r="AH641" i="3"/>
  <c r="AH661" i="3"/>
  <c r="AH680" i="3"/>
  <c r="AH699" i="3"/>
  <c r="AH718" i="3"/>
  <c r="AH737" i="3"/>
  <c r="AH757" i="3"/>
  <c r="AH778" i="3"/>
  <c r="AH797" i="3"/>
  <c r="AH816" i="3"/>
  <c r="AH835" i="3"/>
  <c r="AH855" i="3"/>
  <c r="AH874" i="3"/>
  <c r="AH893" i="3"/>
  <c r="AH914" i="3"/>
  <c r="AH934" i="3"/>
  <c r="AH953" i="3"/>
  <c r="AH972" i="3"/>
  <c r="AH991" i="3"/>
  <c r="AH1010" i="3"/>
  <c r="AH1030" i="3"/>
  <c r="AH1051" i="3"/>
  <c r="AH1070" i="3"/>
  <c r="AH1089" i="3"/>
  <c r="AH1109" i="3"/>
  <c r="AH1128" i="3"/>
  <c r="AH1147" i="3"/>
  <c r="AH1165" i="3"/>
  <c r="AH1185" i="3"/>
  <c r="AH1203" i="3"/>
  <c r="AH12" i="3"/>
  <c r="AH37" i="3"/>
  <c r="AH66" i="3"/>
  <c r="AH90" i="3"/>
  <c r="AH114" i="3"/>
  <c r="AH140" i="3"/>
  <c r="AH168" i="3"/>
  <c r="AH194" i="3"/>
  <c r="AH218" i="3"/>
  <c r="AH242" i="3"/>
  <c r="AH268" i="3"/>
  <c r="AH296" i="3"/>
  <c r="AH322" i="3"/>
  <c r="AH346" i="3"/>
  <c r="AH370" i="3"/>
  <c r="AH399" i="3"/>
  <c r="AH424" i="3"/>
  <c r="AH450" i="3"/>
  <c r="AH474" i="3"/>
  <c r="AH504" i="3"/>
  <c r="AH527" i="3"/>
  <c r="AH551" i="3"/>
  <c r="AH575" i="3"/>
  <c r="AH598" i="3"/>
  <c r="AH625" i="3"/>
  <c r="AH648" i="3"/>
  <c r="AH670" i="3"/>
  <c r="AH695" i="3"/>
  <c r="AH720" i="3"/>
  <c r="AH745" i="3"/>
  <c r="AH767" i="3"/>
  <c r="AH790" i="3"/>
  <c r="AH817" i="3"/>
  <c r="AH840" i="3"/>
  <c r="AH864" i="3"/>
  <c r="AH887" i="3"/>
  <c r="AH909" i="3"/>
  <c r="AH937" i="3"/>
  <c r="AH959" i="3"/>
  <c r="AH984" i="3"/>
  <c r="AH1006" i="3"/>
  <c r="AH1034" i="3"/>
  <c r="AH1056" i="3"/>
  <c r="AH1079" i="3"/>
  <c r="AH1103" i="3"/>
  <c r="AH1129" i="3"/>
  <c r="AH1153" i="3"/>
  <c r="AH1174" i="3"/>
  <c r="AH1195" i="3"/>
  <c r="AH14" i="3"/>
  <c r="AH43" i="3"/>
  <c r="AH69" i="3"/>
  <c r="AH92" i="3"/>
  <c r="AH119" i="3"/>
  <c r="AH142" i="3"/>
  <c r="AH171" i="3"/>
  <c r="AH197" i="3"/>
  <c r="AH220" i="3"/>
  <c r="AH247" i="3"/>
  <c r="AH274" i="3"/>
  <c r="AH299" i="3"/>
  <c r="AH325" i="3"/>
  <c r="AH348" i="3"/>
  <c r="AH378" i="3"/>
  <c r="AH402" i="3"/>
  <c r="AH427" i="3"/>
  <c r="AH453" i="3"/>
  <c r="AH476" i="3"/>
  <c r="AH506" i="3"/>
  <c r="AH530" i="3"/>
  <c r="AH554" i="3"/>
  <c r="AH577" i="3"/>
  <c r="AH603" i="3"/>
  <c r="AH627" i="3"/>
  <c r="AH650" i="3"/>
  <c r="AH673" i="3"/>
  <c r="AH700" i="3"/>
  <c r="AH722" i="3"/>
  <c r="AH747" i="3"/>
  <c r="AH769" i="3"/>
  <c r="AH793" i="3"/>
  <c r="AH819" i="3"/>
  <c r="AH842" i="3"/>
  <c r="AH866" i="3"/>
  <c r="AH889" i="3"/>
  <c r="AH917" i="3"/>
  <c r="AH939" i="3"/>
  <c r="AH961" i="3"/>
  <c r="AH986" i="3"/>
  <c r="AH1011" i="3"/>
  <c r="AH1036" i="3"/>
  <c r="AH1058" i="3"/>
  <c r="AH1081" i="3"/>
  <c r="AH1105" i="3"/>
  <c r="AH1131" i="3"/>
  <c r="AH1155" i="3"/>
  <c r="AH1176" i="3"/>
  <c r="AH1197" i="3"/>
  <c r="AH15" i="3"/>
  <c r="AH45" i="3"/>
  <c r="AH70" i="3"/>
  <c r="AH93" i="3"/>
  <c r="AH120" i="3"/>
  <c r="AH147" i="3"/>
  <c r="AH173" i="3"/>
  <c r="AH198" i="3"/>
  <c r="AH221" i="3"/>
  <c r="AH248" i="3"/>
  <c r="AH275" i="3"/>
  <c r="AH301" i="3"/>
  <c r="AH326" i="3"/>
  <c r="AH349" i="3"/>
  <c r="AH379" i="3"/>
  <c r="AH403" i="3"/>
  <c r="AH429" i="3"/>
  <c r="AH454" i="3"/>
  <c r="AH482" i="3"/>
  <c r="AH507" i="3"/>
  <c r="AH531" i="3"/>
  <c r="AH556" i="3"/>
  <c r="AH578" i="3"/>
  <c r="AH605" i="3"/>
  <c r="AH629" i="3"/>
  <c r="AH651" i="3"/>
  <c r="AH675" i="3"/>
  <c r="AH701" i="3"/>
  <c r="AH725" i="3"/>
  <c r="AH748" i="3"/>
  <c r="AH770" i="3"/>
  <c r="AH798" i="3"/>
  <c r="AH821" i="3"/>
  <c r="AH844" i="3"/>
  <c r="AH867" i="3"/>
  <c r="AH890" i="3"/>
  <c r="AH918" i="3"/>
  <c r="AH940" i="3"/>
  <c r="AH963" i="3"/>
  <c r="AH987" i="3"/>
  <c r="AH1013" i="3"/>
  <c r="AH1037" i="3"/>
  <c r="AH1059" i="3"/>
  <c r="AH1083" i="3"/>
  <c r="AH1110" i="3"/>
  <c r="AH1132" i="3"/>
  <c r="AH1156" i="3"/>
  <c r="AH1177" i="3"/>
  <c r="AH1199" i="3"/>
  <c r="AH17" i="3"/>
  <c r="AH46" i="3"/>
  <c r="AH71" i="3"/>
  <c r="AH94" i="3"/>
  <c r="AH121" i="3"/>
  <c r="AH149" i="3"/>
  <c r="AH174" i="3"/>
  <c r="AH199" i="3"/>
  <c r="AH222" i="3"/>
  <c r="AH252" i="3"/>
  <c r="AH277" i="3"/>
  <c r="AH302" i="3"/>
  <c r="AH327" i="3"/>
  <c r="AH350" i="3"/>
  <c r="AH380" i="3"/>
  <c r="AH405" i="3"/>
  <c r="AH430" i="3"/>
  <c r="AH455" i="3"/>
  <c r="AH485" i="3"/>
  <c r="AH508" i="3"/>
  <c r="AH533" i="3"/>
  <c r="AH557" i="3"/>
  <c r="AH583" i="3"/>
  <c r="AH607" i="3"/>
  <c r="AH630" i="3"/>
  <c r="AH652" i="3"/>
  <c r="AH677" i="3"/>
  <c r="AH702" i="3"/>
  <c r="AH727" i="3"/>
  <c r="AH749" i="3"/>
  <c r="AH771" i="3"/>
  <c r="AH799" i="3"/>
  <c r="AH822" i="3"/>
  <c r="AH846" i="3"/>
  <c r="AH869" i="3"/>
  <c r="AH895" i="3"/>
  <c r="AH919" i="3"/>
  <c r="AH941" i="3"/>
  <c r="AH966" i="3"/>
  <c r="AH988" i="3"/>
  <c r="AH1015" i="3"/>
  <c r="AH1038" i="3"/>
  <c r="AH1061" i="3"/>
  <c r="AH1085" i="3"/>
  <c r="AH1111" i="3"/>
  <c r="AH1134" i="3"/>
  <c r="AH1157" i="3"/>
  <c r="AH1178" i="3"/>
  <c r="AH9" i="3"/>
  <c r="AH22" i="3"/>
  <c r="AH47" i="3"/>
  <c r="AH72" i="3"/>
  <c r="AH95" i="3"/>
  <c r="AH122" i="3"/>
  <c r="AH150" i="3"/>
  <c r="AH175" i="3"/>
  <c r="AH200" i="3"/>
  <c r="AH223" i="3"/>
  <c r="AH253" i="3"/>
  <c r="AH278" i="3"/>
  <c r="AH303" i="3"/>
  <c r="AH328" i="3"/>
  <c r="AH358" i="3"/>
  <c r="AH381" i="3"/>
  <c r="AH406" i="3"/>
  <c r="AH431" i="3"/>
  <c r="AH456" i="3"/>
  <c r="AH486" i="3"/>
  <c r="AH509" i="3"/>
  <c r="AH534" i="3"/>
  <c r="AH558" i="3"/>
  <c r="AH584" i="3"/>
  <c r="AH608" i="3"/>
  <c r="AH631" i="3"/>
  <c r="AH653" i="3"/>
  <c r="AH681" i="3"/>
  <c r="AH703" i="3"/>
  <c r="AH728" i="3"/>
  <c r="AH750" i="3"/>
  <c r="AH773" i="3"/>
  <c r="AH800" i="3"/>
  <c r="AH823" i="3"/>
  <c r="AH847" i="3"/>
  <c r="AH870" i="3"/>
  <c r="AH897" i="3"/>
  <c r="AH920" i="3"/>
  <c r="AH942" i="3"/>
  <c r="AH967" i="3"/>
  <c r="AH992" i="3"/>
  <c r="AH1017" i="3"/>
  <c r="AH1039" i="3"/>
  <c r="AH1062" i="3"/>
  <c r="AH1086" i="3"/>
  <c r="AH1112" i="3"/>
  <c r="AH1136" i="3"/>
  <c r="AH1158" i="3"/>
  <c r="AH1179" i="3"/>
  <c r="AH23" i="3"/>
  <c r="AH49" i="3"/>
  <c r="AH73" i="3"/>
  <c r="AH98" i="3"/>
  <c r="AH126" i="3"/>
  <c r="AH151" i="3"/>
  <c r="AH177" i="3"/>
  <c r="AH201" i="3"/>
  <c r="AH226" i="3"/>
  <c r="AH254" i="3"/>
  <c r="AH279" i="3"/>
  <c r="AH305" i="3"/>
  <c r="AH329" i="3"/>
  <c r="AH359" i="3"/>
  <c r="AH382" i="3"/>
  <c r="AH407" i="3"/>
  <c r="AH433" i="3"/>
  <c r="AH460" i="3"/>
  <c r="AH487" i="3"/>
  <c r="AH510" i="3"/>
  <c r="AH535" i="3"/>
  <c r="AH559" i="3"/>
  <c r="AH585" i="3"/>
  <c r="AH609" i="3"/>
  <c r="AH632" i="3"/>
  <c r="AH654" i="3"/>
  <c r="AH682" i="3"/>
  <c r="AH704" i="3"/>
  <c r="AH729" i="3"/>
  <c r="AH751" i="3"/>
  <c r="AH779" i="3"/>
  <c r="AH801" i="3"/>
  <c r="AH824" i="3"/>
  <c r="AH848" i="3"/>
  <c r="AH871" i="3"/>
  <c r="AH898" i="3"/>
  <c r="AH921" i="3"/>
  <c r="AH943" i="3"/>
  <c r="AH968" i="3"/>
  <c r="AH993" i="3"/>
  <c r="AH1018" i="3"/>
  <c r="AH1040" i="3"/>
  <c r="AH25" i="3"/>
  <c r="AH50" i="3"/>
  <c r="AH74" i="3"/>
  <c r="AH101" i="3"/>
  <c r="AH127" i="3"/>
  <c r="AH153" i="3"/>
  <c r="AH178" i="3"/>
  <c r="AH202" i="3"/>
  <c r="AH232" i="3"/>
  <c r="AH255" i="3"/>
  <c r="AH281" i="3"/>
  <c r="AH306" i="3"/>
  <c r="AH330" i="3"/>
  <c r="AH360" i="3"/>
  <c r="AH383" i="3"/>
  <c r="AH409" i="3"/>
  <c r="AH434" i="3"/>
  <c r="AH27" i="3"/>
  <c r="AH51" i="3"/>
  <c r="AH75" i="3"/>
  <c r="AH102" i="3"/>
  <c r="AH129" i="3"/>
  <c r="AH155" i="3"/>
  <c r="AH179" i="3"/>
  <c r="AH203" i="3"/>
  <c r="AH233" i="3"/>
  <c r="AH257" i="3"/>
  <c r="AH283" i="3"/>
  <c r="AH307" i="3"/>
  <c r="AH335" i="3"/>
  <c r="AH361" i="3"/>
  <c r="AH385" i="3"/>
  <c r="AH411" i="3"/>
  <c r="AH435" i="3"/>
  <c r="AH463" i="3"/>
  <c r="AH489" i="3"/>
  <c r="AH28" i="3"/>
  <c r="AH53" i="3"/>
  <c r="AH76" i="3"/>
  <c r="AH106" i="3"/>
  <c r="AH130" i="3"/>
  <c r="AH156" i="3"/>
  <c r="AH181" i="3"/>
  <c r="AH204" i="3"/>
  <c r="AH234" i="3"/>
  <c r="AH258" i="3"/>
  <c r="AH284" i="3"/>
  <c r="AH309" i="3"/>
  <c r="AH338" i="3"/>
  <c r="AH362" i="3"/>
  <c r="AH386" i="3"/>
  <c r="AH412" i="3"/>
  <c r="AH440" i="3"/>
  <c r="AH466" i="3"/>
  <c r="AH490" i="3"/>
  <c r="AH33" i="3"/>
  <c r="AH89" i="3"/>
  <c r="AH157" i="3"/>
  <c r="AH214" i="3"/>
  <c r="AH266" i="3"/>
  <c r="AH323" i="3"/>
  <c r="AH389" i="3"/>
  <c r="AH445" i="3"/>
  <c r="AH494" i="3"/>
  <c r="AH540" i="3"/>
  <c r="AH574" i="3"/>
  <c r="AH615" i="3"/>
  <c r="AH656" i="3"/>
  <c r="AH690" i="3"/>
  <c r="AH732" i="3"/>
  <c r="AH766" i="3"/>
  <c r="AH807" i="3"/>
  <c r="AH849" i="3"/>
  <c r="AH883" i="3"/>
  <c r="AH924" i="3"/>
  <c r="AH958" i="3"/>
  <c r="AH1001" i="3"/>
  <c r="AH1041" i="3"/>
  <c r="AH1074" i="3"/>
  <c r="AH1113" i="3"/>
  <c r="AH1143" i="3"/>
  <c r="AH1175" i="3"/>
  <c r="AH34" i="3"/>
  <c r="AH91" i="3"/>
  <c r="AH158" i="3"/>
  <c r="AH215" i="3"/>
  <c r="AH267" i="3"/>
  <c r="AH339" i="3"/>
  <c r="AH391" i="3"/>
  <c r="AH447" i="3"/>
  <c r="AH495" i="3"/>
  <c r="AH544" i="3"/>
  <c r="AH576" i="3"/>
  <c r="AH616" i="3"/>
  <c r="AH662" i="3"/>
  <c r="AH693" i="3"/>
  <c r="AH733" i="3"/>
  <c r="AH768" i="3"/>
  <c r="AH808" i="3"/>
  <c r="AH850" i="3"/>
  <c r="AH885" i="3"/>
  <c r="AH925" i="3"/>
  <c r="AH960" i="3"/>
  <c r="AH35" i="3"/>
  <c r="AH107" i="3"/>
  <c r="AH159" i="3"/>
  <c r="AH216" i="3"/>
  <c r="AH273" i="3"/>
  <c r="AH341" i="3"/>
  <c r="AH393" i="3"/>
  <c r="AH449" i="3"/>
  <c r="AH497" i="3"/>
  <c r="AH545" i="3"/>
  <c r="AH586" i="3"/>
  <c r="AH617" i="3"/>
  <c r="AH663" i="3"/>
  <c r="AH694" i="3"/>
  <c r="AH734" i="3"/>
  <c r="AH780" i="3"/>
  <c r="AH810" i="3"/>
  <c r="AH851" i="3"/>
  <c r="AH886" i="3"/>
  <c r="AH926" i="3"/>
  <c r="AH969" i="3"/>
  <c r="AH1003" i="3"/>
  <c r="AH1043" i="3"/>
  <c r="AH1077" i="3"/>
  <c r="AH1115" i="3"/>
  <c r="AH1148" i="3"/>
  <c r="AH1186" i="3"/>
  <c r="AH38" i="3"/>
  <c r="AH108" i="3"/>
  <c r="AH161" i="3"/>
  <c r="AH217" i="3"/>
  <c r="AH285" i="3"/>
  <c r="AH342" i="3"/>
  <c r="AH394" i="3"/>
  <c r="AH451" i="3"/>
  <c r="AH505" i="3"/>
  <c r="AH546" i="3"/>
  <c r="AH588" i="3"/>
  <c r="AH622" i="3"/>
  <c r="AH664" i="3"/>
  <c r="AH696" i="3"/>
  <c r="AH738" i="3"/>
  <c r="AH781" i="3"/>
  <c r="AH812" i="3"/>
  <c r="AH856" i="3"/>
  <c r="AH888" i="3"/>
  <c r="AH927" i="3"/>
  <c r="AH973" i="3"/>
  <c r="AH1004" i="3"/>
  <c r="AH1045" i="3"/>
  <c r="AH1078" i="3"/>
  <c r="AH1117" i="3"/>
  <c r="AH1149" i="3"/>
  <c r="AH1187" i="3"/>
  <c r="AH54" i="3"/>
  <c r="AH109" i="3"/>
  <c r="AH162" i="3"/>
  <c r="AH219" i="3"/>
  <c r="AH286" i="3"/>
  <c r="AH343" i="3"/>
  <c r="AH398" i="3"/>
  <c r="AH461" i="3"/>
  <c r="AH511" i="3"/>
  <c r="AH547" i="3"/>
  <c r="AH590" i="3"/>
  <c r="AH624" i="3"/>
  <c r="AH665" i="3"/>
  <c r="AH705" i="3"/>
  <c r="AH739" i="3"/>
  <c r="AH782" i="3"/>
  <c r="AH813" i="3"/>
  <c r="AH857" i="3"/>
  <c r="AH899" i="3"/>
  <c r="AH929" i="3"/>
  <c r="AH974" i="3"/>
  <c r="AH1005" i="3"/>
  <c r="AH1046" i="3"/>
  <c r="AH1080" i="3"/>
  <c r="AH1119" i="3"/>
  <c r="AH1151" i="3"/>
  <c r="AH1188" i="3"/>
  <c r="AH55" i="3"/>
  <c r="AH110" i="3"/>
  <c r="AH163" i="3"/>
  <c r="AH235" i="3"/>
  <c r="AH287" i="3"/>
  <c r="AH344" i="3"/>
  <c r="AH401" i="3"/>
  <c r="AH467" i="3"/>
  <c r="AH513" i="3"/>
  <c r="AH549" i="3"/>
  <c r="AH591" i="3"/>
  <c r="AH626" i="3"/>
  <c r="AH666" i="3"/>
  <c r="AH707" i="3"/>
  <c r="AH742" i="3"/>
  <c r="AH783" i="3"/>
  <c r="AH818" i="3"/>
  <c r="AH858" i="3"/>
  <c r="AH901" i="3"/>
  <c r="AH935" i="3"/>
  <c r="AH975" i="3"/>
  <c r="AH1007" i="3"/>
  <c r="AH1052" i="3"/>
  <c r="AH1090" i="3"/>
  <c r="AH1120" i="3"/>
  <c r="AH1154" i="3"/>
  <c r="AH1189" i="3"/>
  <c r="AH56" i="3"/>
  <c r="AH111" i="3"/>
  <c r="AH169" i="3"/>
  <c r="AH236" i="3"/>
  <c r="AH289" i="3"/>
  <c r="AH345" i="3"/>
  <c r="AH413" i="3"/>
  <c r="AH469" i="3"/>
  <c r="AH514" i="3"/>
  <c r="AH550" i="3"/>
  <c r="AH592" i="3"/>
  <c r="AH633" i="3"/>
  <c r="AH667" i="3"/>
  <c r="AH710" i="3"/>
  <c r="AH744" i="3"/>
  <c r="AH784" i="3"/>
  <c r="AH825" i="3"/>
  <c r="AH859" i="3"/>
  <c r="AH902" i="3"/>
  <c r="AH936" i="3"/>
  <c r="AH976" i="3"/>
  <c r="AH1019" i="3"/>
  <c r="AH1053" i="3"/>
  <c r="AH1091" i="3"/>
  <c r="AH1121" i="3"/>
  <c r="AH1159" i="3"/>
  <c r="AH1190" i="3"/>
  <c r="AH58" i="3"/>
  <c r="AH117" i="3"/>
  <c r="AH183" i="3"/>
  <c r="AH238" i="3"/>
  <c r="AH295" i="3"/>
  <c r="AH363" i="3"/>
  <c r="AH419" i="3"/>
  <c r="AH471" i="3"/>
  <c r="AH517" i="3"/>
  <c r="AH563" i="3"/>
  <c r="AH594" i="3"/>
  <c r="AH635" i="3"/>
  <c r="AH669" i="3"/>
  <c r="AH712" i="3"/>
  <c r="AH752" i="3"/>
  <c r="AH786" i="3"/>
  <c r="AH829" i="3"/>
  <c r="AH863" i="3"/>
  <c r="AH904" i="3"/>
  <c r="AH944" i="3"/>
  <c r="AH978" i="3"/>
  <c r="AH1021" i="3"/>
  <c r="AH1055" i="3"/>
  <c r="AH1094" i="3"/>
  <c r="AH1123" i="3"/>
  <c r="AH1161" i="3"/>
  <c r="AH1192" i="3"/>
  <c r="AH65" i="3"/>
  <c r="AH131" i="3"/>
  <c r="AH184" i="3"/>
  <c r="AH239" i="3"/>
  <c r="AH297" i="3"/>
  <c r="AH364" i="3"/>
  <c r="AH421" i="3"/>
  <c r="AH472" i="3"/>
  <c r="AH519" i="3"/>
  <c r="AH565" i="3"/>
  <c r="AH595" i="3"/>
  <c r="AH636" i="3"/>
  <c r="AH671" i="3"/>
  <c r="AH713" i="3"/>
  <c r="AH753" i="3"/>
  <c r="AH787" i="3"/>
  <c r="AH830" i="3"/>
  <c r="AH865" i="3"/>
  <c r="AH905" i="3"/>
  <c r="AH946" i="3"/>
  <c r="AH981" i="3"/>
  <c r="AH1022" i="3"/>
  <c r="AH1057" i="3"/>
  <c r="AH1095" i="3"/>
  <c r="AH1125" i="3"/>
  <c r="AH1162" i="3"/>
  <c r="AH1193" i="3"/>
  <c r="AH10" i="3"/>
  <c r="AH67" i="3"/>
  <c r="AH133" i="3"/>
  <c r="AH189" i="3"/>
  <c r="AH241" i="3"/>
  <c r="AH310" i="3"/>
  <c r="AH365" i="3"/>
  <c r="AH422" i="3"/>
  <c r="AH473" i="3"/>
  <c r="AH524" i="3"/>
  <c r="AH566" i="3"/>
  <c r="AH597" i="3"/>
  <c r="AH642" i="3"/>
  <c r="AH683" i="3"/>
  <c r="AH714" i="3"/>
  <c r="AH759" i="3"/>
  <c r="AH789" i="3"/>
  <c r="AH831" i="3"/>
  <c r="AH875" i="3"/>
  <c r="AH906" i="3"/>
  <c r="AH949" i="3"/>
  <c r="AH983" i="3"/>
  <c r="AH1023" i="3"/>
  <c r="AH1063" i="3"/>
  <c r="AH1096" i="3"/>
  <c r="AH1130" i="3"/>
  <c r="AH1167" i="3"/>
  <c r="AH1194" i="3"/>
  <c r="AH11" i="3"/>
  <c r="AH77" i="3"/>
  <c r="AH135" i="3"/>
  <c r="AH191" i="3"/>
  <c r="AH245" i="3"/>
  <c r="AH314" i="3"/>
  <c r="AH366" i="3"/>
  <c r="AH423" i="3"/>
  <c r="AH475" i="3"/>
  <c r="AH525" i="3"/>
  <c r="AH567" i="3"/>
  <c r="AH602" i="3"/>
  <c r="AH643" i="3"/>
  <c r="AH684" i="3"/>
  <c r="AH715" i="3"/>
  <c r="AH761" i="3"/>
  <c r="AH791" i="3"/>
  <c r="AH832" i="3"/>
  <c r="AH876" i="3"/>
  <c r="AH907" i="3"/>
  <c r="AH950" i="3"/>
  <c r="AH985" i="3"/>
  <c r="AH1024" i="3"/>
  <c r="AH1064" i="3"/>
  <c r="AH1097" i="3"/>
  <c r="AH1137" i="3"/>
  <c r="AH1169" i="3"/>
  <c r="AH1196" i="3"/>
  <c r="AH13" i="3"/>
  <c r="AH79" i="3"/>
  <c r="AH137" i="3"/>
  <c r="AH193" i="3"/>
  <c r="AH259" i="3"/>
  <c r="AH315" i="3"/>
  <c r="AH367" i="3"/>
  <c r="AH425" i="3"/>
  <c r="AH488" i="3"/>
  <c r="AH526" i="3"/>
  <c r="AH568" i="3"/>
  <c r="AH610" i="3"/>
  <c r="AH645" i="3"/>
  <c r="AH685" i="3"/>
  <c r="AH719" i="3"/>
  <c r="AH762" i="3"/>
  <c r="AH802" i="3"/>
  <c r="AH837" i="3"/>
  <c r="AH878" i="3"/>
  <c r="AH908" i="3"/>
  <c r="AH954" i="3"/>
  <c r="AH994" i="3"/>
  <c r="AH1025" i="3"/>
  <c r="AH1066" i="3"/>
  <c r="AH1098" i="3"/>
  <c r="AH1138" i="3"/>
  <c r="AH1170" i="3"/>
  <c r="AH29" i="3"/>
  <c r="AH86" i="3"/>
  <c r="AH138" i="3"/>
  <c r="AH195" i="3"/>
  <c r="AH261" i="3"/>
  <c r="AH317" i="3"/>
  <c r="AH369" i="3"/>
  <c r="AH441" i="3"/>
  <c r="AH491" i="3"/>
  <c r="AH529" i="3"/>
  <c r="AH569" i="3"/>
  <c r="AH611" i="3"/>
  <c r="AH646" i="3"/>
  <c r="AH686" i="3"/>
  <c r="AH721" i="3"/>
  <c r="AH763" i="3"/>
  <c r="AH803" i="3"/>
  <c r="AH838" i="3"/>
  <c r="AH880" i="3"/>
  <c r="AH915" i="3"/>
  <c r="AH955" i="3"/>
  <c r="AH995" i="3"/>
  <c r="AH1026" i="3"/>
  <c r="AH1071" i="3"/>
  <c r="AH1100" i="3"/>
  <c r="AH1139" i="3"/>
  <c r="AH1171" i="3"/>
  <c r="AH30" i="3"/>
  <c r="AH87" i="3"/>
  <c r="AH139" i="3"/>
  <c r="AH211" i="3"/>
  <c r="AH263" i="3"/>
  <c r="AH319" i="3"/>
  <c r="AH373" i="3"/>
  <c r="AH442" i="3"/>
  <c r="AH492" i="3"/>
  <c r="AH537" i="3"/>
  <c r="AH571" i="3"/>
  <c r="AH613" i="3"/>
  <c r="AH647" i="3"/>
  <c r="AH687" i="3"/>
  <c r="AH730" i="3"/>
  <c r="AH764" i="3"/>
  <c r="AH805" i="3"/>
  <c r="AH839" i="3"/>
  <c r="AH881" i="3"/>
  <c r="AH922" i="3"/>
  <c r="AH956" i="3"/>
  <c r="AH237" i="3"/>
  <c r="AH634" i="3"/>
  <c r="AH938" i="3"/>
  <c r="AH1104" i="3"/>
  <c r="AH649" i="3"/>
  <c r="AH1114" i="3"/>
  <c r="AH806" i="3"/>
  <c r="AH515" i="3"/>
  <c r="AH539" i="3"/>
  <c r="AH573" i="3"/>
  <c r="AH923" i="3"/>
  <c r="AH265" i="3"/>
  <c r="AH957" i="3"/>
  <c r="AH57" i="3"/>
  <c r="AH552" i="3"/>
  <c r="AH141" i="3"/>
  <c r="AH593" i="3"/>
  <c r="AH213" i="3"/>
  <c r="AH294" i="3"/>
  <c r="AH668" i="3"/>
  <c r="AH977" i="3"/>
  <c r="AH1122" i="3"/>
  <c r="AH1054" i="3"/>
  <c r="AH1072" i="3"/>
  <c r="AH113" i="3"/>
  <c r="AH903" i="3"/>
  <c r="AH1102" i="3"/>
  <c r="AH321" i="3"/>
  <c r="AH688" i="3"/>
  <c r="AH998" i="3"/>
  <c r="AH1141" i="3"/>
  <c r="AH1073" i="3"/>
  <c r="AH1075" i="3"/>
  <c r="AH182" i="3"/>
  <c r="AH347" i="3"/>
  <c r="AH711" i="3"/>
  <c r="AH1000" i="3"/>
  <c r="AH1142" i="3"/>
  <c r="AH387" i="3"/>
  <c r="AH731" i="3"/>
  <c r="AH1002" i="3"/>
  <c r="AH1144" i="3"/>
  <c r="AH1042" i="3"/>
  <c r="AH414" i="3"/>
  <c r="AH746" i="3"/>
  <c r="AH1020" i="3"/>
  <c r="AH1160" i="3"/>
  <c r="AH31" i="3"/>
  <c r="AH827" i="3"/>
  <c r="AH88" i="3"/>
  <c r="AH861" i="3"/>
  <c r="AH882" i="3"/>
  <c r="AH614" i="3"/>
  <c r="AH443" i="3"/>
  <c r="AH765" i="3"/>
  <c r="AH1032" i="3"/>
  <c r="AH1172" i="3"/>
  <c r="AH470" i="3"/>
  <c r="AH785" i="3"/>
  <c r="AH1035" i="3"/>
  <c r="AH1173" i="3"/>
  <c r="AH493" i="3"/>
  <c r="AH1180" i="3"/>
  <c r="AH1191" i="3"/>
  <c r="AH841" i="3"/>
  <c r="AH1093" i="3"/>
  <c r="C19" i="6"/>
  <c r="F124" i="3"/>
  <c r="F140" i="3"/>
  <c r="F156" i="3"/>
  <c r="F172" i="3"/>
  <c r="F188" i="3"/>
  <c r="F204" i="3"/>
  <c r="F220" i="3"/>
  <c r="F236" i="3"/>
  <c r="F252" i="3"/>
  <c r="F268" i="3"/>
  <c r="F284" i="3"/>
  <c r="F300" i="3"/>
  <c r="F316" i="3"/>
  <c r="F332" i="3"/>
  <c r="F348" i="3"/>
  <c r="F364" i="3"/>
  <c r="F380" i="3"/>
  <c r="F396" i="3"/>
  <c r="F412" i="3"/>
  <c r="F428" i="3"/>
  <c r="F444" i="3"/>
  <c r="F460" i="3"/>
  <c r="F476" i="3"/>
  <c r="F122" i="3"/>
  <c r="F139" i="3"/>
  <c r="F157" i="3"/>
  <c r="F174" i="3"/>
  <c r="F191" i="3"/>
  <c r="F208" i="3"/>
  <c r="F225" i="3"/>
  <c r="F242" i="3"/>
  <c r="F259" i="3"/>
  <c r="F276" i="3"/>
  <c r="F293" i="3"/>
  <c r="F310" i="3"/>
  <c r="F327" i="3"/>
  <c r="F344" i="3"/>
  <c r="F361" i="3"/>
  <c r="F378" i="3"/>
  <c r="F395" i="3"/>
  <c r="F413" i="3"/>
  <c r="F430" i="3"/>
  <c r="F447" i="3"/>
  <c r="F464" i="3"/>
  <c r="F481" i="3"/>
  <c r="F135" i="3"/>
  <c r="F153" i="3"/>
  <c r="F171" i="3"/>
  <c r="F190" i="3"/>
  <c r="F209" i="3"/>
  <c r="F227" i="3"/>
  <c r="F245" i="3"/>
  <c r="F263" i="3"/>
  <c r="F281" i="3"/>
  <c r="F299" i="3"/>
  <c r="F318" i="3"/>
  <c r="F336" i="3"/>
  <c r="F354" i="3"/>
  <c r="F372" i="3"/>
  <c r="F390" i="3"/>
  <c r="F408" i="3"/>
  <c r="F426" i="3"/>
  <c r="F445" i="3"/>
  <c r="F463" i="3"/>
  <c r="F482" i="3"/>
  <c r="F125" i="3"/>
  <c r="F144" i="3"/>
  <c r="F163" i="3"/>
  <c r="F182" i="3"/>
  <c r="F201" i="3"/>
  <c r="F221" i="3"/>
  <c r="F240" i="3"/>
  <c r="F260" i="3"/>
  <c r="F279" i="3"/>
  <c r="F298" i="3"/>
  <c r="F319" i="3"/>
  <c r="F338" i="3"/>
  <c r="F357" i="3"/>
  <c r="F376" i="3"/>
  <c r="F397" i="3"/>
  <c r="F416" i="3"/>
  <c r="F435" i="3"/>
  <c r="F454" i="3"/>
  <c r="F473" i="3"/>
  <c r="F126" i="3"/>
  <c r="F145" i="3"/>
  <c r="F164" i="3"/>
  <c r="F183" i="3"/>
  <c r="F202" i="3"/>
  <c r="F222" i="3"/>
  <c r="F241" i="3"/>
  <c r="F261" i="3"/>
  <c r="F280" i="3"/>
  <c r="F301" i="3"/>
  <c r="F320" i="3"/>
  <c r="F339" i="3"/>
  <c r="F358" i="3"/>
  <c r="F377" i="3"/>
  <c r="F398" i="3"/>
  <c r="F417" i="3"/>
  <c r="F436" i="3"/>
  <c r="F455" i="3"/>
  <c r="F474" i="3"/>
  <c r="F127" i="3"/>
  <c r="F184" i="3"/>
  <c r="F203" i="3"/>
  <c r="F223" i="3"/>
  <c r="F243" i="3"/>
  <c r="F282" i="3"/>
  <c r="F302" i="3"/>
  <c r="F340" i="3"/>
  <c r="F399" i="3"/>
  <c r="F456" i="3"/>
  <c r="F128" i="3"/>
  <c r="F185" i="3"/>
  <c r="F244" i="3"/>
  <c r="F264" i="3"/>
  <c r="F303" i="3"/>
  <c r="F341" i="3"/>
  <c r="F400" i="3"/>
  <c r="F457" i="3"/>
  <c r="F226" i="3"/>
  <c r="F304" i="3"/>
  <c r="F382" i="3"/>
  <c r="F478" i="3"/>
  <c r="F149" i="3"/>
  <c r="F228" i="3"/>
  <c r="F305" i="3"/>
  <c r="F383" i="3"/>
  <c r="F440" i="3"/>
  <c r="F384" i="3"/>
  <c r="F461" i="3"/>
  <c r="F249" i="3"/>
  <c r="F288" i="3"/>
  <c r="F404" i="3"/>
  <c r="F483" i="3"/>
  <c r="C11" i="6" s="1"/>
  <c r="F386" i="3"/>
  <c r="F154" i="3"/>
  <c r="F251" i="3"/>
  <c r="F349" i="3"/>
  <c r="F406" i="3"/>
  <c r="F466" i="3"/>
  <c r="F136" i="3"/>
  <c r="F253" i="3"/>
  <c r="F388" i="3"/>
  <c r="F196" i="3"/>
  <c r="F312" i="3"/>
  <c r="F449" i="3"/>
  <c r="F235" i="3"/>
  <c r="F352" i="3"/>
  <c r="F431" i="3"/>
  <c r="F141" i="3"/>
  <c r="F314" i="3"/>
  <c r="F121" i="3"/>
  <c r="F257" i="3"/>
  <c r="F355" i="3"/>
  <c r="F239" i="3"/>
  <c r="F394" i="3"/>
  <c r="F146" i="3"/>
  <c r="F262" i="3"/>
  <c r="F321" i="3"/>
  <c r="F379" i="3"/>
  <c r="F418" i="3"/>
  <c r="F437" i="3"/>
  <c r="F475" i="3"/>
  <c r="F147" i="3"/>
  <c r="F224" i="3"/>
  <c r="F283" i="3"/>
  <c r="F381" i="3"/>
  <c r="F438" i="3"/>
  <c r="F148" i="3"/>
  <c r="F186" i="3"/>
  <c r="F265" i="3"/>
  <c r="F323" i="3"/>
  <c r="F401" i="3"/>
  <c r="F247" i="3"/>
  <c r="F402" i="3"/>
  <c r="F480" i="3"/>
  <c r="F211" i="3"/>
  <c r="F385" i="3"/>
  <c r="F443" i="3"/>
  <c r="F213" i="3"/>
  <c r="F309" i="3"/>
  <c r="F387" i="3"/>
  <c r="F195" i="3"/>
  <c r="F350" i="3"/>
  <c r="F234" i="3"/>
  <c r="F351" i="3"/>
  <c r="F178" i="3"/>
  <c r="F333" i="3"/>
  <c r="F450" i="3"/>
  <c r="F179" i="3"/>
  <c r="F256" i="3"/>
  <c r="F392" i="3"/>
  <c r="F199" i="3"/>
  <c r="F374" i="3"/>
  <c r="F123" i="3"/>
  <c r="F219" i="3"/>
  <c r="F337" i="3"/>
  <c r="F434" i="3"/>
  <c r="F165" i="3"/>
  <c r="F359" i="3"/>
  <c r="F205" i="3"/>
  <c r="F360" i="3"/>
  <c r="F419" i="3"/>
  <c r="F477" i="3"/>
  <c r="F129" i="3"/>
  <c r="F206" i="3"/>
  <c r="F285" i="3"/>
  <c r="F342" i="3"/>
  <c r="F439" i="3"/>
  <c r="F130" i="3"/>
  <c r="F207" i="3"/>
  <c r="F286" i="3"/>
  <c r="F343" i="3"/>
  <c r="F421" i="3"/>
  <c r="F403" i="3"/>
  <c r="F192" i="3"/>
  <c r="F346" i="3"/>
  <c r="F424" i="3"/>
  <c r="F232" i="3"/>
  <c r="F425" i="3"/>
  <c r="F176" i="3"/>
  <c r="F272" i="3"/>
  <c r="F369" i="3"/>
  <c r="F448" i="3"/>
  <c r="F215" i="3"/>
  <c r="F370" i="3"/>
  <c r="F159" i="3"/>
  <c r="F274" i="3"/>
  <c r="F391" i="3"/>
  <c r="F469" i="3"/>
  <c r="F160" i="3"/>
  <c r="F295" i="3"/>
  <c r="F411" i="3"/>
  <c r="F238" i="3"/>
  <c r="F335" i="3"/>
  <c r="F471" i="3"/>
  <c r="F143" i="3"/>
  <c r="F297" i="3"/>
  <c r="F453" i="3"/>
  <c r="F166" i="3"/>
  <c r="F322" i="3"/>
  <c r="F246" i="3"/>
  <c r="F362" i="3"/>
  <c r="F458" i="3"/>
  <c r="F168" i="3"/>
  <c r="F266" i="3"/>
  <c r="F363" i="3"/>
  <c r="F459" i="3"/>
  <c r="F441" i="3"/>
  <c r="F170" i="3"/>
  <c r="F326" i="3"/>
  <c r="F405" i="3"/>
  <c r="F194" i="3"/>
  <c r="F214" i="3"/>
  <c r="F427" i="3"/>
  <c r="F273" i="3"/>
  <c r="F409" i="3"/>
  <c r="F216" i="3"/>
  <c r="F371" i="3"/>
  <c r="F237" i="3"/>
  <c r="F432" i="3"/>
  <c r="F142" i="3"/>
  <c r="F296" i="3"/>
  <c r="F433" i="3"/>
  <c r="F181" i="3"/>
  <c r="F375" i="3"/>
  <c r="F167" i="3"/>
  <c r="F420" i="3"/>
  <c r="F324" i="3"/>
  <c r="F479" i="3"/>
  <c r="F151" i="3"/>
  <c r="F307" i="3"/>
  <c r="F462" i="3"/>
  <c r="F175" i="3"/>
  <c r="F177" i="3"/>
  <c r="F255" i="3"/>
  <c r="F353" i="3"/>
  <c r="F187" i="3"/>
  <c r="F329" i="3"/>
  <c r="F311" i="3"/>
  <c r="F137" i="3"/>
  <c r="F161" i="3"/>
  <c r="F258" i="3"/>
  <c r="F131" i="3"/>
  <c r="F150" i="3"/>
  <c r="F169" i="3"/>
  <c r="F189" i="3"/>
  <c r="F210" i="3"/>
  <c r="F229" i="3"/>
  <c r="F248" i="3"/>
  <c r="F267" i="3"/>
  <c r="F287" i="3"/>
  <c r="F306" i="3"/>
  <c r="F325" i="3"/>
  <c r="F345" i="3"/>
  <c r="F365" i="3"/>
  <c r="F422" i="3"/>
  <c r="F366" i="3"/>
  <c r="F442" i="3"/>
  <c r="F367" i="3"/>
  <c r="F119" i="3"/>
  <c r="F134" i="3"/>
  <c r="F368" i="3"/>
  <c r="F155" i="3"/>
  <c r="F330" i="3"/>
  <c r="F467" i="3"/>
  <c r="F254" i="3"/>
  <c r="F331" i="3"/>
  <c r="F429" i="3"/>
  <c r="F138" i="3"/>
  <c r="F294" i="3"/>
  <c r="F410" i="3"/>
  <c r="F120" i="3"/>
  <c r="F217" i="3"/>
  <c r="F373" i="3"/>
  <c r="F470" i="3"/>
  <c r="F277" i="3"/>
  <c r="F414" i="3"/>
  <c r="F200" i="3"/>
  <c r="F317" i="3"/>
  <c r="F415" i="3"/>
  <c r="F132" i="3"/>
  <c r="F230" i="3"/>
  <c r="F269" i="3"/>
  <c r="F423" i="3"/>
  <c r="F290" i="3"/>
  <c r="F291" i="3"/>
  <c r="F180" i="3"/>
  <c r="F278" i="3"/>
  <c r="F133" i="3"/>
  <c r="F152" i="3"/>
  <c r="F173" i="3"/>
  <c r="F193" i="3"/>
  <c r="F212" i="3"/>
  <c r="F231" i="3"/>
  <c r="F250" i="3"/>
  <c r="F270" i="3"/>
  <c r="F289" i="3"/>
  <c r="F308" i="3"/>
  <c r="F328" i="3"/>
  <c r="F347" i="3"/>
  <c r="F465" i="3"/>
  <c r="F271" i="3"/>
  <c r="F446" i="3"/>
  <c r="F233" i="3"/>
  <c r="F407" i="3"/>
  <c r="F158" i="3"/>
  <c r="F292" i="3"/>
  <c r="F389" i="3"/>
  <c r="F468" i="3"/>
  <c r="F313" i="3"/>
  <c r="F198" i="3"/>
  <c r="F334" i="3"/>
  <c r="F451" i="3"/>
  <c r="F218" i="3"/>
  <c r="F315" i="3"/>
  <c r="F452" i="3"/>
  <c r="F162" i="3"/>
  <c r="F356" i="3"/>
  <c r="F197" i="3"/>
  <c r="F275" i="3"/>
  <c r="F393" i="3"/>
  <c r="F472" i="3"/>
  <c r="T14" i="3"/>
  <c r="T30" i="3"/>
  <c r="T46" i="3"/>
  <c r="T62" i="3"/>
  <c r="T78" i="3"/>
  <c r="T94" i="3"/>
  <c r="T110" i="3"/>
  <c r="T126" i="3"/>
  <c r="T142" i="3"/>
  <c r="T158" i="3"/>
  <c r="T174" i="3"/>
  <c r="T190" i="3"/>
  <c r="T206" i="3"/>
  <c r="T222" i="3"/>
  <c r="T238" i="3"/>
  <c r="T254" i="3"/>
  <c r="T270" i="3"/>
  <c r="T286" i="3"/>
  <c r="T302" i="3"/>
  <c r="T318" i="3"/>
  <c r="T334" i="3"/>
  <c r="T350" i="3"/>
  <c r="T366" i="3"/>
  <c r="T382" i="3"/>
  <c r="T398" i="3"/>
  <c r="T414" i="3"/>
  <c r="T430" i="3"/>
  <c r="T446" i="3"/>
  <c r="T462" i="3"/>
  <c r="T478" i="3"/>
  <c r="T16" i="3"/>
  <c r="T32" i="3"/>
  <c r="T48" i="3"/>
  <c r="T64" i="3"/>
  <c r="T80" i="3"/>
  <c r="T96" i="3"/>
  <c r="T112" i="3"/>
  <c r="T128" i="3"/>
  <c r="T144" i="3"/>
  <c r="T160" i="3"/>
  <c r="T176" i="3"/>
  <c r="T23" i="3"/>
  <c r="T41" i="3"/>
  <c r="T59" i="3"/>
  <c r="T77" i="3"/>
  <c r="T97" i="3"/>
  <c r="T115" i="3"/>
  <c r="T133" i="3"/>
  <c r="T151" i="3"/>
  <c r="T169" i="3"/>
  <c r="T187" i="3"/>
  <c r="T204" i="3"/>
  <c r="T221" i="3"/>
  <c r="T239" i="3"/>
  <c r="T256" i="3"/>
  <c r="T273" i="3"/>
  <c r="T290" i="3"/>
  <c r="T307" i="3"/>
  <c r="T324" i="3"/>
  <c r="T341" i="3"/>
  <c r="T358" i="3"/>
  <c r="T375" i="3"/>
  <c r="T392" i="3"/>
  <c r="T409" i="3"/>
  <c r="T426" i="3"/>
  <c r="T443" i="3"/>
  <c r="T460" i="3"/>
  <c r="T477" i="3"/>
  <c r="T24" i="3"/>
  <c r="T42" i="3"/>
  <c r="T60" i="3"/>
  <c r="T79" i="3"/>
  <c r="T98" i="3"/>
  <c r="T116" i="3"/>
  <c r="T134" i="3"/>
  <c r="T152" i="3"/>
  <c r="T170" i="3"/>
  <c r="T188" i="3"/>
  <c r="T205" i="3"/>
  <c r="T223" i="3"/>
  <c r="T240" i="3"/>
  <c r="T257" i="3"/>
  <c r="T274" i="3"/>
  <c r="T291" i="3"/>
  <c r="T308" i="3"/>
  <c r="T325" i="3"/>
  <c r="T342" i="3"/>
  <c r="T359" i="3"/>
  <c r="T376" i="3"/>
  <c r="T393" i="3"/>
  <c r="T410" i="3"/>
  <c r="T427" i="3"/>
  <c r="T444" i="3"/>
  <c r="T461" i="3"/>
  <c r="T479" i="3"/>
  <c r="T25" i="3"/>
  <c r="T43" i="3"/>
  <c r="T61" i="3"/>
  <c r="T81" i="3"/>
  <c r="T99" i="3"/>
  <c r="T117" i="3"/>
  <c r="T135" i="3"/>
  <c r="T153" i="3"/>
  <c r="T171" i="3"/>
  <c r="T189" i="3"/>
  <c r="T207" i="3"/>
  <c r="T224" i="3"/>
  <c r="T241" i="3"/>
  <c r="T258" i="3"/>
  <c r="T275" i="3"/>
  <c r="T292" i="3"/>
  <c r="T309" i="3"/>
  <c r="T326" i="3"/>
  <c r="T343" i="3"/>
  <c r="T360" i="3"/>
  <c r="T377" i="3"/>
  <c r="T394" i="3"/>
  <c r="T411" i="3"/>
  <c r="T428" i="3"/>
  <c r="T445" i="3"/>
  <c r="T463" i="3"/>
  <c r="T480" i="3"/>
  <c r="T22" i="3"/>
  <c r="T47" i="3"/>
  <c r="T69" i="3"/>
  <c r="T90" i="3"/>
  <c r="T113" i="3"/>
  <c r="T137" i="3"/>
  <c r="T159" i="3"/>
  <c r="T181" i="3"/>
  <c r="T201" i="3"/>
  <c r="T225" i="3"/>
  <c r="T245" i="3"/>
  <c r="T265" i="3"/>
  <c r="T285" i="3"/>
  <c r="T306" i="3"/>
  <c r="T329" i="3"/>
  <c r="T349" i="3"/>
  <c r="T370" i="3"/>
  <c r="T390" i="3"/>
  <c r="T413" i="3"/>
  <c r="T434" i="3"/>
  <c r="T454" i="3"/>
  <c r="T474" i="3"/>
  <c r="T29" i="3"/>
  <c r="T52" i="3"/>
  <c r="T73" i="3"/>
  <c r="T33" i="3"/>
  <c r="T54" i="3"/>
  <c r="T75" i="3"/>
  <c r="T101" i="3"/>
  <c r="T122" i="3"/>
  <c r="T145" i="3"/>
  <c r="T166" i="3"/>
  <c r="T191" i="3"/>
  <c r="T211" i="3"/>
  <c r="T231" i="3"/>
  <c r="T251" i="3"/>
  <c r="T35" i="3"/>
  <c r="T56" i="3"/>
  <c r="T82" i="3"/>
  <c r="T103" i="3"/>
  <c r="T124" i="3"/>
  <c r="T147" i="3"/>
  <c r="T168" i="3"/>
  <c r="T193" i="3"/>
  <c r="T213" i="3"/>
  <c r="T36" i="3"/>
  <c r="T57" i="3"/>
  <c r="T83" i="3"/>
  <c r="T104" i="3"/>
  <c r="T125" i="3"/>
  <c r="T15" i="3"/>
  <c r="T37" i="3"/>
  <c r="T58" i="3"/>
  <c r="T84" i="3"/>
  <c r="T105" i="3"/>
  <c r="T127" i="3"/>
  <c r="T149" i="3"/>
  <c r="T173" i="3"/>
  <c r="T195" i="3"/>
  <c r="T215" i="3"/>
  <c r="T235" i="3"/>
  <c r="T259" i="3"/>
  <c r="T26" i="3"/>
  <c r="T65" i="3"/>
  <c r="T93" i="3"/>
  <c r="T130" i="3"/>
  <c r="T161" i="3"/>
  <c r="T186" i="3"/>
  <c r="T217" i="3"/>
  <c r="T244" i="3"/>
  <c r="T268" i="3"/>
  <c r="T293" i="3"/>
  <c r="T314" i="3"/>
  <c r="T336" i="3"/>
  <c r="T357" i="3"/>
  <c r="T381" i="3"/>
  <c r="T403" i="3"/>
  <c r="T424" i="3"/>
  <c r="T449" i="3"/>
  <c r="T470" i="3"/>
  <c r="T27" i="3"/>
  <c r="T66" i="3"/>
  <c r="T95" i="3"/>
  <c r="T162" i="3"/>
  <c r="T192" i="3"/>
  <c r="T218" i="3"/>
  <c r="T246" i="3"/>
  <c r="T269" i="3"/>
  <c r="T294" i="3"/>
  <c r="T315" i="3"/>
  <c r="T337" i="3"/>
  <c r="T361" i="3"/>
  <c r="T383" i="3"/>
  <c r="T404" i="3"/>
  <c r="T425" i="3"/>
  <c r="T450" i="3"/>
  <c r="T471" i="3"/>
  <c r="T316" i="3"/>
  <c r="T178" i="3"/>
  <c r="T327" i="3"/>
  <c r="T417" i="3"/>
  <c r="T459" i="3"/>
  <c r="T179" i="3"/>
  <c r="T282" i="3"/>
  <c r="T418" i="3"/>
  <c r="T17" i="3"/>
  <c r="T262" i="3"/>
  <c r="T397" i="3"/>
  <c r="T120" i="3"/>
  <c r="T284" i="3"/>
  <c r="T353" i="3"/>
  <c r="T466" i="3"/>
  <c r="T237" i="3"/>
  <c r="T442" i="3"/>
  <c r="T123" i="3"/>
  <c r="T288" i="3"/>
  <c r="T401" i="3"/>
  <c r="T216" i="3"/>
  <c r="T423" i="3"/>
  <c r="T131" i="3"/>
  <c r="T45" i="3"/>
  <c r="T260" i="3"/>
  <c r="T395" i="3"/>
  <c r="T438" i="3"/>
  <c r="T118" i="3"/>
  <c r="T261" i="3"/>
  <c r="T396" i="3"/>
  <c r="T50" i="3"/>
  <c r="T283" i="3"/>
  <c r="T419" i="3"/>
  <c r="T18" i="3"/>
  <c r="T263" i="3"/>
  <c r="T399" i="3"/>
  <c r="T212" i="3"/>
  <c r="T332" i="3"/>
  <c r="T421" i="3"/>
  <c r="T214" i="3"/>
  <c r="T422" i="3"/>
  <c r="T157" i="3"/>
  <c r="T243" i="3"/>
  <c r="T402" i="3"/>
  <c r="T28" i="3"/>
  <c r="T67" i="3"/>
  <c r="T100" i="3"/>
  <c r="T132" i="3"/>
  <c r="T163" i="3"/>
  <c r="T194" i="3"/>
  <c r="T219" i="3"/>
  <c r="T247" i="3"/>
  <c r="T271" i="3"/>
  <c r="T295" i="3"/>
  <c r="T338" i="3"/>
  <c r="T362" i="3"/>
  <c r="T384" i="3"/>
  <c r="T405" i="3"/>
  <c r="T429" i="3"/>
  <c r="T451" i="3"/>
  <c r="T472" i="3"/>
  <c r="T303" i="3"/>
  <c r="T86" i="3"/>
  <c r="T233" i="3"/>
  <c r="T328" i="3"/>
  <c r="T439" i="3"/>
  <c r="T119" i="3"/>
  <c r="T330" i="3"/>
  <c r="T182" i="3"/>
  <c r="T310" i="3"/>
  <c r="T374" i="3"/>
  <c r="T183" i="3"/>
  <c r="T354" i="3"/>
  <c r="T156" i="3"/>
  <c r="T355" i="3"/>
  <c r="T468" i="3"/>
  <c r="T92" i="3"/>
  <c r="T289" i="3"/>
  <c r="T448" i="3"/>
  <c r="T31" i="3"/>
  <c r="T68" i="3"/>
  <c r="T102" i="3"/>
  <c r="T136" i="3"/>
  <c r="T164" i="3"/>
  <c r="T196" i="3"/>
  <c r="T220" i="3"/>
  <c r="T248" i="3"/>
  <c r="T272" i="3"/>
  <c r="T296" i="3"/>
  <c r="T317" i="3"/>
  <c r="T339" i="3"/>
  <c r="T363" i="3"/>
  <c r="T385" i="3"/>
  <c r="T406" i="3"/>
  <c r="T431" i="3"/>
  <c r="T452" i="3"/>
  <c r="T473" i="3"/>
  <c r="T49" i="3"/>
  <c r="T351" i="3"/>
  <c r="T150" i="3"/>
  <c r="T305" i="3"/>
  <c r="T154" i="3"/>
  <c r="T331" i="3"/>
  <c r="T441" i="3"/>
  <c r="T19" i="3"/>
  <c r="T311" i="3"/>
  <c r="T184" i="3"/>
  <c r="T379" i="3"/>
  <c r="T129" i="3"/>
  <c r="T313" i="3"/>
  <c r="T34" i="3"/>
  <c r="T70" i="3"/>
  <c r="T106" i="3"/>
  <c r="T138" i="3"/>
  <c r="T165" i="3"/>
  <c r="T197" i="3"/>
  <c r="T226" i="3"/>
  <c r="T249" i="3"/>
  <c r="T276" i="3"/>
  <c r="T297" i="3"/>
  <c r="T319" i="3"/>
  <c r="T340" i="3"/>
  <c r="T364" i="3"/>
  <c r="T386" i="3"/>
  <c r="T407" i="3"/>
  <c r="T432" i="3"/>
  <c r="T453" i="3"/>
  <c r="T475" i="3"/>
  <c r="T232" i="3"/>
  <c r="T465" i="3"/>
  <c r="T20" i="3"/>
  <c r="T63" i="3"/>
  <c r="T38" i="3"/>
  <c r="T71" i="3"/>
  <c r="T107" i="3"/>
  <c r="T139" i="3"/>
  <c r="T167" i="3"/>
  <c r="T198" i="3"/>
  <c r="T227" i="3"/>
  <c r="T250" i="3"/>
  <c r="T277" i="3"/>
  <c r="T298" i="3"/>
  <c r="T320" i="3"/>
  <c r="T344" i="3"/>
  <c r="T365" i="3"/>
  <c r="T387" i="3"/>
  <c r="T408" i="3"/>
  <c r="T433" i="3"/>
  <c r="T455" i="3"/>
  <c r="T476" i="3"/>
  <c r="T85" i="3"/>
  <c r="T371" i="3"/>
  <c r="T209" i="3"/>
  <c r="T88" i="3"/>
  <c r="T121" i="3"/>
  <c r="T266" i="3"/>
  <c r="T356" i="3"/>
  <c r="T39" i="3"/>
  <c r="T72" i="3"/>
  <c r="T108" i="3"/>
  <c r="T140" i="3"/>
  <c r="T172" i="3"/>
  <c r="T199" i="3"/>
  <c r="T228" i="3"/>
  <c r="T252" i="3"/>
  <c r="T278" i="3"/>
  <c r="T299" i="3"/>
  <c r="T321" i="3"/>
  <c r="T345" i="3"/>
  <c r="T367" i="3"/>
  <c r="T388" i="3"/>
  <c r="T412" i="3"/>
  <c r="T435" i="3"/>
  <c r="T456" i="3"/>
  <c r="T481" i="3"/>
  <c r="T146" i="3"/>
  <c r="T281" i="3"/>
  <c r="T148" i="3"/>
  <c r="T304" i="3"/>
  <c r="T464" i="3"/>
  <c r="T180" i="3"/>
  <c r="T352" i="3"/>
  <c r="T236" i="3"/>
  <c r="T420" i="3"/>
  <c r="T89" i="3"/>
  <c r="T264" i="3"/>
  <c r="T378" i="3"/>
  <c r="T467" i="3"/>
  <c r="T55" i="3"/>
  <c r="T312" i="3"/>
  <c r="T447" i="3"/>
  <c r="T185" i="3"/>
  <c r="T380" i="3"/>
  <c r="T40" i="3"/>
  <c r="T74" i="3"/>
  <c r="T109" i="3"/>
  <c r="T141" i="3"/>
  <c r="T175" i="3"/>
  <c r="T200" i="3"/>
  <c r="T229" i="3"/>
  <c r="T253" i="3"/>
  <c r="T279" i="3"/>
  <c r="T300" i="3"/>
  <c r="T322" i="3"/>
  <c r="T346" i="3"/>
  <c r="T368" i="3"/>
  <c r="T389" i="3"/>
  <c r="T415" i="3"/>
  <c r="T436" i="3"/>
  <c r="T457" i="3"/>
  <c r="T482" i="3"/>
  <c r="T348" i="3"/>
  <c r="T87" i="3"/>
  <c r="T51" i="3"/>
  <c r="T155" i="3"/>
  <c r="T242" i="3"/>
  <c r="T335" i="3"/>
  <c r="T44" i="3"/>
  <c r="T76" i="3"/>
  <c r="T111" i="3"/>
  <c r="T143" i="3"/>
  <c r="T177" i="3"/>
  <c r="T202" i="3"/>
  <c r="T230" i="3"/>
  <c r="T255" i="3"/>
  <c r="T280" i="3"/>
  <c r="T301" i="3"/>
  <c r="T323" i="3"/>
  <c r="T347" i="3"/>
  <c r="T369" i="3"/>
  <c r="T391" i="3"/>
  <c r="T416" i="3"/>
  <c r="T437" i="3"/>
  <c r="T458" i="3"/>
  <c r="T483" i="3"/>
  <c r="T114" i="3"/>
  <c r="T203" i="3"/>
  <c r="T13" i="3"/>
  <c r="T208" i="3"/>
  <c r="T372" i="3"/>
  <c r="T234" i="3"/>
  <c r="T373" i="3"/>
  <c r="T210" i="3"/>
  <c r="T53" i="3"/>
  <c r="T287" i="3"/>
  <c r="T400" i="3"/>
  <c r="T91" i="3"/>
  <c r="T333" i="3"/>
  <c r="T21" i="3"/>
  <c r="T267" i="3"/>
  <c r="T469" i="3"/>
  <c r="T440" i="3"/>
  <c r="AA21" i="3"/>
  <c r="AA37" i="3"/>
  <c r="AA53" i="3"/>
  <c r="AA69" i="3"/>
  <c r="AA85" i="3"/>
  <c r="AA101" i="3"/>
  <c r="AA117" i="3"/>
  <c r="AA133" i="3"/>
  <c r="AA149" i="3"/>
  <c r="AA165" i="3"/>
  <c r="AA181" i="3"/>
  <c r="AA197" i="3"/>
  <c r="AA213" i="3"/>
  <c r="AA229" i="3"/>
  <c r="AA245" i="3"/>
  <c r="AA261" i="3"/>
  <c r="AA277" i="3"/>
  <c r="AA293" i="3"/>
  <c r="AA309" i="3"/>
  <c r="AA325" i="3"/>
  <c r="AA341" i="3"/>
  <c r="AA357" i="3"/>
  <c r="AA373" i="3"/>
  <c r="AA389" i="3"/>
  <c r="AA405" i="3"/>
  <c r="AA421" i="3"/>
  <c r="AA437" i="3"/>
  <c r="AA453" i="3"/>
  <c r="AA469" i="3"/>
  <c r="AA485" i="3"/>
  <c r="AA501" i="3"/>
  <c r="AA517" i="3"/>
  <c r="AA533" i="3"/>
  <c r="AA549" i="3"/>
  <c r="AA565" i="3"/>
  <c r="AA581" i="3"/>
  <c r="AA597" i="3"/>
  <c r="AA613" i="3"/>
  <c r="AA629" i="3"/>
  <c r="AA645" i="3"/>
  <c r="AA661" i="3"/>
  <c r="AA677" i="3"/>
  <c r="AA693" i="3"/>
  <c r="AA709" i="3"/>
  <c r="AA725" i="3"/>
  <c r="AA741" i="3"/>
  <c r="AA757" i="3"/>
  <c r="AA773" i="3"/>
  <c r="AA789" i="3"/>
  <c r="AA805" i="3"/>
  <c r="AA821" i="3"/>
  <c r="AA837" i="3"/>
  <c r="AA853" i="3"/>
  <c r="AA869" i="3"/>
  <c r="AA885" i="3"/>
  <c r="AA901" i="3"/>
  <c r="AA917" i="3"/>
  <c r="AA933" i="3"/>
  <c r="AA949" i="3"/>
  <c r="AA965" i="3"/>
  <c r="AA981" i="3"/>
  <c r="AA997" i="3"/>
  <c r="AA1013" i="3"/>
  <c r="AA1029" i="3"/>
  <c r="AA1045" i="3"/>
  <c r="AA1061" i="3"/>
  <c r="AA1077" i="3"/>
  <c r="AA1093" i="3"/>
  <c r="AA1109" i="3"/>
  <c r="AA1125" i="3"/>
  <c r="AA1141" i="3"/>
  <c r="AA1157" i="3"/>
  <c r="AA1173" i="3"/>
  <c r="AA1189" i="3"/>
  <c r="AA23" i="3"/>
  <c r="AA39" i="3"/>
  <c r="AA55" i="3"/>
  <c r="AA71" i="3"/>
  <c r="AA87" i="3"/>
  <c r="AA103" i="3"/>
  <c r="AA119" i="3"/>
  <c r="AA135" i="3"/>
  <c r="AA151" i="3"/>
  <c r="AA167" i="3"/>
  <c r="AA183" i="3"/>
  <c r="AA199" i="3"/>
  <c r="AA215" i="3"/>
  <c r="AA231" i="3"/>
  <c r="AA247" i="3"/>
  <c r="AA263" i="3"/>
  <c r="AA279" i="3"/>
  <c r="AA295" i="3"/>
  <c r="AA311" i="3"/>
  <c r="AA327" i="3"/>
  <c r="AA343" i="3"/>
  <c r="AA359" i="3"/>
  <c r="AA375" i="3"/>
  <c r="AA391" i="3"/>
  <c r="AA407" i="3"/>
  <c r="AA423" i="3"/>
  <c r="AA439" i="3"/>
  <c r="AA455" i="3"/>
  <c r="AA471" i="3"/>
  <c r="AA487" i="3"/>
  <c r="AA503" i="3"/>
  <c r="AA519" i="3"/>
  <c r="AA535" i="3"/>
  <c r="AA551" i="3"/>
  <c r="AA567" i="3"/>
  <c r="AA583" i="3"/>
  <c r="AA599" i="3"/>
  <c r="AA615" i="3"/>
  <c r="AA631" i="3"/>
  <c r="AA647" i="3"/>
  <c r="AA663" i="3"/>
  <c r="AA679" i="3"/>
  <c r="AA695" i="3"/>
  <c r="AA711" i="3"/>
  <c r="AA727" i="3"/>
  <c r="AA743" i="3"/>
  <c r="AA759" i="3"/>
  <c r="AA775" i="3"/>
  <c r="AA791" i="3"/>
  <c r="AA807" i="3"/>
  <c r="AA823" i="3"/>
  <c r="AA839" i="3"/>
  <c r="AA855" i="3"/>
  <c r="AA871" i="3"/>
  <c r="AA887" i="3"/>
  <c r="AA903" i="3"/>
  <c r="AA919" i="3"/>
  <c r="AA935" i="3"/>
  <c r="AA951" i="3"/>
  <c r="AA967" i="3"/>
  <c r="AA983" i="3"/>
  <c r="AA999" i="3"/>
  <c r="AA1015" i="3"/>
  <c r="AA1031" i="3"/>
  <c r="AA1047" i="3"/>
  <c r="AA1063" i="3"/>
  <c r="AA1079" i="3"/>
  <c r="AA1095" i="3"/>
  <c r="AA1111" i="3"/>
  <c r="AA1127" i="3"/>
  <c r="AA1143" i="3"/>
  <c r="AA1159" i="3"/>
  <c r="AA1175" i="3"/>
  <c r="AA1191" i="3"/>
  <c r="AA26" i="3"/>
  <c r="AA44" i="3"/>
  <c r="AA62" i="3"/>
  <c r="AA80" i="3"/>
  <c r="AA98" i="3"/>
  <c r="AA116" i="3"/>
  <c r="AA136" i="3"/>
  <c r="AA154" i="3"/>
  <c r="AA172" i="3"/>
  <c r="AA190" i="3"/>
  <c r="AA208" i="3"/>
  <c r="AA226" i="3"/>
  <c r="AA244" i="3"/>
  <c r="AA264" i="3"/>
  <c r="AA282" i="3"/>
  <c r="AA300" i="3"/>
  <c r="AA318" i="3"/>
  <c r="AA336" i="3"/>
  <c r="AA354" i="3"/>
  <c r="AA372" i="3"/>
  <c r="AA392" i="3"/>
  <c r="AA410" i="3"/>
  <c r="AA428" i="3"/>
  <c r="AA446" i="3"/>
  <c r="AA464" i="3"/>
  <c r="AA482" i="3"/>
  <c r="AA500" i="3"/>
  <c r="AA520" i="3"/>
  <c r="AA538" i="3"/>
  <c r="AA556" i="3"/>
  <c r="AA574" i="3"/>
  <c r="AA592" i="3"/>
  <c r="AA610" i="3"/>
  <c r="AA628" i="3"/>
  <c r="AA648" i="3"/>
  <c r="AA666" i="3"/>
  <c r="AA684" i="3"/>
  <c r="AA702" i="3"/>
  <c r="AA720" i="3"/>
  <c r="AA738" i="3"/>
  <c r="AA756" i="3"/>
  <c r="AA776" i="3"/>
  <c r="AA794" i="3"/>
  <c r="AA812" i="3"/>
  <c r="AA830" i="3"/>
  <c r="AA848" i="3"/>
  <c r="AA866" i="3"/>
  <c r="AA884" i="3"/>
  <c r="AA904" i="3"/>
  <c r="AA922" i="3"/>
  <c r="AA940" i="3"/>
  <c r="AA958" i="3"/>
  <c r="AA976" i="3"/>
  <c r="AA994" i="3"/>
  <c r="AA1012" i="3"/>
  <c r="AA1032" i="3"/>
  <c r="AA1050" i="3"/>
  <c r="AA1068" i="3"/>
  <c r="AA1086" i="3"/>
  <c r="AA1104" i="3"/>
  <c r="AA1122" i="3"/>
  <c r="AA1140" i="3"/>
  <c r="AA1160" i="3"/>
  <c r="AA1178" i="3"/>
  <c r="AA1196" i="3"/>
  <c r="AA27" i="3"/>
  <c r="AA45" i="3"/>
  <c r="AA63" i="3"/>
  <c r="AA81" i="3"/>
  <c r="AA99" i="3"/>
  <c r="AA118" i="3"/>
  <c r="AA137" i="3"/>
  <c r="AA155" i="3"/>
  <c r="AA173" i="3"/>
  <c r="AA191" i="3"/>
  <c r="AA209" i="3"/>
  <c r="AA227" i="3"/>
  <c r="AA246" i="3"/>
  <c r="AA265" i="3"/>
  <c r="AA283" i="3"/>
  <c r="AA301" i="3"/>
  <c r="AA319" i="3"/>
  <c r="AA337" i="3"/>
  <c r="AA355" i="3"/>
  <c r="AA374" i="3"/>
  <c r="AA393" i="3"/>
  <c r="AA411" i="3"/>
  <c r="AA429" i="3"/>
  <c r="AA447" i="3"/>
  <c r="AA465" i="3"/>
  <c r="AA483" i="3"/>
  <c r="AA502" i="3"/>
  <c r="AA521" i="3"/>
  <c r="AA539" i="3"/>
  <c r="AA557" i="3"/>
  <c r="AA575" i="3"/>
  <c r="AA593" i="3"/>
  <c r="AA611" i="3"/>
  <c r="AA630" i="3"/>
  <c r="AA649" i="3"/>
  <c r="AA667" i="3"/>
  <c r="AA685" i="3"/>
  <c r="AA703" i="3"/>
  <c r="AA721" i="3"/>
  <c r="AA739" i="3"/>
  <c r="AA758" i="3"/>
  <c r="AA777" i="3"/>
  <c r="AA795" i="3"/>
  <c r="AA813" i="3"/>
  <c r="AA831" i="3"/>
  <c r="AA849" i="3"/>
  <c r="AA867" i="3"/>
  <c r="AA886" i="3"/>
  <c r="AA905" i="3"/>
  <c r="AA923" i="3"/>
  <c r="AA941" i="3"/>
  <c r="AA959" i="3"/>
  <c r="AA977" i="3"/>
  <c r="AA995" i="3"/>
  <c r="AA1014" i="3"/>
  <c r="AA1033" i="3"/>
  <c r="AA1051" i="3"/>
  <c r="AA1069" i="3"/>
  <c r="AA1087" i="3"/>
  <c r="AA1105" i="3"/>
  <c r="AA1123" i="3"/>
  <c r="AA1142" i="3"/>
  <c r="AA1161" i="3"/>
  <c r="AA1179" i="3"/>
  <c r="AA1197" i="3"/>
  <c r="AA28" i="3"/>
  <c r="AA46" i="3"/>
  <c r="AA64" i="3"/>
  <c r="AA82" i="3"/>
  <c r="AA100" i="3"/>
  <c r="AA120" i="3"/>
  <c r="AA138" i="3"/>
  <c r="AA156" i="3"/>
  <c r="AA174" i="3"/>
  <c r="AA192" i="3"/>
  <c r="AA210" i="3"/>
  <c r="AA228" i="3"/>
  <c r="AA248" i="3"/>
  <c r="AA266" i="3"/>
  <c r="AA284" i="3"/>
  <c r="AA302" i="3"/>
  <c r="AA320" i="3"/>
  <c r="AA338" i="3"/>
  <c r="AA356" i="3"/>
  <c r="AA376" i="3"/>
  <c r="AA394" i="3"/>
  <c r="AA412" i="3"/>
  <c r="AA430" i="3"/>
  <c r="AA448" i="3"/>
  <c r="AA466" i="3"/>
  <c r="AA484" i="3"/>
  <c r="AA504" i="3"/>
  <c r="AA522" i="3"/>
  <c r="AA540" i="3"/>
  <c r="AA558" i="3"/>
  <c r="AA576" i="3"/>
  <c r="AA594" i="3"/>
  <c r="AA612" i="3"/>
  <c r="AA632" i="3"/>
  <c r="AA650" i="3"/>
  <c r="AA668" i="3"/>
  <c r="AA686" i="3"/>
  <c r="AA704" i="3"/>
  <c r="AA722" i="3"/>
  <c r="AA740" i="3"/>
  <c r="AA760" i="3"/>
  <c r="AA778" i="3"/>
  <c r="AA796" i="3"/>
  <c r="AA814" i="3"/>
  <c r="AA832" i="3"/>
  <c r="AA850" i="3"/>
  <c r="AA868" i="3"/>
  <c r="AA888" i="3"/>
  <c r="AA906" i="3"/>
  <c r="AA924" i="3"/>
  <c r="AA942" i="3"/>
  <c r="AA960" i="3"/>
  <c r="AA978" i="3"/>
  <c r="AA996" i="3"/>
  <c r="AA1016" i="3"/>
  <c r="AA1034" i="3"/>
  <c r="AA1052" i="3"/>
  <c r="AA1070" i="3"/>
  <c r="AA1088" i="3"/>
  <c r="AA1106" i="3"/>
  <c r="AA1124" i="3"/>
  <c r="AA1144" i="3"/>
  <c r="AA1162" i="3"/>
  <c r="AA1180" i="3"/>
  <c r="AA1198" i="3"/>
  <c r="AA25" i="3"/>
  <c r="AA49" i="3"/>
  <c r="AA72" i="3"/>
  <c r="AA93" i="3"/>
  <c r="AA114" i="3"/>
  <c r="AA140" i="3"/>
  <c r="AA161" i="3"/>
  <c r="AA184" i="3"/>
  <c r="AA205" i="3"/>
  <c r="AA230" i="3"/>
  <c r="AA252" i="3"/>
  <c r="AA273" i="3"/>
  <c r="AA296" i="3"/>
  <c r="AA317" i="3"/>
  <c r="AA342" i="3"/>
  <c r="AA364" i="3"/>
  <c r="AA385" i="3"/>
  <c r="AA408" i="3"/>
  <c r="AA432" i="3"/>
  <c r="AA454" i="3"/>
  <c r="AA476" i="3"/>
  <c r="AA497" i="3"/>
  <c r="AA523" i="3"/>
  <c r="AA544" i="3"/>
  <c r="AA566" i="3"/>
  <c r="AA588" i="3"/>
  <c r="AA609" i="3"/>
  <c r="AA635" i="3"/>
  <c r="AA656" i="3"/>
  <c r="AA678" i="3"/>
  <c r="AA700" i="3"/>
  <c r="AA724" i="3"/>
  <c r="AA747" i="3"/>
  <c r="AA768" i="3"/>
  <c r="AA790" i="3"/>
  <c r="AA815" i="3"/>
  <c r="AA836" i="3"/>
  <c r="AA859" i="3"/>
  <c r="AA880" i="3"/>
  <c r="AA902" i="3"/>
  <c r="AA927" i="3"/>
  <c r="AA948" i="3"/>
  <c r="AA971" i="3"/>
  <c r="AA992" i="3"/>
  <c r="AA1018" i="3"/>
  <c r="AA1039" i="3"/>
  <c r="AA1060" i="3"/>
  <c r="AA1083" i="3"/>
  <c r="AA30" i="3"/>
  <c r="AA51" i="3"/>
  <c r="AA74" i="3"/>
  <c r="AA95" i="3"/>
  <c r="AA121" i="3"/>
  <c r="AA142" i="3"/>
  <c r="AA163" i="3"/>
  <c r="AA186" i="3"/>
  <c r="AA207" i="3"/>
  <c r="AA233" i="3"/>
  <c r="AA254" i="3"/>
  <c r="AA275" i="3"/>
  <c r="AA298" i="3"/>
  <c r="AA31" i="3"/>
  <c r="AA52" i="3"/>
  <c r="AA75" i="3"/>
  <c r="AA96" i="3"/>
  <c r="AA122" i="3"/>
  <c r="AA143" i="3"/>
  <c r="AA164" i="3"/>
  <c r="AA187" i="3"/>
  <c r="AA211" i="3"/>
  <c r="AA234" i="3"/>
  <c r="AA255" i="3"/>
  <c r="AA276" i="3"/>
  <c r="AA299" i="3"/>
  <c r="AA32" i="3"/>
  <c r="AA54" i="3"/>
  <c r="AA76" i="3"/>
  <c r="AA97" i="3"/>
  <c r="AA123" i="3"/>
  <c r="AA144" i="3"/>
  <c r="AA166" i="3"/>
  <c r="AA188" i="3"/>
  <c r="AA212" i="3"/>
  <c r="AA235" i="3"/>
  <c r="AA256" i="3"/>
  <c r="AA278" i="3"/>
  <c r="AA303" i="3"/>
  <c r="AA324" i="3"/>
  <c r="AA347" i="3"/>
  <c r="AA368" i="3"/>
  <c r="AA390" i="3"/>
  <c r="AA415" i="3"/>
  <c r="AA436" i="3"/>
  <c r="AA459" i="3"/>
  <c r="AA480" i="3"/>
  <c r="AA506" i="3"/>
  <c r="AA527" i="3"/>
  <c r="AA548" i="3"/>
  <c r="AA571" i="3"/>
  <c r="AA595" i="3"/>
  <c r="AA618" i="3"/>
  <c r="AA639" i="3"/>
  <c r="AA660" i="3"/>
  <c r="AA683" i="3"/>
  <c r="AA707" i="3"/>
  <c r="AA730" i="3"/>
  <c r="AA12" i="3"/>
  <c r="AA33" i="3"/>
  <c r="AA56" i="3"/>
  <c r="AA77" i="3"/>
  <c r="AA102" i="3"/>
  <c r="AA124" i="3"/>
  <c r="AA145" i="3"/>
  <c r="AA168" i="3"/>
  <c r="AA189" i="3"/>
  <c r="AA214" i="3"/>
  <c r="AA17" i="3"/>
  <c r="AA48" i="3"/>
  <c r="AA84" i="3"/>
  <c r="AA112" i="3"/>
  <c r="AA148" i="3"/>
  <c r="AA179" i="3"/>
  <c r="AA217" i="3"/>
  <c r="AA242" i="3"/>
  <c r="AA272" i="3"/>
  <c r="AA306" i="3"/>
  <c r="AA331" i="3"/>
  <c r="AA358" i="3"/>
  <c r="AA382" i="3"/>
  <c r="AA406" i="3"/>
  <c r="AA434" i="3"/>
  <c r="AA460" i="3"/>
  <c r="AA488" i="3"/>
  <c r="AA511" i="3"/>
  <c r="AA536" i="3"/>
  <c r="AA562" i="3"/>
  <c r="AA587" i="3"/>
  <c r="AA616" i="3"/>
  <c r="AA640" i="3"/>
  <c r="AA665" i="3"/>
  <c r="AA691" i="3"/>
  <c r="AA716" i="3"/>
  <c r="AA744" i="3"/>
  <c r="AA766" i="3"/>
  <c r="AA788" i="3"/>
  <c r="AA816" i="3"/>
  <c r="AA840" i="3"/>
  <c r="AA862" i="3"/>
  <c r="AA889" i="3"/>
  <c r="AA911" i="3"/>
  <c r="AA934" i="3"/>
  <c r="AA957" i="3"/>
  <c r="AA984" i="3"/>
  <c r="AA1006" i="3"/>
  <c r="AA1028" i="3"/>
  <c r="AA1055" i="3"/>
  <c r="AA1078" i="3"/>
  <c r="AA1101" i="3"/>
  <c r="AA1126" i="3"/>
  <c r="AA1148" i="3"/>
  <c r="AA1169" i="3"/>
  <c r="AA1192" i="3"/>
  <c r="AA19" i="3"/>
  <c r="AA57" i="3"/>
  <c r="AA88" i="3"/>
  <c r="AA115" i="3"/>
  <c r="AA152" i="3"/>
  <c r="AA182" i="3"/>
  <c r="AA219" i="3"/>
  <c r="AA249" i="3"/>
  <c r="AA280" i="3"/>
  <c r="AA308" i="3"/>
  <c r="AA333" i="3"/>
  <c r="AA361" i="3"/>
  <c r="AA384" i="3"/>
  <c r="AA413" i="3"/>
  <c r="AA438" i="3"/>
  <c r="AA462" i="3"/>
  <c r="AA490" i="3"/>
  <c r="AA513" i="3"/>
  <c r="AA541" i="3"/>
  <c r="AA564" i="3"/>
  <c r="AA590" i="3"/>
  <c r="AA619" i="3"/>
  <c r="AA642" i="3"/>
  <c r="AA670" i="3"/>
  <c r="AA694" i="3"/>
  <c r="AA718" i="3"/>
  <c r="AA746" i="3"/>
  <c r="AA769" i="3"/>
  <c r="AA793" i="3"/>
  <c r="AA818" i="3"/>
  <c r="AA842" i="3"/>
  <c r="AA864" i="3"/>
  <c r="AA891" i="3"/>
  <c r="AA913" i="3"/>
  <c r="AA20" i="3"/>
  <c r="AA58" i="3"/>
  <c r="AA89" i="3"/>
  <c r="AA125" i="3"/>
  <c r="AA153" i="3"/>
  <c r="AA185" i="3"/>
  <c r="AA220" i="3"/>
  <c r="AA250" i="3"/>
  <c r="AA281" i="3"/>
  <c r="AA310" i="3"/>
  <c r="AA334" i="3"/>
  <c r="AA362" i="3"/>
  <c r="AA386" i="3"/>
  <c r="AA414" i="3"/>
  <c r="AA440" i="3"/>
  <c r="AA463" i="3"/>
  <c r="AA491" i="3"/>
  <c r="AA514" i="3"/>
  <c r="AA542" i="3"/>
  <c r="AA568" i="3"/>
  <c r="AA591" i="3"/>
  <c r="AA620" i="3"/>
  <c r="AA643" i="3"/>
  <c r="AA671" i="3"/>
  <c r="AA696" i="3"/>
  <c r="AA719" i="3"/>
  <c r="AA748" i="3"/>
  <c r="AA770" i="3"/>
  <c r="AA797" i="3"/>
  <c r="AA819" i="3"/>
  <c r="AA843" i="3"/>
  <c r="AA865" i="3"/>
  <c r="AA892" i="3"/>
  <c r="AA914" i="3"/>
  <c r="AA22" i="3"/>
  <c r="AA59" i="3"/>
  <c r="AA90" i="3"/>
  <c r="AA126" i="3"/>
  <c r="AA157" i="3"/>
  <c r="AA193" i="3"/>
  <c r="AA221" i="3"/>
  <c r="AA251" i="3"/>
  <c r="AA285" i="3"/>
  <c r="AA312" i="3"/>
  <c r="AA335" i="3"/>
  <c r="AA363" i="3"/>
  <c r="AA387" i="3"/>
  <c r="AA416" i="3"/>
  <c r="AA441" i="3"/>
  <c r="AA467" i="3"/>
  <c r="AA492" i="3"/>
  <c r="AA515" i="3"/>
  <c r="AA543" i="3"/>
  <c r="AA569" i="3"/>
  <c r="AA596" i="3"/>
  <c r="AA621" i="3"/>
  <c r="AA644" i="3"/>
  <c r="AA672" i="3"/>
  <c r="AA697" i="3"/>
  <c r="AA723" i="3"/>
  <c r="AA749" i="3"/>
  <c r="AA771" i="3"/>
  <c r="AA798" i="3"/>
  <c r="AA820" i="3"/>
  <c r="AA844" i="3"/>
  <c r="AA870" i="3"/>
  <c r="AA893" i="3"/>
  <c r="AA915" i="3"/>
  <c r="AA939" i="3"/>
  <c r="AA964" i="3"/>
  <c r="AA988" i="3"/>
  <c r="AA1010" i="3"/>
  <c r="AA1037" i="3"/>
  <c r="AA1059" i="3"/>
  <c r="AA1084" i="3"/>
  <c r="AA1108" i="3"/>
  <c r="AA1131" i="3"/>
  <c r="AA1152" i="3"/>
  <c r="AA1174" i="3"/>
  <c r="AA1199" i="3"/>
  <c r="AA24" i="3"/>
  <c r="AA60" i="3"/>
  <c r="AA91" i="3"/>
  <c r="AA127" i="3"/>
  <c r="AA158" i="3"/>
  <c r="AA194" i="3"/>
  <c r="AA222" i="3"/>
  <c r="AA253" i="3"/>
  <c r="AA286" i="3"/>
  <c r="AA313" i="3"/>
  <c r="AA339" i="3"/>
  <c r="AA365" i="3"/>
  <c r="AA388" i="3"/>
  <c r="AA417" i="3"/>
  <c r="AA442" i="3"/>
  <c r="AA468" i="3"/>
  <c r="AA493" i="3"/>
  <c r="AA516" i="3"/>
  <c r="AA545" i="3"/>
  <c r="AA570" i="3"/>
  <c r="AA598" i="3"/>
  <c r="AA622" i="3"/>
  <c r="AA646" i="3"/>
  <c r="AA673" i="3"/>
  <c r="AA698" i="3"/>
  <c r="AA726" i="3"/>
  <c r="AA750" i="3"/>
  <c r="AA772" i="3"/>
  <c r="AA799" i="3"/>
  <c r="AA822" i="3"/>
  <c r="AA845" i="3"/>
  <c r="AA872" i="3"/>
  <c r="AA894" i="3"/>
  <c r="AA916" i="3"/>
  <c r="AA943" i="3"/>
  <c r="AA966" i="3"/>
  <c r="AA989" i="3"/>
  <c r="AA29" i="3"/>
  <c r="AA61" i="3"/>
  <c r="AA92" i="3"/>
  <c r="AA128" i="3"/>
  <c r="AA159" i="3"/>
  <c r="AA195" i="3"/>
  <c r="AA223" i="3"/>
  <c r="AA257" i="3"/>
  <c r="AA287" i="3"/>
  <c r="AA314" i="3"/>
  <c r="AA340" i="3"/>
  <c r="AA366" i="3"/>
  <c r="AA395" i="3"/>
  <c r="AA418" i="3"/>
  <c r="AA443" i="3"/>
  <c r="AA470" i="3"/>
  <c r="AA494" i="3"/>
  <c r="AA518" i="3"/>
  <c r="AA546" i="3"/>
  <c r="AA572" i="3"/>
  <c r="AA600" i="3"/>
  <c r="AA623" i="3"/>
  <c r="AA651" i="3"/>
  <c r="AA674" i="3"/>
  <c r="AA699" i="3"/>
  <c r="AA728" i="3"/>
  <c r="AA751" i="3"/>
  <c r="AA774" i="3"/>
  <c r="AA800" i="3"/>
  <c r="AA824" i="3"/>
  <c r="AA846" i="3"/>
  <c r="AA873" i="3"/>
  <c r="AA895" i="3"/>
  <c r="AA918" i="3"/>
  <c r="AA944" i="3"/>
  <c r="AA968" i="3"/>
  <c r="AA990" i="3"/>
  <c r="AA1017" i="3"/>
  <c r="AA1040" i="3"/>
  <c r="AA1064" i="3"/>
  <c r="AA1089" i="3"/>
  <c r="AA1112" i="3"/>
  <c r="AA1133" i="3"/>
  <c r="AA1154" i="3"/>
  <c r="AA1177" i="3"/>
  <c r="AA1201" i="3"/>
  <c r="AA35" i="3"/>
  <c r="AA66" i="3"/>
  <c r="AA104" i="3"/>
  <c r="AA130" i="3"/>
  <c r="AA162" i="3"/>
  <c r="AA198" i="3"/>
  <c r="AA225" i="3"/>
  <c r="AA259" i="3"/>
  <c r="AA289" i="3"/>
  <c r="AA316" i="3"/>
  <c r="AA345" i="3"/>
  <c r="AA369" i="3"/>
  <c r="AA397" i="3"/>
  <c r="AA420" i="3"/>
  <c r="AA445" i="3"/>
  <c r="AA473" i="3"/>
  <c r="AA496" i="3"/>
  <c r="AA525" i="3"/>
  <c r="AA550" i="3"/>
  <c r="AA577" i="3"/>
  <c r="AA602" i="3"/>
  <c r="AA625" i="3"/>
  <c r="AA653" i="3"/>
  <c r="AA676" i="3"/>
  <c r="AA705" i="3"/>
  <c r="AA731" i="3"/>
  <c r="AA753" i="3"/>
  <c r="AA780" i="3"/>
  <c r="AA802" i="3"/>
  <c r="AA826" i="3"/>
  <c r="AA851" i="3"/>
  <c r="AA875" i="3"/>
  <c r="AA897" i="3"/>
  <c r="AA921" i="3"/>
  <c r="AA946" i="3"/>
  <c r="AA970" i="3"/>
  <c r="AA993" i="3"/>
  <c r="AA1020" i="3"/>
  <c r="AA1042" i="3"/>
  <c r="AA1066" i="3"/>
  <c r="AA1091" i="3"/>
  <c r="AA1114" i="3"/>
  <c r="AA1135" i="3"/>
  <c r="AA1156" i="3"/>
  <c r="AA1182" i="3"/>
  <c r="AA1203" i="3"/>
  <c r="C13" i="6" s="1"/>
  <c r="AA36" i="3"/>
  <c r="AA67" i="3"/>
  <c r="AA105" i="3"/>
  <c r="AA131" i="3"/>
  <c r="AA169" i="3"/>
  <c r="AA200" i="3"/>
  <c r="AA232" i="3"/>
  <c r="AA260" i="3"/>
  <c r="AA290" i="3"/>
  <c r="AA321" i="3"/>
  <c r="AA346" i="3"/>
  <c r="AA370" i="3"/>
  <c r="AA398" i="3"/>
  <c r="AA422" i="3"/>
  <c r="AA449" i="3"/>
  <c r="AA474" i="3"/>
  <c r="AA498" i="3"/>
  <c r="AA526" i="3"/>
  <c r="AA552" i="3"/>
  <c r="AA578" i="3"/>
  <c r="AA603" i="3"/>
  <c r="AA626" i="3"/>
  <c r="AA654" i="3"/>
  <c r="AA680" i="3"/>
  <c r="AA706" i="3"/>
  <c r="AA732" i="3"/>
  <c r="AA754" i="3"/>
  <c r="AA781" i="3"/>
  <c r="AA803" i="3"/>
  <c r="AA827" i="3"/>
  <c r="AA852" i="3"/>
  <c r="AA876" i="3"/>
  <c r="AA898" i="3"/>
  <c r="AA925" i="3"/>
  <c r="AA947" i="3"/>
  <c r="AA972" i="3"/>
  <c r="AA998" i="3"/>
  <c r="AA1021" i="3"/>
  <c r="AA1043" i="3"/>
  <c r="AA1067" i="3"/>
  <c r="AA1092" i="3"/>
  <c r="AA1115" i="3"/>
  <c r="AA1136" i="3"/>
  <c r="AA1158" i="3"/>
  <c r="AA1183" i="3"/>
  <c r="AA11" i="3"/>
  <c r="AA38" i="3"/>
  <c r="AA68" i="3"/>
  <c r="AA106" i="3"/>
  <c r="AA132" i="3"/>
  <c r="AA170" i="3"/>
  <c r="AA201" i="3"/>
  <c r="AA236" i="3"/>
  <c r="AA262" i="3"/>
  <c r="AA291" i="3"/>
  <c r="AA322" i="3"/>
  <c r="AA348" i="3"/>
  <c r="AA371" i="3"/>
  <c r="AA399" i="3"/>
  <c r="AA424" i="3"/>
  <c r="AA450" i="3"/>
  <c r="AA475" i="3"/>
  <c r="AA499" i="3"/>
  <c r="AA528" i="3"/>
  <c r="AA553" i="3"/>
  <c r="AA579" i="3"/>
  <c r="AA604" i="3"/>
  <c r="AA627" i="3"/>
  <c r="AA655" i="3"/>
  <c r="AA681" i="3"/>
  <c r="AA708" i="3"/>
  <c r="AA733" i="3"/>
  <c r="AA755" i="3"/>
  <c r="AA782" i="3"/>
  <c r="AA804" i="3"/>
  <c r="AA828" i="3"/>
  <c r="AA854" i="3"/>
  <c r="AA877" i="3"/>
  <c r="AA899" i="3"/>
  <c r="AA926" i="3"/>
  <c r="AA950" i="3"/>
  <c r="AA973" i="3"/>
  <c r="AA1000" i="3"/>
  <c r="AA1022" i="3"/>
  <c r="AA1044" i="3"/>
  <c r="AA1071" i="3"/>
  <c r="AA1094" i="3"/>
  <c r="AA1116" i="3"/>
  <c r="AA1137" i="3"/>
  <c r="AA1163" i="3"/>
  <c r="AA1184" i="3"/>
  <c r="AA40" i="3"/>
  <c r="AA70" i="3"/>
  <c r="AA107" i="3"/>
  <c r="AA134" i="3"/>
  <c r="AA171" i="3"/>
  <c r="AA202" i="3"/>
  <c r="AA237" i="3"/>
  <c r="AA267" i="3"/>
  <c r="AA292" i="3"/>
  <c r="AA323" i="3"/>
  <c r="AA349" i="3"/>
  <c r="AA377" i="3"/>
  <c r="AA400" i="3"/>
  <c r="AA425" i="3"/>
  <c r="AA451" i="3"/>
  <c r="AA477" i="3"/>
  <c r="AA505" i="3"/>
  <c r="AA529" i="3"/>
  <c r="AA554" i="3"/>
  <c r="AA580" i="3"/>
  <c r="AA605" i="3"/>
  <c r="AA633" i="3"/>
  <c r="AA657" i="3"/>
  <c r="AA682" i="3"/>
  <c r="AA710" i="3"/>
  <c r="AA734" i="3"/>
  <c r="AA761" i="3"/>
  <c r="AA783" i="3"/>
  <c r="AA806" i="3"/>
  <c r="AA829" i="3"/>
  <c r="AA856" i="3"/>
  <c r="AA878" i="3"/>
  <c r="AA900" i="3"/>
  <c r="AA928" i="3"/>
  <c r="AA952" i="3"/>
  <c r="AA13" i="3"/>
  <c r="AA41" i="3"/>
  <c r="AA73" i="3"/>
  <c r="AA108" i="3"/>
  <c r="AA139" i="3"/>
  <c r="AA175" i="3"/>
  <c r="AA203" i="3"/>
  <c r="AA238" i="3"/>
  <c r="AA268" i="3"/>
  <c r="AA294" i="3"/>
  <c r="AA326" i="3"/>
  <c r="AA14" i="3"/>
  <c r="AA42" i="3"/>
  <c r="AA78" i="3"/>
  <c r="AA109" i="3"/>
  <c r="AA47" i="3"/>
  <c r="AA176" i="3"/>
  <c r="AA270" i="3"/>
  <c r="AA352" i="3"/>
  <c r="AA426" i="3"/>
  <c r="AA489" i="3"/>
  <c r="AA560" i="3"/>
  <c r="AA634" i="3"/>
  <c r="AA692" i="3"/>
  <c r="AA764" i="3"/>
  <c r="AA833" i="3"/>
  <c r="AA890" i="3"/>
  <c r="AA953" i="3"/>
  <c r="AA991" i="3"/>
  <c r="AA1030" i="3"/>
  <c r="AA1073" i="3"/>
  <c r="AA1107" i="3"/>
  <c r="AA1146" i="3"/>
  <c r="AA1181" i="3"/>
  <c r="AA50" i="3"/>
  <c r="AA177" i="3"/>
  <c r="AA271" i="3"/>
  <c r="AA353" i="3"/>
  <c r="AA495" i="3"/>
  <c r="AA561" i="3"/>
  <c r="AA636" i="3"/>
  <c r="AA701" i="3"/>
  <c r="AA765" i="3"/>
  <c r="AA834" i="3"/>
  <c r="AA896" i="3"/>
  <c r="AA954" i="3"/>
  <c r="AA1001" i="3"/>
  <c r="AA1035" i="3"/>
  <c r="AA1074" i="3"/>
  <c r="AA1110" i="3"/>
  <c r="AA1147" i="3"/>
  <c r="AA1185" i="3"/>
  <c r="AA601" i="3"/>
  <c r="AA1129" i="3"/>
  <c r="AA239" i="3"/>
  <c r="AA606" i="3"/>
  <c r="AA863" i="3"/>
  <c r="AA1202" i="3"/>
  <c r="AA402" i="3"/>
  <c r="AA932" i="3"/>
  <c r="AA16" i="3"/>
  <c r="AA478" i="3"/>
  <c r="AA745" i="3"/>
  <c r="AA1099" i="3"/>
  <c r="AA479" i="3"/>
  <c r="AA1025" i="3"/>
  <c r="AA34" i="3"/>
  <c r="AA409" i="3"/>
  <c r="AA689" i="3"/>
  <c r="AA938" i="3"/>
  <c r="AA1102" i="3"/>
  <c r="AA559" i="3"/>
  <c r="AA1072" i="3"/>
  <c r="AA427" i="3"/>
  <c r="AA224" i="3"/>
  <c r="AA930" i="3"/>
  <c r="AA129" i="3"/>
  <c r="AA461" i="3"/>
  <c r="AA808" i="3"/>
  <c r="AA1130" i="3"/>
  <c r="AA15" i="3"/>
  <c r="AA534" i="3"/>
  <c r="AA1023" i="3"/>
  <c r="AA332" i="3"/>
  <c r="AA879" i="3"/>
  <c r="AA147" i="3"/>
  <c r="AA404" i="3"/>
  <c r="AA811" i="3"/>
  <c r="AA1171" i="3"/>
  <c r="AA555" i="3"/>
  <c r="AA1065" i="3"/>
  <c r="AA43" i="3"/>
  <c r="AA419" i="3"/>
  <c r="AA763" i="3"/>
  <c r="AA987" i="3"/>
  <c r="AA1145" i="3"/>
  <c r="AA65" i="3"/>
  <c r="AA178" i="3"/>
  <c r="AA274" i="3"/>
  <c r="AA360" i="3"/>
  <c r="AA431" i="3"/>
  <c r="AA507" i="3"/>
  <c r="AA563" i="3"/>
  <c r="AA637" i="3"/>
  <c r="AA712" i="3"/>
  <c r="AA767" i="3"/>
  <c r="AA835" i="3"/>
  <c r="AA907" i="3"/>
  <c r="AA955" i="3"/>
  <c r="AA1002" i="3"/>
  <c r="AA1036" i="3"/>
  <c r="AA1075" i="3"/>
  <c r="AA1113" i="3"/>
  <c r="AA1149" i="3"/>
  <c r="AA1186" i="3"/>
  <c r="AA861" i="3"/>
  <c r="AA401" i="3"/>
  <c r="AA737" i="3"/>
  <c r="AA1019" i="3"/>
  <c r="AA472" i="3"/>
  <c r="AA1057" i="3"/>
  <c r="AA146" i="3"/>
  <c r="AA537" i="3"/>
  <c r="AA936" i="3"/>
  <c r="AA1170" i="3"/>
  <c r="AA18" i="3"/>
  <c r="AA614" i="3"/>
  <c r="AA1062" i="3"/>
  <c r="AA258" i="3"/>
  <c r="AA617" i="3"/>
  <c r="AA882" i="3"/>
  <c r="AA1139" i="3"/>
  <c r="AA486" i="3"/>
  <c r="AA945" i="3"/>
  <c r="AA79" i="3"/>
  <c r="AA180" i="3"/>
  <c r="AA288" i="3"/>
  <c r="AA367" i="3"/>
  <c r="AA433" i="3"/>
  <c r="AA508" i="3"/>
  <c r="AA573" i="3"/>
  <c r="AA638" i="3"/>
  <c r="AA713" i="3"/>
  <c r="AA779" i="3"/>
  <c r="AA838" i="3"/>
  <c r="AA908" i="3"/>
  <c r="AA956" i="3"/>
  <c r="AA1003" i="3"/>
  <c r="AA1038" i="3"/>
  <c r="AA1076" i="3"/>
  <c r="AA1117" i="3"/>
  <c r="AA1150" i="3"/>
  <c r="AA1187" i="3"/>
  <c r="AA1011" i="3"/>
  <c r="AA329" i="3"/>
  <c r="AA141" i="3"/>
  <c r="AA675" i="3"/>
  <c r="AA1098" i="3"/>
  <c r="AA403" i="3"/>
  <c r="AA687" i="3"/>
  <c r="AA1058" i="3"/>
  <c r="AA752" i="3"/>
  <c r="AA350" i="3"/>
  <c r="AA817" i="3"/>
  <c r="AA1172" i="3"/>
  <c r="AA160" i="3"/>
  <c r="AA690" i="3"/>
  <c r="AA1027" i="3"/>
  <c r="AA83" i="3"/>
  <c r="AA196" i="3"/>
  <c r="AA297" i="3"/>
  <c r="AA378" i="3"/>
  <c r="AA435" i="3"/>
  <c r="AA509" i="3"/>
  <c r="AA582" i="3"/>
  <c r="AA641" i="3"/>
  <c r="AA714" i="3"/>
  <c r="AA784" i="3"/>
  <c r="AA841" i="3"/>
  <c r="AA909" i="3"/>
  <c r="AA961" i="3"/>
  <c r="AA1004" i="3"/>
  <c r="AA1041" i="3"/>
  <c r="AA1080" i="3"/>
  <c r="AA1118" i="3"/>
  <c r="AA1151" i="3"/>
  <c r="AA1188" i="3"/>
  <c r="AA396" i="3"/>
  <c r="AA1096" i="3"/>
  <c r="AA1097" i="3"/>
  <c r="AA809" i="3"/>
  <c r="AA982" i="3"/>
  <c r="AA1100" i="3"/>
  <c r="AA86" i="3"/>
  <c r="AA204" i="3"/>
  <c r="AA304" i="3"/>
  <c r="AA379" i="3"/>
  <c r="AA444" i="3"/>
  <c r="AA510" i="3"/>
  <c r="AA584" i="3"/>
  <c r="AA652" i="3"/>
  <c r="AA715" i="3"/>
  <c r="AA785" i="3"/>
  <c r="AA847" i="3"/>
  <c r="AA910" i="3"/>
  <c r="AA962" i="3"/>
  <c r="AA1005" i="3"/>
  <c r="AA1046" i="3"/>
  <c r="AA1081" i="3"/>
  <c r="AA1119" i="3"/>
  <c r="AA1153" i="3"/>
  <c r="AA1190" i="3"/>
  <c r="AA736" i="3"/>
  <c r="AA979" i="3"/>
  <c r="AA94" i="3"/>
  <c r="AA206" i="3"/>
  <c r="AA305" i="3"/>
  <c r="AA380" i="3"/>
  <c r="AA452" i="3"/>
  <c r="AA512" i="3"/>
  <c r="AA585" i="3"/>
  <c r="AA658" i="3"/>
  <c r="AA717" i="3"/>
  <c r="AA786" i="3"/>
  <c r="AA857" i="3"/>
  <c r="AA912" i="3"/>
  <c r="AA963" i="3"/>
  <c r="AA1007" i="3"/>
  <c r="AA1048" i="3"/>
  <c r="AA1082" i="3"/>
  <c r="AA1120" i="3"/>
  <c r="AA1155" i="3"/>
  <c r="AA1193" i="3"/>
  <c r="AA113" i="3"/>
  <c r="AA531" i="3"/>
  <c r="AA975" i="3"/>
  <c r="AA1200" i="3"/>
  <c r="AA532" i="3"/>
  <c r="AA1056" i="3"/>
  <c r="AA240" i="3"/>
  <c r="AA742" i="3"/>
  <c r="AA1132" i="3"/>
  <c r="AA608" i="3"/>
  <c r="AA1134" i="3"/>
  <c r="AA344" i="3"/>
  <c r="AA547" i="3"/>
  <c r="AA881" i="3"/>
  <c r="AA1138" i="3"/>
  <c r="AA150" i="3"/>
  <c r="AA762" i="3"/>
  <c r="AA351" i="3"/>
  <c r="AA624" i="3"/>
  <c r="AA883" i="3"/>
  <c r="AA1103" i="3"/>
  <c r="AA110" i="3"/>
  <c r="AA216" i="3"/>
  <c r="AA307" i="3"/>
  <c r="AA381" i="3"/>
  <c r="AA456" i="3"/>
  <c r="AA524" i="3"/>
  <c r="AA586" i="3"/>
  <c r="AA659" i="3"/>
  <c r="AA729" i="3"/>
  <c r="AA787" i="3"/>
  <c r="AA858" i="3"/>
  <c r="AA920" i="3"/>
  <c r="AA969" i="3"/>
  <c r="AA1008" i="3"/>
  <c r="AA1049" i="3"/>
  <c r="AA1085" i="3"/>
  <c r="AA1121" i="3"/>
  <c r="AA1164" i="3"/>
  <c r="AA1194" i="3"/>
  <c r="AA664" i="3"/>
  <c r="AA931" i="3"/>
  <c r="AA111" i="3"/>
  <c r="AA218" i="3"/>
  <c r="AA315" i="3"/>
  <c r="AA383" i="3"/>
  <c r="AA457" i="3"/>
  <c r="AA530" i="3"/>
  <c r="AA589" i="3"/>
  <c r="AA662" i="3"/>
  <c r="AA735" i="3"/>
  <c r="AA792" i="3"/>
  <c r="AA860" i="3"/>
  <c r="AA929" i="3"/>
  <c r="AA974" i="3"/>
  <c r="AA1009" i="3"/>
  <c r="AA1053" i="3"/>
  <c r="AA1090" i="3"/>
  <c r="AA1128" i="3"/>
  <c r="AA1165" i="3"/>
  <c r="AA1195" i="3"/>
  <c r="AA328" i="3"/>
  <c r="AA458" i="3"/>
  <c r="AA801" i="3"/>
  <c r="AA1054" i="3"/>
  <c r="AA1166" i="3"/>
  <c r="AA669" i="3"/>
  <c r="AA1167" i="3"/>
  <c r="AA330" i="3"/>
  <c r="AA607" i="3"/>
  <c r="AA980" i="3"/>
  <c r="AA1168" i="3"/>
  <c r="AA241" i="3"/>
  <c r="AA1024" i="3"/>
  <c r="AA243" i="3"/>
  <c r="AA688" i="3"/>
  <c r="AA937" i="3"/>
  <c r="AA481" i="3"/>
  <c r="AA986" i="3"/>
  <c r="AA269" i="3"/>
  <c r="AA825" i="3"/>
  <c r="AA874" i="3"/>
  <c r="AA810" i="3"/>
  <c r="AA985" i="3"/>
  <c r="AA1026" i="3"/>
  <c r="AA1176" i="3"/>
  <c r="M25" i="3"/>
  <c r="M41" i="3"/>
  <c r="M57" i="3"/>
  <c r="M73" i="3"/>
  <c r="M89" i="3"/>
  <c r="M105" i="3"/>
  <c r="M121" i="3"/>
  <c r="M137" i="3"/>
  <c r="M153" i="3"/>
  <c r="M169" i="3"/>
  <c r="M185" i="3"/>
  <c r="M201" i="3"/>
  <c r="M217" i="3"/>
  <c r="M233" i="3"/>
  <c r="M249" i="3"/>
  <c r="M265" i="3"/>
  <c r="M281" i="3"/>
  <c r="M297" i="3"/>
  <c r="M313" i="3"/>
  <c r="M329" i="3"/>
  <c r="M345" i="3"/>
  <c r="M361" i="3"/>
  <c r="M377" i="3"/>
  <c r="M393" i="3"/>
  <c r="M409" i="3"/>
  <c r="M425" i="3"/>
  <c r="M441" i="3"/>
  <c r="M457" i="3"/>
  <c r="M473" i="3"/>
  <c r="M26" i="3"/>
  <c r="M43" i="3"/>
  <c r="M60" i="3"/>
  <c r="M77" i="3"/>
  <c r="M94" i="3"/>
  <c r="M111" i="3"/>
  <c r="M128" i="3"/>
  <c r="M145" i="3"/>
  <c r="M162" i="3"/>
  <c r="M27" i="3"/>
  <c r="M44" i="3"/>
  <c r="M61" i="3"/>
  <c r="M78" i="3"/>
  <c r="M95" i="3"/>
  <c r="M112" i="3"/>
  <c r="M129" i="3"/>
  <c r="M146" i="3"/>
  <c r="M163" i="3"/>
  <c r="M180" i="3"/>
  <c r="M197" i="3"/>
  <c r="M214" i="3"/>
  <c r="M231" i="3"/>
  <c r="M248" i="3"/>
  <c r="M266" i="3"/>
  <c r="M283" i="3"/>
  <c r="M300" i="3"/>
  <c r="M317" i="3"/>
  <c r="M334" i="3"/>
  <c r="M351" i="3"/>
  <c r="M368" i="3"/>
  <c r="M385" i="3"/>
  <c r="M402" i="3"/>
  <c r="M419" i="3"/>
  <c r="M436" i="3"/>
  <c r="M453" i="3"/>
  <c r="M470" i="3"/>
  <c r="M28" i="3"/>
  <c r="M45" i="3"/>
  <c r="M62" i="3"/>
  <c r="M79" i="3"/>
  <c r="M96" i="3"/>
  <c r="M113" i="3"/>
  <c r="M130" i="3"/>
  <c r="M164" i="3"/>
  <c r="M29" i="3"/>
  <c r="M49" i="3"/>
  <c r="M69" i="3"/>
  <c r="M90" i="3"/>
  <c r="M110" i="3"/>
  <c r="M133" i="3"/>
  <c r="M152" i="3"/>
  <c r="M173" i="3"/>
  <c r="M191" i="3"/>
  <c r="M209" i="3"/>
  <c r="M227" i="3"/>
  <c r="M245" i="3"/>
  <c r="M263" i="3"/>
  <c r="M282" i="3"/>
  <c r="M301" i="3"/>
  <c r="M319" i="3"/>
  <c r="M337" i="3"/>
  <c r="M355" i="3"/>
  <c r="M373" i="3"/>
  <c r="M391" i="3"/>
  <c r="M410" i="3"/>
  <c r="M428" i="3"/>
  <c r="M446" i="3"/>
  <c r="M464" i="3"/>
  <c r="M482" i="3"/>
  <c r="M22" i="3"/>
  <c r="M47" i="3"/>
  <c r="M68" i="3"/>
  <c r="M91" i="3"/>
  <c r="M115" i="3"/>
  <c r="M136" i="3"/>
  <c r="M157" i="3"/>
  <c r="M178" i="3"/>
  <c r="M198" i="3"/>
  <c r="M218" i="3"/>
  <c r="M237" i="3"/>
  <c r="M256" i="3"/>
  <c r="M275" i="3"/>
  <c r="M294" i="3"/>
  <c r="M314" i="3"/>
  <c r="M333" i="3"/>
  <c r="M353" i="3"/>
  <c r="M372" i="3"/>
  <c r="M392" i="3"/>
  <c r="M412" i="3"/>
  <c r="M431" i="3"/>
  <c r="M450" i="3"/>
  <c r="M469" i="3"/>
  <c r="M48" i="3"/>
  <c r="M70" i="3"/>
  <c r="M92" i="3"/>
  <c r="M116" i="3"/>
  <c r="M138" i="3"/>
  <c r="M158" i="3"/>
  <c r="M179" i="3"/>
  <c r="M199" i="3"/>
  <c r="M219" i="3"/>
  <c r="M238" i="3"/>
  <c r="M257" i="3"/>
  <c r="M276" i="3"/>
  <c r="M295" i="3"/>
  <c r="M315" i="3"/>
  <c r="M335" i="3"/>
  <c r="M354" i="3"/>
  <c r="M374" i="3"/>
  <c r="M394" i="3"/>
  <c r="M413" i="3"/>
  <c r="M432" i="3"/>
  <c r="M471" i="3"/>
  <c r="M139" i="3"/>
  <c r="M200" i="3"/>
  <c r="M239" i="3"/>
  <c r="M258" i="3"/>
  <c r="M277" i="3"/>
  <c r="M316" i="3"/>
  <c r="M336" i="3"/>
  <c r="M356" i="3"/>
  <c r="M375" i="3"/>
  <c r="M414" i="3"/>
  <c r="M433" i="3"/>
  <c r="M452" i="3"/>
  <c r="M472" i="3"/>
  <c r="M396" i="3"/>
  <c r="M358" i="3"/>
  <c r="M475" i="3"/>
  <c r="M261" i="3"/>
  <c r="M321" i="3"/>
  <c r="M379" i="3"/>
  <c r="M456" i="3"/>
  <c r="M58" i="3"/>
  <c r="M170" i="3"/>
  <c r="M228" i="3"/>
  <c r="M287" i="3"/>
  <c r="M325" i="3"/>
  <c r="M403" i="3"/>
  <c r="M461" i="3"/>
  <c r="M16" i="3"/>
  <c r="M171" i="3"/>
  <c r="M288" i="3"/>
  <c r="M423" i="3"/>
  <c r="M106" i="3"/>
  <c r="M251" i="3"/>
  <c r="M405" i="3"/>
  <c r="M151" i="3"/>
  <c r="M252" i="3"/>
  <c r="M387" i="3"/>
  <c r="M15" i="3"/>
  <c r="M154" i="3"/>
  <c r="M310" i="3"/>
  <c r="M42" i="3"/>
  <c r="M109" i="3"/>
  <c r="M215" i="3"/>
  <c r="M331" i="3"/>
  <c r="M408" i="3"/>
  <c r="M135" i="3"/>
  <c r="M293" i="3"/>
  <c r="M468" i="3"/>
  <c r="M23" i="3"/>
  <c r="M451" i="3"/>
  <c r="M376" i="3"/>
  <c r="M397" i="3"/>
  <c r="M455" i="3"/>
  <c r="M204" i="3"/>
  <c r="M476" i="3"/>
  <c r="M36" i="3"/>
  <c r="M189" i="3"/>
  <c r="M268" i="3"/>
  <c r="M344" i="3"/>
  <c r="M422" i="3"/>
  <c r="M480" i="3"/>
  <c r="M83" i="3"/>
  <c r="M250" i="3"/>
  <c r="M404" i="3"/>
  <c r="M127" i="3"/>
  <c r="M270" i="3"/>
  <c r="M424" i="3"/>
  <c r="M107" i="3"/>
  <c r="M232" i="3"/>
  <c r="M406" i="3"/>
  <c r="M86" i="3"/>
  <c r="M213" i="3"/>
  <c r="M330" i="3"/>
  <c r="M447" i="3"/>
  <c r="M155" i="3"/>
  <c r="M350" i="3"/>
  <c r="M46" i="3"/>
  <c r="M114" i="3"/>
  <c r="M216" i="3"/>
  <c r="M312" i="3"/>
  <c r="M430" i="3"/>
  <c r="M24" i="3"/>
  <c r="M50" i="3"/>
  <c r="M71" i="3"/>
  <c r="M93" i="3"/>
  <c r="M117" i="3"/>
  <c r="M159" i="3"/>
  <c r="M181" i="3"/>
  <c r="M220" i="3"/>
  <c r="M296" i="3"/>
  <c r="M395" i="3"/>
  <c r="M378" i="3"/>
  <c r="M242" i="3"/>
  <c r="M340" i="3"/>
  <c r="M437" i="3"/>
  <c r="M148" i="3"/>
  <c r="M383" i="3"/>
  <c r="M59" i="3"/>
  <c r="M190" i="3"/>
  <c r="M269" i="3"/>
  <c r="M346" i="3"/>
  <c r="M443" i="3"/>
  <c r="M84" i="3"/>
  <c r="M230" i="3"/>
  <c r="M386" i="3"/>
  <c r="M64" i="3"/>
  <c r="M193" i="3"/>
  <c r="M290" i="3"/>
  <c r="M426" i="3"/>
  <c r="M40" i="3"/>
  <c r="M234" i="3"/>
  <c r="M369" i="3"/>
  <c r="M87" i="3"/>
  <c r="M235" i="3"/>
  <c r="M370" i="3"/>
  <c r="M467" i="3"/>
  <c r="M88" i="3"/>
  <c r="M236" i="3"/>
  <c r="M390" i="3"/>
  <c r="M30" i="3"/>
  <c r="M51" i="3"/>
  <c r="M72" i="3"/>
  <c r="M97" i="3"/>
  <c r="M118" i="3"/>
  <c r="M140" i="3"/>
  <c r="M160" i="3"/>
  <c r="M182" i="3"/>
  <c r="M202" i="3"/>
  <c r="M221" i="3"/>
  <c r="M240" i="3"/>
  <c r="M259" i="3"/>
  <c r="M278" i="3"/>
  <c r="M298" i="3"/>
  <c r="M318" i="3"/>
  <c r="M338" i="3"/>
  <c r="M357" i="3"/>
  <c r="M415" i="3"/>
  <c r="M434" i="3"/>
  <c r="M454" i="3"/>
  <c r="M474" i="3"/>
  <c r="M223" i="3"/>
  <c r="M398" i="3"/>
  <c r="M82" i="3"/>
  <c r="M149" i="3"/>
  <c r="M365" i="3"/>
  <c r="M17" i="3"/>
  <c r="M172" i="3"/>
  <c r="M308" i="3"/>
  <c r="M444" i="3"/>
  <c r="M131" i="3"/>
  <c r="M212" i="3"/>
  <c r="M367" i="3"/>
  <c r="M465" i="3"/>
  <c r="M19" i="3"/>
  <c r="M253" i="3"/>
  <c r="M466" i="3"/>
  <c r="M66" i="3"/>
  <c r="M254" i="3"/>
  <c r="M389" i="3"/>
  <c r="M21" i="3"/>
  <c r="M156" i="3"/>
  <c r="M255" i="3"/>
  <c r="M411" i="3"/>
  <c r="M31" i="3"/>
  <c r="M52" i="3"/>
  <c r="M74" i="3"/>
  <c r="M98" i="3"/>
  <c r="M119" i="3"/>
  <c r="M141" i="3"/>
  <c r="M161" i="3"/>
  <c r="M183" i="3"/>
  <c r="M203" i="3"/>
  <c r="M222" i="3"/>
  <c r="M241" i="3"/>
  <c r="M260" i="3"/>
  <c r="M279" i="3"/>
  <c r="M299" i="3"/>
  <c r="M320" i="3"/>
  <c r="M339" i="3"/>
  <c r="M416" i="3"/>
  <c r="M435" i="3"/>
  <c r="M417" i="3"/>
  <c r="M208" i="3"/>
  <c r="M307" i="3"/>
  <c r="M85" i="3"/>
  <c r="M175" i="3"/>
  <c r="M273" i="3"/>
  <c r="M352" i="3"/>
  <c r="M32" i="3"/>
  <c r="M53" i="3"/>
  <c r="M75" i="3"/>
  <c r="M99" i="3"/>
  <c r="M120" i="3"/>
  <c r="M142" i="3"/>
  <c r="M165" i="3"/>
  <c r="M184" i="3"/>
  <c r="M280" i="3"/>
  <c r="M302" i="3"/>
  <c r="M359" i="3"/>
  <c r="M126" i="3"/>
  <c r="M309" i="3"/>
  <c r="M388" i="3"/>
  <c r="M33" i="3"/>
  <c r="M54" i="3"/>
  <c r="M76" i="3"/>
  <c r="M100" i="3"/>
  <c r="M122" i="3"/>
  <c r="M143" i="3"/>
  <c r="M166" i="3"/>
  <c r="M186" i="3"/>
  <c r="M205" i="3"/>
  <c r="M224" i="3"/>
  <c r="M243" i="3"/>
  <c r="M262" i="3"/>
  <c r="M284" i="3"/>
  <c r="M303" i="3"/>
  <c r="M322" i="3"/>
  <c r="M341" i="3"/>
  <c r="M360" i="3"/>
  <c r="M380" i="3"/>
  <c r="M399" i="3"/>
  <c r="M418" i="3"/>
  <c r="M438" i="3"/>
  <c r="M458" i="3"/>
  <c r="M477" i="3"/>
  <c r="M103" i="3"/>
  <c r="M306" i="3"/>
  <c r="M210" i="3"/>
  <c r="M384" i="3"/>
  <c r="M63" i="3"/>
  <c r="M192" i="3"/>
  <c r="M327" i="3"/>
  <c r="M463" i="3"/>
  <c r="M174" i="3"/>
  <c r="M348" i="3"/>
  <c r="M108" i="3"/>
  <c r="M272" i="3"/>
  <c r="M349" i="3"/>
  <c r="M134" i="3"/>
  <c r="M292" i="3"/>
  <c r="M448" i="3"/>
  <c r="M67" i="3"/>
  <c r="M196" i="3"/>
  <c r="M332" i="3"/>
  <c r="M449" i="3"/>
  <c r="M34" i="3"/>
  <c r="M55" i="3"/>
  <c r="M80" i="3"/>
  <c r="M101" i="3"/>
  <c r="M123" i="3"/>
  <c r="M144" i="3"/>
  <c r="M167" i="3"/>
  <c r="M187" i="3"/>
  <c r="M206" i="3"/>
  <c r="M225" i="3"/>
  <c r="M244" i="3"/>
  <c r="M264" i="3"/>
  <c r="M285" i="3"/>
  <c r="M304" i="3"/>
  <c r="M323" i="3"/>
  <c r="M342" i="3"/>
  <c r="M362" i="3"/>
  <c r="M381" i="3"/>
  <c r="M400" i="3"/>
  <c r="M420" i="3"/>
  <c r="M439" i="3"/>
  <c r="M459" i="3"/>
  <c r="M478" i="3"/>
  <c r="M125" i="3"/>
  <c r="M364" i="3"/>
  <c r="M104" i="3"/>
  <c r="M347" i="3"/>
  <c r="M328" i="3"/>
  <c r="M407" i="3"/>
  <c r="M35" i="3"/>
  <c r="M56" i="3"/>
  <c r="M81" i="3"/>
  <c r="M102" i="3"/>
  <c r="M124" i="3"/>
  <c r="M147" i="3"/>
  <c r="M168" i="3"/>
  <c r="M188" i="3"/>
  <c r="M207" i="3"/>
  <c r="M226" i="3"/>
  <c r="M246" i="3"/>
  <c r="M267" i="3"/>
  <c r="M286" i="3"/>
  <c r="M305" i="3"/>
  <c r="M324" i="3"/>
  <c r="M343" i="3"/>
  <c r="M363" i="3"/>
  <c r="M382" i="3"/>
  <c r="M401" i="3"/>
  <c r="M421" i="3"/>
  <c r="M440" i="3"/>
  <c r="M460" i="3"/>
  <c r="M479" i="3"/>
  <c r="M247" i="3"/>
  <c r="M442" i="3"/>
  <c r="M37" i="3"/>
  <c r="M229" i="3"/>
  <c r="M326" i="3"/>
  <c r="M462" i="3"/>
  <c r="M38" i="3"/>
  <c r="M150" i="3"/>
  <c r="M211" i="3"/>
  <c r="M289" i="3"/>
  <c r="M366" i="3"/>
  <c r="M18" i="3"/>
  <c r="M271" i="3"/>
  <c r="M445" i="3"/>
  <c r="M65" i="3"/>
  <c r="M194" i="3"/>
  <c r="M291" i="3"/>
  <c r="M427" i="3"/>
  <c r="M20" i="3"/>
  <c r="M176" i="3"/>
  <c r="M311" i="3"/>
  <c r="M429" i="3"/>
  <c r="M177" i="3"/>
  <c r="M371" i="3"/>
  <c r="M481" i="3"/>
  <c r="M483" i="3"/>
  <c r="C12" i="6" s="1"/>
  <c r="M39" i="3"/>
  <c r="M132" i="3"/>
  <c r="M195" i="3"/>
  <c r="M274" i="3"/>
  <c r="AC1205" i="2"/>
  <c r="D20" i="6" s="1"/>
  <c r="F20" i="6" s="1"/>
  <c r="W1205" i="2"/>
  <c r="D5" i="6" s="1"/>
  <c r="AC1204" i="2"/>
  <c r="W1204" i="2"/>
  <c r="AC1203" i="2"/>
  <c r="W1203" i="2"/>
  <c r="AC1202" i="2"/>
  <c r="W1202" i="2"/>
  <c r="AC1201" i="2"/>
  <c r="W1201" i="2"/>
  <c r="AC1200" i="2"/>
  <c r="W1200" i="2"/>
  <c r="AC1199" i="2"/>
  <c r="W1199" i="2"/>
  <c r="AC1198" i="2"/>
  <c r="W1198" i="2"/>
  <c r="AC1197" i="2"/>
  <c r="W1197" i="2"/>
  <c r="AC1196" i="2"/>
  <c r="W1196" i="2"/>
  <c r="AC1195" i="2"/>
  <c r="W1195" i="2"/>
  <c r="AC1194" i="2"/>
  <c r="W1194" i="2"/>
  <c r="AC1193" i="2"/>
  <c r="W1193" i="2"/>
  <c r="AC1192" i="2"/>
  <c r="W1192" i="2"/>
  <c r="AC1191" i="2"/>
  <c r="W1191" i="2"/>
  <c r="AC1190" i="2"/>
  <c r="W1190" i="2"/>
  <c r="AC1189" i="2"/>
  <c r="W1189" i="2"/>
  <c r="AC1188" i="2"/>
  <c r="W1188" i="2"/>
  <c r="AC1187" i="2"/>
  <c r="W1187" i="2"/>
  <c r="AC1186" i="2"/>
  <c r="W1186" i="2"/>
  <c r="AC1185" i="2"/>
  <c r="W1185" i="2"/>
  <c r="AC1184" i="2"/>
  <c r="W1184" i="2"/>
  <c r="AC1183" i="2"/>
  <c r="W1183" i="2"/>
  <c r="AC1182" i="2"/>
  <c r="W1182" i="2"/>
  <c r="AC1181" i="2"/>
  <c r="W1181" i="2"/>
  <c r="AC1180" i="2"/>
  <c r="W1180" i="2"/>
  <c r="AC1179" i="2"/>
  <c r="W1179" i="2"/>
  <c r="AC1178" i="2"/>
  <c r="W1178" i="2"/>
  <c r="AC1177" i="2"/>
  <c r="W1177" i="2"/>
  <c r="AC1176" i="2"/>
  <c r="W1176" i="2"/>
  <c r="AC1175" i="2"/>
  <c r="W1175" i="2"/>
  <c r="AC1174" i="2"/>
  <c r="W1174" i="2"/>
  <c r="AC1173" i="2"/>
  <c r="W1173" i="2"/>
  <c r="AC1172" i="2"/>
  <c r="W1172" i="2"/>
  <c r="AC1171" i="2"/>
  <c r="W1171" i="2"/>
  <c r="AC1170" i="2"/>
  <c r="W1170" i="2"/>
  <c r="AC1169" i="2"/>
  <c r="W1169" i="2"/>
  <c r="AC1168" i="2"/>
  <c r="W1168" i="2"/>
  <c r="AC1167" i="2"/>
  <c r="W1167" i="2"/>
  <c r="AC1166" i="2"/>
  <c r="W1166" i="2"/>
  <c r="AC1165" i="2"/>
  <c r="W1165" i="2"/>
  <c r="AC1164" i="2"/>
  <c r="W1164" i="2"/>
  <c r="AC1163" i="2"/>
  <c r="W1163" i="2"/>
  <c r="AC1162" i="2"/>
  <c r="W1162" i="2"/>
  <c r="AC1161" i="2"/>
  <c r="W1161" i="2"/>
  <c r="AC1160" i="2"/>
  <c r="W1160" i="2"/>
  <c r="AC1159" i="2"/>
  <c r="W1159" i="2"/>
  <c r="AC1158" i="2"/>
  <c r="W1158" i="2"/>
  <c r="AC1157" i="2"/>
  <c r="W1157" i="2"/>
  <c r="AC1156" i="2"/>
  <c r="W1156" i="2"/>
  <c r="AC1155" i="2"/>
  <c r="W1155" i="2"/>
  <c r="AC1154" i="2"/>
  <c r="W1154" i="2"/>
  <c r="AC1153" i="2"/>
  <c r="W1153" i="2"/>
  <c r="AC1152" i="2"/>
  <c r="W1152" i="2"/>
  <c r="AC1151" i="2"/>
  <c r="W1151" i="2"/>
  <c r="AC1150" i="2"/>
  <c r="W1150" i="2"/>
  <c r="AC1149" i="2"/>
  <c r="W1149" i="2"/>
  <c r="AC1148" i="2"/>
  <c r="W1148" i="2"/>
  <c r="AC1147" i="2"/>
  <c r="W1147" i="2"/>
  <c r="AC1146" i="2"/>
  <c r="W1146" i="2"/>
  <c r="AC1145" i="2"/>
  <c r="W1145" i="2"/>
  <c r="AC1144" i="2"/>
  <c r="W1144" i="2"/>
  <c r="AC1143" i="2"/>
  <c r="W1143" i="2"/>
  <c r="AC1142" i="2"/>
  <c r="W1142" i="2"/>
  <c r="AC1141" i="2"/>
  <c r="W1141" i="2"/>
  <c r="AC1140" i="2"/>
  <c r="W1140" i="2"/>
  <c r="AC1139" i="2"/>
  <c r="W1139" i="2"/>
  <c r="AC1138" i="2"/>
  <c r="W1138" i="2"/>
  <c r="AC1137" i="2"/>
  <c r="W1137" i="2"/>
  <c r="AC1136" i="2"/>
  <c r="W1136" i="2"/>
  <c r="AC1135" i="2"/>
  <c r="W1135" i="2"/>
  <c r="AC1134" i="2"/>
  <c r="W1134" i="2"/>
  <c r="AC1133" i="2"/>
  <c r="W1133" i="2"/>
  <c r="AC1132" i="2"/>
  <c r="W1132" i="2"/>
  <c r="AC1131" i="2"/>
  <c r="W1131" i="2"/>
  <c r="AC1130" i="2"/>
  <c r="W1130" i="2"/>
  <c r="AC1129" i="2"/>
  <c r="W1129" i="2"/>
  <c r="AC1128" i="2"/>
  <c r="W1128" i="2"/>
  <c r="AC1127" i="2"/>
  <c r="W1127" i="2"/>
  <c r="AC1126" i="2"/>
  <c r="W1126" i="2"/>
  <c r="AC1125" i="2"/>
  <c r="W1125" i="2"/>
  <c r="AC1124" i="2"/>
  <c r="W1124" i="2"/>
  <c r="AC1123" i="2"/>
  <c r="W1123" i="2"/>
  <c r="AC1122" i="2"/>
  <c r="W1122" i="2"/>
  <c r="AC1121" i="2"/>
  <c r="W1121" i="2"/>
  <c r="AC1120" i="2"/>
  <c r="W1120" i="2"/>
  <c r="AC1119" i="2"/>
  <c r="W1119" i="2"/>
  <c r="AC1118" i="2"/>
  <c r="W1118" i="2"/>
  <c r="AC1117" i="2"/>
  <c r="W1117" i="2"/>
  <c r="AC1116" i="2"/>
  <c r="W1116" i="2"/>
  <c r="AC1115" i="2"/>
  <c r="W1115" i="2"/>
  <c r="AC1114" i="2"/>
  <c r="W1114" i="2"/>
  <c r="AC1113" i="2"/>
  <c r="W1113" i="2"/>
  <c r="AC1112" i="2"/>
  <c r="W1112" i="2"/>
  <c r="AC1111" i="2"/>
  <c r="W1111" i="2"/>
  <c r="AC1110" i="2"/>
  <c r="W1110" i="2"/>
  <c r="AC1109" i="2"/>
  <c r="W1109" i="2"/>
  <c r="AC1108" i="2"/>
  <c r="W1108" i="2"/>
  <c r="AC1107" i="2"/>
  <c r="W1107" i="2"/>
  <c r="AC1106" i="2"/>
  <c r="W1106" i="2"/>
  <c r="AC1105" i="2"/>
  <c r="W1105" i="2"/>
  <c r="AC1104" i="2"/>
  <c r="W1104" i="2"/>
  <c r="AC1103" i="2"/>
  <c r="W1103" i="2"/>
  <c r="AC1102" i="2"/>
  <c r="W1102" i="2"/>
  <c r="AC1101" i="2"/>
  <c r="W1101" i="2"/>
  <c r="AC1100" i="2"/>
  <c r="W1100" i="2"/>
  <c r="AC1099" i="2"/>
  <c r="W1099" i="2"/>
  <c r="AC1098" i="2"/>
  <c r="W1098" i="2"/>
  <c r="AC1097" i="2"/>
  <c r="W1097" i="2"/>
  <c r="AC1096" i="2"/>
  <c r="W1096" i="2"/>
  <c r="AC1095" i="2"/>
  <c r="W1095" i="2"/>
  <c r="AC1094" i="2"/>
  <c r="W1094" i="2"/>
  <c r="AC1093" i="2"/>
  <c r="W1093" i="2"/>
  <c r="AC1092" i="2"/>
  <c r="W1092" i="2"/>
  <c r="AC1091" i="2"/>
  <c r="W1091" i="2"/>
  <c r="AC1090" i="2"/>
  <c r="W1090" i="2"/>
  <c r="AC1089" i="2"/>
  <c r="W1089" i="2"/>
  <c r="AC1088" i="2"/>
  <c r="W1088" i="2"/>
  <c r="AC1087" i="2"/>
  <c r="W1087" i="2"/>
  <c r="AC1086" i="2"/>
  <c r="W1086" i="2"/>
  <c r="AC1085" i="2"/>
  <c r="W1085" i="2"/>
  <c r="AC1084" i="2"/>
  <c r="W1084" i="2"/>
  <c r="AC1083" i="2"/>
  <c r="W1083" i="2"/>
  <c r="AC1082" i="2"/>
  <c r="W1082" i="2"/>
  <c r="AC1081" i="2"/>
  <c r="W1081" i="2"/>
  <c r="AC1080" i="2"/>
  <c r="W1080" i="2"/>
  <c r="AC1079" i="2"/>
  <c r="W1079" i="2"/>
  <c r="AC1078" i="2"/>
  <c r="W1078" i="2"/>
  <c r="AC1077" i="2"/>
  <c r="W1077" i="2"/>
  <c r="AC1076" i="2"/>
  <c r="W1076" i="2"/>
  <c r="AC1075" i="2"/>
  <c r="W1075" i="2"/>
  <c r="AC1074" i="2"/>
  <c r="W1074" i="2"/>
  <c r="AC1073" i="2"/>
  <c r="W1073" i="2"/>
  <c r="AC1072" i="2"/>
  <c r="W1072" i="2"/>
  <c r="AC1071" i="2"/>
  <c r="W1071" i="2"/>
  <c r="AC1070" i="2"/>
  <c r="W1070" i="2"/>
  <c r="AC1069" i="2"/>
  <c r="W1069" i="2"/>
  <c r="AC1068" i="2"/>
  <c r="W1068" i="2"/>
  <c r="AC1067" i="2"/>
  <c r="W1067" i="2"/>
  <c r="AC1066" i="2"/>
  <c r="W1066" i="2"/>
  <c r="AC1065" i="2"/>
  <c r="W1065" i="2"/>
  <c r="AC1064" i="2"/>
  <c r="W1064" i="2"/>
  <c r="AC1063" i="2"/>
  <c r="W1063" i="2"/>
  <c r="AC1062" i="2"/>
  <c r="W1062" i="2"/>
  <c r="AC1061" i="2"/>
  <c r="W1061" i="2"/>
  <c r="AC1060" i="2"/>
  <c r="W1060" i="2"/>
  <c r="AC1059" i="2"/>
  <c r="W1059" i="2"/>
  <c r="AC1058" i="2"/>
  <c r="W1058" i="2"/>
  <c r="AC1057" i="2"/>
  <c r="W1057" i="2"/>
  <c r="AC1056" i="2"/>
  <c r="W1056" i="2"/>
  <c r="AC1055" i="2"/>
  <c r="W1055" i="2"/>
  <c r="AC1054" i="2"/>
  <c r="W1054" i="2"/>
  <c r="AC1053" i="2"/>
  <c r="W1053" i="2"/>
  <c r="AC1052" i="2"/>
  <c r="W1052" i="2"/>
  <c r="AC1051" i="2"/>
  <c r="W1051" i="2"/>
  <c r="AC1050" i="2"/>
  <c r="W1050" i="2"/>
  <c r="AC1049" i="2"/>
  <c r="W1049" i="2"/>
  <c r="AC1048" i="2"/>
  <c r="W1048" i="2"/>
  <c r="AC1047" i="2"/>
  <c r="W1047" i="2"/>
  <c r="AC1046" i="2"/>
  <c r="W1046" i="2"/>
  <c r="AC1045" i="2"/>
  <c r="W1045" i="2"/>
  <c r="AC1044" i="2"/>
  <c r="W1044" i="2"/>
  <c r="AC1043" i="2"/>
  <c r="W1043" i="2"/>
  <c r="AC1042" i="2"/>
  <c r="W1042" i="2"/>
  <c r="AC1041" i="2"/>
  <c r="W1041" i="2"/>
  <c r="AC1040" i="2"/>
  <c r="W1040" i="2"/>
  <c r="AC1039" i="2"/>
  <c r="W1039" i="2"/>
  <c r="AC1038" i="2"/>
  <c r="W1038" i="2"/>
  <c r="AC1037" i="2"/>
  <c r="W1037" i="2"/>
  <c r="AC1036" i="2"/>
  <c r="W1036" i="2"/>
  <c r="AC1035" i="2"/>
  <c r="W1035" i="2"/>
  <c r="AC1034" i="2"/>
  <c r="W1034" i="2"/>
  <c r="AC1033" i="2"/>
  <c r="W1033" i="2"/>
  <c r="AC1032" i="2"/>
  <c r="W1032" i="2"/>
  <c r="AC1031" i="2"/>
  <c r="W1031" i="2"/>
  <c r="AC1030" i="2"/>
  <c r="W1030" i="2"/>
  <c r="AC1029" i="2"/>
  <c r="W1029" i="2"/>
  <c r="AC1028" i="2"/>
  <c r="W1028" i="2"/>
  <c r="AC1027" i="2"/>
  <c r="W1027" i="2"/>
  <c r="AC1026" i="2"/>
  <c r="W1026" i="2"/>
  <c r="AC1025" i="2"/>
  <c r="W1025" i="2"/>
  <c r="AC1024" i="2"/>
  <c r="W1024" i="2"/>
  <c r="AC1023" i="2"/>
  <c r="W1023" i="2"/>
  <c r="AC1022" i="2"/>
  <c r="W1022" i="2"/>
  <c r="AC1021" i="2"/>
  <c r="W1021" i="2"/>
  <c r="AC1020" i="2"/>
  <c r="W1020" i="2"/>
  <c r="AC1019" i="2"/>
  <c r="W1019" i="2"/>
  <c r="AC1018" i="2"/>
  <c r="W1018" i="2"/>
  <c r="AC1017" i="2"/>
  <c r="W1017" i="2"/>
  <c r="AC1016" i="2"/>
  <c r="W1016" i="2"/>
  <c r="AC1015" i="2"/>
  <c r="W1015" i="2"/>
  <c r="AC1014" i="2"/>
  <c r="W1014" i="2"/>
  <c r="AC1013" i="2"/>
  <c r="W1013" i="2"/>
  <c r="AC1012" i="2"/>
  <c r="W1012" i="2"/>
  <c r="AC1011" i="2"/>
  <c r="W1011" i="2"/>
  <c r="AC1010" i="2"/>
  <c r="W1010" i="2"/>
  <c r="AC1009" i="2"/>
  <c r="W1009" i="2"/>
  <c r="AC1008" i="2"/>
  <c r="W1008" i="2"/>
  <c r="AC1007" i="2"/>
  <c r="W1007" i="2"/>
  <c r="AC1006" i="2"/>
  <c r="W1006" i="2"/>
  <c r="AC1005" i="2"/>
  <c r="W1005" i="2"/>
  <c r="AC1004" i="2"/>
  <c r="W1004" i="2"/>
  <c r="AC1003" i="2"/>
  <c r="W1003" i="2"/>
  <c r="AC1002" i="2"/>
  <c r="W1002" i="2"/>
  <c r="AC1001" i="2"/>
  <c r="W1001" i="2"/>
  <c r="AC1000" i="2"/>
  <c r="W1000" i="2"/>
  <c r="AC999" i="2"/>
  <c r="W999" i="2"/>
  <c r="AC998" i="2"/>
  <c r="W998" i="2"/>
  <c r="AC997" i="2"/>
  <c r="W997" i="2"/>
  <c r="AC996" i="2"/>
  <c r="W996" i="2"/>
  <c r="AC995" i="2"/>
  <c r="W995" i="2"/>
  <c r="AC994" i="2"/>
  <c r="W994" i="2"/>
  <c r="AC993" i="2"/>
  <c r="W993" i="2"/>
  <c r="AC992" i="2"/>
  <c r="W992" i="2"/>
  <c r="AC991" i="2"/>
  <c r="W991" i="2"/>
  <c r="AC990" i="2"/>
  <c r="W990" i="2"/>
  <c r="AC989" i="2"/>
  <c r="W989" i="2"/>
  <c r="AC988" i="2"/>
  <c r="W988" i="2"/>
  <c r="AC987" i="2"/>
  <c r="W987" i="2"/>
  <c r="AC986" i="2"/>
  <c r="W986" i="2"/>
  <c r="AC985" i="2"/>
  <c r="W985" i="2"/>
  <c r="AC984" i="2"/>
  <c r="W984" i="2"/>
  <c r="AC983" i="2"/>
  <c r="W983" i="2"/>
  <c r="AC982" i="2"/>
  <c r="W982" i="2"/>
  <c r="AC981" i="2"/>
  <c r="W981" i="2"/>
  <c r="AC980" i="2"/>
  <c r="W980" i="2"/>
  <c r="AC979" i="2"/>
  <c r="W979" i="2"/>
  <c r="AC978" i="2"/>
  <c r="W978" i="2"/>
  <c r="AC977" i="2"/>
  <c r="W977" i="2"/>
  <c r="AC976" i="2"/>
  <c r="W976" i="2"/>
  <c r="AC975" i="2"/>
  <c r="W975" i="2"/>
  <c r="AC974" i="2"/>
  <c r="W974" i="2"/>
  <c r="AC973" i="2"/>
  <c r="W973" i="2"/>
  <c r="AC972" i="2"/>
  <c r="W972" i="2"/>
  <c r="AC971" i="2"/>
  <c r="W971" i="2"/>
  <c r="AC970" i="2"/>
  <c r="W970" i="2"/>
  <c r="AC969" i="2"/>
  <c r="W969" i="2"/>
  <c r="AC968" i="2"/>
  <c r="W968" i="2"/>
  <c r="AC967" i="2"/>
  <c r="W967" i="2"/>
  <c r="AC966" i="2"/>
  <c r="W966" i="2"/>
  <c r="AC965" i="2"/>
  <c r="W965" i="2"/>
  <c r="AC964" i="2"/>
  <c r="W964" i="2"/>
  <c r="AC963" i="2"/>
  <c r="W963" i="2"/>
  <c r="AC962" i="2"/>
  <c r="W962" i="2"/>
  <c r="AC961" i="2"/>
  <c r="W961" i="2"/>
  <c r="AC960" i="2"/>
  <c r="W960" i="2"/>
  <c r="AC959" i="2"/>
  <c r="W959" i="2"/>
  <c r="AC958" i="2"/>
  <c r="W958" i="2"/>
  <c r="AC957" i="2"/>
  <c r="W957" i="2"/>
  <c r="AC956" i="2"/>
  <c r="W956" i="2"/>
  <c r="AC955" i="2"/>
  <c r="W955" i="2"/>
  <c r="AC954" i="2"/>
  <c r="W954" i="2"/>
  <c r="AC953" i="2"/>
  <c r="W953" i="2"/>
  <c r="AC952" i="2"/>
  <c r="W952" i="2"/>
  <c r="AC951" i="2"/>
  <c r="W951" i="2"/>
  <c r="AC950" i="2"/>
  <c r="W950" i="2"/>
  <c r="AC949" i="2"/>
  <c r="W949" i="2"/>
  <c r="AC948" i="2"/>
  <c r="W948" i="2"/>
  <c r="AC947" i="2"/>
  <c r="W947" i="2"/>
  <c r="AC946" i="2"/>
  <c r="W946" i="2"/>
  <c r="AC945" i="2"/>
  <c r="W945" i="2"/>
  <c r="AC944" i="2"/>
  <c r="W944" i="2"/>
  <c r="AC943" i="2"/>
  <c r="W943" i="2"/>
  <c r="AC942" i="2"/>
  <c r="W942" i="2"/>
  <c r="AC941" i="2"/>
  <c r="W941" i="2"/>
  <c r="AC940" i="2"/>
  <c r="W940" i="2"/>
  <c r="AC939" i="2"/>
  <c r="W939" i="2"/>
  <c r="AC938" i="2"/>
  <c r="W938" i="2"/>
  <c r="AC937" i="2"/>
  <c r="W937" i="2"/>
  <c r="AC936" i="2"/>
  <c r="W936" i="2"/>
  <c r="AC935" i="2"/>
  <c r="W935" i="2"/>
  <c r="AC934" i="2"/>
  <c r="W934" i="2"/>
  <c r="AC933" i="2"/>
  <c r="W933" i="2"/>
  <c r="AC932" i="2"/>
  <c r="W932" i="2"/>
  <c r="AC931" i="2"/>
  <c r="W931" i="2"/>
  <c r="AC930" i="2"/>
  <c r="W930" i="2"/>
  <c r="AC929" i="2"/>
  <c r="W929" i="2"/>
  <c r="AC928" i="2"/>
  <c r="W928" i="2"/>
  <c r="AC927" i="2"/>
  <c r="W927" i="2"/>
  <c r="AC926" i="2"/>
  <c r="W926" i="2"/>
  <c r="AC925" i="2"/>
  <c r="W925" i="2"/>
  <c r="AC924" i="2"/>
  <c r="W924" i="2"/>
  <c r="AC923" i="2"/>
  <c r="W923" i="2"/>
  <c r="AC922" i="2"/>
  <c r="W922" i="2"/>
  <c r="AC921" i="2"/>
  <c r="W921" i="2"/>
  <c r="AC920" i="2"/>
  <c r="W920" i="2"/>
  <c r="AC919" i="2"/>
  <c r="W919" i="2"/>
  <c r="AC918" i="2"/>
  <c r="W918" i="2"/>
  <c r="AC917" i="2"/>
  <c r="W917" i="2"/>
  <c r="AC916" i="2"/>
  <c r="W916" i="2"/>
  <c r="AC915" i="2"/>
  <c r="W915" i="2"/>
  <c r="AC914" i="2"/>
  <c r="W914" i="2"/>
  <c r="AC913" i="2"/>
  <c r="W913" i="2"/>
  <c r="AC912" i="2"/>
  <c r="W912" i="2"/>
  <c r="AC911" i="2"/>
  <c r="W911" i="2"/>
  <c r="AC910" i="2"/>
  <c r="W910" i="2"/>
  <c r="AC909" i="2"/>
  <c r="W909" i="2"/>
  <c r="AC908" i="2"/>
  <c r="W908" i="2"/>
  <c r="AC907" i="2"/>
  <c r="W907" i="2"/>
  <c r="AC906" i="2"/>
  <c r="W906" i="2"/>
  <c r="AC905" i="2"/>
  <c r="W905" i="2"/>
  <c r="AC904" i="2"/>
  <c r="W904" i="2"/>
  <c r="AC903" i="2"/>
  <c r="W903" i="2"/>
  <c r="AC902" i="2"/>
  <c r="W902" i="2"/>
  <c r="AC901" i="2"/>
  <c r="W901" i="2"/>
  <c r="AC900" i="2"/>
  <c r="W900" i="2"/>
  <c r="AC899" i="2"/>
  <c r="W899" i="2"/>
  <c r="AC898" i="2"/>
  <c r="W898" i="2"/>
  <c r="AC897" i="2"/>
  <c r="W897" i="2"/>
  <c r="AC896" i="2"/>
  <c r="W896" i="2"/>
  <c r="AC895" i="2"/>
  <c r="W895" i="2"/>
  <c r="AC894" i="2"/>
  <c r="W894" i="2"/>
  <c r="AC893" i="2"/>
  <c r="W893" i="2"/>
  <c r="AC892" i="2"/>
  <c r="W892" i="2"/>
  <c r="AC891" i="2"/>
  <c r="W891" i="2"/>
  <c r="AC890" i="2"/>
  <c r="W890" i="2"/>
  <c r="AC889" i="2"/>
  <c r="W889" i="2"/>
  <c r="AC888" i="2"/>
  <c r="W888" i="2"/>
  <c r="AC887" i="2"/>
  <c r="W887" i="2"/>
  <c r="AC886" i="2"/>
  <c r="W886" i="2"/>
  <c r="AC885" i="2"/>
  <c r="W885" i="2"/>
  <c r="AC884" i="2"/>
  <c r="W884" i="2"/>
  <c r="AC883" i="2"/>
  <c r="W883" i="2"/>
  <c r="AC882" i="2"/>
  <c r="W882" i="2"/>
  <c r="AC881" i="2"/>
  <c r="W881" i="2"/>
  <c r="AC880" i="2"/>
  <c r="W880" i="2"/>
  <c r="AC879" i="2"/>
  <c r="W879" i="2"/>
  <c r="AC878" i="2"/>
  <c r="W878" i="2"/>
  <c r="AC877" i="2"/>
  <c r="W877" i="2"/>
  <c r="AC876" i="2"/>
  <c r="W876" i="2"/>
  <c r="AC875" i="2"/>
  <c r="W875" i="2"/>
  <c r="AC874" i="2"/>
  <c r="W874" i="2"/>
  <c r="AC873" i="2"/>
  <c r="W873" i="2"/>
  <c r="AC872" i="2"/>
  <c r="W872" i="2"/>
  <c r="AC871" i="2"/>
  <c r="W871" i="2"/>
  <c r="AC870" i="2"/>
  <c r="W870" i="2"/>
  <c r="AC869" i="2"/>
  <c r="W869" i="2"/>
  <c r="AC868" i="2"/>
  <c r="W868" i="2"/>
  <c r="AC867" i="2"/>
  <c r="W867" i="2"/>
  <c r="AC866" i="2"/>
  <c r="W866" i="2"/>
  <c r="AC865" i="2"/>
  <c r="W865" i="2"/>
  <c r="AC864" i="2"/>
  <c r="W864" i="2"/>
  <c r="AC863" i="2"/>
  <c r="W863" i="2"/>
  <c r="AC862" i="2"/>
  <c r="W862" i="2"/>
  <c r="AC861" i="2"/>
  <c r="W861" i="2"/>
  <c r="AC860" i="2"/>
  <c r="W860" i="2"/>
  <c r="AC859" i="2"/>
  <c r="W859" i="2"/>
  <c r="AC858" i="2"/>
  <c r="W858" i="2"/>
  <c r="AC857" i="2"/>
  <c r="W857" i="2"/>
  <c r="AC856" i="2"/>
  <c r="W856" i="2"/>
  <c r="AC855" i="2"/>
  <c r="W855" i="2"/>
  <c r="AC854" i="2"/>
  <c r="W854" i="2"/>
  <c r="AC853" i="2"/>
  <c r="W853" i="2"/>
  <c r="AC852" i="2"/>
  <c r="W852" i="2"/>
  <c r="AC851" i="2"/>
  <c r="W851" i="2"/>
  <c r="AC850" i="2"/>
  <c r="W850" i="2"/>
  <c r="AC849" i="2"/>
  <c r="W849" i="2"/>
  <c r="AC848" i="2"/>
  <c r="W848" i="2"/>
  <c r="AC847" i="2"/>
  <c r="W847" i="2"/>
  <c r="AC846" i="2"/>
  <c r="W846" i="2"/>
  <c r="AC845" i="2"/>
  <c r="W845" i="2"/>
  <c r="AC844" i="2"/>
  <c r="W844" i="2"/>
  <c r="AC843" i="2"/>
  <c r="W843" i="2"/>
  <c r="AC842" i="2"/>
  <c r="W842" i="2"/>
  <c r="AC841" i="2"/>
  <c r="W841" i="2"/>
  <c r="AC840" i="2"/>
  <c r="W840" i="2"/>
  <c r="AC839" i="2"/>
  <c r="W839" i="2"/>
  <c r="AC838" i="2"/>
  <c r="W838" i="2"/>
  <c r="AC837" i="2"/>
  <c r="W837" i="2"/>
  <c r="AC836" i="2"/>
  <c r="W836" i="2"/>
  <c r="AC835" i="2"/>
  <c r="W835" i="2"/>
  <c r="AC834" i="2"/>
  <c r="W834" i="2"/>
  <c r="AC833" i="2"/>
  <c r="W833" i="2"/>
  <c r="AC832" i="2"/>
  <c r="W832" i="2"/>
  <c r="AC831" i="2"/>
  <c r="W831" i="2"/>
  <c r="AC830" i="2"/>
  <c r="W830" i="2"/>
  <c r="AC829" i="2"/>
  <c r="W829" i="2"/>
  <c r="AC828" i="2"/>
  <c r="W828" i="2"/>
  <c r="AC827" i="2"/>
  <c r="W827" i="2"/>
  <c r="AC826" i="2"/>
  <c r="W826" i="2"/>
  <c r="AC825" i="2"/>
  <c r="W825" i="2"/>
  <c r="AC824" i="2"/>
  <c r="W824" i="2"/>
  <c r="AC823" i="2"/>
  <c r="W823" i="2"/>
  <c r="AC822" i="2"/>
  <c r="W822" i="2"/>
  <c r="AC821" i="2"/>
  <c r="W821" i="2"/>
  <c r="AC820" i="2"/>
  <c r="W820" i="2"/>
  <c r="AC819" i="2"/>
  <c r="W819" i="2"/>
  <c r="AC818" i="2"/>
  <c r="W818" i="2"/>
  <c r="AC817" i="2"/>
  <c r="W817" i="2"/>
  <c r="AC816" i="2"/>
  <c r="W816" i="2"/>
  <c r="AC815" i="2"/>
  <c r="W815" i="2"/>
  <c r="AC814" i="2"/>
  <c r="W814" i="2"/>
  <c r="AC813" i="2"/>
  <c r="W813" i="2"/>
  <c r="AC812" i="2"/>
  <c r="W812" i="2"/>
  <c r="AC811" i="2"/>
  <c r="W811" i="2"/>
  <c r="AC810" i="2"/>
  <c r="W810" i="2"/>
  <c r="AC809" i="2"/>
  <c r="W809" i="2"/>
  <c r="AC808" i="2"/>
  <c r="W808" i="2"/>
  <c r="AC807" i="2"/>
  <c r="W807" i="2"/>
  <c r="AC806" i="2"/>
  <c r="W806" i="2"/>
  <c r="AC805" i="2"/>
  <c r="W805" i="2"/>
  <c r="AC804" i="2"/>
  <c r="W804" i="2"/>
  <c r="AC803" i="2"/>
  <c r="W803" i="2"/>
  <c r="AC802" i="2"/>
  <c r="W802" i="2"/>
  <c r="AC801" i="2"/>
  <c r="W801" i="2"/>
  <c r="AC800" i="2"/>
  <c r="W800" i="2"/>
  <c r="AC799" i="2"/>
  <c r="W799" i="2"/>
  <c r="AC798" i="2"/>
  <c r="W798" i="2"/>
  <c r="AC797" i="2"/>
  <c r="W797" i="2"/>
  <c r="AC796" i="2"/>
  <c r="W796" i="2"/>
  <c r="AC795" i="2"/>
  <c r="W795" i="2"/>
  <c r="AC794" i="2"/>
  <c r="W794" i="2"/>
  <c r="AC793" i="2"/>
  <c r="W793" i="2"/>
  <c r="AC792" i="2"/>
  <c r="W792" i="2"/>
  <c r="AC791" i="2"/>
  <c r="W791" i="2"/>
  <c r="AC790" i="2"/>
  <c r="W790" i="2"/>
  <c r="AC789" i="2"/>
  <c r="W789" i="2"/>
  <c r="AC788" i="2"/>
  <c r="W788" i="2"/>
  <c r="AC787" i="2"/>
  <c r="W787" i="2"/>
  <c r="AC786" i="2"/>
  <c r="W786" i="2"/>
  <c r="AC785" i="2"/>
  <c r="W785" i="2"/>
  <c r="AC784" i="2"/>
  <c r="W784" i="2"/>
  <c r="AC783" i="2"/>
  <c r="W783" i="2"/>
  <c r="AC782" i="2"/>
  <c r="W782" i="2"/>
  <c r="AC781" i="2"/>
  <c r="W781" i="2"/>
  <c r="AC780" i="2"/>
  <c r="W780" i="2"/>
  <c r="AC779" i="2"/>
  <c r="W779" i="2"/>
  <c r="AC778" i="2"/>
  <c r="W778" i="2"/>
  <c r="AC777" i="2"/>
  <c r="W777" i="2"/>
  <c r="AC776" i="2"/>
  <c r="W776" i="2"/>
  <c r="AC775" i="2"/>
  <c r="W775" i="2"/>
  <c r="AC774" i="2"/>
  <c r="W774" i="2"/>
  <c r="AC773" i="2"/>
  <c r="W773" i="2"/>
  <c r="AC772" i="2"/>
  <c r="W772" i="2"/>
  <c r="AC771" i="2"/>
  <c r="W771" i="2"/>
  <c r="AC770" i="2"/>
  <c r="W770" i="2"/>
  <c r="AC769" i="2"/>
  <c r="W769" i="2"/>
  <c r="AC768" i="2"/>
  <c r="W768" i="2"/>
  <c r="AC767" i="2"/>
  <c r="W767" i="2"/>
  <c r="AC766" i="2"/>
  <c r="W766" i="2"/>
  <c r="AC765" i="2"/>
  <c r="W765" i="2"/>
  <c r="AC764" i="2"/>
  <c r="W764" i="2"/>
  <c r="AC763" i="2"/>
  <c r="W763" i="2"/>
  <c r="AC762" i="2"/>
  <c r="W762" i="2"/>
  <c r="AC761" i="2"/>
  <c r="W761" i="2"/>
  <c r="AC760" i="2"/>
  <c r="W760" i="2"/>
  <c r="AC759" i="2"/>
  <c r="W759" i="2"/>
  <c r="AC758" i="2"/>
  <c r="W758" i="2"/>
  <c r="AC757" i="2"/>
  <c r="W757" i="2"/>
  <c r="AC756" i="2"/>
  <c r="W756" i="2"/>
  <c r="AC755" i="2"/>
  <c r="W755" i="2"/>
  <c r="AC754" i="2"/>
  <c r="W754" i="2"/>
  <c r="AC753" i="2"/>
  <c r="W753" i="2"/>
  <c r="AC752" i="2"/>
  <c r="W752" i="2"/>
  <c r="AC751" i="2"/>
  <c r="W751" i="2"/>
  <c r="AC750" i="2"/>
  <c r="W750" i="2"/>
  <c r="AC749" i="2"/>
  <c r="W749" i="2"/>
  <c r="AC748" i="2"/>
  <c r="W748" i="2"/>
  <c r="AC747" i="2"/>
  <c r="W747" i="2"/>
  <c r="AC746" i="2"/>
  <c r="W746" i="2"/>
  <c r="AC745" i="2"/>
  <c r="W745" i="2"/>
  <c r="AC744" i="2"/>
  <c r="W744" i="2"/>
  <c r="AC743" i="2"/>
  <c r="W743" i="2"/>
  <c r="AC742" i="2"/>
  <c r="W742" i="2"/>
  <c r="AC741" i="2"/>
  <c r="W741" i="2"/>
  <c r="AC740" i="2"/>
  <c r="W740" i="2"/>
  <c r="AC739" i="2"/>
  <c r="W739" i="2"/>
  <c r="AC738" i="2"/>
  <c r="W738" i="2"/>
  <c r="AC737" i="2"/>
  <c r="W737" i="2"/>
  <c r="AC736" i="2"/>
  <c r="W736" i="2"/>
  <c r="AC735" i="2"/>
  <c r="W735" i="2"/>
  <c r="AC734" i="2"/>
  <c r="W734" i="2"/>
  <c r="AC733" i="2"/>
  <c r="W733" i="2"/>
  <c r="AC732" i="2"/>
  <c r="W732" i="2"/>
  <c r="AC731" i="2"/>
  <c r="W731" i="2"/>
  <c r="AC730" i="2"/>
  <c r="W730" i="2"/>
  <c r="AC729" i="2"/>
  <c r="W729" i="2"/>
  <c r="AC728" i="2"/>
  <c r="W728" i="2"/>
  <c r="AC727" i="2"/>
  <c r="W727" i="2"/>
  <c r="AC726" i="2"/>
  <c r="W726" i="2"/>
  <c r="AC725" i="2"/>
  <c r="W725" i="2"/>
  <c r="AC724" i="2"/>
  <c r="W724" i="2"/>
  <c r="AC723" i="2"/>
  <c r="W723" i="2"/>
  <c r="AC722" i="2"/>
  <c r="W722" i="2"/>
  <c r="AC721" i="2"/>
  <c r="W721" i="2"/>
  <c r="AC720" i="2"/>
  <c r="W720" i="2"/>
  <c r="AC719" i="2"/>
  <c r="W719" i="2"/>
  <c r="AC718" i="2"/>
  <c r="W718" i="2"/>
  <c r="AC717" i="2"/>
  <c r="W717" i="2"/>
  <c r="AC716" i="2"/>
  <c r="W716" i="2"/>
  <c r="AC715" i="2"/>
  <c r="W715" i="2"/>
  <c r="AC714" i="2"/>
  <c r="W714" i="2"/>
  <c r="AC713" i="2"/>
  <c r="W713" i="2"/>
  <c r="AC712" i="2"/>
  <c r="W712" i="2"/>
  <c r="AC711" i="2"/>
  <c r="W711" i="2"/>
  <c r="AC710" i="2"/>
  <c r="W710" i="2"/>
  <c r="AC709" i="2"/>
  <c r="W709" i="2"/>
  <c r="AC708" i="2"/>
  <c r="W708" i="2"/>
  <c r="AC707" i="2"/>
  <c r="W707" i="2"/>
  <c r="AC706" i="2"/>
  <c r="W706" i="2"/>
  <c r="AC705" i="2"/>
  <c r="W705" i="2"/>
  <c r="AC704" i="2"/>
  <c r="W704" i="2"/>
  <c r="AC703" i="2"/>
  <c r="W703" i="2"/>
  <c r="AC702" i="2"/>
  <c r="W702" i="2"/>
  <c r="AC701" i="2"/>
  <c r="W701" i="2"/>
  <c r="AC700" i="2"/>
  <c r="W700" i="2"/>
  <c r="AC699" i="2"/>
  <c r="W699" i="2"/>
  <c r="AC698" i="2"/>
  <c r="W698" i="2"/>
  <c r="AC697" i="2"/>
  <c r="W697" i="2"/>
  <c r="AC696" i="2"/>
  <c r="W696" i="2"/>
  <c r="AC695" i="2"/>
  <c r="W695" i="2"/>
  <c r="AC694" i="2"/>
  <c r="W694" i="2"/>
  <c r="AC693" i="2"/>
  <c r="W693" i="2"/>
  <c r="AC692" i="2"/>
  <c r="W692" i="2"/>
  <c r="AC691" i="2"/>
  <c r="W691" i="2"/>
  <c r="AC690" i="2"/>
  <c r="W690" i="2"/>
  <c r="AC689" i="2"/>
  <c r="W689" i="2"/>
  <c r="AC688" i="2"/>
  <c r="W688" i="2"/>
  <c r="AC687" i="2"/>
  <c r="W687" i="2"/>
  <c r="AC686" i="2"/>
  <c r="W686" i="2"/>
  <c r="AC685" i="2"/>
  <c r="W685" i="2"/>
  <c r="AC684" i="2"/>
  <c r="W684" i="2"/>
  <c r="AC683" i="2"/>
  <c r="W683" i="2"/>
  <c r="AC682" i="2"/>
  <c r="W682" i="2"/>
  <c r="AC681" i="2"/>
  <c r="W681" i="2"/>
  <c r="AC680" i="2"/>
  <c r="W680" i="2"/>
  <c r="AC679" i="2"/>
  <c r="W679" i="2"/>
  <c r="AC678" i="2"/>
  <c r="W678" i="2"/>
  <c r="AC677" i="2"/>
  <c r="W677" i="2"/>
  <c r="AC676" i="2"/>
  <c r="W676" i="2"/>
  <c r="AC675" i="2"/>
  <c r="W675" i="2"/>
  <c r="AC674" i="2"/>
  <c r="W674" i="2"/>
  <c r="AC673" i="2"/>
  <c r="W673" i="2"/>
  <c r="AC672" i="2"/>
  <c r="W672" i="2"/>
  <c r="AC671" i="2"/>
  <c r="W671" i="2"/>
  <c r="AC670" i="2"/>
  <c r="W670" i="2"/>
  <c r="AC669" i="2"/>
  <c r="W669" i="2"/>
  <c r="AC668" i="2"/>
  <c r="W668" i="2"/>
  <c r="AC667" i="2"/>
  <c r="W667" i="2"/>
  <c r="AC666" i="2"/>
  <c r="W666" i="2"/>
  <c r="AC665" i="2"/>
  <c r="W665" i="2"/>
  <c r="AC664" i="2"/>
  <c r="W664" i="2"/>
  <c r="AC663" i="2"/>
  <c r="W663" i="2"/>
  <c r="AC662" i="2"/>
  <c r="W662" i="2"/>
  <c r="AC661" i="2"/>
  <c r="W661" i="2"/>
  <c r="AC660" i="2"/>
  <c r="W660" i="2"/>
  <c r="AC659" i="2"/>
  <c r="W659" i="2"/>
  <c r="AC658" i="2"/>
  <c r="W658" i="2"/>
  <c r="AC657" i="2"/>
  <c r="W657" i="2"/>
  <c r="AC656" i="2"/>
  <c r="W656" i="2"/>
  <c r="AC655" i="2"/>
  <c r="W655" i="2"/>
  <c r="AC654" i="2"/>
  <c r="W654" i="2"/>
  <c r="AC653" i="2"/>
  <c r="W653" i="2"/>
  <c r="AC652" i="2"/>
  <c r="W652" i="2"/>
  <c r="AC651" i="2"/>
  <c r="W651" i="2"/>
  <c r="AC650" i="2"/>
  <c r="W650" i="2"/>
  <c r="AC649" i="2"/>
  <c r="W649" i="2"/>
  <c r="AC648" i="2"/>
  <c r="W648" i="2"/>
  <c r="AC647" i="2"/>
  <c r="W647" i="2"/>
  <c r="AC646" i="2"/>
  <c r="W646" i="2"/>
  <c r="AC645" i="2"/>
  <c r="W645" i="2"/>
  <c r="AC644" i="2"/>
  <c r="W644" i="2"/>
  <c r="AC643" i="2"/>
  <c r="W643" i="2"/>
  <c r="AC642" i="2"/>
  <c r="W642" i="2"/>
  <c r="AC641" i="2"/>
  <c r="W641" i="2"/>
  <c r="AC640" i="2"/>
  <c r="W640" i="2"/>
  <c r="AC639" i="2"/>
  <c r="W639" i="2"/>
  <c r="AC638" i="2"/>
  <c r="W638" i="2"/>
  <c r="AC637" i="2"/>
  <c r="W637" i="2"/>
  <c r="AC636" i="2"/>
  <c r="W636" i="2"/>
  <c r="AC635" i="2"/>
  <c r="W635" i="2"/>
  <c r="AC634" i="2"/>
  <c r="W634" i="2"/>
  <c r="AC633" i="2"/>
  <c r="W633" i="2"/>
  <c r="AC632" i="2"/>
  <c r="W632" i="2"/>
  <c r="AC631" i="2"/>
  <c r="W631" i="2"/>
  <c r="AC630" i="2"/>
  <c r="W630" i="2"/>
  <c r="AC629" i="2"/>
  <c r="W629" i="2"/>
  <c r="AC628" i="2"/>
  <c r="W628" i="2"/>
  <c r="AC627" i="2"/>
  <c r="W627" i="2"/>
  <c r="AC626" i="2"/>
  <c r="W626" i="2"/>
  <c r="AC625" i="2"/>
  <c r="W625" i="2"/>
  <c r="AC624" i="2"/>
  <c r="W624" i="2"/>
  <c r="AC623" i="2"/>
  <c r="W623" i="2"/>
  <c r="AC622" i="2"/>
  <c r="W622" i="2"/>
  <c r="AC621" i="2"/>
  <c r="W621" i="2"/>
  <c r="AC620" i="2"/>
  <c r="W620" i="2"/>
  <c r="AC619" i="2"/>
  <c r="W619" i="2"/>
  <c r="AC618" i="2"/>
  <c r="W618" i="2"/>
  <c r="AC617" i="2"/>
  <c r="W617" i="2"/>
  <c r="AC616" i="2"/>
  <c r="W616" i="2"/>
  <c r="AC615" i="2"/>
  <c r="W615" i="2"/>
  <c r="AC614" i="2"/>
  <c r="W614" i="2"/>
  <c r="AC613" i="2"/>
  <c r="W613" i="2"/>
  <c r="AC612" i="2"/>
  <c r="W612" i="2"/>
  <c r="AC611" i="2"/>
  <c r="W611" i="2"/>
  <c r="AC610" i="2"/>
  <c r="W610" i="2"/>
  <c r="AC609" i="2"/>
  <c r="W609" i="2"/>
  <c r="AC608" i="2"/>
  <c r="W608" i="2"/>
  <c r="AC607" i="2"/>
  <c r="W607" i="2"/>
  <c r="AC606" i="2"/>
  <c r="W606" i="2"/>
  <c r="AC605" i="2"/>
  <c r="W605" i="2"/>
  <c r="AC604" i="2"/>
  <c r="W604" i="2"/>
  <c r="AC603" i="2"/>
  <c r="W603" i="2"/>
  <c r="AC602" i="2"/>
  <c r="W602" i="2"/>
  <c r="AC601" i="2"/>
  <c r="W601" i="2"/>
  <c r="AC600" i="2"/>
  <c r="W600" i="2"/>
  <c r="AC599" i="2"/>
  <c r="W599" i="2"/>
  <c r="AC598" i="2"/>
  <c r="W598" i="2"/>
  <c r="AC597" i="2"/>
  <c r="W597" i="2"/>
  <c r="AC596" i="2"/>
  <c r="W596" i="2"/>
  <c r="AC595" i="2"/>
  <c r="W595" i="2"/>
  <c r="AC594" i="2"/>
  <c r="W594" i="2"/>
  <c r="AC593" i="2"/>
  <c r="W593" i="2"/>
  <c r="AC592" i="2"/>
  <c r="W592" i="2"/>
  <c r="AC591" i="2"/>
  <c r="W591" i="2"/>
  <c r="AC590" i="2"/>
  <c r="W590" i="2"/>
  <c r="AC589" i="2"/>
  <c r="W589" i="2"/>
  <c r="AC588" i="2"/>
  <c r="W588" i="2"/>
  <c r="AC587" i="2"/>
  <c r="W587" i="2"/>
  <c r="AC586" i="2"/>
  <c r="W586" i="2"/>
  <c r="AC585" i="2"/>
  <c r="W585" i="2"/>
  <c r="AC584" i="2"/>
  <c r="W584" i="2"/>
  <c r="AC583" i="2"/>
  <c r="W583" i="2"/>
  <c r="AC582" i="2"/>
  <c r="W582" i="2"/>
  <c r="AC581" i="2"/>
  <c r="W581" i="2"/>
  <c r="AC580" i="2"/>
  <c r="W580" i="2"/>
  <c r="AC579" i="2"/>
  <c r="W579" i="2"/>
  <c r="AC578" i="2"/>
  <c r="W578" i="2"/>
  <c r="AC577" i="2"/>
  <c r="W577" i="2"/>
  <c r="AC576" i="2"/>
  <c r="W576" i="2"/>
  <c r="AC575" i="2"/>
  <c r="W575" i="2"/>
  <c r="AC574" i="2"/>
  <c r="W574" i="2"/>
  <c r="AC573" i="2"/>
  <c r="W573" i="2"/>
  <c r="AC572" i="2"/>
  <c r="W572" i="2"/>
  <c r="AC571" i="2"/>
  <c r="W571" i="2"/>
  <c r="AC570" i="2"/>
  <c r="W570" i="2"/>
  <c r="AC569" i="2"/>
  <c r="W569" i="2"/>
  <c r="AC568" i="2"/>
  <c r="W568" i="2"/>
  <c r="AC567" i="2"/>
  <c r="W567" i="2"/>
  <c r="AC566" i="2"/>
  <c r="W566" i="2"/>
  <c r="AC565" i="2"/>
  <c r="W565" i="2"/>
  <c r="AC564" i="2"/>
  <c r="W564" i="2"/>
  <c r="AC563" i="2"/>
  <c r="W563" i="2"/>
  <c r="AC562" i="2"/>
  <c r="W562" i="2"/>
  <c r="AC561" i="2"/>
  <c r="W561" i="2"/>
  <c r="AC560" i="2"/>
  <c r="W560" i="2"/>
  <c r="AC559" i="2"/>
  <c r="W559" i="2"/>
  <c r="AC558" i="2"/>
  <c r="W558" i="2"/>
  <c r="AC557" i="2"/>
  <c r="W557" i="2"/>
  <c r="AC556" i="2"/>
  <c r="W556" i="2"/>
  <c r="AC555" i="2"/>
  <c r="W555" i="2"/>
  <c r="AC554" i="2"/>
  <c r="W554" i="2"/>
  <c r="AC553" i="2"/>
  <c r="W553" i="2"/>
  <c r="AC552" i="2"/>
  <c r="W552" i="2"/>
  <c r="AC551" i="2"/>
  <c r="W551" i="2"/>
  <c r="AC550" i="2"/>
  <c r="W550" i="2"/>
  <c r="AC549" i="2"/>
  <c r="W549" i="2"/>
  <c r="AC548" i="2"/>
  <c r="W548" i="2"/>
  <c r="AC547" i="2"/>
  <c r="W547" i="2"/>
  <c r="AC546" i="2"/>
  <c r="W546" i="2"/>
  <c r="AC545" i="2"/>
  <c r="W545" i="2"/>
  <c r="AC544" i="2"/>
  <c r="W544" i="2"/>
  <c r="AC543" i="2"/>
  <c r="W543" i="2"/>
  <c r="AC542" i="2"/>
  <c r="W542" i="2"/>
  <c r="AC541" i="2"/>
  <c r="W541" i="2"/>
  <c r="AC540" i="2"/>
  <c r="W540" i="2"/>
  <c r="AC539" i="2"/>
  <c r="W539" i="2"/>
  <c r="AC538" i="2"/>
  <c r="W538" i="2"/>
  <c r="AC537" i="2"/>
  <c r="W537" i="2"/>
  <c r="AC536" i="2"/>
  <c r="W536" i="2"/>
  <c r="AC535" i="2"/>
  <c r="W535" i="2"/>
  <c r="AC534" i="2"/>
  <c r="W534" i="2"/>
  <c r="AC533" i="2"/>
  <c r="W533" i="2"/>
  <c r="AC532" i="2"/>
  <c r="W532" i="2"/>
  <c r="AC531" i="2"/>
  <c r="W531" i="2"/>
  <c r="AC530" i="2"/>
  <c r="W530" i="2"/>
  <c r="AC529" i="2"/>
  <c r="W529" i="2"/>
  <c r="AC528" i="2"/>
  <c r="W528" i="2"/>
  <c r="AC527" i="2"/>
  <c r="W527" i="2"/>
  <c r="AC526" i="2"/>
  <c r="W526" i="2"/>
  <c r="AC525" i="2"/>
  <c r="W525" i="2"/>
  <c r="AC524" i="2"/>
  <c r="W524" i="2"/>
  <c r="AC523" i="2"/>
  <c r="W523" i="2"/>
  <c r="AC522" i="2"/>
  <c r="W522" i="2"/>
  <c r="AC521" i="2"/>
  <c r="W521" i="2"/>
  <c r="AC520" i="2"/>
  <c r="W520" i="2"/>
  <c r="AC519" i="2"/>
  <c r="W519" i="2"/>
  <c r="AC518" i="2"/>
  <c r="W518" i="2"/>
  <c r="AC517" i="2"/>
  <c r="W517" i="2"/>
  <c r="AC516" i="2"/>
  <c r="W516" i="2"/>
  <c r="AC515" i="2"/>
  <c r="W515" i="2"/>
  <c r="AC514" i="2"/>
  <c r="W514" i="2"/>
  <c r="AC513" i="2"/>
  <c r="W513" i="2"/>
  <c r="AC512" i="2"/>
  <c r="W512" i="2"/>
  <c r="AC511" i="2"/>
  <c r="W511" i="2"/>
  <c r="AC510" i="2"/>
  <c r="W510" i="2"/>
  <c r="AC509" i="2"/>
  <c r="W509" i="2"/>
  <c r="AC508" i="2"/>
  <c r="W508" i="2"/>
  <c r="AC507" i="2"/>
  <c r="W507" i="2"/>
  <c r="AC506" i="2"/>
  <c r="W506" i="2"/>
  <c r="AC505" i="2"/>
  <c r="W505" i="2"/>
  <c r="AC504" i="2"/>
  <c r="W504" i="2"/>
  <c r="AC503" i="2"/>
  <c r="W503" i="2"/>
  <c r="AC502" i="2"/>
  <c r="W502" i="2"/>
  <c r="AC501" i="2"/>
  <c r="W501" i="2"/>
  <c r="AC500" i="2"/>
  <c r="W500" i="2"/>
  <c r="AC499" i="2"/>
  <c r="W499" i="2"/>
  <c r="AC498" i="2"/>
  <c r="W498" i="2"/>
  <c r="AC497" i="2"/>
  <c r="W497" i="2"/>
  <c r="AC496" i="2"/>
  <c r="W496" i="2"/>
  <c r="AC495" i="2"/>
  <c r="W495" i="2"/>
  <c r="AC494" i="2"/>
  <c r="W494" i="2"/>
  <c r="AC493" i="2"/>
  <c r="W493" i="2"/>
  <c r="AC492" i="2"/>
  <c r="W492" i="2"/>
  <c r="AC491" i="2"/>
  <c r="W491" i="2"/>
  <c r="AC490" i="2"/>
  <c r="W490" i="2"/>
  <c r="AC489" i="2"/>
  <c r="W489" i="2"/>
  <c r="AC488" i="2"/>
  <c r="W488" i="2"/>
  <c r="AC487" i="2"/>
  <c r="W487" i="2"/>
  <c r="AC486" i="2"/>
  <c r="W486" i="2"/>
  <c r="AC485" i="2"/>
  <c r="W485" i="2"/>
  <c r="Q485" i="2"/>
  <c r="K485" i="2"/>
  <c r="D4" i="6" s="1"/>
  <c r="E485" i="2"/>
  <c r="D3" i="6" s="1"/>
  <c r="AC484" i="2"/>
  <c r="W484" i="2"/>
  <c r="Q484" i="2"/>
  <c r="K484" i="2"/>
  <c r="E484" i="2"/>
  <c r="AC483" i="2"/>
  <c r="W483" i="2"/>
  <c r="Q483" i="2"/>
  <c r="K483" i="2"/>
  <c r="E483" i="2"/>
  <c r="AC482" i="2"/>
  <c r="W482" i="2"/>
  <c r="Q482" i="2"/>
  <c r="K482" i="2"/>
  <c r="E482" i="2"/>
  <c r="AC481" i="2"/>
  <c r="W481" i="2"/>
  <c r="Q481" i="2"/>
  <c r="K481" i="2"/>
  <c r="E481" i="2"/>
  <c r="AC480" i="2"/>
  <c r="W480" i="2"/>
  <c r="Q480" i="2"/>
  <c r="K480" i="2"/>
  <c r="E480" i="2"/>
  <c r="AC479" i="2"/>
  <c r="W479" i="2"/>
  <c r="Q479" i="2"/>
  <c r="K479" i="2"/>
  <c r="E479" i="2"/>
  <c r="AC478" i="2"/>
  <c r="W478" i="2"/>
  <c r="Q478" i="2"/>
  <c r="K478" i="2"/>
  <c r="E478" i="2"/>
  <c r="AC477" i="2"/>
  <c r="W477" i="2"/>
  <c r="Q477" i="2"/>
  <c r="K477" i="2"/>
  <c r="E477" i="2"/>
  <c r="AC476" i="2"/>
  <c r="W476" i="2"/>
  <c r="Q476" i="2"/>
  <c r="K476" i="2"/>
  <c r="E476" i="2"/>
  <c r="AC475" i="2"/>
  <c r="W475" i="2"/>
  <c r="Q475" i="2"/>
  <c r="K475" i="2"/>
  <c r="E475" i="2"/>
  <c r="AC474" i="2"/>
  <c r="W474" i="2"/>
  <c r="Q474" i="2"/>
  <c r="K474" i="2"/>
  <c r="E474" i="2"/>
  <c r="AC473" i="2"/>
  <c r="W473" i="2"/>
  <c r="Q473" i="2"/>
  <c r="K473" i="2"/>
  <c r="E473" i="2"/>
  <c r="AC472" i="2"/>
  <c r="W472" i="2"/>
  <c r="Q472" i="2"/>
  <c r="K472" i="2"/>
  <c r="E472" i="2"/>
  <c r="AC471" i="2"/>
  <c r="W471" i="2"/>
  <c r="Q471" i="2"/>
  <c r="K471" i="2"/>
  <c r="E471" i="2"/>
  <c r="AC470" i="2"/>
  <c r="W470" i="2"/>
  <c r="Q470" i="2"/>
  <c r="K470" i="2"/>
  <c r="E470" i="2"/>
  <c r="AC469" i="2"/>
  <c r="W469" i="2"/>
  <c r="Q469" i="2"/>
  <c r="K469" i="2"/>
  <c r="E469" i="2"/>
  <c r="AC468" i="2"/>
  <c r="W468" i="2"/>
  <c r="Q468" i="2"/>
  <c r="K468" i="2"/>
  <c r="E468" i="2"/>
  <c r="AC467" i="2"/>
  <c r="W467" i="2"/>
  <c r="Q467" i="2"/>
  <c r="K467" i="2"/>
  <c r="E467" i="2"/>
  <c r="AC466" i="2"/>
  <c r="W466" i="2"/>
  <c r="Q466" i="2"/>
  <c r="K466" i="2"/>
  <c r="E466" i="2"/>
  <c r="AC465" i="2"/>
  <c r="W465" i="2"/>
  <c r="Q465" i="2"/>
  <c r="K465" i="2"/>
  <c r="E465" i="2"/>
  <c r="AC464" i="2"/>
  <c r="W464" i="2"/>
  <c r="Q464" i="2"/>
  <c r="K464" i="2"/>
  <c r="E464" i="2"/>
  <c r="AC463" i="2"/>
  <c r="W463" i="2"/>
  <c r="Q463" i="2"/>
  <c r="K463" i="2"/>
  <c r="E463" i="2"/>
  <c r="AC462" i="2"/>
  <c r="W462" i="2"/>
  <c r="Q462" i="2"/>
  <c r="K462" i="2"/>
  <c r="E462" i="2"/>
  <c r="AC461" i="2"/>
  <c r="W461" i="2"/>
  <c r="Q461" i="2"/>
  <c r="K461" i="2"/>
  <c r="E461" i="2"/>
  <c r="AC460" i="2"/>
  <c r="W460" i="2"/>
  <c r="Q460" i="2"/>
  <c r="K460" i="2"/>
  <c r="E460" i="2"/>
  <c r="AC459" i="2"/>
  <c r="W459" i="2"/>
  <c r="Q459" i="2"/>
  <c r="K459" i="2"/>
  <c r="E459" i="2"/>
  <c r="AC458" i="2"/>
  <c r="W458" i="2"/>
  <c r="Q458" i="2"/>
  <c r="K458" i="2"/>
  <c r="E458" i="2"/>
  <c r="AC457" i="2"/>
  <c r="W457" i="2"/>
  <c r="Q457" i="2"/>
  <c r="K457" i="2"/>
  <c r="E457" i="2"/>
  <c r="AC456" i="2"/>
  <c r="W456" i="2"/>
  <c r="Q456" i="2"/>
  <c r="K456" i="2"/>
  <c r="E456" i="2"/>
  <c r="AC455" i="2"/>
  <c r="W455" i="2"/>
  <c r="Q455" i="2"/>
  <c r="K455" i="2"/>
  <c r="E455" i="2"/>
  <c r="AC454" i="2"/>
  <c r="W454" i="2"/>
  <c r="Q454" i="2"/>
  <c r="K454" i="2"/>
  <c r="E454" i="2"/>
  <c r="AC453" i="2"/>
  <c r="W453" i="2"/>
  <c r="Q453" i="2"/>
  <c r="K453" i="2"/>
  <c r="E453" i="2"/>
  <c r="AC452" i="2"/>
  <c r="W452" i="2"/>
  <c r="Q452" i="2"/>
  <c r="K452" i="2"/>
  <c r="E452" i="2"/>
  <c r="AC451" i="2"/>
  <c r="W451" i="2"/>
  <c r="Q451" i="2"/>
  <c r="K451" i="2"/>
  <c r="E451" i="2"/>
  <c r="AC450" i="2"/>
  <c r="W450" i="2"/>
  <c r="Q450" i="2"/>
  <c r="K450" i="2"/>
  <c r="E450" i="2"/>
  <c r="AC449" i="2"/>
  <c r="W449" i="2"/>
  <c r="Q449" i="2"/>
  <c r="K449" i="2"/>
  <c r="E449" i="2"/>
  <c r="AC448" i="2"/>
  <c r="W448" i="2"/>
  <c r="Q448" i="2"/>
  <c r="K448" i="2"/>
  <c r="E448" i="2"/>
  <c r="AC447" i="2"/>
  <c r="W447" i="2"/>
  <c r="Q447" i="2"/>
  <c r="K447" i="2"/>
  <c r="E447" i="2"/>
  <c r="AC446" i="2"/>
  <c r="W446" i="2"/>
  <c r="Q446" i="2"/>
  <c r="K446" i="2"/>
  <c r="E446" i="2"/>
  <c r="AC445" i="2"/>
  <c r="W445" i="2"/>
  <c r="Q445" i="2"/>
  <c r="K445" i="2"/>
  <c r="E445" i="2"/>
  <c r="AC444" i="2"/>
  <c r="W444" i="2"/>
  <c r="Q444" i="2"/>
  <c r="K444" i="2"/>
  <c r="E444" i="2"/>
  <c r="AC443" i="2"/>
  <c r="W443" i="2"/>
  <c r="Q443" i="2"/>
  <c r="K443" i="2"/>
  <c r="E443" i="2"/>
  <c r="AC442" i="2"/>
  <c r="W442" i="2"/>
  <c r="Q442" i="2"/>
  <c r="K442" i="2"/>
  <c r="E442" i="2"/>
  <c r="AC441" i="2"/>
  <c r="W441" i="2"/>
  <c r="Q441" i="2"/>
  <c r="K441" i="2"/>
  <c r="E441" i="2"/>
  <c r="AC440" i="2"/>
  <c r="W440" i="2"/>
  <c r="Q440" i="2"/>
  <c r="K440" i="2"/>
  <c r="E440" i="2"/>
  <c r="AC439" i="2"/>
  <c r="W439" i="2"/>
  <c r="Q439" i="2"/>
  <c r="K439" i="2"/>
  <c r="E439" i="2"/>
  <c r="AC438" i="2"/>
  <c r="W438" i="2"/>
  <c r="Q438" i="2"/>
  <c r="K438" i="2"/>
  <c r="E438" i="2"/>
  <c r="AC437" i="2"/>
  <c r="W437" i="2"/>
  <c r="Q437" i="2"/>
  <c r="K437" i="2"/>
  <c r="E437" i="2"/>
  <c r="AC436" i="2"/>
  <c r="W436" i="2"/>
  <c r="Q436" i="2"/>
  <c r="K436" i="2"/>
  <c r="E436" i="2"/>
  <c r="AC435" i="2"/>
  <c r="W435" i="2"/>
  <c r="Q435" i="2"/>
  <c r="K435" i="2"/>
  <c r="E435" i="2"/>
  <c r="AC434" i="2"/>
  <c r="W434" i="2"/>
  <c r="Q434" i="2"/>
  <c r="K434" i="2"/>
  <c r="E434" i="2"/>
  <c r="AC433" i="2"/>
  <c r="W433" i="2"/>
  <c r="Q433" i="2"/>
  <c r="K433" i="2"/>
  <c r="E433" i="2"/>
  <c r="AC432" i="2"/>
  <c r="W432" i="2"/>
  <c r="Q432" i="2"/>
  <c r="K432" i="2"/>
  <c r="E432" i="2"/>
  <c r="AC431" i="2"/>
  <c r="W431" i="2"/>
  <c r="Q431" i="2"/>
  <c r="K431" i="2"/>
  <c r="E431" i="2"/>
  <c r="AC430" i="2"/>
  <c r="W430" i="2"/>
  <c r="Q430" i="2"/>
  <c r="K430" i="2"/>
  <c r="E430" i="2"/>
  <c r="AC429" i="2"/>
  <c r="W429" i="2"/>
  <c r="Q429" i="2"/>
  <c r="K429" i="2"/>
  <c r="E429" i="2"/>
  <c r="AC428" i="2"/>
  <c r="W428" i="2"/>
  <c r="Q428" i="2"/>
  <c r="K428" i="2"/>
  <c r="E428" i="2"/>
  <c r="AC427" i="2"/>
  <c r="W427" i="2"/>
  <c r="Q427" i="2"/>
  <c r="K427" i="2"/>
  <c r="E427" i="2"/>
  <c r="AC426" i="2"/>
  <c r="W426" i="2"/>
  <c r="Q426" i="2"/>
  <c r="K426" i="2"/>
  <c r="E426" i="2"/>
  <c r="AC425" i="2"/>
  <c r="W425" i="2"/>
  <c r="Q425" i="2"/>
  <c r="K425" i="2"/>
  <c r="E425" i="2"/>
  <c r="AC424" i="2"/>
  <c r="W424" i="2"/>
  <c r="Q424" i="2"/>
  <c r="K424" i="2"/>
  <c r="E424" i="2"/>
  <c r="AC423" i="2"/>
  <c r="W423" i="2"/>
  <c r="Q423" i="2"/>
  <c r="K423" i="2"/>
  <c r="E423" i="2"/>
  <c r="AC422" i="2"/>
  <c r="W422" i="2"/>
  <c r="Q422" i="2"/>
  <c r="K422" i="2"/>
  <c r="E422" i="2"/>
  <c r="AC421" i="2"/>
  <c r="W421" i="2"/>
  <c r="Q421" i="2"/>
  <c r="K421" i="2"/>
  <c r="E421" i="2"/>
  <c r="AC420" i="2"/>
  <c r="W420" i="2"/>
  <c r="Q420" i="2"/>
  <c r="K420" i="2"/>
  <c r="E420" i="2"/>
  <c r="AC419" i="2"/>
  <c r="W419" i="2"/>
  <c r="Q419" i="2"/>
  <c r="K419" i="2"/>
  <c r="E419" i="2"/>
  <c r="AC418" i="2"/>
  <c r="W418" i="2"/>
  <c r="Q418" i="2"/>
  <c r="K418" i="2"/>
  <c r="E418" i="2"/>
  <c r="AC417" i="2"/>
  <c r="W417" i="2"/>
  <c r="Q417" i="2"/>
  <c r="K417" i="2"/>
  <c r="E417" i="2"/>
  <c r="AC416" i="2"/>
  <c r="W416" i="2"/>
  <c r="Q416" i="2"/>
  <c r="K416" i="2"/>
  <c r="E416" i="2"/>
  <c r="AC415" i="2"/>
  <c r="W415" i="2"/>
  <c r="Q415" i="2"/>
  <c r="K415" i="2"/>
  <c r="E415" i="2"/>
  <c r="AC414" i="2"/>
  <c r="W414" i="2"/>
  <c r="Q414" i="2"/>
  <c r="K414" i="2"/>
  <c r="E414" i="2"/>
  <c r="AC413" i="2"/>
  <c r="W413" i="2"/>
  <c r="Q413" i="2"/>
  <c r="K413" i="2"/>
  <c r="E413" i="2"/>
  <c r="AC412" i="2"/>
  <c r="W412" i="2"/>
  <c r="Q412" i="2"/>
  <c r="K412" i="2"/>
  <c r="E412" i="2"/>
  <c r="AC411" i="2"/>
  <c r="W411" i="2"/>
  <c r="Q411" i="2"/>
  <c r="K411" i="2"/>
  <c r="E411" i="2"/>
  <c r="AC410" i="2"/>
  <c r="W410" i="2"/>
  <c r="Q410" i="2"/>
  <c r="K410" i="2"/>
  <c r="E410" i="2"/>
  <c r="AC409" i="2"/>
  <c r="W409" i="2"/>
  <c r="Q409" i="2"/>
  <c r="K409" i="2"/>
  <c r="E409" i="2"/>
  <c r="AC408" i="2"/>
  <c r="W408" i="2"/>
  <c r="Q408" i="2"/>
  <c r="K408" i="2"/>
  <c r="E408" i="2"/>
  <c r="AC407" i="2"/>
  <c r="W407" i="2"/>
  <c r="Q407" i="2"/>
  <c r="K407" i="2"/>
  <c r="E407" i="2"/>
  <c r="AC406" i="2"/>
  <c r="W406" i="2"/>
  <c r="Q406" i="2"/>
  <c r="K406" i="2"/>
  <c r="E406" i="2"/>
  <c r="AC405" i="2"/>
  <c r="W405" i="2"/>
  <c r="Q405" i="2"/>
  <c r="K405" i="2"/>
  <c r="E405" i="2"/>
  <c r="AC404" i="2"/>
  <c r="W404" i="2"/>
  <c r="Q404" i="2"/>
  <c r="K404" i="2"/>
  <c r="E404" i="2"/>
  <c r="AC403" i="2"/>
  <c r="W403" i="2"/>
  <c r="Q403" i="2"/>
  <c r="K403" i="2"/>
  <c r="E403" i="2"/>
  <c r="AC402" i="2"/>
  <c r="W402" i="2"/>
  <c r="Q402" i="2"/>
  <c r="K402" i="2"/>
  <c r="E402" i="2"/>
  <c r="AC401" i="2"/>
  <c r="W401" i="2"/>
  <c r="Q401" i="2"/>
  <c r="K401" i="2"/>
  <c r="E401" i="2"/>
  <c r="AC400" i="2"/>
  <c r="W400" i="2"/>
  <c r="Q400" i="2"/>
  <c r="K400" i="2"/>
  <c r="E400" i="2"/>
  <c r="AC399" i="2"/>
  <c r="W399" i="2"/>
  <c r="Q399" i="2"/>
  <c r="K399" i="2"/>
  <c r="E399" i="2"/>
  <c r="AC398" i="2"/>
  <c r="W398" i="2"/>
  <c r="Q398" i="2"/>
  <c r="K398" i="2"/>
  <c r="E398" i="2"/>
  <c r="AC397" i="2"/>
  <c r="W397" i="2"/>
  <c r="Q397" i="2"/>
  <c r="K397" i="2"/>
  <c r="E397" i="2"/>
  <c r="AC396" i="2"/>
  <c r="W396" i="2"/>
  <c r="Q396" i="2"/>
  <c r="K396" i="2"/>
  <c r="E396" i="2"/>
  <c r="AC395" i="2"/>
  <c r="W395" i="2"/>
  <c r="Q395" i="2"/>
  <c r="K395" i="2"/>
  <c r="E395" i="2"/>
  <c r="AC394" i="2"/>
  <c r="W394" i="2"/>
  <c r="Q394" i="2"/>
  <c r="K394" i="2"/>
  <c r="E394" i="2"/>
  <c r="AC393" i="2"/>
  <c r="W393" i="2"/>
  <c r="Q393" i="2"/>
  <c r="K393" i="2"/>
  <c r="E393" i="2"/>
  <c r="AC392" i="2"/>
  <c r="W392" i="2"/>
  <c r="Q392" i="2"/>
  <c r="K392" i="2"/>
  <c r="E392" i="2"/>
  <c r="AC391" i="2"/>
  <c r="W391" i="2"/>
  <c r="Q391" i="2"/>
  <c r="K391" i="2"/>
  <c r="E391" i="2"/>
  <c r="AC390" i="2"/>
  <c r="W390" i="2"/>
  <c r="Q390" i="2"/>
  <c r="K390" i="2"/>
  <c r="E390" i="2"/>
  <c r="AC389" i="2"/>
  <c r="W389" i="2"/>
  <c r="Q389" i="2"/>
  <c r="K389" i="2"/>
  <c r="E389" i="2"/>
  <c r="AC388" i="2"/>
  <c r="W388" i="2"/>
  <c r="Q388" i="2"/>
  <c r="K388" i="2"/>
  <c r="E388" i="2"/>
  <c r="AC387" i="2"/>
  <c r="W387" i="2"/>
  <c r="Q387" i="2"/>
  <c r="K387" i="2"/>
  <c r="E387" i="2"/>
  <c r="AC386" i="2"/>
  <c r="W386" i="2"/>
  <c r="Q386" i="2"/>
  <c r="K386" i="2"/>
  <c r="E386" i="2"/>
  <c r="AC385" i="2"/>
  <c r="W385" i="2"/>
  <c r="Q385" i="2"/>
  <c r="K385" i="2"/>
  <c r="E385" i="2"/>
  <c r="AC384" i="2"/>
  <c r="W384" i="2"/>
  <c r="Q384" i="2"/>
  <c r="K384" i="2"/>
  <c r="E384" i="2"/>
  <c r="AC383" i="2"/>
  <c r="W383" i="2"/>
  <c r="Q383" i="2"/>
  <c r="K383" i="2"/>
  <c r="E383" i="2"/>
  <c r="AC382" i="2"/>
  <c r="W382" i="2"/>
  <c r="Q382" i="2"/>
  <c r="K382" i="2"/>
  <c r="E382" i="2"/>
  <c r="AC381" i="2"/>
  <c r="W381" i="2"/>
  <c r="Q381" i="2"/>
  <c r="K381" i="2"/>
  <c r="E381" i="2"/>
  <c r="AC380" i="2"/>
  <c r="W380" i="2"/>
  <c r="Q380" i="2"/>
  <c r="K380" i="2"/>
  <c r="E380" i="2"/>
  <c r="AC379" i="2"/>
  <c r="W379" i="2"/>
  <c r="Q379" i="2"/>
  <c r="K379" i="2"/>
  <c r="E379" i="2"/>
  <c r="AC378" i="2"/>
  <c r="W378" i="2"/>
  <c r="Q378" i="2"/>
  <c r="K378" i="2"/>
  <c r="E378" i="2"/>
  <c r="AC377" i="2"/>
  <c r="W377" i="2"/>
  <c r="Q377" i="2"/>
  <c r="K377" i="2"/>
  <c r="E377" i="2"/>
  <c r="AC376" i="2"/>
  <c r="W376" i="2"/>
  <c r="Q376" i="2"/>
  <c r="K376" i="2"/>
  <c r="E376" i="2"/>
  <c r="AC375" i="2"/>
  <c r="W375" i="2"/>
  <c r="Q375" i="2"/>
  <c r="K375" i="2"/>
  <c r="E375" i="2"/>
  <c r="AC374" i="2"/>
  <c r="W374" i="2"/>
  <c r="Q374" i="2"/>
  <c r="K374" i="2"/>
  <c r="E374" i="2"/>
  <c r="AC373" i="2"/>
  <c r="W373" i="2"/>
  <c r="Q373" i="2"/>
  <c r="K373" i="2"/>
  <c r="E373" i="2"/>
  <c r="AC372" i="2"/>
  <c r="W372" i="2"/>
  <c r="Q372" i="2"/>
  <c r="K372" i="2"/>
  <c r="E372" i="2"/>
  <c r="AC371" i="2"/>
  <c r="W371" i="2"/>
  <c r="Q371" i="2"/>
  <c r="K371" i="2"/>
  <c r="E371" i="2"/>
  <c r="AC370" i="2"/>
  <c r="W370" i="2"/>
  <c r="Q370" i="2"/>
  <c r="K370" i="2"/>
  <c r="E370" i="2"/>
  <c r="AC369" i="2"/>
  <c r="W369" i="2"/>
  <c r="Q369" i="2"/>
  <c r="K369" i="2"/>
  <c r="E369" i="2"/>
  <c r="AC368" i="2"/>
  <c r="W368" i="2"/>
  <c r="Q368" i="2"/>
  <c r="K368" i="2"/>
  <c r="E368" i="2"/>
  <c r="AC367" i="2"/>
  <c r="W367" i="2"/>
  <c r="Q367" i="2"/>
  <c r="K367" i="2"/>
  <c r="E367" i="2"/>
  <c r="AC366" i="2"/>
  <c r="W366" i="2"/>
  <c r="Q366" i="2"/>
  <c r="K366" i="2"/>
  <c r="E366" i="2"/>
  <c r="AC365" i="2"/>
  <c r="W365" i="2"/>
  <c r="Q365" i="2"/>
  <c r="K365" i="2"/>
  <c r="E365" i="2"/>
  <c r="AC364" i="2"/>
  <c r="W364" i="2"/>
  <c r="Q364" i="2"/>
  <c r="K364" i="2"/>
  <c r="E364" i="2"/>
  <c r="AC363" i="2"/>
  <c r="W363" i="2"/>
  <c r="Q363" i="2"/>
  <c r="K363" i="2"/>
  <c r="E363" i="2"/>
  <c r="AC362" i="2"/>
  <c r="W362" i="2"/>
  <c r="Q362" i="2"/>
  <c r="K362" i="2"/>
  <c r="E362" i="2"/>
  <c r="AC361" i="2"/>
  <c r="W361" i="2"/>
  <c r="Q361" i="2"/>
  <c r="K361" i="2"/>
  <c r="E361" i="2"/>
  <c r="AC360" i="2"/>
  <c r="W360" i="2"/>
  <c r="Q360" i="2"/>
  <c r="K360" i="2"/>
  <c r="E360" i="2"/>
  <c r="AC359" i="2"/>
  <c r="W359" i="2"/>
  <c r="Q359" i="2"/>
  <c r="K359" i="2"/>
  <c r="E359" i="2"/>
  <c r="AC358" i="2"/>
  <c r="W358" i="2"/>
  <c r="Q358" i="2"/>
  <c r="K358" i="2"/>
  <c r="E358" i="2"/>
  <c r="AC357" i="2"/>
  <c r="W357" i="2"/>
  <c r="Q357" i="2"/>
  <c r="K357" i="2"/>
  <c r="E357" i="2"/>
  <c r="AC356" i="2"/>
  <c r="W356" i="2"/>
  <c r="Q356" i="2"/>
  <c r="K356" i="2"/>
  <c r="E356" i="2"/>
  <c r="AC355" i="2"/>
  <c r="W355" i="2"/>
  <c r="Q355" i="2"/>
  <c r="K355" i="2"/>
  <c r="E355" i="2"/>
  <c r="AC354" i="2"/>
  <c r="W354" i="2"/>
  <c r="Q354" i="2"/>
  <c r="K354" i="2"/>
  <c r="E354" i="2"/>
  <c r="AC353" i="2"/>
  <c r="W353" i="2"/>
  <c r="Q353" i="2"/>
  <c r="K353" i="2"/>
  <c r="E353" i="2"/>
  <c r="AC352" i="2"/>
  <c r="W352" i="2"/>
  <c r="Q352" i="2"/>
  <c r="K352" i="2"/>
  <c r="E352" i="2"/>
  <c r="AC351" i="2"/>
  <c r="W351" i="2"/>
  <c r="Q351" i="2"/>
  <c r="K351" i="2"/>
  <c r="E351" i="2"/>
  <c r="AC350" i="2"/>
  <c r="W350" i="2"/>
  <c r="Q350" i="2"/>
  <c r="K350" i="2"/>
  <c r="E350" i="2"/>
  <c r="AC349" i="2"/>
  <c r="W349" i="2"/>
  <c r="Q349" i="2"/>
  <c r="K349" i="2"/>
  <c r="E349" i="2"/>
  <c r="AC348" i="2"/>
  <c r="W348" i="2"/>
  <c r="Q348" i="2"/>
  <c r="K348" i="2"/>
  <c r="E348" i="2"/>
  <c r="AC347" i="2"/>
  <c r="W347" i="2"/>
  <c r="Q347" i="2"/>
  <c r="K347" i="2"/>
  <c r="E347" i="2"/>
  <c r="AC346" i="2"/>
  <c r="W346" i="2"/>
  <c r="Q346" i="2"/>
  <c r="K346" i="2"/>
  <c r="E346" i="2"/>
  <c r="AC345" i="2"/>
  <c r="W345" i="2"/>
  <c r="Q345" i="2"/>
  <c r="K345" i="2"/>
  <c r="E345" i="2"/>
  <c r="AC344" i="2"/>
  <c r="W344" i="2"/>
  <c r="Q344" i="2"/>
  <c r="K344" i="2"/>
  <c r="E344" i="2"/>
  <c r="AC343" i="2"/>
  <c r="W343" i="2"/>
  <c r="Q343" i="2"/>
  <c r="K343" i="2"/>
  <c r="E343" i="2"/>
  <c r="AC342" i="2"/>
  <c r="W342" i="2"/>
  <c r="Q342" i="2"/>
  <c r="K342" i="2"/>
  <c r="E342" i="2"/>
  <c r="AC341" i="2"/>
  <c r="W341" i="2"/>
  <c r="Q341" i="2"/>
  <c r="K341" i="2"/>
  <c r="E341" i="2"/>
  <c r="AC340" i="2"/>
  <c r="W340" i="2"/>
  <c r="Q340" i="2"/>
  <c r="K340" i="2"/>
  <c r="E340" i="2"/>
  <c r="AC339" i="2"/>
  <c r="W339" i="2"/>
  <c r="Q339" i="2"/>
  <c r="K339" i="2"/>
  <c r="E339" i="2"/>
  <c r="AC338" i="2"/>
  <c r="W338" i="2"/>
  <c r="Q338" i="2"/>
  <c r="K338" i="2"/>
  <c r="E338" i="2"/>
  <c r="AC337" i="2"/>
  <c r="W337" i="2"/>
  <c r="Q337" i="2"/>
  <c r="K337" i="2"/>
  <c r="E337" i="2"/>
  <c r="AC336" i="2"/>
  <c r="W336" i="2"/>
  <c r="Q336" i="2"/>
  <c r="K336" i="2"/>
  <c r="E336" i="2"/>
  <c r="AC335" i="2"/>
  <c r="W335" i="2"/>
  <c r="Q335" i="2"/>
  <c r="K335" i="2"/>
  <c r="E335" i="2"/>
  <c r="AC334" i="2"/>
  <c r="W334" i="2"/>
  <c r="Q334" i="2"/>
  <c r="K334" i="2"/>
  <c r="E334" i="2"/>
  <c r="AC333" i="2"/>
  <c r="W333" i="2"/>
  <c r="Q333" i="2"/>
  <c r="K333" i="2"/>
  <c r="E333" i="2"/>
  <c r="AC332" i="2"/>
  <c r="W332" i="2"/>
  <c r="Q332" i="2"/>
  <c r="K332" i="2"/>
  <c r="E332" i="2"/>
  <c r="AC331" i="2"/>
  <c r="W331" i="2"/>
  <c r="Q331" i="2"/>
  <c r="K331" i="2"/>
  <c r="E331" i="2"/>
  <c r="AC330" i="2"/>
  <c r="W330" i="2"/>
  <c r="Q330" i="2"/>
  <c r="K330" i="2"/>
  <c r="E330" i="2"/>
  <c r="AC329" i="2"/>
  <c r="W329" i="2"/>
  <c r="Q329" i="2"/>
  <c r="K329" i="2"/>
  <c r="E329" i="2"/>
  <c r="AC328" i="2"/>
  <c r="W328" i="2"/>
  <c r="Q328" i="2"/>
  <c r="K328" i="2"/>
  <c r="E328" i="2"/>
  <c r="AC327" i="2"/>
  <c r="W327" i="2"/>
  <c r="Q327" i="2"/>
  <c r="K327" i="2"/>
  <c r="E327" i="2"/>
  <c r="AC326" i="2"/>
  <c r="W326" i="2"/>
  <c r="Q326" i="2"/>
  <c r="K326" i="2"/>
  <c r="E326" i="2"/>
  <c r="AC325" i="2"/>
  <c r="W325" i="2"/>
  <c r="Q325" i="2"/>
  <c r="K325" i="2"/>
  <c r="E325" i="2"/>
  <c r="AC324" i="2"/>
  <c r="W324" i="2"/>
  <c r="Q324" i="2"/>
  <c r="K324" i="2"/>
  <c r="E324" i="2"/>
  <c r="AC323" i="2"/>
  <c r="W323" i="2"/>
  <c r="Q323" i="2"/>
  <c r="K323" i="2"/>
  <c r="E323" i="2"/>
  <c r="AC322" i="2"/>
  <c r="W322" i="2"/>
  <c r="Q322" i="2"/>
  <c r="K322" i="2"/>
  <c r="E322" i="2"/>
  <c r="AC321" i="2"/>
  <c r="W321" i="2"/>
  <c r="Q321" i="2"/>
  <c r="K321" i="2"/>
  <c r="E321" i="2"/>
  <c r="AC320" i="2"/>
  <c r="W320" i="2"/>
  <c r="Q320" i="2"/>
  <c r="K320" i="2"/>
  <c r="E320" i="2"/>
  <c r="AC319" i="2"/>
  <c r="W319" i="2"/>
  <c r="Q319" i="2"/>
  <c r="K319" i="2"/>
  <c r="E319" i="2"/>
  <c r="AC318" i="2"/>
  <c r="W318" i="2"/>
  <c r="Q318" i="2"/>
  <c r="K318" i="2"/>
  <c r="E318" i="2"/>
  <c r="AC317" i="2"/>
  <c r="W317" i="2"/>
  <c r="Q317" i="2"/>
  <c r="K317" i="2"/>
  <c r="E317" i="2"/>
  <c r="AC316" i="2"/>
  <c r="W316" i="2"/>
  <c r="Q316" i="2"/>
  <c r="K316" i="2"/>
  <c r="E316" i="2"/>
  <c r="AC315" i="2"/>
  <c r="W315" i="2"/>
  <c r="Q315" i="2"/>
  <c r="K315" i="2"/>
  <c r="E315" i="2"/>
  <c r="AC314" i="2"/>
  <c r="W314" i="2"/>
  <c r="Q314" i="2"/>
  <c r="K314" i="2"/>
  <c r="E314" i="2"/>
  <c r="AC313" i="2"/>
  <c r="W313" i="2"/>
  <c r="Q313" i="2"/>
  <c r="K313" i="2"/>
  <c r="E313" i="2"/>
  <c r="AC312" i="2"/>
  <c r="W312" i="2"/>
  <c r="Q312" i="2"/>
  <c r="K312" i="2"/>
  <c r="E312" i="2"/>
  <c r="AC311" i="2"/>
  <c r="W311" i="2"/>
  <c r="Q311" i="2"/>
  <c r="K311" i="2"/>
  <c r="E311" i="2"/>
  <c r="AC310" i="2"/>
  <c r="W310" i="2"/>
  <c r="Q310" i="2"/>
  <c r="K310" i="2"/>
  <c r="E310" i="2"/>
  <c r="AC309" i="2"/>
  <c r="W309" i="2"/>
  <c r="Q309" i="2"/>
  <c r="K309" i="2"/>
  <c r="E309" i="2"/>
  <c r="AC308" i="2"/>
  <c r="W308" i="2"/>
  <c r="Q308" i="2"/>
  <c r="K308" i="2"/>
  <c r="E308" i="2"/>
  <c r="AC307" i="2"/>
  <c r="W307" i="2"/>
  <c r="Q307" i="2"/>
  <c r="K307" i="2"/>
  <c r="E307" i="2"/>
  <c r="AC306" i="2"/>
  <c r="W306" i="2"/>
  <c r="Q306" i="2"/>
  <c r="K306" i="2"/>
  <c r="E306" i="2"/>
  <c r="AC305" i="2"/>
  <c r="W305" i="2"/>
  <c r="Q305" i="2"/>
  <c r="K305" i="2"/>
  <c r="E305" i="2"/>
  <c r="AC304" i="2"/>
  <c r="W304" i="2"/>
  <c r="Q304" i="2"/>
  <c r="K304" i="2"/>
  <c r="E304" i="2"/>
  <c r="AC303" i="2"/>
  <c r="W303" i="2"/>
  <c r="Q303" i="2"/>
  <c r="K303" i="2"/>
  <c r="E303" i="2"/>
  <c r="AC302" i="2"/>
  <c r="W302" i="2"/>
  <c r="Q302" i="2"/>
  <c r="K302" i="2"/>
  <c r="E302" i="2"/>
  <c r="AC301" i="2"/>
  <c r="W301" i="2"/>
  <c r="Q301" i="2"/>
  <c r="K301" i="2"/>
  <c r="E301" i="2"/>
  <c r="AC300" i="2"/>
  <c r="W300" i="2"/>
  <c r="Q300" i="2"/>
  <c r="K300" i="2"/>
  <c r="E300" i="2"/>
  <c r="AC299" i="2"/>
  <c r="W299" i="2"/>
  <c r="Q299" i="2"/>
  <c r="K299" i="2"/>
  <c r="E299" i="2"/>
  <c r="AC298" i="2"/>
  <c r="W298" i="2"/>
  <c r="Q298" i="2"/>
  <c r="K298" i="2"/>
  <c r="E298" i="2"/>
  <c r="AC297" i="2"/>
  <c r="W297" i="2"/>
  <c r="Q297" i="2"/>
  <c r="K297" i="2"/>
  <c r="E297" i="2"/>
  <c r="AC296" i="2"/>
  <c r="W296" i="2"/>
  <c r="Q296" i="2"/>
  <c r="K296" i="2"/>
  <c r="E296" i="2"/>
  <c r="AC295" i="2"/>
  <c r="W295" i="2"/>
  <c r="Q295" i="2"/>
  <c r="K295" i="2"/>
  <c r="E295" i="2"/>
  <c r="AC294" i="2"/>
  <c r="W294" i="2"/>
  <c r="Q294" i="2"/>
  <c r="K294" i="2"/>
  <c r="E294" i="2"/>
  <c r="AC293" i="2"/>
  <c r="W293" i="2"/>
  <c r="Q293" i="2"/>
  <c r="K293" i="2"/>
  <c r="E293" i="2"/>
  <c r="AC292" i="2"/>
  <c r="W292" i="2"/>
  <c r="Q292" i="2"/>
  <c r="K292" i="2"/>
  <c r="E292" i="2"/>
  <c r="AC291" i="2"/>
  <c r="W291" i="2"/>
  <c r="Q291" i="2"/>
  <c r="K291" i="2"/>
  <c r="E291" i="2"/>
  <c r="AC290" i="2"/>
  <c r="W290" i="2"/>
  <c r="Q290" i="2"/>
  <c r="K290" i="2"/>
  <c r="E290" i="2"/>
  <c r="AC289" i="2"/>
  <c r="W289" i="2"/>
  <c r="Q289" i="2"/>
  <c r="K289" i="2"/>
  <c r="E289" i="2"/>
  <c r="AC288" i="2"/>
  <c r="W288" i="2"/>
  <c r="Q288" i="2"/>
  <c r="K288" i="2"/>
  <c r="E288" i="2"/>
  <c r="AC287" i="2"/>
  <c r="W287" i="2"/>
  <c r="Q287" i="2"/>
  <c r="K287" i="2"/>
  <c r="E287" i="2"/>
  <c r="AC286" i="2"/>
  <c r="W286" i="2"/>
  <c r="Q286" i="2"/>
  <c r="K286" i="2"/>
  <c r="E286" i="2"/>
  <c r="AC285" i="2"/>
  <c r="W285" i="2"/>
  <c r="Q285" i="2"/>
  <c r="K285" i="2"/>
  <c r="E285" i="2"/>
  <c r="AC284" i="2"/>
  <c r="W284" i="2"/>
  <c r="Q284" i="2"/>
  <c r="K284" i="2"/>
  <c r="E284" i="2"/>
  <c r="AC283" i="2"/>
  <c r="W283" i="2"/>
  <c r="Q283" i="2"/>
  <c r="K283" i="2"/>
  <c r="E283" i="2"/>
  <c r="AC282" i="2"/>
  <c r="W282" i="2"/>
  <c r="Q282" i="2"/>
  <c r="K282" i="2"/>
  <c r="E282" i="2"/>
  <c r="AC281" i="2"/>
  <c r="W281" i="2"/>
  <c r="Q281" i="2"/>
  <c r="K281" i="2"/>
  <c r="E281" i="2"/>
  <c r="AC280" i="2"/>
  <c r="W280" i="2"/>
  <c r="Q280" i="2"/>
  <c r="K280" i="2"/>
  <c r="E280" i="2"/>
  <c r="AC279" i="2"/>
  <c r="W279" i="2"/>
  <c r="Q279" i="2"/>
  <c r="K279" i="2"/>
  <c r="E279" i="2"/>
  <c r="AC278" i="2"/>
  <c r="W278" i="2"/>
  <c r="Q278" i="2"/>
  <c r="K278" i="2"/>
  <c r="E278" i="2"/>
  <c r="AC277" i="2"/>
  <c r="W277" i="2"/>
  <c r="Q277" i="2"/>
  <c r="K277" i="2"/>
  <c r="E277" i="2"/>
  <c r="AC276" i="2"/>
  <c r="W276" i="2"/>
  <c r="Q276" i="2"/>
  <c r="K276" i="2"/>
  <c r="E276" i="2"/>
  <c r="AC275" i="2"/>
  <c r="W275" i="2"/>
  <c r="Q275" i="2"/>
  <c r="K275" i="2"/>
  <c r="E275" i="2"/>
  <c r="AC274" i="2"/>
  <c r="W274" i="2"/>
  <c r="Q274" i="2"/>
  <c r="K274" i="2"/>
  <c r="E274" i="2"/>
  <c r="AC273" i="2"/>
  <c r="W273" i="2"/>
  <c r="Q273" i="2"/>
  <c r="K273" i="2"/>
  <c r="E273" i="2"/>
  <c r="AC272" i="2"/>
  <c r="W272" i="2"/>
  <c r="Q272" i="2"/>
  <c r="K272" i="2"/>
  <c r="E272" i="2"/>
  <c r="AC271" i="2"/>
  <c r="W271" i="2"/>
  <c r="Q271" i="2"/>
  <c r="K271" i="2"/>
  <c r="E271" i="2"/>
  <c r="AC270" i="2"/>
  <c r="W270" i="2"/>
  <c r="Q270" i="2"/>
  <c r="K270" i="2"/>
  <c r="E270" i="2"/>
  <c r="AC269" i="2"/>
  <c r="W269" i="2"/>
  <c r="Q269" i="2"/>
  <c r="K269" i="2"/>
  <c r="E269" i="2"/>
  <c r="AC268" i="2"/>
  <c r="W268" i="2"/>
  <c r="Q268" i="2"/>
  <c r="K268" i="2"/>
  <c r="E268" i="2"/>
  <c r="AC267" i="2"/>
  <c r="W267" i="2"/>
  <c r="Q267" i="2"/>
  <c r="K267" i="2"/>
  <c r="E267" i="2"/>
  <c r="AC266" i="2"/>
  <c r="W266" i="2"/>
  <c r="Q266" i="2"/>
  <c r="K266" i="2"/>
  <c r="E266" i="2"/>
  <c r="AC265" i="2"/>
  <c r="W265" i="2"/>
  <c r="Q265" i="2"/>
  <c r="K265" i="2"/>
  <c r="E265" i="2"/>
  <c r="AC264" i="2"/>
  <c r="W264" i="2"/>
  <c r="Q264" i="2"/>
  <c r="K264" i="2"/>
  <c r="E264" i="2"/>
  <c r="AC263" i="2"/>
  <c r="W263" i="2"/>
  <c r="Q263" i="2"/>
  <c r="K263" i="2"/>
  <c r="E263" i="2"/>
  <c r="AC262" i="2"/>
  <c r="W262" i="2"/>
  <c r="Q262" i="2"/>
  <c r="K262" i="2"/>
  <c r="E262" i="2"/>
  <c r="AC261" i="2"/>
  <c r="W261" i="2"/>
  <c r="Q261" i="2"/>
  <c r="K261" i="2"/>
  <c r="E261" i="2"/>
  <c r="AC260" i="2"/>
  <c r="W260" i="2"/>
  <c r="Q260" i="2"/>
  <c r="K260" i="2"/>
  <c r="E260" i="2"/>
  <c r="AC259" i="2"/>
  <c r="W259" i="2"/>
  <c r="Q259" i="2"/>
  <c r="K259" i="2"/>
  <c r="E259" i="2"/>
  <c r="AC258" i="2"/>
  <c r="W258" i="2"/>
  <c r="Q258" i="2"/>
  <c r="K258" i="2"/>
  <c r="E258" i="2"/>
  <c r="AC257" i="2"/>
  <c r="W257" i="2"/>
  <c r="Q257" i="2"/>
  <c r="K257" i="2"/>
  <c r="E257" i="2"/>
  <c r="AC256" i="2"/>
  <c r="W256" i="2"/>
  <c r="Q256" i="2"/>
  <c r="K256" i="2"/>
  <c r="E256" i="2"/>
  <c r="AC255" i="2"/>
  <c r="W255" i="2"/>
  <c r="Q255" i="2"/>
  <c r="K255" i="2"/>
  <c r="E255" i="2"/>
  <c r="AC254" i="2"/>
  <c r="W254" i="2"/>
  <c r="Q254" i="2"/>
  <c r="K254" i="2"/>
  <c r="E254" i="2"/>
  <c r="AC253" i="2"/>
  <c r="W253" i="2"/>
  <c r="Q253" i="2"/>
  <c r="K253" i="2"/>
  <c r="E253" i="2"/>
  <c r="AC252" i="2"/>
  <c r="W252" i="2"/>
  <c r="Q252" i="2"/>
  <c r="K252" i="2"/>
  <c r="E252" i="2"/>
  <c r="AC251" i="2"/>
  <c r="W251" i="2"/>
  <c r="Q251" i="2"/>
  <c r="K251" i="2"/>
  <c r="E251" i="2"/>
  <c r="AC250" i="2"/>
  <c r="W250" i="2"/>
  <c r="Q250" i="2"/>
  <c r="K250" i="2"/>
  <c r="E250" i="2"/>
  <c r="AC249" i="2"/>
  <c r="W249" i="2"/>
  <c r="Q249" i="2"/>
  <c r="K249" i="2"/>
  <c r="E249" i="2"/>
  <c r="AC248" i="2"/>
  <c r="W248" i="2"/>
  <c r="Q248" i="2"/>
  <c r="K248" i="2"/>
  <c r="E248" i="2"/>
  <c r="AC247" i="2"/>
  <c r="W247" i="2"/>
  <c r="Q247" i="2"/>
  <c r="K247" i="2"/>
  <c r="E247" i="2"/>
  <c r="AC246" i="2"/>
  <c r="W246" i="2"/>
  <c r="Q246" i="2"/>
  <c r="K246" i="2"/>
  <c r="E246" i="2"/>
  <c r="AC245" i="2"/>
  <c r="W245" i="2"/>
  <c r="Q245" i="2"/>
  <c r="K245" i="2"/>
  <c r="E245" i="2"/>
  <c r="AC244" i="2"/>
  <c r="W244" i="2"/>
  <c r="Q244" i="2"/>
  <c r="K244" i="2"/>
  <c r="E244" i="2"/>
  <c r="AC243" i="2"/>
  <c r="W243" i="2"/>
  <c r="Q243" i="2"/>
  <c r="K243" i="2"/>
  <c r="E243" i="2"/>
  <c r="AC242" i="2"/>
  <c r="W242" i="2"/>
  <c r="Q242" i="2"/>
  <c r="K242" i="2"/>
  <c r="E242" i="2"/>
  <c r="AC241" i="2"/>
  <c r="W241" i="2"/>
  <c r="Q241" i="2"/>
  <c r="K241" i="2"/>
  <c r="E241" i="2"/>
  <c r="AC240" i="2"/>
  <c r="W240" i="2"/>
  <c r="Q240" i="2"/>
  <c r="K240" i="2"/>
  <c r="E240" i="2"/>
  <c r="AC239" i="2"/>
  <c r="W239" i="2"/>
  <c r="Q239" i="2"/>
  <c r="K239" i="2"/>
  <c r="E239" i="2"/>
  <c r="AC238" i="2"/>
  <c r="W238" i="2"/>
  <c r="Q238" i="2"/>
  <c r="K238" i="2"/>
  <c r="E238" i="2"/>
  <c r="AC237" i="2"/>
  <c r="W237" i="2"/>
  <c r="Q237" i="2"/>
  <c r="K237" i="2"/>
  <c r="E237" i="2"/>
  <c r="AC236" i="2"/>
  <c r="W236" i="2"/>
  <c r="Q236" i="2"/>
  <c r="K236" i="2"/>
  <c r="E236" i="2"/>
  <c r="AC235" i="2"/>
  <c r="W235" i="2"/>
  <c r="Q235" i="2"/>
  <c r="K235" i="2"/>
  <c r="E235" i="2"/>
  <c r="AC234" i="2"/>
  <c r="W234" i="2"/>
  <c r="Q234" i="2"/>
  <c r="K234" i="2"/>
  <c r="E234" i="2"/>
  <c r="AC233" i="2"/>
  <c r="W233" i="2"/>
  <c r="Q233" i="2"/>
  <c r="K233" i="2"/>
  <c r="E233" i="2"/>
  <c r="AC232" i="2"/>
  <c r="W232" i="2"/>
  <c r="Q232" i="2"/>
  <c r="K232" i="2"/>
  <c r="E232" i="2"/>
  <c r="AC231" i="2"/>
  <c r="W231" i="2"/>
  <c r="Q231" i="2"/>
  <c r="K231" i="2"/>
  <c r="E231" i="2"/>
  <c r="AC230" i="2"/>
  <c r="W230" i="2"/>
  <c r="Q230" i="2"/>
  <c r="K230" i="2"/>
  <c r="E230" i="2"/>
  <c r="AC229" i="2"/>
  <c r="W229" i="2"/>
  <c r="Q229" i="2"/>
  <c r="K229" i="2"/>
  <c r="E229" i="2"/>
  <c r="AC228" i="2"/>
  <c r="W228" i="2"/>
  <c r="Q228" i="2"/>
  <c r="K228" i="2"/>
  <c r="E228" i="2"/>
  <c r="AC227" i="2"/>
  <c r="W227" i="2"/>
  <c r="Q227" i="2"/>
  <c r="K227" i="2"/>
  <c r="E227" i="2"/>
  <c r="AC226" i="2"/>
  <c r="W226" i="2"/>
  <c r="Q226" i="2"/>
  <c r="K226" i="2"/>
  <c r="E226" i="2"/>
  <c r="AC225" i="2"/>
  <c r="W225" i="2"/>
  <c r="Q225" i="2"/>
  <c r="K225" i="2"/>
  <c r="E225" i="2"/>
  <c r="AC224" i="2"/>
  <c r="W224" i="2"/>
  <c r="Q224" i="2"/>
  <c r="K224" i="2"/>
  <c r="E224" i="2"/>
  <c r="AC223" i="2"/>
  <c r="W223" i="2"/>
  <c r="Q223" i="2"/>
  <c r="K223" i="2"/>
  <c r="E223" i="2"/>
  <c r="AC222" i="2"/>
  <c r="W222" i="2"/>
  <c r="Q222" i="2"/>
  <c r="K222" i="2"/>
  <c r="E222" i="2"/>
  <c r="AC221" i="2"/>
  <c r="W221" i="2"/>
  <c r="Q221" i="2"/>
  <c r="K221" i="2"/>
  <c r="E221" i="2"/>
  <c r="AC220" i="2"/>
  <c r="W220" i="2"/>
  <c r="Q220" i="2"/>
  <c r="K220" i="2"/>
  <c r="E220" i="2"/>
  <c r="AC219" i="2"/>
  <c r="W219" i="2"/>
  <c r="Q219" i="2"/>
  <c r="K219" i="2"/>
  <c r="E219" i="2"/>
  <c r="AC218" i="2"/>
  <c r="W218" i="2"/>
  <c r="Q218" i="2"/>
  <c r="K218" i="2"/>
  <c r="E218" i="2"/>
  <c r="AC217" i="2"/>
  <c r="W217" i="2"/>
  <c r="Q217" i="2"/>
  <c r="K217" i="2"/>
  <c r="E217" i="2"/>
  <c r="AC216" i="2"/>
  <c r="W216" i="2"/>
  <c r="Q216" i="2"/>
  <c r="K216" i="2"/>
  <c r="E216" i="2"/>
  <c r="AC215" i="2"/>
  <c r="W215" i="2"/>
  <c r="Q215" i="2"/>
  <c r="K215" i="2"/>
  <c r="E215" i="2"/>
  <c r="AC214" i="2"/>
  <c r="W214" i="2"/>
  <c r="Q214" i="2"/>
  <c r="K214" i="2"/>
  <c r="E214" i="2"/>
  <c r="AC213" i="2"/>
  <c r="W213" i="2"/>
  <c r="Q213" i="2"/>
  <c r="K213" i="2"/>
  <c r="E213" i="2"/>
  <c r="AC212" i="2"/>
  <c r="W212" i="2"/>
  <c r="Q212" i="2"/>
  <c r="K212" i="2"/>
  <c r="E212" i="2"/>
  <c r="AC211" i="2"/>
  <c r="W211" i="2"/>
  <c r="Q211" i="2"/>
  <c r="K211" i="2"/>
  <c r="E211" i="2"/>
  <c r="AC210" i="2"/>
  <c r="W210" i="2"/>
  <c r="Q210" i="2"/>
  <c r="K210" i="2"/>
  <c r="E210" i="2"/>
  <c r="AC209" i="2"/>
  <c r="W209" i="2"/>
  <c r="Q209" i="2"/>
  <c r="K209" i="2"/>
  <c r="E209" i="2"/>
  <c r="AC208" i="2"/>
  <c r="W208" i="2"/>
  <c r="Q208" i="2"/>
  <c r="K208" i="2"/>
  <c r="E208" i="2"/>
  <c r="AC207" i="2"/>
  <c r="W207" i="2"/>
  <c r="Q207" i="2"/>
  <c r="K207" i="2"/>
  <c r="E207" i="2"/>
  <c r="AC206" i="2"/>
  <c r="W206" i="2"/>
  <c r="Q206" i="2"/>
  <c r="K206" i="2"/>
  <c r="E206" i="2"/>
  <c r="AC205" i="2"/>
  <c r="W205" i="2"/>
  <c r="Q205" i="2"/>
  <c r="K205" i="2"/>
  <c r="E205" i="2"/>
  <c r="AC204" i="2"/>
  <c r="W204" i="2"/>
  <c r="Q204" i="2"/>
  <c r="K204" i="2"/>
  <c r="E204" i="2"/>
  <c r="AC203" i="2"/>
  <c r="W203" i="2"/>
  <c r="Q203" i="2"/>
  <c r="K203" i="2"/>
  <c r="E203" i="2"/>
  <c r="AC202" i="2"/>
  <c r="W202" i="2"/>
  <c r="Q202" i="2"/>
  <c r="K202" i="2"/>
  <c r="E202" i="2"/>
  <c r="AC201" i="2"/>
  <c r="W201" i="2"/>
  <c r="Q201" i="2"/>
  <c r="K201" i="2"/>
  <c r="E201" i="2"/>
  <c r="AC200" i="2"/>
  <c r="W200" i="2"/>
  <c r="Q200" i="2"/>
  <c r="K200" i="2"/>
  <c r="E200" i="2"/>
  <c r="AC199" i="2"/>
  <c r="W199" i="2"/>
  <c r="Q199" i="2"/>
  <c r="K199" i="2"/>
  <c r="E199" i="2"/>
  <c r="AC198" i="2"/>
  <c r="W198" i="2"/>
  <c r="Q198" i="2"/>
  <c r="K198" i="2"/>
  <c r="E198" i="2"/>
  <c r="AC197" i="2"/>
  <c r="W197" i="2"/>
  <c r="Q197" i="2"/>
  <c r="K197" i="2"/>
  <c r="E197" i="2"/>
  <c r="AC196" i="2"/>
  <c r="W196" i="2"/>
  <c r="Q196" i="2"/>
  <c r="K196" i="2"/>
  <c r="E196" i="2"/>
  <c r="AC195" i="2"/>
  <c r="W195" i="2"/>
  <c r="Q195" i="2"/>
  <c r="K195" i="2"/>
  <c r="E195" i="2"/>
  <c r="AC194" i="2"/>
  <c r="W194" i="2"/>
  <c r="Q194" i="2"/>
  <c r="K194" i="2"/>
  <c r="E194" i="2"/>
  <c r="AC193" i="2"/>
  <c r="W193" i="2"/>
  <c r="Q193" i="2"/>
  <c r="K193" i="2"/>
  <c r="E193" i="2"/>
  <c r="AC192" i="2"/>
  <c r="W192" i="2"/>
  <c r="Q192" i="2"/>
  <c r="K192" i="2"/>
  <c r="E192" i="2"/>
  <c r="AC191" i="2"/>
  <c r="W191" i="2"/>
  <c r="Q191" i="2"/>
  <c r="K191" i="2"/>
  <c r="E191" i="2"/>
  <c r="AC190" i="2"/>
  <c r="W190" i="2"/>
  <c r="Q190" i="2"/>
  <c r="K190" i="2"/>
  <c r="E190" i="2"/>
  <c r="AC189" i="2"/>
  <c r="W189" i="2"/>
  <c r="Q189" i="2"/>
  <c r="K189" i="2"/>
  <c r="E189" i="2"/>
  <c r="AC188" i="2"/>
  <c r="W188" i="2"/>
  <c r="Q188" i="2"/>
  <c r="K188" i="2"/>
  <c r="E188" i="2"/>
  <c r="AC187" i="2"/>
  <c r="W187" i="2"/>
  <c r="Q187" i="2"/>
  <c r="K187" i="2"/>
  <c r="E187" i="2"/>
  <c r="AC186" i="2"/>
  <c r="W186" i="2"/>
  <c r="Q186" i="2"/>
  <c r="K186" i="2"/>
  <c r="E186" i="2"/>
  <c r="AC185" i="2"/>
  <c r="W185" i="2"/>
  <c r="Q185" i="2"/>
  <c r="K185" i="2"/>
  <c r="E185" i="2"/>
  <c r="AC184" i="2"/>
  <c r="W184" i="2"/>
  <c r="Q184" i="2"/>
  <c r="K184" i="2"/>
  <c r="E184" i="2"/>
  <c r="AC183" i="2"/>
  <c r="W183" i="2"/>
  <c r="Q183" i="2"/>
  <c r="K183" i="2"/>
  <c r="E183" i="2"/>
  <c r="AC182" i="2"/>
  <c r="W182" i="2"/>
  <c r="Q182" i="2"/>
  <c r="K182" i="2"/>
  <c r="E182" i="2"/>
  <c r="AC181" i="2"/>
  <c r="W181" i="2"/>
  <c r="Q181" i="2"/>
  <c r="K181" i="2"/>
  <c r="E181" i="2"/>
  <c r="AC180" i="2"/>
  <c r="W180" i="2"/>
  <c r="Q180" i="2"/>
  <c r="K180" i="2"/>
  <c r="E180" i="2"/>
  <c r="AC179" i="2"/>
  <c r="W179" i="2"/>
  <c r="Q179" i="2"/>
  <c r="K179" i="2"/>
  <c r="E179" i="2"/>
  <c r="AC178" i="2"/>
  <c r="W178" i="2"/>
  <c r="Q178" i="2"/>
  <c r="K178" i="2"/>
  <c r="E178" i="2"/>
  <c r="AC177" i="2"/>
  <c r="W177" i="2"/>
  <c r="Q177" i="2"/>
  <c r="K177" i="2"/>
  <c r="E177" i="2"/>
  <c r="AC176" i="2"/>
  <c r="W176" i="2"/>
  <c r="Q176" i="2"/>
  <c r="K176" i="2"/>
  <c r="E176" i="2"/>
  <c r="AC175" i="2"/>
  <c r="W175" i="2"/>
  <c r="Q175" i="2"/>
  <c r="K175" i="2"/>
  <c r="E175" i="2"/>
  <c r="AC174" i="2"/>
  <c r="W174" i="2"/>
  <c r="Q174" i="2"/>
  <c r="K174" i="2"/>
  <c r="E174" i="2"/>
  <c r="AC173" i="2"/>
  <c r="W173" i="2"/>
  <c r="Q173" i="2"/>
  <c r="K173" i="2"/>
  <c r="E173" i="2"/>
  <c r="AC172" i="2"/>
  <c r="W172" i="2"/>
  <c r="Q172" i="2"/>
  <c r="K172" i="2"/>
  <c r="E172" i="2"/>
  <c r="AC171" i="2"/>
  <c r="W171" i="2"/>
  <c r="Q171" i="2"/>
  <c r="K171" i="2"/>
  <c r="E171" i="2"/>
  <c r="AC170" i="2"/>
  <c r="W170" i="2"/>
  <c r="Q170" i="2"/>
  <c r="K170" i="2"/>
  <c r="E170" i="2"/>
  <c r="AC169" i="2"/>
  <c r="W169" i="2"/>
  <c r="Q169" i="2"/>
  <c r="K169" i="2"/>
  <c r="E169" i="2"/>
  <c r="AC168" i="2"/>
  <c r="W168" i="2"/>
  <c r="Q168" i="2"/>
  <c r="K168" i="2"/>
  <c r="E168" i="2"/>
  <c r="AC167" i="2"/>
  <c r="W167" i="2"/>
  <c r="Q167" i="2"/>
  <c r="K167" i="2"/>
  <c r="E167" i="2"/>
  <c r="AC166" i="2"/>
  <c r="W166" i="2"/>
  <c r="Q166" i="2"/>
  <c r="K166" i="2"/>
  <c r="E166" i="2"/>
  <c r="AC165" i="2"/>
  <c r="W165" i="2"/>
  <c r="Q165" i="2"/>
  <c r="K165" i="2"/>
  <c r="E165" i="2"/>
  <c r="AC164" i="2"/>
  <c r="W164" i="2"/>
  <c r="Q164" i="2"/>
  <c r="K164" i="2"/>
  <c r="E164" i="2"/>
  <c r="AC163" i="2"/>
  <c r="W163" i="2"/>
  <c r="Q163" i="2"/>
  <c r="K163" i="2"/>
  <c r="E163" i="2"/>
  <c r="AC162" i="2"/>
  <c r="W162" i="2"/>
  <c r="Q162" i="2"/>
  <c r="K162" i="2"/>
  <c r="E162" i="2"/>
  <c r="AC161" i="2"/>
  <c r="W161" i="2"/>
  <c r="Q161" i="2"/>
  <c r="K161" i="2"/>
  <c r="E161" i="2"/>
  <c r="AC160" i="2"/>
  <c r="W160" i="2"/>
  <c r="Q160" i="2"/>
  <c r="K160" i="2"/>
  <c r="E160" i="2"/>
  <c r="AC159" i="2"/>
  <c r="W159" i="2"/>
  <c r="Q159" i="2"/>
  <c r="K159" i="2"/>
  <c r="E159" i="2"/>
  <c r="AC158" i="2"/>
  <c r="W158" i="2"/>
  <c r="Q158" i="2"/>
  <c r="K158" i="2"/>
  <c r="E158" i="2"/>
  <c r="AC157" i="2"/>
  <c r="W157" i="2"/>
  <c r="Q157" i="2"/>
  <c r="K157" i="2"/>
  <c r="E157" i="2"/>
  <c r="AC156" i="2"/>
  <c r="W156" i="2"/>
  <c r="Q156" i="2"/>
  <c r="K156" i="2"/>
  <c r="E156" i="2"/>
  <c r="AC155" i="2"/>
  <c r="W155" i="2"/>
  <c r="Q155" i="2"/>
  <c r="K155" i="2"/>
  <c r="E155" i="2"/>
  <c r="AC154" i="2"/>
  <c r="W154" i="2"/>
  <c r="Q154" i="2"/>
  <c r="K154" i="2"/>
  <c r="E154" i="2"/>
  <c r="AC153" i="2"/>
  <c r="W153" i="2"/>
  <c r="Q153" i="2"/>
  <c r="K153" i="2"/>
  <c r="E153" i="2"/>
  <c r="AC152" i="2"/>
  <c r="W152" i="2"/>
  <c r="Q152" i="2"/>
  <c r="K152" i="2"/>
  <c r="E152" i="2"/>
  <c r="AC151" i="2"/>
  <c r="W151" i="2"/>
  <c r="Q151" i="2"/>
  <c r="K151" i="2"/>
  <c r="E151" i="2"/>
  <c r="AC150" i="2"/>
  <c r="W150" i="2"/>
  <c r="Q150" i="2"/>
  <c r="K150" i="2"/>
  <c r="E150" i="2"/>
  <c r="AC149" i="2"/>
  <c r="W149" i="2"/>
  <c r="Q149" i="2"/>
  <c r="K149" i="2"/>
  <c r="E149" i="2"/>
  <c r="AC148" i="2"/>
  <c r="W148" i="2"/>
  <c r="Q148" i="2"/>
  <c r="K148" i="2"/>
  <c r="E148" i="2"/>
  <c r="AC147" i="2"/>
  <c r="W147" i="2"/>
  <c r="Q147" i="2"/>
  <c r="K147" i="2"/>
  <c r="E147" i="2"/>
  <c r="AC146" i="2"/>
  <c r="W146" i="2"/>
  <c r="Q146" i="2"/>
  <c r="K146" i="2"/>
  <c r="E146" i="2"/>
  <c r="AC145" i="2"/>
  <c r="W145" i="2"/>
  <c r="Q145" i="2"/>
  <c r="K145" i="2"/>
  <c r="E145" i="2"/>
  <c r="AC144" i="2"/>
  <c r="W144" i="2"/>
  <c r="Q144" i="2"/>
  <c r="K144" i="2"/>
  <c r="E144" i="2"/>
  <c r="AC143" i="2"/>
  <c r="W143" i="2"/>
  <c r="Q143" i="2"/>
  <c r="K143" i="2"/>
  <c r="E143" i="2"/>
  <c r="AC142" i="2"/>
  <c r="W142" i="2"/>
  <c r="Q142" i="2"/>
  <c r="K142" i="2"/>
  <c r="E142" i="2"/>
  <c r="AC141" i="2"/>
  <c r="W141" i="2"/>
  <c r="Q141" i="2"/>
  <c r="K141" i="2"/>
  <c r="E141" i="2"/>
  <c r="AC140" i="2"/>
  <c r="W140" i="2"/>
  <c r="Q140" i="2"/>
  <c r="K140" i="2"/>
  <c r="E140" i="2"/>
  <c r="AC139" i="2"/>
  <c r="W139" i="2"/>
  <c r="Q139" i="2"/>
  <c r="K139" i="2"/>
  <c r="E139" i="2"/>
  <c r="AC138" i="2"/>
  <c r="W138" i="2"/>
  <c r="Q138" i="2"/>
  <c r="K138" i="2"/>
  <c r="E138" i="2"/>
  <c r="AC137" i="2"/>
  <c r="W137" i="2"/>
  <c r="Q137" i="2"/>
  <c r="K137" i="2"/>
  <c r="E137" i="2"/>
  <c r="AC136" i="2"/>
  <c r="W136" i="2"/>
  <c r="Q136" i="2"/>
  <c r="K136" i="2"/>
  <c r="E136" i="2"/>
  <c r="AC135" i="2"/>
  <c r="W135" i="2"/>
  <c r="Q135" i="2"/>
  <c r="K135" i="2"/>
  <c r="E135" i="2"/>
  <c r="AC134" i="2"/>
  <c r="W134" i="2"/>
  <c r="Q134" i="2"/>
  <c r="K134" i="2"/>
  <c r="E134" i="2"/>
  <c r="AC133" i="2"/>
  <c r="W133" i="2"/>
  <c r="Q133" i="2"/>
  <c r="K133" i="2"/>
  <c r="E133" i="2"/>
  <c r="AC132" i="2"/>
  <c r="W132" i="2"/>
  <c r="Q132" i="2"/>
  <c r="K132" i="2"/>
  <c r="E132" i="2"/>
  <c r="AC131" i="2"/>
  <c r="W131" i="2"/>
  <c r="Q131" i="2"/>
  <c r="K131" i="2"/>
  <c r="E131" i="2"/>
  <c r="AC130" i="2"/>
  <c r="W130" i="2"/>
  <c r="Q130" i="2"/>
  <c r="K130" i="2"/>
  <c r="E130" i="2"/>
  <c r="AC129" i="2"/>
  <c r="W129" i="2"/>
  <c r="Q129" i="2"/>
  <c r="K129" i="2"/>
  <c r="E129" i="2"/>
  <c r="AC128" i="2"/>
  <c r="W128" i="2"/>
  <c r="Q128" i="2"/>
  <c r="K128" i="2"/>
  <c r="E128" i="2"/>
  <c r="AC127" i="2"/>
  <c r="W127" i="2"/>
  <c r="Q127" i="2"/>
  <c r="K127" i="2"/>
  <c r="E127" i="2"/>
  <c r="AC126" i="2"/>
  <c r="W126" i="2"/>
  <c r="Q126" i="2"/>
  <c r="K126" i="2"/>
  <c r="E126" i="2"/>
  <c r="AC125" i="2"/>
  <c r="W125" i="2"/>
  <c r="Q125" i="2"/>
  <c r="K125" i="2"/>
  <c r="E125" i="2"/>
  <c r="AC124" i="2"/>
  <c r="W124" i="2"/>
  <c r="Q124" i="2"/>
  <c r="K124" i="2"/>
  <c r="E124" i="2"/>
  <c r="AC123" i="2"/>
  <c r="W123" i="2"/>
  <c r="Q123" i="2"/>
  <c r="K123" i="2"/>
  <c r="E123" i="2"/>
  <c r="AC122" i="2"/>
  <c r="W122" i="2"/>
  <c r="Q122" i="2"/>
  <c r="K122" i="2"/>
  <c r="E122" i="2"/>
  <c r="AC121" i="2"/>
  <c r="W121" i="2"/>
  <c r="Q121" i="2"/>
  <c r="K121" i="2"/>
  <c r="E121" i="2"/>
  <c r="AC120" i="2"/>
  <c r="W120" i="2"/>
  <c r="Q120" i="2"/>
  <c r="K120" i="2"/>
  <c r="E120" i="2"/>
  <c r="AC119" i="2"/>
  <c r="W119" i="2"/>
  <c r="Q119" i="2"/>
  <c r="K119" i="2"/>
  <c r="E119" i="2"/>
  <c r="AC118" i="2"/>
  <c r="W118" i="2"/>
  <c r="Q118" i="2"/>
  <c r="K118" i="2"/>
  <c r="E118" i="2"/>
  <c r="AC117" i="2"/>
  <c r="W117" i="2"/>
  <c r="Q117" i="2"/>
  <c r="K117" i="2"/>
  <c r="E117" i="2"/>
  <c r="AC116" i="2"/>
  <c r="W116" i="2"/>
  <c r="Q116" i="2"/>
  <c r="K116" i="2"/>
  <c r="E116" i="2"/>
  <c r="AC115" i="2"/>
  <c r="W115" i="2"/>
  <c r="Q115" i="2"/>
  <c r="K115" i="2"/>
  <c r="E115" i="2"/>
  <c r="AC114" i="2"/>
  <c r="W114" i="2"/>
  <c r="Q114" i="2"/>
  <c r="K114" i="2"/>
  <c r="E114" i="2"/>
  <c r="AC113" i="2"/>
  <c r="W113" i="2"/>
  <c r="Q113" i="2"/>
  <c r="K113" i="2"/>
  <c r="E113" i="2"/>
  <c r="AC112" i="2"/>
  <c r="W112" i="2"/>
  <c r="Q112" i="2"/>
  <c r="K112" i="2"/>
  <c r="E112" i="2"/>
  <c r="AC111" i="2"/>
  <c r="W111" i="2"/>
  <c r="Q111" i="2"/>
  <c r="K111" i="2"/>
  <c r="E111" i="2"/>
  <c r="AC110" i="2"/>
  <c r="W110" i="2"/>
  <c r="Q110" i="2"/>
  <c r="K110" i="2"/>
  <c r="E110" i="2"/>
  <c r="AC109" i="2"/>
  <c r="W109" i="2"/>
  <c r="Q109" i="2"/>
  <c r="K109" i="2"/>
  <c r="E109" i="2"/>
  <c r="AC108" i="2"/>
  <c r="W108" i="2"/>
  <c r="Q108" i="2"/>
  <c r="K108" i="2"/>
  <c r="E108" i="2"/>
  <c r="AC107" i="2"/>
  <c r="W107" i="2"/>
  <c r="Q107" i="2"/>
  <c r="K107" i="2"/>
  <c r="E107" i="2"/>
  <c r="AC106" i="2"/>
  <c r="W106" i="2"/>
  <c r="Q106" i="2"/>
  <c r="K106" i="2"/>
  <c r="E106" i="2"/>
  <c r="AC105" i="2"/>
  <c r="W105" i="2"/>
  <c r="Q105" i="2"/>
  <c r="K105" i="2"/>
  <c r="E105" i="2"/>
  <c r="AC104" i="2"/>
  <c r="W104" i="2"/>
  <c r="Q104" i="2"/>
  <c r="K104" i="2"/>
  <c r="E104" i="2"/>
  <c r="AC103" i="2"/>
  <c r="W103" i="2"/>
  <c r="Q103" i="2"/>
  <c r="K103" i="2"/>
  <c r="E103" i="2"/>
  <c r="AC102" i="2"/>
  <c r="W102" i="2"/>
  <c r="Q102" i="2"/>
  <c r="K102" i="2"/>
  <c r="E102" i="2"/>
  <c r="AC101" i="2"/>
  <c r="W101" i="2"/>
  <c r="Q101" i="2"/>
  <c r="K101" i="2"/>
  <c r="E101" i="2"/>
  <c r="AC100" i="2"/>
  <c r="W100" i="2"/>
  <c r="Q100" i="2"/>
  <c r="K100" i="2"/>
  <c r="E100" i="2"/>
  <c r="AC99" i="2"/>
  <c r="W99" i="2"/>
  <c r="Q99" i="2"/>
  <c r="K99" i="2"/>
  <c r="E99" i="2"/>
  <c r="AC98" i="2"/>
  <c r="W98" i="2"/>
  <c r="Q98" i="2"/>
  <c r="K98" i="2"/>
  <c r="E98" i="2"/>
  <c r="AC97" i="2"/>
  <c r="W97" i="2"/>
  <c r="Q97" i="2"/>
  <c r="K97" i="2"/>
  <c r="E97" i="2"/>
  <c r="AC96" i="2"/>
  <c r="W96" i="2"/>
  <c r="Q96" i="2"/>
  <c r="K96" i="2"/>
  <c r="E96" i="2"/>
  <c r="AC95" i="2"/>
  <c r="W95" i="2"/>
  <c r="Q95" i="2"/>
  <c r="K95" i="2"/>
  <c r="E95" i="2"/>
  <c r="AC94" i="2"/>
  <c r="W94" i="2"/>
  <c r="Q94" i="2"/>
  <c r="K94" i="2"/>
  <c r="E94" i="2"/>
  <c r="AC93" i="2"/>
  <c r="W93" i="2"/>
  <c r="Q93" i="2"/>
  <c r="K93" i="2"/>
  <c r="E93" i="2"/>
  <c r="AC92" i="2"/>
  <c r="W92" i="2"/>
  <c r="Q92" i="2"/>
  <c r="K92" i="2"/>
  <c r="E92" i="2"/>
  <c r="AC91" i="2"/>
  <c r="W91" i="2"/>
  <c r="Q91" i="2"/>
  <c r="K91" i="2"/>
  <c r="E91" i="2"/>
  <c r="AC90" i="2"/>
  <c r="W90" i="2"/>
  <c r="Q90" i="2"/>
  <c r="K90" i="2"/>
  <c r="E90" i="2"/>
  <c r="AC89" i="2"/>
  <c r="W89" i="2"/>
  <c r="Q89" i="2"/>
  <c r="K89" i="2"/>
  <c r="E89" i="2"/>
  <c r="AC88" i="2"/>
  <c r="W88" i="2"/>
  <c r="Q88" i="2"/>
  <c r="K88" i="2"/>
  <c r="E88" i="2"/>
  <c r="AC87" i="2"/>
  <c r="W87" i="2"/>
  <c r="Q87" i="2"/>
  <c r="K87" i="2"/>
  <c r="E87" i="2"/>
  <c r="AC86" i="2"/>
  <c r="W86" i="2"/>
  <c r="Q86" i="2"/>
  <c r="K86" i="2"/>
  <c r="E86" i="2"/>
  <c r="AC85" i="2"/>
  <c r="W85" i="2"/>
  <c r="Q85" i="2"/>
  <c r="K85" i="2"/>
  <c r="E85" i="2"/>
  <c r="AC84" i="2"/>
  <c r="W84" i="2"/>
  <c r="Q84" i="2"/>
  <c r="K84" i="2"/>
  <c r="E84" i="2"/>
  <c r="AC83" i="2"/>
  <c r="W83" i="2"/>
  <c r="Q83" i="2"/>
  <c r="K83" i="2"/>
  <c r="E83" i="2"/>
  <c r="AC82" i="2"/>
  <c r="W82" i="2"/>
  <c r="Q82" i="2"/>
  <c r="K82" i="2"/>
  <c r="E82" i="2"/>
  <c r="AC81" i="2"/>
  <c r="W81" i="2"/>
  <c r="Q81" i="2"/>
  <c r="K81" i="2"/>
  <c r="E81" i="2"/>
  <c r="AC80" i="2"/>
  <c r="W80" i="2"/>
  <c r="Q80" i="2"/>
  <c r="K80" i="2"/>
  <c r="E80" i="2"/>
  <c r="AC79" i="2"/>
  <c r="W79" i="2"/>
  <c r="Q79" i="2"/>
  <c r="K79" i="2"/>
  <c r="E79" i="2"/>
  <c r="AC78" i="2"/>
  <c r="W78" i="2"/>
  <c r="Q78" i="2"/>
  <c r="K78" i="2"/>
  <c r="E78" i="2"/>
  <c r="AC77" i="2"/>
  <c r="W77" i="2"/>
  <c r="Q77" i="2"/>
  <c r="K77" i="2"/>
  <c r="E77" i="2"/>
  <c r="AC76" i="2"/>
  <c r="W76" i="2"/>
  <c r="Q76" i="2"/>
  <c r="K76" i="2"/>
  <c r="E76" i="2"/>
  <c r="AC75" i="2"/>
  <c r="W75" i="2"/>
  <c r="Q75" i="2"/>
  <c r="K75" i="2"/>
  <c r="E75" i="2"/>
  <c r="AC74" i="2"/>
  <c r="W74" i="2"/>
  <c r="Q74" i="2"/>
  <c r="K74" i="2"/>
  <c r="E74" i="2"/>
  <c r="AC73" i="2"/>
  <c r="W73" i="2"/>
  <c r="Q73" i="2"/>
  <c r="K73" i="2"/>
  <c r="E73" i="2"/>
  <c r="AC72" i="2"/>
  <c r="W72" i="2"/>
  <c r="Q72" i="2"/>
  <c r="K72" i="2"/>
  <c r="E72" i="2"/>
  <c r="AC71" i="2"/>
  <c r="W71" i="2"/>
  <c r="Q71" i="2"/>
  <c r="K71" i="2"/>
  <c r="E71" i="2"/>
  <c r="AC70" i="2"/>
  <c r="W70" i="2"/>
  <c r="Q70" i="2"/>
  <c r="K70" i="2"/>
  <c r="E70" i="2"/>
  <c r="AC69" i="2"/>
  <c r="W69" i="2"/>
  <c r="Q69" i="2"/>
  <c r="K69" i="2"/>
  <c r="E69" i="2"/>
  <c r="AC68" i="2"/>
  <c r="W68" i="2"/>
  <c r="Q68" i="2"/>
  <c r="K68" i="2"/>
  <c r="E68" i="2"/>
  <c r="AC67" i="2"/>
  <c r="W67" i="2"/>
  <c r="Q67" i="2"/>
  <c r="K67" i="2"/>
  <c r="E67" i="2"/>
  <c r="AC66" i="2"/>
  <c r="W66" i="2"/>
  <c r="Q66" i="2"/>
  <c r="K66" i="2"/>
  <c r="E66" i="2"/>
  <c r="AC65" i="2"/>
  <c r="W65" i="2"/>
  <c r="Q65" i="2"/>
  <c r="K65" i="2"/>
  <c r="E65" i="2"/>
  <c r="AC64" i="2"/>
  <c r="W64" i="2"/>
  <c r="Q64" i="2"/>
  <c r="K64" i="2"/>
  <c r="E64" i="2"/>
  <c r="AC63" i="2"/>
  <c r="W63" i="2"/>
  <c r="Q63" i="2"/>
  <c r="K63" i="2"/>
  <c r="E63" i="2"/>
  <c r="AC62" i="2"/>
  <c r="W62" i="2"/>
  <c r="Q62" i="2"/>
  <c r="K62" i="2"/>
  <c r="E62" i="2"/>
  <c r="AC61" i="2"/>
  <c r="W61" i="2"/>
  <c r="Q61" i="2"/>
  <c r="K61" i="2"/>
  <c r="E61" i="2"/>
  <c r="AC60" i="2"/>
  <c r="W60" i="2"/>
  <c r="Q60" i="2"/>
  <c r="K60" i="2"/>
  <c r="E60" i="2"/>
  <c r="AC59" i="2"/>
  <c r="W59" i="2"/>
  <c r="Q59" i="2"/>
  <c r="K59" i="2"/>
  <c r="E59" i="2"/>
  <c r="AC58" i="2"/>
  <c r="W58" i="2"/>
  <c r="Q58" i="2"/>
  <c r="K58" i="2"/>
  <c r="E58" i="2"/>
  <c r="AC57" i="2"/>
  <c r="W57" i="2"/>
  <c r="Q57" i="2"/>
  <c r="K57" i="2"/>
  <c r="E57" i="2"/>
  <c r="AC56" i="2"/>
  <c r="W56" i="2"/>
  <c r="Q56" i="2"/>
  <c r="K56" i="2"/>
  <c r="E56" i="2"/>
  <c r="AC55" i="2"/>
  <c r="W55" i="2"/>
  <c r="Q55" i="2"/>
  <c r="K55" i="2"/>
  <c r="E55" i="2"/>
  <c r="AC54" i="2"/>
  <c r="W54" i="2"/>
  <c r="Q54" i="2"/>
  <c r="K54" i="2"/>
  <c r="E54" i="2"/>
  <c r="AC53" i="2"/>
  <c r="W53" i="2"/>
  <c r="Q53" i="2"/>
  <c r="K53" i="2"/>
  <c r="E53" i="2"/>
  <c r="AC52" i="2"/>
  <c r="W52" i="2"/>
  <c r="Q52" i="2"/>
  <c r="K52" i="2"/>
  <c r="E52" i="2"/>
  <c r="AC51" i="2"/>
  <c r="W51" i="2"/>
  <c r="Q51" i="2"/>
  <c r="K51" i="2"/>
  <c r="E51" i="2"/>
  <c r="AC50" i="2"/>
  <c r="W50" i="2"/>
  <c r="Q50" i="2"/>
  <c r="K50" i="2"/>
  <c r="E50" i="2"/>
  <c r="AC49" i="2"/>
  <c r="W49" i="2"/>
  <c r="Q49" i="2"/>
  <c r="K49" i="2"/>
  <c r="E49" i="2"/>
  <c r="AC48" i="2"/>
  <c r="W48" i="2"/>
  <c r="Q48" i="2"/>
  <c r="K48" i="2"/>
  <c r="E48" i="2"/>
  <c r="AC47" i="2"/>
  <c r="W47" i="2"/>
  <c r="Q47" i="2"/>
  <c r="K47" i="2"/>
  <c r="E47" i="2"/>
  <c r="AC46" i="2"/>
  <c r="W46" i="2"/>
  <c r="Q46" i="2"/>
  <c r="K46" i="2"/>
  <c r="E46" i="2"/>
  <c r="AC45" i="2"/>
  <c r="W45" i="2"/>
  <c r="Q45" i="2"/>
  <c r="K45" i="2"/>
  <c r="E45" i="2"/>
  <c r="AC44" i="2"/>
  <c r="W44" i="2"/>
  <c r="Q44" i="2"/>
  <c r="K44" i="2"/>
  <c r="E44" i="2"/>
  <c r="AC43" i="2"/>
  <c r="W43" i="2"/>
  <c r="Q43" i="2"/>
  <c r="K43" i="2"/>
  <c r="E43" i="2"/>
  <c r="AC42" i="2"/>
  <c r="W42" i="2"/>
  <c r="Q42" i="2"/>
  <c r="K42" i="2"/>
  <c r="E42" i="2"/>
  <c r="AC41" i="2"/>
  <c r="W41" i="2"/>
  <c r="Q41" i="2"/>
  <c r="K41" i="2"/>
  <c r="E41" i="2"/>
  <c r="AC40" i="2"/>
  <c r="W40" i="2"/>
  <c r="Q40" i="2"/>
  <c r="K40" i="2"/>
  <c r="E40" i="2"/>
  <c r="AC39" i="2"/>
  <c r="W39" i="2"/>
  <c r="Q39" i="2"/>
  <c r="K39" i="2"/>
  <c r="E39" i="2"/>
  <c r="AC38" i="2"/>
  <c r="W38" i="2"/>
  <c r="Q38" i="2"/>
  <c r="K38" i="2"/>
  <c r="E38" i="2"/>
  <c r="AC37" i="2"/>
  <c r="W37" i="2"/>
  <c r="Q37" i="2"/>
  <c r="K37" i="2"/>
  <c r="E37" i="2"/>
  <c r="AC36" i="2"/>
  <c r="W36" i="2"/>
  <c r="Q36" i="2"/>
  <c r="K36" i="2"/>
  <c r="E36" i="2"/>
  <c r="AC35" i="2"/>
  <c r="W35" i="2"/>
  <c r="Q35" i="2"/>
  <c r="K35" i="2"/>
  <c r="E35" i="2"/>
  <c r="AC34" i="2"/>
  <c r="W34" i="2"/>
  <c r="Q34" i="2"/>
  <c r="K34" i="2"/>
  <c r="E34" i="2"/>
  <c r="AC33" i="2"/>
  <c r="W33" i="2"/>
  <c r="Q33" i="2"/>
  <c r="K33" i="2"/>
  <c r="E33" i="2"/>
  <c r="AC32" i="2"/>
  <c r="W32" i="2"/>
  <c r="Q32" i="2"/>
  <c r="K32" i="2"/>
  <c r="E32" i="2"/>
  <c r="AC31" i="2"/>
  <c r="W31" i="2"/>
  <c r="Q31" i="2"/>
  <c r="K31" i="2"/>
  <c r="E31" i="2"/>
  <c r="AC30" i="2"/>
  <c r="W30" i="2"/>
  <c r="Q30" i="2"/>
  <c r="K30" i="2"/>
  <c r="E30" i="2"/>
  <c r="AC29" i="2"/>
  <c r="W29" i="2"/>
  <c r="Q29" i="2"/>
  <c r="K29" i="2"/>
  <c r="E29" i="2"/>
  <c r="AC28" i="2"/>
  <c r="W28" i="2"/>
  <c r="Q28" i="2"/>
  <c r="K28" i="2"/>
  <c r="E28" i="2"/>
  <c r="AC27" i="2"/>
  <c r="W27" i="2"/>
  <c r="Q27" i="2"/>
  <c r="K27" i="2"/>
  <c r="E27" i="2"/>
  <c r="AC26" i="2"/>
  <c r="W26" i="2"/>
  <c r="Q26" i="2"/>
  <c r="K26" i="2"/>
  <c r="E26" i="2"/>
  <c r="AC25" i="2"/>
  <c r="W25" i="2"/>
  <c r="Q25" i="2"/>
  <c r="K25" i="2"/>
  <c r="E25" i="2"/>
  <c r="AC24" i="2"/>
  <c r="W24" i="2"/>
  <c r="Q24" i="2"/>
  <c r="K24" i="2"/>
  <c r="E24" i="2"/>
  <c r="AC23" i="2"/>
  <c r="W23" i="2"/>
  <c r="Q23" i="2"/>
  <c r="K23" i="2"/>
  <c r="E23" i="2"/>
  <c r="AC22" i="2"/>
  <c r="W22" i="2"/>
  <c r="Q22" i="2"/>
  <c r="K22" i="2"/>
  <c r="E22" i="2"/>
  <c r="AC21" i="2"/>
  <c r="W21" i="2"/>
  <c r="Q21" i="2"/>
  <c r="K21" i="2"/>
  <c r="E21" i="2"/>
  <c r="AC20" i="2"/>
  <c r="W20" i="2"/>
  <c r="Q20" i="2"/>
  <c r="K20" i="2"/>
  <c r="E20" i="2"/>
  <c r="AC19" i="2"/>
  <c r="W19" i="2"/>
  <c r="Q19" i="2"/>
  <c r="K19" i="2"/>
  <c r="E19" i="2"/>
  <c r="AC18" i="2"/>
  <c r="W18" i="2"/>
  <c r="Q18" i="2"/>
  <c r="K18" i="2"/>
  <c r="E18" i="2"/>
  <c r="AC17" i="2"/>
  <c r="W17" i="2"/>
  <c r="Q17" i="2"/>
  <c r="K17" i="2"/>
  <c r="E17" i="2"/>
  <c r="AC16" i="2"/>
  <c r="W16" i="2"/>
  <c r="Q16" i="2"/>
  <c r="K16" i="2"/>
  <c r="E16" i="2"/>
  <c r="AC15" i="2"/>
  <c r="W15" i="2"/>
  <c r="Q15" i="2"/>
  <c r="K15" i="2"/>
  <c r="E15" i="2"/>
  <c r="AC14" i="2"/>
  <c r="W14" i="2"/>
  <c r="Q14" i="2"/>
  <c r="K14" i="2"/>
  <c r="E14" i="2"/>
  <c r="AC13" i="2"/>
  <c r="W13" i="2"/>
  <c r="Q13" i="2"/>
  <c r="K13" i="2"/>
  <c r="E13" i="2"/>
  <c r="AC12" i="2"/>
  <c r="W12" i="2"/>
  <c r="Q12" i="2"/>
  <c r="K12" i="2"/>
  <c r="E12" i="2"/>
  <c r="AC11" i="2"/>
  <c r="W11" i="2"/>
  <c r="Q11" i="2"/>
  <c r="K11" i="2"/>
  <c r="E11" i="2"/>
  <c r="AC10" i="2"/>
  <c r="W10" i="2"/>
  <c r="Q10" i="2"/>
  <c r="K10" i="2"/>
  <c r="E10" i="2"/>
  <c r="AC9" i="2"/>
  <c r="W9" i="2"/>
  <c r="Q9" i="2"/>
  <c r="K9" i="2"/>
  <c r="E9" i="2"/>
  <c r="AC8" i="2"/>
  <c r="W8" i="2"/>
  <c r="Q8" i="2"/>
  <c r="K8" i="2"/>
  <c r="E8" i="2"/>
  <c r="AC7" i="2"/>
  <c r="W7" i="2"/>
  <c r="Q7" i="2"/>
  <c r="K7" i="2"/>
  <c r="E7" i="2"/>
  <c r="AC6" i="2"/>
  <c r="W6" i="2"/>
  <c r="Q6" i="2"/>
  <c r="K6" i="2"/>
  <c r="E6" i="2"/>
  <c r="AD70" i="2" l="1"/>
  <c r="AD86" i="2"/>
  <c r="AD102" i="2"/>
  <c r="AD118" i="2"/>
  <c r="AD134" i="2"/>
  <c r="AD150" i="2"/>
  <c r="AD166" i="2"/>
  <c r="AD182" i="2"/>
  <c r="AD198" i="2"/>
  <c r="AD214" i="2"/>
  <c r="AD230" i="2"/>
  <c r="AD246" i="2"/>
  <c r="AD262" i="2"/>
  <c r="AD278" i="2"/>
  <c r="AD294" i="2"/>
  <c r="AD310" i="2"/>
  <c r="AD326" i="2"/>
  <c r="AD342" i="2"/>
  <c r="AD358" i="2"/>
  <c r="AD374" i="2"/>
  <c r="AD390" i="2"/>
  <c r="AD406" i="2"/>
  <c r="AD422" i="2"/>
  <c r="AD438" i="2"/>
  <c r="AD454" i="2"/>
  <c r="AD470" i="2"/>
  <c r="AD486" i="2"/>
  <c r="AD502" i="2"/>
  <c r="AD518" i="2"/>
  <c r="AD534" i="2"/>
  <c r="AD550" i="2"/>
  <c r="AD566" i="2"/>
  <c r="AD582" i="2"/>
  <c r="AD598" i="2"/>
  <c r="AD614" i="2"/>
  <c r="AD630" i="2"/>
  <c r="AD646" i="2"/>
  <c r="AD662" i="2"/>
  <c r="AD71" i="2"/>
  <c r="AD87" i="2"/>
  <c r="AD103" i="2"/>
  <c r="AD119" i="2"/>
  <c r="AD135" i="2"/>
  <c r="AD151" i="2"/>
  <c r="AD167" i="2"/>
  <c r="AD183" i="2"/>
  <c r="AD199" i="2"/>
  <c r="AD215" i="2"/>
  <c r="AD231" i="2"/>
  <c r="AD247" i="2"/>
  <c r="AD263" i="2"/>
  <c r="AD279" i="2"/>
  <c r="AD295" i="2"/>
  <c r="AD311" i="2"/>
  <c r="AD327" i="2"/>
  <c r="AD343" i="2"/>
  <c r="AD359" i="2"/>
  <c r="AD375" i="2"/>
  <c r="AD391" i="2"/>
  <c r="AD407" i="2"/>
  <c r="AD423" i="2"/>
  <c r="AD439" i="2"/>
  <c r="AD455" i="2"/>
  <c r="AD471" i="2"/>
  <c r="AD487" i="2"/>
  <c r="AD503" i="2"/>
  <c r="AD519" i="2"/>
  <c r="AD535" i="2"/>
  <c r="AD551" i="2"/>
  <c r="AD567" i="2"/>
  <c r="AD583" i="2"/>
  <c r="AD599" i="2"/>
  <c r="AD615" i="2"/>
  <c r="AD631" i="2"/>
  <c r="AD647" i="2"/>
  <c r="AD663" i="2"/>
  <c r="AD72" i="2"/>
  <c r="AD73" i="2"/>
  <c r="AD74" i="2"/>
  <c r="AD90" i="2"/>
  <c r="AD106" i="2"/>
  <c r="AD122" i="2"/>
  <c r="AD138" i="2"/>
  <c r="AD154" i="2"/>
  <c r="AD170" i="2"/>
  <c r="AD76" i="2"/>
  <c r="AD92" i="2"/>
  <c r="AD108" i="2"/>
  <c r="AD124" i="2"/>
  <c r="AD140" i="2"/>
  <c r="AD156" i="2"/>
  <c r="AD172" i="2"/>
  <c r="AD188" i="2"/>
  <c r="AD204" i="2"/>
  <c r="AD220" i="2"/>
  <c r="AD236" i="2"/>
  <c r="AD252" i="2"/>
  <c r="AD268" i="2"/>
  <c r="AD284" i="2"/>
  <c r="AD300" i="2"/>
  <c r="AD316" i="2"/>
  <c r="AD332" i="2"/>
  <c r="AD348" i="2"/>
  <c r="AD364" i="2"/>
  <c r="AD380" i="2"/>
  <c r="AD77" i="2"/>
  <c r="AD93" i="2"/>
  <c r="AD109" i="2"/>
  <c r="AD125" i="2"/>
  <c r="AD141" i="2"/>
  <c r="AD157" i="2"/>
  <c r="AD173" i="2"/>
  <c r="AD189" i="2"/>
  <c r="AD205" i="2"/>
  <c r="AD221" i="2"/>
  <c r="AD237" i="2"/>
  <c r="AD253" i="2"/>
  <c r="AD269" i="2"/>
  <c r="AD285" i="2"/>
  <c r="AD301" i="2"/>
  <c r="AD317" i="2"/>
  <c r="AD333" i="2"/>
  <c r="AD349" i="2"/>
  <c r="AD365" i="2"/>
  <c r="AD381" i="2"/>
  <c r="AD397" i="2"/>
  <c r="AD413" i="2"/>
  <c r="AD78" i="2"/>
  <c r="AD94" i="2"/>
  <c r="AD110" i="2"/>
  <c r="AD126" i="2"/>
  <c r="AD142" i="2"/>
  <c r="AD158" i="2"/>
  <c r="AD174" i="2"/>
  <c r="AD190" i="2"/>
  <c r="AD206" i="2"/>
  <c r="AD222" i="2"/>
  <c r="AD238" i="2"/>
  <c r="AD254" i="2"/>
  <c r="AD270" i="2"/>
  <c r="AD286" i="2"/>
  <c r="AD302" i="2"/>
  <c r="AD318" i="2"/>
  <c r="AD334" i="2"/>
  <c r="AD350" i="2"/>
  <c r="AD366" i="2"/>
  <c r="AD382" i="2"/>
  <c r="AD398" i="2"/>
  <c r="AD414" i="2"/>
  <c r="AD63" i="2"/>
  <c r="AD79" i="2"/>
  <c r="AD95" i="2"/>
  <c r="AD111" i="2"/>
  <c r="AD127" i="2"/>
  <c r="AD143" i="2"/>
  <c r="AD159" i="2"/>
  <c r="AD175" i="2"/>
  <c r="AD191" i="2"/>
  <c r="AD207" i="2"/>
  <c r="AD223" i="2"/>
  <c r="AD239" i="2"/>
  <c r="AD255" i="2"/>
  <c r="AD271" i="2"/>
  <c r="AD64" i="2"/>
  <c r="AD96" i="2"/>
  <c r="AD121" i="2"/>
  <c r="AD149" i="2"/>
  <c r="AD179" i="2"/>
  <c r="AD203" i="2"/>
  <c r="AD229" i="2"/>
  <c r="AD257" i="2"/>
  <c r="AD281" i="2"/>
  <c r="AD305" i="2"/>
  <c r="AD328" i="2"/>
  <c r="AD352" i="2"/>
  <c r="AD373" i="2"/>
  <c r="AD396" i="2"/>
  <c r="AD418" i="2"/>
  <c r="AD436" i="2"/>
  <c r="AD456" i="2"/>
  <c r="AD474" i="2"/>
  <c r="AD492" i="2"/>
  <c r="AD510" i="2"/>
  <c r="AD528" i="2"/>
  <c r="AD546" i="2"/>
  <c r="AD564" i="2"/>
  <c r="AD584" i="2"/>
  <c r="AD602" i="2"/>
  <c r="AD620" i="2"/>
  <c r="AD638" i="2"/>
  <c r="AD656" i="2"/>
  <c r="AD674" i="2"/>
  <c r="AD690" i="2"/>
  <c r="AD706" i="2"/>
  <c r="AD722" i="2"/>
  <c r="AD738" i="2"/>
  <c r="AD754" i="2"/>
  <c r="AD770" i="2"/>
  <c r="AD786" i="2"/>
  <c r="AD802" i="2"/>
  <c r="AD818" i="2"/>
  <c r="AD834" i="2"/>
  <c r="AD850" i="2"/>
  <c r="AD866" i="2"/>
  <c r="AD882" i="2"/>
  <c r="AD898" i="2"/>
  <c r="AD914" i="2"/>
  <c r="AD930" i="2"/>
  <c r="AD946" i="2"/>
  <c r="AD962" i="2"/>
  <c r="AD978" i="2"/>
  <c r="AD994" i="2"/>
  <c r="AD1010" i="2"/>
  <c r="AD1026" i="2"/>
  <c r="AD1042" i="2"/>
  <c r="AD1058" i="2"/>
  <c r="AD1074" i="2"/>
  <c r="AD1090" i="2"/>
  <c r="AD1106" i="2"/>
  <c r="AD1122" i="2"/>
  <c r="AD1138" i="2"/>
  <c r="AD1154" i="2"/>
  <c r="AD1170" i="2"/>
  <c r="AD1186" i="2"/>
  <c r="AD1202" i="2"/>
  <c r="AD65" i="2"/>
  <c r="AD97" i="2"/>
  <c r="AD123" i="2"/>
  <c r="AD152" i="2"/>
  <c r="AD180" i="2"/>
  <c r="AD208" i="2"/>
  <c r="AD232" i="2"/>
  <c r="AD258" i="2"/>
  <c r="AD282" i="2"/>
  <c r="AD306" i="2"/>
  <c r="AD329" i="2"/>
  <c r="AD353" i="2"/>
  <c r="AD376" i="2"/>
  <c r="AD399" i="2"/>
  <c r="AD419" i="2"/>
  <c r="AD437" i="2"/>
  <c r="AD457" i="2"/>
  <c r="AD475" i="2"/>
  <c r="AD493" i="2"/>
  <c r="AD511" i="2"/>
  <c r="AD529" i="2"/>
  <c r="AD547" i="2"/>
  <c r="AD565" i="2"/>
  <c r="AD585" i="2"/>
  <c r="AD603" i="2"/>
  <c r="AD621" i="2"/>
  <c r="AD639" i="2"/>
  <c r="AD657" i="2"/>
  <c r="AD675" i="2"/>
  <c r="AD691" i="2"/>
  <c r="AD707" i="2"/>
  <c r="AD723" i="2"/>
  <c r="AD739" i="2"/>
  <c r="AD755" i="2"/>
  <c r="AD771" i="2"/>
  <c r="AD787" i="2"/>
  <c r="AD803" i="2"/>
  <c r="AD819" i="2"/>
  <c r="AD835" i="2"/>
  <c r="AD851" i="2"/>
  <c r="AD867" i="2"/>
  <c r="AD883" i="2"/>
  <c r="AD899" i="2"/>
  <c r="AD915" i="2"/>
  <c r="AD931" i="2"/>
  <c r="AD947" i="2"/>
  <c r="AD963" i="2"/>
  <c r="AD979" i="2"/>
  <c r="AD995" i="2"/>
  <c r="AD1011" i="2"/>
  <c r="AD1027" i="2"/>
  <c r="AD1043" i="2"/>
  <c r="AD1059" i="2"/>
  <c r="AD1075" i="2"/>
  <c r="AD1091" i="2"/>
  <c r="AD1107" i="2"/>
  <c r="AD1123" i="2"/>
  <c r="AD1139" i="2"/>
  <c r="AD1155" i="2"/>
  <c r="AD1171" i="2"/>
  <c r="AD1187" i="2"/>
  <c r="AD1203" i="2"/>
  <c r="AD66" i="2"/>
  <c r="AD98" i="2"/>
  <c r="AD128" i="2"/>
  <c r="AD153" i="2"/>
  <c r="AD181" i="2"/>
  <c r="AD209" i="2"/>
  <c r="AD233" i="2"/>
  <c r="AD259" i="2"/>
  <c r="AD283" i="2"/>
  <c r="AD307" i="2"/>
  <c r="AD330" i="2"/>
  <c r="AD354" i="2"/>
  <c r="AD377" i="2"/>
  <c r="AD400" i="2"/>
  <c r="AD420" i="2"/>
  <c r="AD440" i="2"/>
  <c r="AD458" i="2"/>
  <c r="AD476" i="2"/>
  <c r="AD494" i="2"/>
  <c r="AD512" i="2"/>
  <c r="AD530" i="2"/>
  <c r="AD548" i="2"/>
  <c r="AD568" i="2"/>
  <c r="AD586" i="2"/>
  <c r="AD604" i="2"/>
  <c r="AD622" i="2"/>
  <c r="AD640" i="2"/>
  <c r="AD658" i="2"/>
  <c r="AD676" i="2"/>
  <c r="AD692" i="2"/>
  <c r="AD708" i="2"/>
  <c r="AD724" i="2"/>
  <c r="AD740" i="2"/>
  <c r="AD756" i="2"/>
  <c r="AD772" i="2"/>
  <c r="AD788" i="2"/>
  <c r="AD804" i="2"/>
  <c r="AD820" i="2"/>
  <c r="AD836" i="2"/>
  <c r="AD852" i="2"/>
  <c r="AD868" i="2"/>
  <c r="AD884" i="2"/>
  <c r="AD900" i="2"/>
  <c r="AD916" i="2"/>
  <c r="AD932" i="2"/>
  <c r="AD948" i="2"/>
  <c r="AD964" i="2"/>
  <c r="AD980" i="2"/>
  <c r="AD996" i="2"/>
  <c r="AD1012" i="2"/>
  <c r="AD1028" i="2"/>
  <c r="AD1044" i="2"/>
  <c r="AD1060" i="2"/>
  <c r="AD1076" i="2"/>
  <c r="AD1092" i="2"/>
  <c r="AD1108" i="2"/>
  <c r="AD1124" i="2"/>
  <c r="AD1140" i="2"/>
  <c r="AD1156" i="2"/>
  <c r="AD1172" i="2"/>
  <c r="AD1188" i="2"/>
  <c r="AD1204" i="2"/>
  <c r="AD67" i="2"/>
  <c r="AD99" i="2"/>
  <c r="AD129" i="2"/>
  <c r="AD155" i="2"/>
  <c r="AD184" i="2"/>
  <c r="AD210" i="2"/>
  <c r="AD234" i="2"/>
  <c r="AD260" i="2"/>
  <c r="AD287" i="2"/>
  <c r="AD308" i="2"/>
  <c r="AD331" i="2"/>
  <c r="AD355" i="2"/>
  <c r="AD378" i="2"/>
  <c r="AD401" i="2"/>
  <c r="AD421" i="2"/>
  <c r="AD441" i="2"/>
  <c r="AD459" i="2"/>
  <c r="AD477" i="2"/>
  <c r="AD495" i="2"/>
  <c r="AD513" i="2"/>
  <c r="AD531" i="2"/>
  <c r="AD549" i="2"/>
  <c r="AD569" i="2"/>
  <c r="AD587" i="2"/>
  <c r="AD605" i="2"/>
  <c r="AD623" i="2"/>
  <c r="AD641" i="2"/>
  <c r="AD659" i="2"/>
  <c r="AD677" i="2"/>
  <c r="AD693" i="2"/>
  <c r="AD709" i="2"/>
  <c r="AD725" i="2"/>
  <c r="AD741" i="2"/>
  <c r="AD757" i="2"/>
  <c r="AD773" i="2"/>
  <c r="AD789" i="2"/>
  <c r="AD805" i="2"/>
  <c r="AD821" i="2"/>
  <c r="AD837" i="2"/>
  <c r="AD853" i="2"/>
  <c r="AD68" i="2"/>
  <c r="AD100" i="2"/>
  <c r="AD130" i="2"/>
  <c r="AD160" i="2"/>
  <c r="AD185" i="2"/>
  <c r="AD211" i="2"/>
  <c r="AD235" i="2"/>
  <c r="AD261" i="2"/>
  <c r="AD288" i="2"/>
  <c r="AD309" i="2"/>
  <c r="AD335" i="2"/>
  <c r="AD356" i="2"/>
  <c r="AD379" i="2"/>
  <c r="AD402" i="2"/>
  <c r="AD424" i="2"/>
  <c r="AD442" i="2"/>
  <c r="AD460" i="2"/>
  <c r="AD478" i="2"/>
  <c r="AD496" i="2"/>
  <c r="AD514" i="2"/>
  <c r="AD532" i="2"/>
  <c r="AD552" i="2"/>
  <c r="AD570" i="2"/>
  <c r="AD588" i="2"/>
  <c r="AD606" i="2"/>
  <c r="AD624" i="2"/>
  <c r="AD642" i="2"/>
  <c r="AD660" i="2"/>
  <c r="AD678" i="2"/>
  <c r="AD694" i="2"/>
  <c r="AD710" i="2"/>
  <c r="AD726" i="2"/>
  <c r="AD742" i="2"/>
  <c r="AD758" i="2"/>
  <c r="AD774" i="2"/>
  <c r="AD790" i="2"/>
  <c r="AD806" i="2"/>
  <c r="AD822" i="2"/>
  <c r="AD838" i="2"/>
  <c r="AD854" i="2"/>
  <c r="AD870" i="2"/>
  <c r="AD886" i="2"/>
  <c r="AD902" i="2"/>
  <c r="AD918" i="2"/>
  <c r="AD934" i="2"/>
  <c r="AD950" i="2"/>
  <c r="AD966" i="2"/>
  <c r="AD69" i="2"/>
  <c r="AD101" i="2"/>
  <c r="AD131" i="2"/>
  <c r="AD161" i="2"/>
  <c r="AD186" i="2"/>
  <c r="AD212" i="2"/>
  <c r="AD240" i="2"/>
  <c r="AD264" i="2"/>
  <c r="AD289" i="2"/>
  <c r="AD312" i="2"/>
  <c r="AD336" i="2"/>
  <c r="AD357" i="2"/>
  <c r="AD383" i="2"/>
  <c r="AD403" i="2"/>
  <c r="AD425" i="2"/>
  <c r="AD443" i="2"/>
  <c r="AD461" i="2"/>
  <c r="AD479" i="2"/>
  <c r="AD497" i="2"/>
  <c r="AD515" i="2"/>
  <c r="AD533" i="2"/>
  <c r="AD553" i="2"/>
  <c r="AD571" i="2"/>
  <c r="AD589" i="2"/>
  <c r="AD607" i="2"/>
  <c r="AD625" i="2"/>
  <c r="AD643" i="2"/>
  <c r="AD661" i="2"/>
  <c r="AD679" i="2"/>
  <c r="AD695" i="2"/>
  <c r="AD711" i="2"/>
  <c r="AD75" i="2"/>
  <c r="AD80" i="2"/>
  <c r="AD105" i="2"/>
  <c r="AD133" i="2"/>
  <c r="AD163" i="2"/>
  <c r="AD192" i="2"/>
  <c r="AD216" i="2"/>
  <c r="AD242" i="2"/>
  <c r="AD266" i="2"/>
  <c r="AD291" i="2"/>
  <c r="AD314" i="2"/>
  <c r="AD338" i="2"/>
  <c r="AD361" i="2"/>
  <c r="AD385" i="2"/>
  <c r="AD405" i="2"/>
  <c r="AD427" i="2"/>
  <c r="AD445" i="2"/>
  <c r="AD463" i="2"/>
  <c r="AD481" i="2"/>
  <c r="AD499" i="2"/>
  <c r="AD517" i="2"/>
  <c r="AD537" i="2"/>
  <c r="AD555" i="2"/>
  <c r="AD573" i="2"/>
  <c r="AD591" i="2"/>
  <c r="AD609" i="2"/>
  <c r="AD627" i="2"/>
  <c r="AD645" i="2"/>
  <c r="AD665" i="2"/>
  <c r="AD681" i="2"/>
  <c r="AD697" i="2"/>
  <c r="AD713" i="2"/>
  <c r="AD729" i="2"/>
  <c r="AD745" i="2"/>
  <c r="AD761" i="2"/>
  <c r="AD777" i="2"/>
  <c r="AD793" i="2"/>
  <c r="AD809" i="2"/>
  <c r="AD825" i="2"/>
  <c r="AD841" i="2"/>
  <c r="AD857" i="2"/>
  <c r="AD873" i="2"/>
  <c r="AD889" i="2"/>
  <c r="AD905" i="2"/>
  <c r="AD921" i="2"/>
  <c r="AD937" i="2"/>
  <c r="AD953" i="2"/>
  <c r="AD969" i="2"/>
  <c r="AD985" i="2"/>
  <c r="AD81" i="2"/>
  <c r="AD107" i="2"/>
  <c r="AD136" i="2"/>
  <c r="AD164" i="2"/>
  <c r="AD193" i="2"/>
  <c r="AD217" i="2"/>
  <c r="AD243" i="2"/>
  <c r="AD267" i="2"/>
  <c r="AD292" i="2"/>
  <c r="AD315" i="2"/>
  <c r="AD339" i="2"/>
  <c r="AD362" i="2"/>
  <c r="AD386" i="2"/>
  <c r="AD408" i="2"/>
  <c r="AD428" i="2"/>
  <c r="AD446" i="2"/>
  <c r="AD464" i="2"/>
  <c r="AD482" i="2"/>
  <c r="AD500" i="2"/>
  <c r="AD520" i="2"/>
  <c r="AD538" i="2"/>
  <c r="AD556" i="2"/>
  <c r="AD574" i="2"/>
  <c r="AD592" i="2"/>
  <c r="AD610" i="2"/>
  <c r="AD628" i="2"/>
  <c r="AD648" i="2"/>
  <c r="AD666" i="2"/>
  <c r="AD682" i="2"/>
  <c r="AD698" i="2"/>
  <c r="AD714" i="2"/>
  <c r="AD730" i="2"/>
  <c r="AD746" i="2"/>
  <c r="AD762" i="2"/>
  <c r="AD778" i="2"/>
  <c r="AD794" i="2"/>
  <c r="AD810" i="2"/>
  <c r="AD826" i="2"/>
  <c r="AD842" i="2"/>
  <c r="AD858" i="2"/>
  <c r="AD874" i="2"/>
  <c r="AD890" i="2"/>
  <c r="AD906" i="2"/>
  <c r="AD922" i="2"/>
  <c r="AD938" i="2"/>
  <c r="AD954" i="2"/>
  <c r="AD970" i="2"/>
  <c r="AD986" i="2"/>
  <c r="AD1002" i="2"/>
  <c r="AD1018" i="2"/>
  <c r="AD1034" i="2"/>
  <c r="AD1050" i="2"/>
  <c r="AD1066" i="2"/>
  <c r="AD1082" i="2"/>
  <c r="AD1098" i="2"/>
  <c r="AD1114" i="2"/>
  <c r="AD1130" i="2"/>
  <c r="AD1146" i="2"/>
  <c r="AD82" i="2"/>
  <c r="AD112" i="2"/>
  <c r="AD137" i="2"/>
  <c r="AD165" i="2"/>
  <c r="AD194" i="2"/>
  <c r="AD218" i="2"/>
  <c r="AD244" i="2"/>
  <c r="AD272" i="2"/>
  <c r="AD293" i="2"/>
  <c r="AD319" i="2"/>
  <c r="AD340" i="2"/>
  <c r="AD363" i="2"/>
  <c r="AD387" i="2"/>
  <c r="AD409" i="2"/>
  <c r="AD429" i="2"/>
  <c r="AD447" i="2"/>
  <c r="AD465" i="2"/>
  <c r="AD483" i="2"/>
  <c r="AD501" i="2"/>
  <c r="AD521" i="2"/>
  <c r="AD539" i="2"/>
  <c r="AD557" i="2"/>
  <c r="AD575" i="2"/>
  <c r="AD593" i="2"/>
  <c r="AD611" i="2"/>
  <c r="AD629" i="2"/>
  <c r="AD649" i="2"/>
  <c r="AD667" i="2"/>
  <c r="AD683" i="2"/>
  <c r="AD699" i="2"/>
  <c r="AD715" i="2"/>
  <c r="AD731" i="2"/>
  <c r="AD747" i="2"/>
  <c r="AD763" i="2"/>
  <c r="AD779" i="2"/>
  <c r="AD795" i="2"/>
  <c r="AD811" i="2"/>
  <c r="AD827" i="2"/>
  <c r="AD843" i="2"/>
  <c r="AD859" i="2"/>
  <c r="AD875" i="2"/>
  <c r="AD891" i="2"/>
  <c r="AD907" i="2"/>
  <c r="AD923" i="2"/>
  <c r="AD939" i="2"/>
  <c r="AD955" i="2"/>
  <c r="AD971" i="2"/>
  <c r="AD987" i="2"/>
  <c r="AD1003" i="2"/>
  <c r="AD1019" i="2"/>
  <c r="AD1035" i="2"/>
  <c r="AD1051" i="2"/>
  <c r="AD1067" i="2"/>
  <c r="AD1083" i="2"/>
  <c r="AD1099" i="2"/>
  <c r="AD1115" i="2"/>
  <c r="AD1131" i="2"/>
  <c r="AD1147" i="2"/>
  <c r="AD83" i="2"/>
  <c r="AD113" i="2"/>
  <c r="AD139" i="2"/>
  <c r="AD168" i="2"/>
  <c r="AD195" i="2"/>
  <c r="AD219" i="2"/>
  <c r="AD245" i="2"/>
  <c r="AD273" i="2"/>
  <c r="AD296" i="2"/>
  <c r="AD320" i="2"/>
  <c r="AD341" i="2"/>
  <c r="AD367" i="2"/>
  <c r="AD388" i="2"/>
  <c r="AD410" i="2"/>
  <c r="AD430" i="2"/>
  <c r="AD448" i="2"/>
  <c r="AD466" i="2"/>
  <c r="AD484" i="2"/>
  <c r="AD504" i="2"/>
  <c r="AD522" i="2"/>
  <c r="AD540" i="2"/>
  <c r="AD558" i="2"/>
  <c r="AD576" i="2"/>
  <c r="AD594" i="2"/>
  <c r="AD612" i="2"/>
  <c r="AD632" i="2"/>
  <c r="AD650" i="2"/>
  <c r="AD668" i="2"/>
  <c r="AD684" i="2"/>
  <c r="AD700" i="2"/>
  <c r="AD716" i="2"/>
  <c r="AD732" i="2"/>
  <c r="AD748" i="2"/>
  <c r="AD764" i="2"/>
  <c r="AD780" i="2"/>
  <c r="AD796" i="2"/>
  <c r="AD812" i="2"/>
  <c r="AD828" i="2"/>
  <c r="AD844" i="2"/>
  <c r="AD860" i="2"/>
  <c r="AD876" i="2"/>
  <c r="AD892" i="2"/>
  <c r="AD908" i="2"/>
  <c r="AD924" i="2"/>
  <c r="AD940" i="2"/>
  <c r="AD956" i="2"/>
  <c r="AD972" i="2"/>
  <c r="AD988" i="2"/>
  <c r="AD1004" i="2"/>
  <c r="AD1020" i="2"/>
  <c r="AD1036" i="2"/>
  <c r="AD1052" i="2"/>
  <c r="AD84" i="2"/>
  <c r="AD114" i="2"/>
  <c r="AD144" i="2"/>
  <c r="AD169" i="2"/>
  <c r="AD196" i="2"/>
  <c r="AD224" i="2"/>
  <c r="AD248" i="2"/>
  <c r="AD274" i="2"/>
  <c r="AD297" i="2"/>
  <c r="AD321" i="2"/>
  <c r="AD344" i="2"/>
  <c r="AD368" i="2"/>
  <c r="AD389" i="2"/>
  <c r="AD411" i="2"/>
  <c r="AD431" i="2"/>
  <c r="AD449" i="2"/>
  <c r="AD467" i="2"/>
  <c r="AD485" i="2"/>
  <c r="AD505" i="2"/>
  <c r="AD523" i="2"/>
  <c r="AD541" i="2"/>
  <c r="AD559" i="2"/>
  <c r="AD577" i="2"/>
  <c r="AD595" i="2"/>
  <c r="AD613" i="2"/>
  <c r="AD633" i="2"/>
  <c r="AD651" i="2"/>
  <c r="AD669" i="2"/>
  <c r="AD685" i="2"/>
  <c r="AD701" i="2"/>
  <c r="AD717" i="2"/>
  <c r="AD733" i="2"/>
  <c r="AD749" i="2"/>
  <c r="AD765" i="2"/>
  <c r="AD781" i="2"/>
  <c r="AD797" i="2"/>
  <c r="AD813" i="2"/>
  <c r="AD829" i="2"/>
  <c r="AD845" i="2"/>
  <c r="AD861" i="2"/>
  <c r="AD877" i="2"/>
  <c r="AD893" i="2"/>
  <c r="AD909" i="2"/>
  <c r="AD925" i="2"/>
  <c r="AD941" i="2"/>
  <c r="AD957" i="2"/>
  <c r="AD973" i="2"/>
  <c r="AD989" i="2"/>
  <c r="AD1005" i="2"/>
  <c r="AD1021" i="2"/>
  <c r="AD1037" i="2"/>
  <c r="AD1053" i="2"/>
  <c r="AD115" i="2"/>
  <c r="AD200" i="2"/>
  <c r="AD277" i="2"/>
  <c r="AD351" i="2"/>
  <c r="AD426" i="2"/>
  <c r="AD488" i="2"/>
  <c r="AD543" i="2"/>
  <c r="AD600" i="2"/>
  <c r="AD655" i="2"/>
  <c r="AD712" i="2"/>
  <c r="AD753" i="2"/>
  <c r="AD799" i="2"/>
  <c r="AD840" i="2"/>
  <c r="AD880" i="2"/>
  <c r="AD917" i="2"/>
  <c r="AD952" i="2"/>
  <c r="AD990" i="2"/>
  <c r="AD1016" i="2"/>
  <c r="AD1046" i="2"/>
  <c r="AD1071" i="2"/>
  <c r="AD1095" i="2"/>
  <c r="AD1118" i="2"/>
  <c r="AD1142" i="2"/>
  <c r="AD1163" i="2"/>
  <c r="AD1182" i="2"/>
  <c r="AD1201" i="2"/>
  <c r="AD116" i="2"/>
  <c r="AD201" i="2"/>
  <c r="AD280" i="2"/>
  <c r="AD360" i="2"/>
  <c r="AD432" i="2"/>
  <c r="AD489" i="2"/>
  <c r="AD544" i="2"/>
  <c r="AD601" i="2"/>
  <c r="AD664" i="2"/>
  <c r="AD718" i="2"/>
  <c r="AD759" i="2"/>
  <c r="AD800" i="2"/>
  <c r="AD846" i="2"/>
  <c r="AD881" i="2"/>
  <c r="AD919" i="2"/>
  <c r="AD958" i="2"/>
  <c r="AD991" i="2"/>
  <c r="AD1017" i="2"/>
  <c r="AD1047" i="2"/>
  <c r="AD1072" i="2"/>
  <c r="AD1096" i="2"/>
  <c r="AD1119" i="2"/>
  <c r="AD1143" i="2"/>
  <c r="AD1164" i="2"/>
  <c r="AD1183" i="2"/>
  <c r="AD1205" i="2"/>
  <c r="AD117" i="2"/>
  <c r="AD202" i="2"/>
  <c r="AD290" i="2"/>
  <c r="AD369" i="2"/>
  <c r="AD433" i="2"/>
  <c r="AD490" i="2"/>
  <c r="AD545" i="2"/>
  <c r="AD608" i="2"/>
  <c r="AD670" i="2"/>
  <c r="AD719" i="2"/>
  <c r="AD760" i="2"/>
  <c r="AD801" i="2"/>
  <c r="AD847" i="2"/>
  <c r="AD885" i="2"/>
  <c r="AD920" i="2"/>
  <c r="AD959" i="2"/>
  <c r="AD992" i="2"/>
  <c r="AD1022" i="2"/>
  <c r="AD1048" i="2"/>
  <c r="AD1073" i="2"/>
  <c r="AD1097" i="2"/>
  <c r="AD1120" i="2"/>
  <c r="AD1144" i="2"/>
  <c r="AD1165" i="2"/>
  <c r="AD1184" i="2"/>
  <c r="AD62" i="2"/>
  <c r="AD120" i="2"/>
  <c r="AD213" i="2"/>
  <c r="AD298" i="2"/>
  <c r="AD370" i="2"/>
  <c r="AD434" i="2"/>
  <c r="AD491" i="2"/>
  <c r="AD554" i="2"/>
  <c r="AD616" i="2"/>
  <c r="AD671" i="2"/>
  <c r="AD720" i="2"/>
  <c r="AD766" i="2"/>
  <c r="AD807" i="2"/>
  <c r="AD848" i="2"/>
  <c r="AD887" i="2"/>
  <c r="AD926" i="2"/>
  <c r="AD960" i="2"/>
  <c r="AD993" i="2"/>
  <c r="AD1023" i="2"/>
  <c r="AD1049" i="2"/>
  <c r="AD1077" i="2"/>
  <c r="AD1100" i="2"/>
  <c r="AD1121" i="2"/>
  <c r="AD1145" i="2"/>
  <c r="AD1166" i="2"/>
  <c r="AD1185" i="2"/>
  <c r="AD146" i="2"/>
  <c r="AD227" i="2"/>
  <c r="AD304" i="2"/>
  <c r="AD384" i="2"/>
  <c r="AD450" i="2"/>
  <c r="AD507" i="2"/>
  <c r="AD562" i="2"/>
  <c r="AD619" i="2"/>
  <c r="AD680" i="2"/>
  <c r="AD728" i="2"/>
  <c r="AD769" i="2"/>
  <c r="AD815" i="2"/>
  <c r="AD147" i="2"/>
  <c r="AD148" i="2"/>
  <c r="AD241" i="2"/>
  <c r="AD322" i="2"/>
  <c r="AD393" i="2"/>
  <c r="AD452" i="2"/>
  <c r="AD509" i="2"/>
  <c r="AD572" i="2"/>
  <c r="AD634" i="2"/>
  <c r="AD687" i="2"/>
  <c r="AD735" i="2"/>
  <c r="AD776" i="2"/>
  <c r="AD817" i="2"/>
  <c r="AD162" i="2"/>
  <c r="AD249" i="2"/>
  <c r="AD323" i="2"/>
  <c r="AD394" i="2"/>
  <c r="AD453" i="2"/>
  <c r="AD516" i="2"/>
  <c r="AD578" i="2"/>
  <c r="AD635" i="2"/>
  <c r="AD688" i="2"/>
  <c r="AD225" i="2"/>
  <c r="AD346" i="2"/>
  <c r="AD469" i="2"/>
  <c r="AD579" i="2"/>
  <c r="AD673" i="2"/>
  <c r="AD751" i="2"/>
  <c r="AD824" i="2"/>
  <c r="AD878" i="2"/>
  <c r="AD929" i="2"/>
  <c r="AD976" i="2"/>
  <c r="AD1014" i="2"/>
  <c r="AD1056" i="2"/>
  <c r="AD1086" i="2"/>
  <c r="AD1116" i="2"/>
  <c r="AD1150" i="2"/>
  <c r="AD1176" i="2"/>
  <c r="AD1199" i="2"/>
  <c r="AD1117" i="2"/>
  <c r="AD590" i="2"/>
  <c r="AD936" i="2"/>
  <c r="AD1062" i="2"/>
  <c r="AD1153" i="2"/>
  <c r="AD526" i="2"/>
  <c r="AD1192" i="2"/>
  <c r="AD171" i="2"/>
  <c r="AD226" i="2"/>
  <c r="AD347" i="2"/>
  <c r="AD472" i="2"/>
  <c r="AD580" i="2"/>
  <c r="AD686" i="2"/>
  <c r="AD752" i="2"/>
  <c r="AD830" i="2"/>
  <c r="AD879" i="2"/>
  <c r="AD933" i="2"/>
  <c r="AD977" i="2"/>
  <c r="AD1015" i="2"/>
  <c r="AD1057" i="2"/>
  <c r="AD1087" i="2"/>
  <c r="AD1151" i="2"/>
  <c r="AD1177" i="2"/>
  <c r="AD1200" i="2"/>
  <c r="AD85" i="2"/>
  <c r="AD250" i="2"/>
  <c r="AD372" i="2"/>
  <c r="AD480" i="2"/>
  <c r="AD696" i="2"/>
  <c r="AD832" i="2"/>
  <c r="AD894" i="2"/>
  <c r="AD982" i="2"/>
  <c r="AD1025" i="2"/>
  <c r="AD1126" i="2"/>
  <c r="AD1179" i="2"/>
  <c r="AD416" i="2"/>
  <c r="AD1134" i="2"/>
  <c r="AD228" i="2"/>
  <c r="AD371" i="2"/>
  <c r="AD473" i="2"/>
  <c r="AD581" i="2"/>
  <c r="AD689" i="2"/>
  <c r="AD767" i="2"/>
  <c r="AD831" i="2"/>
  <c r="AD888" i="2"/>
  <c r="AD935" i="2"/>
  <c r="AD981" i="2"/>
  <c r="AD1024" i="2"/>
  <c r="AD1061" i="2"/>
  <c r="AD1088" i="2"/>
  <c r="AD1125" i="2"/>
  <c r="AD1152" i="2"/>
  <c r="AD1178" i="2"/>
  <c r="AD768" i="2"/>
  <c r="AD1089" i="2"/>
  <c r="AD299" i="2"/>
  <c r="AD1104" i="2"/>
  <c r="AD862" i="2"/>
  <c r="AD303" i="2"/>
  <c r="AD88" i="2"/>
  <c r="AD251" i="2"/>
  <c r="AD392" i="2"/>
  <c r="AD498" i="2"/>
  <c r="AD596" i="2"/>
  <c r="AD702" i="2"/>
  <c r="AD775" i="2"/>
  <c r="AD833" i="2"/>
  <c r="AD895" i="2"/>
  <c r="AD942" i="2"/>
  <c r="AD983" i="2"/>
  <c r="AD1029" i="2"/>
  <c r="AD1063" i="2"/>
  <c r="AD1093" i="2"/>
  <c r="AD1127" i="2"/>
  <c r="AD1157" i="2"/>
  <c r="AD1180" i="2"/>
  <c r="AD727" i="2"/>
  <c r="AD89" i="2"/>
  <c r="AD256" i="2"/>
  <c r="AD395" i="2"/>
  <c r="AD506" i="2"/>
  <c r="AD597" i="2"/>
  <c r="AD703" i="2"/>
  <c r="AD782" i="2"/>
  <c r="AD839" i="2"/>
  <c r="AD896" i="2"/>
  <c r="AD943" i="2"/>
  <c r="AD984" i="2"/>
  <c r="AD1030" i="2"/>
  <c r="AD1064" i="2"/>
  <c r="AD1094" i="2"/>
  <c r="AD1128" i="2"/>
  <c r="AD1158" i="2"/>
  <c r="AD1181" i="2"/>
  <c r="AD1038" i="2"/>
  <c r="AD417" i="2"/>
  <c r="AD91" i="2"/>
  <c r="AD265" i="2"/>
  <c r="AD404" i="2"/>
  <c r="AD508" i="2"/>
  <c r="AD617" i="2"/>
  <c r="AD704" i="2"/>
  <c r="AD783" i="2"/>
  <c r="AD849" i="2"/>
  <c r="AD897" i="2"/>
  <c r="AD944" i="2"/>
  <c r="AD997" i="2"/>
  <c r="AD1031" i="2"/>
  <c r="AD1065" i="2"/>
  <c r="AD1101" i="2"/>
  <c r="AD1129" i="2"/>
  <c r="AD1159" i="2"/>
  <c r="AD1189" i="2"/>
  <c r="AD145" i="2"/>
  <c r="AD636" i="2"/>
  <c r="AD904" i="2"/>
  <c r="AD1000" i="2"/>
  <c r="AD1070" i="2"/>
  <c r="AD1162" i="2"/>
  <c r="AD734" i="2"/>
  <c r="AD104" i="2"/>
  <c r="AD275" i="2"/>
  <c r="AD412" i="2"/>
  <c r="AD524" i="2"/>
  <c r="AD618" i="2"/>
  <c r="AD705" i="2"/>
  <c r="AD784" i="2"/>
  <c r="AD855" i="2"/>
  <c r="AD901" i="2"/>
  <c r="AD945" i="2"/>
  <c r="AD998" i="2"/>
  <c r="AD1032" i="2"/>
  <c r="AD1068" i="2"/>
  <c r="AD1102" i="2"/>
  <c r="AD1132" i="2"/>
  <c r="AD1160" i="2"/>
  <c r="AD1190" i="2"/>
  <c r="AD791" i="2"/>
  <c r="AD132" i="2"/>
  <c r="AD276" i="2"/>
  <c r="AD415" i="2"/>
  <c r="AD525" i="2"/>
  <c r="AD626" i="2"/>
  <c r="AD721" i="2"/>
  <c r="AD785" i="2"/>
  <c r="AD856" i="2"/>
  <c r="AD903" i="2"/>
  <c r="AD949" i="2"/>
  <c r="AD999" i="2"/>
  <c r="AD1033" i="2"/>
  <c r="AD1069" i="2"/>
  <c r="AD1103" i="2"/>
  <c r="AD1133" i="2"/>
  <c r="AD1161" i="2"/>
  <c r="AD1191" i="2"/>
  <c r="AD951" i="2"/>
  <c r="AD527" i="2"/>
  <c r="AD462" i="2"/>
  <c r="AD744" i="2"/>
  <c r="AD912" i="2"/>
  <c r="AD1039" i="2"/>
  <c r="AD1112" i="2"/>
  <c r="AD1195" i="2"/>
  <c r="AD1136" i="2"/>
  <c r="AD823" i="2"/>
  <c r="AD1149" i="2"/>
  <c r="AD313" i="2"/>
  <c r="AD652" i="2"/>
  <c r="AD1173" i="2"/>
  <c r="AD1007" i="2"/>
  <c r="AD743" i="2"/>
  <c r="AD468" i="2"/>
  <c r="AD750" i="2"/>
  <c r="AD913" i="2"/>
  <c r="AD1040" i="2"/>
  <c r="AD1113" i="2"/>
  <c r="AD1196" i="2"/>
  <c r="AD792" i="2"/>
  <c r="AD927" i="2"/>
  <c r="AD1041" i="2"/>
  <c r="AD1135" i="2"/>
  <c r="AD1197" i="2"/>
  <c r="AD1198" i="2"/>
  <c r="AD637" i="2"/>
  <c r="AD1079" i="2"/>
  <c r="AD644" i="2"/>
  <c r="AD1081" i="2"/>
  <c r="AD654" i="2"/>
  <c r="AD1105" i="2"/>
  <c r="AD536" i="2"/>
  <c r="AD176" i="2"/>
  <c r="AD542" i="2"/>
  <c r="AD798" i="2"/>
  <c r="AD928" i="2"/>
  <c r="AD1045" i="2"/>
  <c r="AD863" i="2"/>
  <c r="AD1168" i="2"/>
  <c r="AD1006" i="2"/>
  <c r="AD1193" i="2"/>
  <c r="AD1194" i="2"/>
  <c r="AD177" i="2"/>
  <c r="AD560" i="2"/>
  <c r="AD808" i="2"/>
  <c r="AD961" i="2"/>
  <c r="AD1054" i="2"/>
  <c r="AD1137" i="2"/>
  <c r="AD968" i="2"/>
  <c r="AD974" i="2"/>
  <c r="AD1167" i="2"/>
  <c r="AD864" i="2"/>
  <c r="AD1085" i="2"/>
  <c r="AD871" i="2"/>
  <c r="AD1009" i="2"/>
  <c r="AD178" i="2"/>
  <c r="AD561" i="2"/>
  <c r="AD814" i="2"/>
  <c r="AD965" i="2"/>
  <c r="AD1055" i="2"/>
  <c r="AD1141" i="2"/>
  <c r="AD1080" i="2"/>
  <c r="AD975" i="2"/>
  <c r="AD869" i="2"/>
  <c r="AD1174" i="2"/>
  <c r="AD187" i="2"/>
  <c r="AD563" i="2"/>
  <c r="AD816" i="2"/>
  <c r="AD967" i="2"/>
  <c r="AD1078" i="2"/>
  <c r="AD1148" i="2"/>
  <c r="AD737" i="2"/>
  <c r="AD1013" i="2"/>
  <c r="AD197" i="2"/>
  <c r="AD324" i="2"/>
  <c r="AD337" i="2"/>
  <c r="AD1110" i="2"/>
  <c r="AD911" i="2"/>
  <c r="AD910" i="2"/>
  <c r="AD451" i="2"/>
  <c r="AD325" i="2"/>
  <c r="AD653" i="2"/>
  <c r="AD865" i="2"/>
  <c r="AD1001" i="2"/>
  <c r="AD1084" i="2"/>
  <c r="AD1169" i="2"/>
  <c r="AD672" i="2"/>
  <c r="AD1111" i="2"/>
  <c r="AD345" i="2"/>
  <c r="AD435" i="2"/>
  <c r="AD736" i="2"/>
  <c r="AD872" i="2"/>
  <c r="AD1008" i="2"/>
  <c r="AD1109" i="2"/>
  <c r="AD1175" i="2"/>
  <c r="AD444" i="2"/>
  <c r="D19" i="6"/>
  <c r="F19" i="6" s="1"/>
  <c r="X33" i="2"/>
  <c r="X49" i="2"/>
  <c r="X65" i="2"/>
  <c r="X81" i="2"/>
  <c r="X97" i="2"/>
  <c r="X113" i="2"/>
  <c r="X129" i="2"/>
  <c r="X145" i="2"/>
  <c r="X161" i="2"/>
  <c r="X177" i="2"/>
  <c r="X193" i="2"/>
  <c r="X209" i="2"/>
  <c r="X225" i="2"/>
  <c r="X241" i="2"/>
  <c r="X257" i="2"/>
  <c r="X273" i="2"/>
  <c r="X289" i="2"/>
  <c r="X305" i="2"/>
  <c r="X321" i="2"/>
  <c r="X337" i="2"/>
  <c r="X353" i="2"/>
  <c r="X369" i="2"/>
  <c r="X385" i="2"/>
  <c r="X401" i="2"/>
  <c r="X417" i="2"/>
  <c r="X433" i="2"/>
  <c r="X449" i="2"/>
  <c r="X465" i="2"/>
  <c r="X481" i="2"/>
  <c r="X497" i="2"/>
  <c r="X513" i="2"/>
  <c r="X529" i="2"/>
  <c r="X545" i="2"/>
  <c r="X561" i="2"/>
  <c r="X577" i="2"/>
  <c r="X593" i="2"/>
  <c r="X609" i="2"/>
  <c r="X625" i="2"/>
  <c r="X641" i="2"/>
  <c r="X657" i="2"/>
  <c r="X673" i="2"/>
  <c r="X689" i="2"/>
  <c r="X705" i="2"/>
  <c r="X721" i="2"/>
  <c r="X737" i="2"/>
  <c r="X753" i="2"/>
  <c r="X769" i="2"/>
  <c r="X785" i="2"/>
  <c r="X801" i="2"/>
  <c r="X817" i="2"/>
  <c r="X833" i="2"/>
  <c r="X849" i="2"/>
  <c r="X865" i="2"/>
  <c r="X881" i="2"/>
  <c r="X897" i="2"/>
  <c r="X913" i="2"/>
  <c r="X929" i="2"/>
  <c r="X945" i="2"/>
  <c r="X961" i="2"/>
  <c r="X977" i="2"/>
  <c r="X993" i="2"/>
  <c r="X1009" i="2"/>
  <c r="X1025" i="2"/>
  <c r="X1041" i="2"/>
  <c r="X1057" i="2"/>
  <c r="X1073" i="2"/>
  <c r="X1089" i="2"/>
  <c r="X1105" i="2"/>
  <c r="X1121" i="2"/>
  <c r="X1137" i="2"/>
  <c r="X1153" i="2"/>
  <c r="X1169" i="2"/>
  <c r="X1185" i="2"/>
  <c r="X1201" i="2"/>
  <c r="X34" i="2"/>
  <c r="X50" i="2"/>
  <c r="X66" i="2"/>
  <c r="X82" i="2"/>
  <c r="X98" i="2"/>
  <c r="X114" i="2"/>
  <c r="X130" i="2"/>
  <c r="X146" i="2"/>
  <c r="X162" i="2"/>
  <c r="X178" i="2"/>
  <c r="X194" i="2"/>
  <c r="X210" i="2"/>
  <c r="X226" i="2"/>
  <c r="X242" i="2"/>
  <c r="X258" i="2"/>
  <c r="X274" i="2"/>
  <c r="X290" i="2"/>
  <c r="X306" i="2"/>
  <c r="X322" i="2"/>
  <c r="X338" i="2"/>
  <c r="X354" i="2"/>
  <c r="X370" i="2"/>
  <c r="X386" i="2"/>
  <c r="X402" i="2"/>
  <c r="X418" i="2"/>
  <c r="X434" i="2"/>
  <c r="X450" i="2"/>
  <c r="X466" i="2"/>
  <c r="X482" i="2"/>
  <c r="X498" i="2"/>
  <c r="X514" i="2"/>
  <c r="X530" i="2"/>
  <c r="X546" i="2"/>
  <c r="X562" i="2"/>
  <c r="X578" i="2"/>
  <c r="X594" i="2"/>
  <c r="X610" i="2"/>
  <c r="X626" i="2"/>
  <c r="X642" i="2"/>
  <c r="X658" i="2"/>
  <c r="X674" i="2"/>
  <c r="X690" i="2"/>
  <c r="X706" i="2"/>
  <c r="X722" i="2"/>
  <c r="X738" i="2"/>
  <c r="X754" i="2"/>
  <c r="X770" i="2"/>
  <c r="X786" i="2"/>
  <c r="X802" i="2"/>
  <c r="X818" i="2"/>
  <c r="X834" i="2"/>
  <c r="X850" i="2"/>
  <c r="X866" i="2"/>
  <c r="X882" i="2"/>
  <c r="X898" i="2"/>
  <c r="X914" i="2"/>
  <c r="X930" i="2"/>
  <c r="X946" i="2"/>
  <c r="X962" i="2"/>
  <c r="X978" i="2"/>
  <c r="X994" i="2"/>
  <c r="X1010" i="2"/>
  <c r="X1026" i="2"/>
  <c r="X1042" i="2"/>
  <c r="X1058" i="2"/>
  <c r="X1074" i="2"/>
  <c r="X1090" i="2"/>
  <c r="X1106" i="2"/>
  <c r="X1122" i="2"/>
  <c r="X1138" i="2"/>
  <c r="X1154" i="2"/>
  <c r="X1170" i="2"/>
  <c r="X1186" i="2"/>
  <c r="X1202" i="2"/>
  <c r="X35" i="2"/>
  <c r="X51" i="2"/>
  <c r="X67" i="2"/>
  <c r="X83" i="2"/>
  <c r="X99" i="2"/>
  <c r="X115" i="2"/>
  <c r="X131" i="2"/>
  <c r="X147" i="2"/>
  <c r="X163" i="2"/>
  <c r="X179" i="2"/>
  <c r="X195" i="2"/>
  <c r="X211" i="2"/>
  <c r="X227" i="2"/>
  <c r="X243" i="2"/>
  <c r="X259" i="2"/>
  <c r="X275" i="2"/>
  <c r="X291" i="2"/>
  <c r="X307" i="2"/>
  <c r="X323" i="2"/>
  <c r="X339" i="2"/>
  <c r="X355" i="2"/>
  <c r="X371" i="2"/>
  <c r="X387" i="2"/>
  <c r="X403" i="2"/>
  <c r="X451" i="2"/>
  <c r="X467" i="2"/>
  <c r="X483" i="2"/>
  <c r="X38" i="2"/>
  <c r="X57" i="2"/>
  <c r="X76" i="2"/>
  <c r="X95" i="2"/>
  <c r="X117" i="2"/>
  <c r="X136" i="2"/>
  <c r="X155" i="2"/>
  <c r="X174" i="2"/>
  <c r="X196" i="2"/>
  <c r="X215" i="2"/>
  <c r="X234" i="2"/>
  <c r="X253" i="2"/>
  <c r="X272" i="2"/>
  <c r="X294" i="2"/>
  <c r="X313" i="2"/>
  <c r="X332" i="2"/>
  <c r="X351" i="2"/>
  <c r="X373" i="2"/>
  <c r="X392" i="2"/>
  <c r="X411" i="2"/>
  <c r="X429" i="2"/>
  <c r="X447" i="2"/>
  <c r="X469" i="2"/>
  <c r="X488" i="2"/>
  <c r="X506" i="2"/>
  <c r="X524" i="2"/>
  <c r="X542" i="2"/>
  <c r="X560" i="2"/>
  <c r="X580" i="2"/>
  <c r="X598" i="2"/>
  <c r="X616" i="2"/>
  <c r="X634" i="2"/>
  <c r="X652" i="2"/>
  <c r="X670" i="2"/>
  <c r="X688" i="2"/>
  <c r="X708" i="2"/>
  <c r="X726" i="2"/>
  <c r="X744" i="2"/>
  <c r="X762" i="2"/>
  <c r="X780" i="2"/>
  <c r="X798" i="2"/>
  <c r="X816" i="2"/>
  <c r="X836" i="2"/>
  <c r="X854" i="2"/>
  <c r="X872" i="2"/>
  <c r="X890" i="2"/>
  <c r="X908" i="2"/>
  <c r="X39" i="2"/>
  <c r="X58" i="2"/>
  <c r="X77" i="2"/>
  <c r="X96" i="2"/>
  <c r="X118" i="2"/>
  <c r="X137" i="2"/>
  <c r="X156" i="2"/>
  <c r="X175" i="2"/>
  <c r="X197" i="2"/>
  <c r="X216" i="2"/>
  <c r="X235" i="2"/>
  <c r="X254" i="2"/>
  <c r="X276" i="2"/>
  <c r="X295" i="2"/>
  <c r="X314" i="2"/>
  <c r="X333" i="2"/>
  <c r="X352" i="2"/>
  <c r="X374" i="2"/>
  <c r="X393" i="2"/>
  <c r="X412" i="2"/>
  <c r="X430" i="2"/>
  <c r="X448" i="2"/>
  <c r="X470" i="2"/>
  <c r="X489" i="2"/>
  <c r="X507" i="2"/>
  <c r="X525" i="2"/>
  <c r="X543" i="2"/>
  <c r="X563" i="2"/>
  <c r="X581" i="2"/>
  <c r="X599" i="2"/>
  <c r="X617" i="2"/>
  <c r="X635" i="2"/>
  <c r="X653" i="2"/>
  <c r="X671" i="2"/>
  <c r="X691" i="2"/>
  <c r="X709" i="2"/>
  <c r="X727" i="2"/>
  <c r="X745" i="2"/>
  <c r="X763" i="2"/>
  <c r="X781" i="2"/>
  <c r="X799" i="2"/>
  <c r="X819" i="2"/>
  <c r="X837" i="2"/>
  <c r="X40" i="2"/>
  <c r="X59" i="2"/>
  <c r="X78" i="2"/>
  <c r="X100" i="2"/>
  <c r="X119" i="2"/>
  <c r="X138" i="2"/>
  <c r="X157" i="2"/>
  <c r="X176" i="2"/>
  <c r="X198" i="2"/>
  <c r="X217" i="2"/>
  <c r="X236" i="2"/>
  <c r="X255" i="2"/>
  <c r="X277" i="2"/>
  <c r="X296" i="2"/>
  <c r="X315" i="2"/>
  <c r="X334" i="2"/>
  <c r="X356" i="2"/>
  <c r="X375" i="2"/>
  <c r="X394" i="2"/>
  <c r="X413" i="2"/>
  <c r="X431" i="2"/>
  <c r="X452" i="2"/>
  <c r="X471" i="2"/>
  <c r="X490" i="2"/>
  <c r="X508" i="2"/>
  <c r="X526" i="2"/>
  <c r="X544" i="2"/>
  <c r="X564" i="2"/>
  <c r="X582" i="2"/>
  <c r="X600" i="2"/>
  <c r="X618" i="2"/>
  <c r="X636" i="2"/>
  <c r="X654" i="2"/>
  <c r="X672" i="2"/>
  <c r="X692" i="2"/>
  <c r="X710" i="2"/>
  <c r="X728" i="2"/>
  <c r="X746" i="2"/>
  <c r="X764" i="2"/>
  <c r="X782" i="2"/>
  <c r="X800" i="2"/>
  <c r="X820" i="2"/>
  <c r="X838" i="2"/>
  <c r="X22" i="2"/>
  <c r="X41" i="2"/>
  <c r="X60" i="2"/>
  <c r="X79" i="2"/>
  <c r="X101" i="2"/>
  <c r="X120" i="2"/>
  <c r="X139" i="2"/>
  <c r="X158" i="2"/>
  <c r="X180" i="2"/>
  <c r="X199" i="2"/>
  <c r="X218" i="2"/>
  <c r="X237" i="2"/>
  <c r="X256" i="2"/>
  <c r="X278" i="2"/>
  <c r="X297" i="2"/>
  <c r="X316" i="2"/>
  <c r="X335" i="2"/>
  <c r="X357" i="2"/>
  <c r="X376" i="2"/>
  <c r="X395" i="2"/>
  <c r="X414" i="2"/>
  <c r="X432" i="2"/>
  <c r="X453" i="2"/>
  <c r="X472" i="2"/>
  <c r="X491" i="2"/>
  <c r="X509" i="2"/>
  <c r="X527" i="2"/>
  <c r="X547" i="2"/>
  <c r="X565" i="2"/>
  <c r="X583" i="2"/>
  <c r="X601" i="2"/>
  <c r="X619" i="2"/>
  <c r="X637" i="2"/>
  <c r="X655" i="2"/>
  <c r="X675" i="2"/>
  <c r="X693" i="2"/>
  <c r="X711" i="2"/>
  <c r="X729" i="2"/>
  <c r="X747" i="2"/>
  <c r="X765" i="2"/>
  <c r="X783" i="2"/>
  <c r="X803" i="2"/>
  <c r="X821" i="2"/>
  <c r="X839" i="2"/>
  <c r="X857" i="2"/>
  <c r="X875" i="2"/>
  <c r="X893" i="2"/>
  <c r="X911" i="2"/>
  <c r="X931" i="2"/>
  <c r="X949" i="2"/>
  <c r="X967" i="2"/>
  <c r="X985" i="2"/>
  <c r="X1003" i="2"/>
  <c r="X44" i="2"/>
  <c r="X70" i="2"/>
  <c r="X93" i="2"/>
  <c r="X123" i="2"/>
  <c r="X149" i="2"/>
  <c r="X172" i="2"/>
  <c r="X202" i="2"/>
  <c r="X228" i="2"/>
  <c r="X251" i="2"/>
  <c r="X281" i="2"/>
  <c r="X304" i="2"/>
  <c r="X330" i="2"/>
  <c r="X360" i="2"/>
  <c r="X383" i="2"/>
  <c r="X409" i="2"/>
  <c r="X437" i="2"/>
  <c r="X460" i="2"/>
  <c r="X486" i="2"/>
  <c r="X512" i="2"/>
  <c r="X536" i="2"/>
  <c r="X558" i="2"/>
  <c r="X586" i="2"/>
  <c r="X608" i="2"/>
  <c r="X632" i="2"/>
  <c r="X660" i="2"/>
  <c r="X682" i="2"/>
  <c r="X704" i="2"/>
  <c r="X732" i="2"/>
  <c r="X756" i="2"/>
  <c r="X778" i="2"/>
  <c r="X806" i="2"/>
  <c r="X828" i="2"/>
  <c r="X852" i="2"/>
  <c r="X873" i="2"/>
  <c r="X894" i="2"/>
  <c r="X916" i="2"/>
  <c r="X935" i="2"/>
  <c r="X954" i="2"/>
  <c r="X973" i="2"/>
  <c r="X992" i="2"/>
  <c r="X1013" i="2"/>
  <c r="X1031" i="2"/>
  <c r="X1049" i="2"/>
  <c r="X1067" i="2"/>
  <c r="X1085" i="2"/>
  <c r="X1103" i="2"/>
  <c r="X1123" i="2"/>
  <c r="X1141" i="2"/>
  <c r="X1159" i="2"/>
  <c r="X1177" i="2"/>
  <c r="X1195" i="2"/>
  <c r="X252" i="2"/>
  <c r="X308" i="2"/>
  <c r="X331" i="2"/>
  <c r="X384" i="2"/>
  <c r="X410" i="2"/>
  <c r="X438" i="2"/>
  <c r="X461" i="2"/>
  <c r="X487" i="2"/>
  <c r="X515" i="2"/>
  <c r="X559" i="2"/>
  <c r="X587" i="2"/>
  <c r="X611" i="2"/>
  <c r="X633" i="2"/>
  <c r="X661" i="2"/>
  <c r="X683" i="2"/>
  <c r="X707" i="2"/>
  <c r="X733" i="2"/>
  <c r="X757" i="2"/>
  <c r="X779" i="2"/>
  <c r="X829" i="2"/>
  <c r="X853" i="2"/>
  <c r="X874" i="2"/>
  <c r="X895" i="2"/>
  <c r="X917" i="2"/>
  <c r="X936" i="2"/>
  <c r="X955" i="2"/>
  <c r="X974" i="2"/>
  <c r="X995" i="2"/>
  <c r="X1014" i="2"/>
  <c r="X1032" i="2"/>
  <c r="X1068" i="2"/>
  <c r="X1086" i="2"/>
  <c r="X1104" i="2"/>
  <c r="X1124" i="2"/>
  <c r="X1142" i="2"/>
  <c r="X1160" i="2"/>
  <c r="X1178" i="2"/>
  <c r="X1196" i="2"/>
  <c r="X956" i="2"/>
  <c r="X1015" i="2"/>
  <c r="X1051" i="2"/>
  <c r="X1069" i="2"/>
  <c r="X1107" i="2"/>
  <c r="X1125" i="2"/>
  <c r="X1143" i="2"/>
  <c r="X1179" i="2"/>
  <c r="X1197" i="2"/>
  <c r="X24" i="2"/>
  <c r="X103" i="2"/>
  <c r="X205" i="2"/>
  <c r="X284" i="2"/>
  <c r="X363" i="2"/>
  <c r="X416" i="2"/>
  <c r="X463" i="2"/>
  <c r="X539" i="2"/>
  <c r="X613" i="2"/>
  <c r="X639" i="2"/>
  <c r="X713" i="2"/>
  <c r="X759" i="2"/>
  <c r="X809" i="2"/>
  <c r="X856" i="2"/>
  <c r="X919" i="2"/>
  <c r="X976" i="2"/>
  <c r="X1034" i="2"/>
  <c r="X1108" i="2"/>
  <c r="X1162" i="2"/>
  <c r="X810" i="2"/>
  <c r="X858" i="2"/>
  <c r="X878" i="2"/>
  <c r="X900" i="2"/>
  <c r="X939" i="2"/>
  <c r="X998" i="2"/>
  <c r="X1017" i="2"/>
  <c r="X1035" i="2"/>
  <c r="X1091" i="2"/>
  <c r="X1127" i="2"/>
  <c r="X1145" i="2"/>
  <c r="X1181" i="2"/>
  <c r="X715" i="2"/>
  <c r="X940" i="2"/>
  <c r="X1054" i="2"/>
  <c r="X1128" i="2"/>
  <c r="X902" i="2"/>
  <c r="X1000" i="2"/>
  <c r="X1093" i="2"/>
  <c r="X1183" i="2"/>
  <c r="X320" i="2"/>
  <c r="X647" i="2"/>
  <c r="X925" i="2"/>
  <c r="X1096" i="2"/>
  <c r="X45" i="2"/>
  <c r="X71" i="2"/>
  <c r="X94" i="2"/>
  <c r="X124" i="2"/>
  <c r="X150" i="2"/>
  <c r="X173" i="2"/>
  <c r="X203" i="2"/>
  <c r="X229" i="2"/>
  <c r="X282" i="2"/>
  <c r="X361" i="2"/>
  <c r="X537" i="2"/>
  <c r="X807" i="2"/>
  <c r="X1050" i="2"/>
  <c r="X73" i="2"/>
  <c r="X182" i="2"/>
  <c r="X261" i="2"/>
  <c r="X340" i="2"/>
  <c r="X440" i="2"/>
  <c r="X517" i="2"/>
  <c r="X589" i="2"/>
  <c r="X685" i="2"/>
  <c r="X787" i="2"/>
  <c r="X877" i="2"/>
  <c r="X938" i="2"/>
  <c r="X997" i="2"/>
  <c r="X1070" i="2"/>
  <c r="X1126" i="2"/>
  <c r="X1180" i="2"/>
  <c r="X736" i="2"/>
  <c r="X979" i="2"/>
  <c r="X1109" i="2"/>
  <c r="X1199" i="2"/>
  <c r="X789" i="2"/>
  <c r="X879" i="2"/>
  <c r="X959" i="2"/>
  <c r="X1072" i="2"/>
  <c r="X1146" i="2"/>
  <c r="X860" i="2"/>
  <c r="X1019" i="2"/>
  <c r="X1147" i="2"/>
  <c r="X244" i="2"/>
  <c r="X551" i="2"/>
  <c r="X843" i="2"/>
  <c r="X1040" i="2"/>
  <c r="X23" i="2"/>
  <c r="X46" i="2"/>
  <c r="X72" i="2"/>
  <c r="X102" i="2"/>
  <c r="X125" i="2"/>
  <c r="X151" i="2"/>
  <c r="X181" i="2"/>
  <c r="X204" i="2"/>
  <c r="X230" i="2"/>
  <c r="X260" i="2"/>
  <c r="X283" i="2"/>
  <c r="X309" i="2"/>
  <c r="X336" i="2"/>
  <c r="X362" i="2"/>
  <c r="X388" i="2"/>
  <c r="X415" i="2"/>
  <c r="X439" i="2"/>
  <c r="X462" i="2"/>
  <c r="X492" i="2"/>
  <c r="X516" i="2"/>
  <c r="X538" i="2"/>
  <c r="X566" i="2"/>
  <c r="X588" i="2"/>
  <c r="X612" i="2"/>
  <c r="X638" i="2"/>
  <c r="X662" i="2"/>
  <c r="X684" i="2"/>
  <c r="X712" i="2"/>
  <c r="X734" i="2"/>
  <c r="X758" i="2"/>
  <c r="X784" i="2"/>
  <c r="X808" i="2"/>
  <c r="X830" i="2"/>
  <c r="X855" i="2"/>
  <c r="X876" i="2"/>
  <c r="X896" i="2"/>
  <c r="X918" i="2"/>
  <c r="X937" i="2"/>
  <c r="X975" i="2"/>
  <c r="X996" i="2"/>
  <c r="X1033" i="2"/>
  <c r="X1087" i="2"/>
  <c r="X1161" i="2"/>
  <c r="X47" i="2"/>
  <c r="X152" i="2"/>
  <c r="X231" i="2"/>
  <c r="X310" i="2"/>
  <c r="X389" i="2"/>
  <c r="X493" i="2"/>
  <c r="X567" i="2"/>
  <c r="X663" i="2"/>
  <c r="X735" i="2"/>
  <c r="X831" i="2"/>
  <c r="X899" i="2"/>
  <c r="X957" i="2"/>
  <c r="X1016" i="2"/>
  <c r="X1088" i="2"/>
  <c r="X1144" i="2"/>
  <c r="X1198" i="2"/>
  <c r="X760" i="2"/>
  <c r="X958" i="2"/>
  <c r="X1071" i="2"/>
  <c r="X1163" i="2"/>
  <c r="X761" i="2"/>
  <c r="X901" i="2"/>
  <c r="X980" i="2"/>
  <c r="X1036" i="2"/>
  <c r="X1092" i="2"/>
  <c r="X1200" i="2"/>
  <c r="X880" i="2"/>
  <c r="X981" i="2"/>
  <c r="X1111" i="2"/>
  <c r="X1203" i="2"/>
  <c r="X214" i="2"/>
  <c r="X501" i="2"/>
  <c r="X771" i="2"/>
  <c r="X1004" i="2"/>
  <c r="X1168" i="2"/>
  <c r="X126" i="2"/>
  <c r="X1052" i="2"/>
  <c r="X859" i="2"/>
  <c r="X1018" i="2"/>
  <c r="X1182" i="2"/>
  <c r="X941" i="2"/>
  <c r="X1055" i="2"/>
  <c r="X1165" i="2"/>
  <c r="X1205" i="2"/>
  <c r="D13" i="6" s="1"/>
  <c r="X109" i="2"/>
  <c r="X424" i="2"/>
  <c r="X719" i="2"/>
  <c r="X965" i="2"/>
  <c r="X1132" i="2"/>
  <c r="X25" i="2"/>
  <c r="X48" i="2"/>
  <c r="X74" i="2"/>
  <c r="X104" i="2"/>
  <c r="X127" i="2"/>
  <c r="X153" i="2"/>
  <c r="X183" i="2"/>
  <c r="X206" i="2"/>
  <c r="X232" i="2"/>
  <c r="X262" i="2"/>
  <c r="X285" i="2"/>
  <c r="X311" i="2"/>
  <c r="X341" i="2"/>
  <c r="X364" i="2"/>
  <c r="X390" i="2"/>
  <c r="X419" i="2"/>
  <c r="X441" i="2"/>
  <c r="X464" i="2"/>
  <c r="X494" i="2"/>
  <c r="X518" i="2"/>
  <c r="X540" i="2"/>
  <c r="X568" i="2"/>
  <c r="X590" i="2"/>
  <c r="X614" i="2"/>
  <c r="X640" i="2"/>
  <c r="X664" i="2"/>
  <c r="X686" i="2"/>
  <c r="X714" i="2"/>
  <c r="X788" i="2"/>
  <c r="X832" i="2"/>
  <c r="X920" i="2"/>
  <c r="X1053" i="2"/>
  <c r="X835" i="2"/>
  <c r="X999" i="2"/>
  <c r="X1164" i="2"/>
  <c r="X960" i="2"/>
  <c r="X1037" i="2"/>
  <c r="X1129" i="2"/>
  <c r="X1204" i="2"/>
  <c r="X86" i="2"/>
  <c r="X399" i="2"/>
  <c r="X697" i="2"/>
  <c r="X944" i="2"/>
  <c r="X1114" i="2"/>
  <c r="X26" i="2"/>
  <c r="X52" i="2"/>
  <c r="X75" i="2"/>
  <c r="X105" i="2"/>
  <c r="X128" i="2"/>
  <c r="X154" i="2"/>
  <c r="X184" i="2"/>
  <c r="X207" i="2"/>
  <c r="X233" i="2"/>
  <c r="X263" i="2"/>
  <c r="X286" i="2"/>
  <c r="X312" i="2"/>
  <c r="X342" i="2"/>
  <c r="X365" i="2"/>
  <c r="X391" i="2"/>
  <c r="X420" i="2"/>
  <c r="X442" i="2"/>
  <c r="X468" i="2"/>
  <c r="X495" i="2"/>
  <c r="X519" i="2"/>
  <c r="X541" i="2"/>
  <c r="X569" i="2"/>
  <c r="X591" i="2"/>
  <c r="X615" i="2"/>
  <c r="X643" i="2"/>
  <c r="X665" i="2"/>
  <c r="X687" i="2"/>
  <c r="X739" i="2"/>
  <c r="X811" i="2"/>
  <c r="X921" i="2"/>
  <c r="X1110" i="2"/>
  <c r="X267" i="2"/>
  <c r="X573" i="2"/>
  <c r="X885" i="2"/>
  <c r="X1150" i="2"/>
  <c r="X27" i="2"/>
  <c r="X53" i="2"/>
  <c r="X80" i="2"/>
  <c r="X106" i="2"/>
  <c r="X132" i="2"/>
  <c r="X159" i="2"/>
  <c r="X185" i="2"/>
  <c r="X208" i="2"/>
  <c r="X238" i="2"/>
  <c r="X264" i="2"/>
  <c r="X287" i="2"/>
  <c r="X317" i="2"/>
  <c r="X343" i="2"/>
  <c r="X366" i="2"/>
  <c r="X396" i="2"/>
  <c r="X421" i="2"/>
  <c r="X443" i="2"/>
  <c r="X473" i="2"/>
  <c r="X496" i="2"/>
  <c r="X520" i="2"/>
  <c r="X548" i="2"/>
  <c r="X570" i="2"/>
  <c r="X592" i="2"/>
  <c r="X620" i="2"/>
  <c r="X644" i="2"/>
  <c r="X666" i="2"/>
  <c r="X694" i="2"/>
  <c r="X716" i="2"/>
  <c r="X740" i="2"/>
  <c r="X766" i="2"/>
  <c r="X790" i="2"/>
  <c r="X812" i="2"/>
  <c r="X840" i="2"/>
  <c r="X922" i="2"/>
  <c r="X1075" i="2"/>
  <c r="X30" i="2"/>
  <c r="X135" i="2"/>
  <c r="X188" i="2"/>
  <c r="X293" i="2"/>
  <c r="X372" i="2"/>
  <c r="X446" i="2"/>
  <c r="X523" i="2"/>
  <c r="X597" i="2"/>
  <c r="X669" i="2"/>
  <c r="X743" i="2"/>
  <c r="X815" i="2"/>
  <c r="X905" i="2"/>
  <c r="X984" i="2"/>
  <c r="X1078" i="2"/>
  <c r="X21" i="2"/>
  <c r="X28" i="2"/>
  <c r="X54" i="2"/>
  <c r="X84" i="2"/>
  <c r="X107" i="2"/>
  <c r="X133" i="2"/>
  <c r="X160" i="2"/>
  <c r="X186" i="2"/>
  <c r="X212" i="2"/>
  <c r="X239" i="2"/>
  <c r="X265" i="2"/>
  <c r="X288" i="2"/>
  <c r="X318" i="2"/>
  <c r="X344" i="2"/>
  <c r="X367" i="2"/>
  <c r="X397" i="2"/>
  <c r="X422" i="2"/>
  <c r="X444" i="2"/>
  <c r="X474" i="2"/>
  <c r="X499" i="2"/>
  <c r="X521" i="2"/>
  <c r="X549" i="2"/>
  <c r="X571" i="2"/>
  <c r="X595" i="2"/>
  <c r="X621" i="2"/>
  <c r="X645" i="2"/>
  <c r="X667" i="2"/>
  <c r="X695" i="2"/>
  <c r="X717" i="2"/>
  <c r="X741" i="2"/>
  <c r="X767" i="2"/>
  <c r="X791" i="2"/>
  <c r="X813" i="2"/>
  <c r="X841" i="2"/>
  <c r="X861" i="2"/>
  <c r="X883" i="2"/>
  <c r="X903" i="2"/>
  <c r="X923" i="2"/>
  <c r="X942" i="2"/>
  <c r="X963" i="2"/>
  <c r="X982" i="2"/>
  <c r="X1001" i="2"/>
  <c r="X1020" i="2"/>
  <c r="X1038" i="2"/>
  <c r="X1056" i="2"/>
  <c r="X1076" i="2"/>
  <c r="X1094" i="2"/>
  <c r="X1112" i="2"/>
  <c r="X1130" i="2"/>
  <c r="X1148" i="2"/>
  <c r="X1166" i="2"/>
  <c r="X1184" i="2"/>
  <c r="X56" i="2"/>
  <c r="X346" i="2"/>
  <c r="X623" i="2"/>
  <c r="X863" i="2"/>
  <c r="X1022" i="2"/>
  <c r="X1188" i="2"/>
  <c r="X29" i="2"/>
  <c r="X55" i="2"/>
  <c r="X85" i="2"/>
  <c r="X108" i="2"/>
  <c r="X134" i="2"/>
  <c r="X164" i="2"/>
  <c r="X187" i="2"/>
  <c r="X213" i="2"/>
  <c r="X240" i="2"/>
  <c r="X266" i="2"/>
  <c r="X292" i="2"/>
  <c r="X319" i="2"/>
  <c r="X345" i="2"/>
  <c r="X368" i="2"/>
  <c r="X398" i="2"/>
  <c r="X423" i="2"/>
  <c r="X445" i="2"/>
  <c r="X475" i="2"/>
  <c r="X500" i="2"/>
  <c r="X522" i="2"/>
  <c r="X550" i="2"/>
  <c r="X572" i="2"/>
  <c r="X596" i="2"/>
  <c r="X622" i="2"/>
  <c r="X646" i="2"/>
  <c r="X668" i="2"/>
  <c r="X696" i="2"/>
  <c r="X718" i="2"/>
  <c r="X742" i="2"/>
  <c r="X768" i="2"/>
  <c r="X792" i="2"/>
  <c r="X814" i="2"/>
  <c r="X842" i="2"/>
  <c r="X862" i="2"/>
  <c r="X884" i="2"/>
  <c r="X904" i="2"/>
  <c r="X924" i="2"/>
  <c r="X943" i="2"/>
  <c r="X964" i="2"/>
  <c r="X983" i="2"/>
  <c r="X1002" i="2"/>
  <c r="X1021" i="2"/>
  <c r="X1039" i="2"/>
  <c r="X1059" i="2"/>
  <c r="X1077" i="2"/>
  <c r="X1095" i="2"/>
  <c r="X1113" i="2"/>
  <c r="X1131" i="2"/>
  <c r="X1149" i="2"/>
  <c r="X1167" i="2"/>
  <c r="X1187" i="2"/>
  <c r="X165" i="2"/>
  <c r="X476" i="2"/>
  <c r="X793" i="2"/>
  <c r="X1060" i="2"/>
  <c r="X87" i="2"/>
  <c r="X144" i="2"/>
  <c r="X221" i="2"/>
  <c r="X298" i="2"/>
  <c r="X358" i="2"/>
  <c r="X427" i="2"/>
  <c r="X502" i="2"/>
  <c r="X556" i="2"/>
  <c r="X628" i="2"/>
  <c r="X698" i="2"/>
  <c r="X752" i="2"/>
  <c r="X824" i="2"/>
  <c r="X886" i="2"/>
  <c r="X933" i="2"/>
  <c r="X988" i="2"/>
  <c r="X1043" i="2"/>
  <c r="X1083" i="2"/>
  <c r="X1135" i="2"/>
  <c r="X1189" i="2"/>
  <c r="X1045" i="2"/>
  <c r="X1139" i="2"/>
  <c r="X436" i="2"/>
  <c r="X631" i="2"/>
  <c r="X827" i="2"/>
  <c r="X948" i="2"/>
  <c r="X1046" i="2"/>
  <c r="X1140" i="2"/>
  <c r="X248" i="2"/>
  <c r="X382" i="2"/>
  <c r="X651" i="2"/>
  <c r="X847" i="2"/>
  <c r="X1062" i="2"/>
  <c r="X1156" i="2"/>
  <c r="X42" i="2"/>
  <c r="X458" i="2"/>
  <c r="X724" i="2"/>
  <c r="X1011" i="2"/>
  <c r="X250" i="2"/>
  <c r="X603" i="2"/>
  <c r="X968" i="2"/>
  <c r="X328" i="2"/>
  <c r="X796" i="2"/>
  <c r="X1117" i="2"/>
  <c r="X122" i="2"/>
  <c r="X406" i="2"/>
  <c r="X797" i="2"/>
  <c r="X1066" i="2"/>
  <c r="X479" i="2"/>
  <c r="X1027" i="2"/>
  <c r="X972" i="2"/>
  <c r="X68" i="2"/>
  <c r="X750" i="2"/>
  <c r="X485" i="2"/>
  <c r="X681" i="2"/>
  <c r="X871" i="2"/>
  <c r="X1176" i="2"/>
  <c r="X88" i="2"/>
  <c r="X148" i="2"/>
  <c r="X222" i="2"/>
  <c r="X299" i="2"/>
  <c r="X359" i="2"/>
  <c r="X428" i="2"/>
  <c r="X503" i="2"/>
  <c r="X557" i="2"/>
  <c r="X629" i="2"/>
  <c r="X699" i="2"/>
  <c r="X755" i="2"/>
  <c r="X825" i="2"/>
  <c r="X887" i="2"/>
  <c r="X934" i="2"/>
  <c r="X989" i="2"/>
  <c r="X1044" i="2"/>
  <c r="X1084" i="2"/>
  <c r="X1136" i="2"/>
  <c r="X1190" i="2"/>
  <c r="X89" i="2"/>
  <c r="X166" i="2"/>
  <c r="X223" i="2"/>
  <c r="X300" i="2"/>
  <c r="X377" i="2"/>
  <c r="X435" i="2"/>
  <c r="X504" i="2"/>
  <c r="X574" i="2"/>
  <c r="X630" i="2"/>
  <c r="X700" i="2"/>
  <c r="X772" i="2"/>
  <c r="X826" i="2"/>
  <c r="X888" i="2"/>
  <c r="X947" i="2"/>
  <c r="X990" i="2"/>
  <c r="X1097" i="2"/>
  <c r="X1191" i="2"/>
  <c r="X224" i="2"/>
  <c r="X301" i="2"/>
  <c r="X505" i="2"/>
  <c r="X575" i="2"/>
  <c r="X701" i="2"/>
  <c r="X889" i="2"/>
  <c r="X991" i="2"/>
  <c r="X1098" i="2"/>
  <c r="X1192" i="2"/>
  <c r="X171" i="2"/>
  <c r="X325" i="2"/>
  <c r="X531" i="2"/>
  <c r="X777" i="2"/>
  <c r="X1008" i="2"/>
  <c r="X1102" i="2"/>
  <c r="X249" i="2"/>
  <c r="X602" i="2"/>
  <c r="X909" i="2"/>
  <c r="X1157" i="2"/>
  <c r="X43" i="2"/>
  <c r="X327" i="2"/>
  <c r="X533" i="2"/>
  <c r="X851" i="2"/>
  <c r="X1064" i="2"/>
  <c r="X268" i="2"/>
  <c r="X912" i="2"/>
  <c r="X329" i="2"/>
  <c r="X731" i="2"/>
  <c r="X407" i="2"/>
  <c r="X804" i="2"/>
  <c r="X679" i="2"/>
  <c r="X1120" i="2"/>
  <c r="X279" i="2"/>
  <c r="X554" i="2"/>
  <c r="X870" i="2"/>
  <c r="X555" i="2"/>
  <c r="X143" i="2"/>
  <c r="X90" i="2"/>
  <c r="X167" i="2"/>
  <c r="X378" i="2"/>
  <c r="X773" i="2"/>
  <c r="X37" i="2"/>
  <c r="X585" i="2"/>
  <c r="X953" i="2"/>
  <c r="X400" i="2"/>
  <c r="X848" i="2"/>
  <c r="X459" i="2"/>
  <c r="X1012" i="2"/>
  <c r="X604" i="2"/>
  <c r="X969" i="2"/>
  <c r="X478" i="2"/>
  <c r="X1024" i="2"/>
  <c r="X63" i="2"/>
  <c r="X606" i="2"/>
  <c r="X1119" i="2"/>
  <c r="X1028" i="2"/>
  <c r="X680" i="2"/>
  <c r="X932" i="2"/>
  <c r="X31" i="2"/>
  <c r="X91" i="2"/>
  <c r="X168" i="2"/>
  <c r="X245" i="2"/>
  <c r="X302" i="2"/>
  <c r="X379" i="2"/>
  <c r="X454" i="2"/>
  <c r="X510" i="2"/>
  <c r="X576" i="2"/>
  <c r="X648" i="2"/>
  <c r="X702" i="2"/>
  <c r="X774" i="2"/>
  <c r="X844" i="2"/>
  <c r="X891" i="2"/>
  <c r="X950" i="2"/>
  <c r="X1005" i="2"/>
  <c r="X1047" i="2"/>
  <c r="X1099" i="2"/>
  <c r="X1151" i="2"/>
  <c r="X1193" i="2"/>
  <c r="X1006" i="2"/>
  <c r="X1100" i="2"/>
  <c r="X1194" i="2"/>
  <c r="X907" i="2"/>
  <c r="X112" i="2"/>
  <c r="X326" i="2"/>
  <c r="X656" i="2"/>
  <c r="X966" i="2"/>
  <c r="X190" i="2"/>
  <c r="X659" i="2"/>
  <c r="X1116" i="2"/>
  <c r="X405" i="2"/>
  <c r="X864" i="2"/>
  <c r="X1171" i="2"/>
  <c r="X192" i="2"/>
  <c r="X535" i="2"/>
  <c r="X915" i="2"/>
  <c r="X552" i="2"/>
  <c r="X1173" i="2"/>
  <c r="X1080" i="2"/>
  <c r="X928" i="2"/>
  <c r="X69" i="2"/>
  <c r="X627" i="2"/>
  <c r="X823" i="2"/>
  <c r="X1082" i="2"/>
  <c r="X32" i="2"/>
  <c r="X92" i="2"/>
  <c r="X169" i="2"/>
  <c r="X246" i="2"/>
  <c r="X303" i="2"/>
  <c r="X380" i="2"/>
  <c r="X455" i="2"/>
  <c r="X511" i="2"/>
  <c r="X579" i="2"/>
  <c r="X649" i="2"/>
  <c r="X703" i="2"/>
  <c r="X775" i="2"/>
  <c r="X845" i="2"/>
  <c r="X892" i="2"/>
  <c r="X951" i="2"/>
  <c r="X1048" i="2"/>
  <c r="X1152" i="2"/>
  <c r="X723" i="2"/>
  <c r="X189" i="2"/>
  <c r="X532" i="2"/>
  <c r="X794" i="2"/>
  <c r="X1063" i="2"/>
  <c r="X116" i="2"/>
  <c r="X404" i="2"/>
  <c r="X725" i="2"/>
  <c r="X910" i="2"/>
  <c r="X1158" i="2"/>
  <c r="X534" i="2"/>
  <c r="X730" i="2"/>
  <c r="X1065" i="2"/>
  <c r="X269" i="2"/>
  <c r="X677" i="2"/>
  <c r="X1172" i="2"/>
  <c r="X347" i="2"/>
  <c r="X678" i="2"/>
  <c r="X1079" i="2"/>
  <c r="X749" i="2"/>
  <c r="X142" i="2"/>
  <c r="X624" i="2"/>
  <c r="X1175" i="2"/>
  <c r="X426" i="2"/>
  <c r="X36" i="2"/>
  <c r="X110" i="2"/>
  <c r="X170" i="2"/>
  <c r="X247" i="2"/>
  <c r="X324" i="2"/>
  <c r="X381" i="2"/>
  <c r="X456" i="2"/>
  <c r="X528" i="2"/>
  <c r="X584" i="2"/>
  <c r="X650" i="2"/>
  <c r="X720" i="2"/>
  <c r="X776" i="2"/>
  <c r="X846" i="2"/>
  <c r="X906" i="2"/>
  <c r="X952" i="2"/>
  <c r="X1007" i="2"/>
  <c r="X1061" i="2"/>
  <c r="X1101" i="2"/>
  <c r="X1155" i="2"/>
  <c r="X111" i="2"/>
  <c r="X191" i="2"/>
  <c r="X62" i="2"/>
  <c r="X970" i="2"/>
  <c r="X140" i="2"/>
  <c r="X748" i="2"/>
  <c r="X1174" i="2"/>
  <c r="X457" i="2"/>
  <c r="X1115" i="2"/>
  <c r="X795" i="2"/>
  <c r="X676" i="2"/>
  <c r="X1023" i="2"/>
  <c r="X605" i="2"/>
  <c r="X200" i="2"/>
  <c r="X868" i="2"/>
  <c r="X869" i="2"/>
  <c r="X822" i="2"/>
  <c r="X1118" i="2"/>
  <c r="X270" i="2"/>
  <c r="X926" i="2"/>
  <c r="X927" i="2"/>
  <c r="X1133" i="2"/>
  <c r="X1134" i="2"/>
  <c r="X1030" i="2"/>
  <c r="X61" i="2"/>
  <c r="X121" i="2"/>
  <c r="X477" i="2"/>
  <c r="X867" i="2"/>
  <c r="X971" i="2"/>
  <c r="X349" i="2"/>
  <c r="X1029" i="2"/>
  <c r="X280" i="2"/>
  <c r="X425" i="2"/>
  <c r="X1081" i="2"/>
  <c r="X350" i="2"/>
  <c r="X64" i="2"/>
  <c r="X141" i="2"/>
  <c r="X201" i="2"/>
  <c r="X271" i="2"/>
  <c r="X348" i="2"/>
  <c r="X408" i="2"/>
  <c r="X480" i="2"/>
  <c r="X553" i="2"/>
  <c r="X607" i="2"/>
  <c r="X805" i="2"/>
  <c r="X219" i="2"/>
  <c r="X484" i="2"/>
  <c r="X986" i="2"/>
  <c r="X220" i="2"/>
  <c r="X987" i="2"/>
  <c r="X751" i="2"/>
  <c r="R219" i="2"/>
  <c r="R220" i="2"/>
  <c r="R221" i="2"/>
  <c r="R237" i="2"/>
  <c r="R253" i="2"/>
  <c r="R269" i="2"/>
  <c r="R285" i="2"/>
  <c r="R301" i="2"/>
  <c r="R317" i="2"/>
  <c r="R333" i="2"/>
  <c r="R349" i="2"/>
  <c r="R365" i="2"/>
  <c r="R381" i="2"/>
  <c r="R397" i="2"/>
  <c r="R413" i="2"/>
  <c r="R429" i="2"/>
  <c r="R445" i="2"/>
  <c r="R461" i="2"/>
  <c r="R477" i="2"/>
  <c r="R238" i="2"/>
  <c r="R254" i="2"/>
  <c r="R270" i="2"/>
  <c r="R286" i="2"/>
  <c r="R302" i="2"/>
  <c r="R318" i="2"/>
  <c r="R334" i="2"/>
  <c r="R350" i="2"/>
  <c r="R366" i="2"/>
  <c r="R382" i="2"/>
  <c r="R398" i="2"/>
  <c r="R414" i="2"/>
  <c r="R430" i="2"/>
  <c r="R446" i="2"/>
  <c r="R462" i="2"/>
  <c r="R478" i="2"/>
  <c r="R222" i="2"/>
  <c r="R223" i="2"/>
  <c r="R239" i="2"/>
  <c r="R255" i="2"/>
  <c r="R271" i="2"/>
  <c r="R287" i="2"/>
  <c r="R303" i="2"/>
  <c r="R319" i="2"/>
  <c r="R335" i="2"/>
  <c r="R351" i="2"/>
  <c r="R367" i="2"/>
  <c r="R383" i="2"/>
  <c r="R399" i="2"/>
  <c r="R415" i="2"/>
  <c r="R431" i="2"/>
  <c r="R447" i="2"/>
  <c r="R463" i="2"/>
  <c r="R479" i="2"/>
  <c r="R240" i="2"/>
  <c r="R272" i="2"/>
  <c r="R288" i="2"/>
  <c r="R320" i="2"/>
  <c r="R352" i="2"/>
  <c r="R368" i="2"/>
  <c r="R400" i="2"/>
  <c r="R432" i="2"/>
  <c r="R464" i="2"/>
  <c r="R224" i="2"/>
  <c r="R256" i="2"/>
  <c r="R304" i="2"/>
  <c r="R336" i="2"/>
  <c r="R384" i="2"/>
  <c r="R416" i="2"/>
  <c r="R448" i="2"/>
  <c r="R480" i="2"/>
  <c r="R225" i="2"/>
  <c r="R241" i="2"/>
  <c r="R257" i="2"/>
  <c r="R273" i="2"/>
  <c r="R289" i="2"/>
  <c r="R305" i="2"/>
  <c r="R321" i="2"/>
  <c r="R337" i="2"/>
  <c r="R353" i="2"/>
  <c r="R369" i="2"/>
  <c r="R385" i="2"/>
  <c r="R401" i="2"/>
  <c r="R417" i="2"/>
  <c r="R433" i="2"/>
  <c r="R449" i="2"/>
  <c r="R465" i="2"/>
  <c r="R481" i="2"/>
  <c r="R242" i="2"/>
  <c r="R274" i="2"/>
  <c r="R306" i="2"/>
  <c r="R338" i="2"/>
  <c r="R370" i="2"/>
  <c r="R402" i="2"/>
  <c r="R434" i="2"/>
  <c r="R466" i="2"/>
  <c r="R226" i="2"/>
  <c r="R258" i="2"/>
  <c r="R290" i="2"/>
  <c r="R322" i="2"/>
  <c r="R354" i="2"/>
  <c r="R386" i="2"/>
  <c r="R418" i="2"/>
  <c r="R450" i="2"/>
  <c r="R482" i="2"/>
  <c r="R227" i="2"/>
  <c r="R228" i="2"/>
  <c r="R244" i="2"/>
  <c r="R229" i="2"/>
  <c r="R230" i="2"/>
  <c r="R231" i="2"/>
  <c r="R247" i="2"/>
  <c r="R263" i="2"/>
  <c r="R279" i="2"/>
  <c r="R295" i="2"/>
  <c r="R311" i="2"/>
  <c r="R327" i="2"/>
  <c r="R343" i="2"/>
  <c r="R359" i="2"/>
  <c r="R375" i="2"/>
  <c r="R391" i="2"/>
  <c r="R407" i="2"/>
  <c r="R423" i="2"/>
  <c r="R439" i="2"/>
  <c r="R455" i="2"/>
  <c r="R471" i="2"/>
  <c r="R232" i="2"/>
  <c r="R248" i="2"/>
  <c r="R264" i="2"/>
  <c r="R280" i="2"/>
  <c r="R296" i="2"/>
  <c r="R312" i="2"/>
  <c r="R328" i="2"/>
  <c r="R344" i="2"/>
  <c r="R360" i="2"/>
  <c r="R376" i="2"/>
  <c r="R392" i="2"/>
  <c r="R408" i="2"/>
  <c r="R424" i="2"/>
  <c r="R440" i="2"/>
  <c r="R456" i="2"/>
  <c r="R472" i="2"/>
  <c r="R233" i="2"/>
  <c r="R249" i="2"/>
  <c r="R265" i="2"/>
  <c r="R281" i="2"/>
  <c r="R297" i="2"/>
  <c r="R313" i="2"/>
  <c r="R329" i="2"/>
  <c r="R345" i="2"/>
  <c r="R361" i="2"/>
  <c r="R377" i="2"/>
  <c r="R393" i="2"/>
  <c r="R409" i="2"/>
  <c r="R425" i="2"/>
  <c r="R441" i="2"/>
  <c r="R457" i="2"/>
  <c r="R473" i="2"/>
  <c r="R235" i="2"/>
  <c r="R267" i="2"/>
  <c r="R283" i="2"/>
  <c r="R299" i="2"/>
  <c r="R315" i="2"/>
  <c r="R331" i="2"/>
  <c r="R363" i="2"/>
  <c r="R379" i="2"/>
  <c r="R411" i="2"/>
  <c r="R443" i="2"/>
  <c r="R475" i="2"/>
  <c r="R234" i="2"/>
  <c r="R250" i="2"/>
  <c r="R266" i="2"/>
  <c r="R282" i="2"/>
  <c r="R298" i="2"/>
  <c r="R314" i="2"/>
  <c r="R330" i="2"/>
  <c r="R346" i="2"/>
  <c r="R362" i="2"/>
  <c r="R378" i="2"/>
  <c r="R394" i="2"/>
  <c r="R410" i="2"/>
  <c r="R426" i="2"/>
  <c r="R442" i="2"/>
  <c r="R458" i="2"/>
  <c r="R474" i="2"/>
  <c r="R251" i="2"/>
  <c r="R347" i="2"/>
  <c r="R395" i="2"/>
  <c r="R427" i="2"/>
  <c r="R459" i="2"/>
  <c r="R236" i="2"/>
  <c r="R292" i="2"/>
  <c r="R341" i="2"/>
  <c r="R390" i="2"/>
  <c r="R444" i="2"/>
  <c r="R293" i="2"/>
  <c r="R454" i="2"/>
  <c r="R309" i="2"/>
  <c r="R371" i="2"/>
  <c r="R484" i="2"/>
  <c r="R284" i="2"/>
  <c r="R243" i="2"/>
  <c r="R342" i="2"/>
  <c r="R396" i="2"/>
  <c r="R451" i="2"/>
  <c r="R307" i="2"/>
  <c r="R467" i="2"/>
  <c r="R261" i="2"/>
  <c r="R332" i="2"/>
  <c r="R245" i="2"/>
  <c r="R294" i="2"/>
  <c r="R348" i="2"/>
  <c r="R403" i="2"/>
  <c r="R452" i="2"/>
  <c r="R356" i="2"/>
  <c r="R358" i="2"/>
  <c r="R310" i="2"/>
  <c r="R278" i="2"/>
  <c r="R246" i="2"/>
  <c r="R300" i="2"/>
  <c r="R355" i="2"/>
  <c r="R404" i="2"/>
  <c r="R453" i="2"/>
  <c r="R405" i="2"/>
  <c r="R412" i="2"/>
  <c r="R468" i="2"/>
  <c r="R316" i="2"/>
  <c r="R435" i="2"/>
  <c r="R339" i="2"/>
  <c r="R252" i="2"/>
  <c r="R260" i="2"/>
  <c r="R419" i="2"/>
  <c r="R420" i="2"/>
  <c r="R380" i="2"/>
  <c r="R259" i="2"/>
  <c r="R308" i="2"/>
  <c r="R357" i="2"/>
  <c r="R406" i="2"/>
  <c r="R460" i="2"/>
  <c r="R364" i="2"/>
  <c r="R469" i="2"/>
  <c r="R218" i="2"/>
  <c r="R485" i="2"/>
  <c r="R291" i="2"/>
  <c r="R340" i="2"/>
  <c r="R262" i="2"/>
  <c r="R277" i="2"/>
  <c r="R437" i="2"/>
  <c r="R268" i="2"/>
  <c r="R323" i="2"/>
  <c r="R372" i="2"/>
  <c r="R421" i="2"/>
  <c r="R470" i="2"/>
  <c r="R326" i="2"/>
  <c r="R388" i="2"/>
  <c r="R275" i="2"/>
  <c r="R324" i="2"/>
  <c r="R373" i="2"/>
  <c r="R422" i="2"/>
  <c r="R476" i="2"/>
  <c r="R436" i="2"/>
  <c r="R389" i="2"/>
  <c r="R276" i="2"/>
  <c r="R325" i="2"/>
  <c r="R374" i="2"/>
  <c r="R428" i="2"/>
  <c r="R483" i="2"/>
  <c r="R387" i="2"/>
  <c r="R438" i="2"/>
  <c r="L27" i="2"/>
  <c r="L43" i="2"/>
  <c r="L59" i="2"/>
  <c r="L75" i="2"/>
  <c r="L91" i="2"/>
  <c r="L107" i="2"/>
  <c r="L123" i="2"/>
  <c r="L139" i="2"/>
  <c r="L155" i="2"/>
  <c r="L171" i="2"/>
  <c r="L187" i="2"/>
  <c r="L203" i="2"/>
  <c r="L219" i="2"/>
  <c r="L235" i="2"/>
  <c r="L251" i="2"/>
  <c r="L267" i="2"/>
  <c r="L283" i="2"/>
  <c r="L299" i="2"/>
  <c r="L315" i="2"/>
  <c r="L331" i="2"/>
  <c r="L347" i="2"/>
  <c r="L363" i="2"/>
  <c r="L379" i="2"/>
  <c r="L395" i="2"/>
  <c r="L411" i="2"/>
  <c r="L427" i="2"/>
  <c r="L443" i="2"/>
  <c r="L459" i="2"/>
  <c r="L475" i="2"/>
  <c r="L28" i="2"/>
  <c r="L44" i="2"/>
  <c r="L60" i="2"/>
  <c r="L76" i="2"/>
  <c r="L92" i="2"/>
  <c r="L108" i="2"/>
  <c r="L124" i="2"/>
  <c r="L140" i="2"/>
  <c r="L156" i="2"/>
  <c r="L29" i="2"/>
  <c r="L45" i="2"/>
  <c r="L61" i="2"/>
  <c r="L77" i="2"/>
  <c r="L93" i="2"/>
  <c r="L109" i="2"/>
  <c r="L125" i="2"/>
  <c r="L141" i="2"/>
  <c r="L157" i="2"/>
  <c r="L173" i="2"/>
  <c r="L189" i="2"/>
  <c r="L205" i="2"/>
  <c r="L221" i="2"/>
  <c r="L237" i="2"/>
  <c r="L253" i="2"/>
  <c r="L269" i="2"/>
  <c r="L285" i="2"/>
  <c r="L301" i="2"/>
  <c r="L317" i="2"/>
  <c r="L333" i="2"/>
  <c r="L349" i="2"/>
  <c r="L365" i="2"/>
  <c r="L381" i="2"/>
  <c r="L397" i="2"/>
  <c r="L413" i="2"/>
  <c r="L429" i="2"/>
  <c r="L445" i="2"/>
  <c r="L461" i="2"/>
  <c r="L477" i="2"/>
  <c r="L30" i="2"/>
  <c r="L62" i="2"/>
  <c r="L78" i="2"/>
  <c r="L94" i="2"/>
  <c r="L126" i="2"/>
  <c r="L142" i="2"/>
  <c r="L174" i="2"/>
  <c r="L190" i="2"/>
  <c r="L222" i="2"/>
  <c r="L254" i="2"/>
  <c r="L270" i="2"/>
  <c r="L302" i="2"/>
  <c r="L334" i="2"/>
  <c r="L366" i="2"/>
  <c r="L46" i="2"/>
  <c r="L110" i="2"/>
  <c r="L158" i="2"/>
  <c r="L206" i="2"/>
  <c r="L238" i="2"/>
  <c r="L286" i="2"/>
  <c r="L318" i="2"/>
  <c r="L350" i="2"/>
  <c r="L31" i="2"/>
  <c r="L47" i="2"/>
  <c r="L63" i="2"/>
  <c r="L79" i="2"/>
  <c r="L95" i="2"/>
  <c r="L111" i="2"/>
  <c r="L127" i="2"/>
  <c r="L143" i="2"/>
  <c r="L159" i="2"/>
  <c r="L175" i="2"/>
  <c r="L191" i="2"/>
  <c r="L207" i="2"/>
  <c r="L223" i="2"/>
  <c r="L239" i="2"/>
  <c r="L255" i="2"/>
  <c r="L271" i="2"/>
  <c r="L287" i="2"/>
  <c r="L303" i="2"/>
  <c r="L319" i="2"/>
  <c r="L335" i="2"/>
  <c r="L351" i="2"/>
  <c r="L367" i="2"/>
  <c r="L383" i="2"/>
  <c r="L399" i="2"/>
  <c r="L415" i="2"/>
  <c r="L431" i="2"/>
  <c r="L447" i="2"/>
  <c r="L463" i="2"/>
  <c r="L479" i="2"/>
  <c r="L32" i="2"/>
  <c r="L64" i="2"/>
  <c r="L80" i="2"/>
  <c r="L96" i="2"/>
  <c r="L112" i="2"/>
  <c r="L144" i="2"/>
  <c r="L160" i="2"/>
  <c r="L192" i="2"/>
  <c r="L208" i="2"/>
  <c r="L224" i="2"/>
  <c r="L240" i="2"/>
  <c r="L256" i="2"/>
  <c r="L272" i="2"/>
  <c r="L288" i="2"/>
  <c r="L304" i="2"/>
  <c r="L320" i="2"/>
  <c r="L336" i="2"/>
  <c r="L352" i="2"/>
  <c r="L368" i="2"/>
  <c r="L384" i="2"/>
  <c r="L400" i="2"/>
  <c r="L416" i="2"/>
  <c r="L432" i="2"/>
  <c r="L448" i="2"/>
  <c r="L464" i="2"/>
  <c r="L480" i="2"/>
  <c r="L48" i="2"/>
  <c r="L128" i="2"/>
  <c r="L176" i="2"/>
  <c r="L21" i="2"/>
  <c r="L37" i="2"/>
  <c r="L53" i="2"/>
  <c r="L69" i="2"/>
  <c r="L85" i="2"/>
  <c r="L101" i="2"/>
  <c r="L117" i="2"/>
  <c r="L133" i="2"/>
  <c r="L149" i="2"/>
  <c r="L165" i="2"/>
  <c r="L181" i="2"/>
  <c r="L197" i="2"/>
  <c r="L213" i="2"/>
  <c r="L229" i="2"/>
  <c r="L245" i="2"/>
  <c r="L261" i="2"/>
  <c r="L277" i="2"/>
  <c r="L293" i="2"/>
  <c r="L309" i="2"/>
  <c r="L325" i="2"/>
  <c r="L341" i="2"/>
  <c r="L357" i="2"/>
  <c r="L373" i="2"/>
  <c r="L389" i="2"/>
  <c r="L405" i="2"/>
  <c r="L421" i="2"/>
  <c r="L437" i="2"/>
  <c r="L453" i="2"/>
  <c r="L469" i="2"/>
  <c r="L22" i="2"/>
  <c r="L38" i="2"/>
  <c r="L54" i="2"/>
  <c r="L70" i="2"/>
  <c r="L86" i="2"/>
  <c r="L102" i="2"/>
  <c r="L118" i="2"/>
  <c r="L134" i="2"/>
  <c r="L150" i="2"/>
  <c r="L166" i="2"/>
  <c r="L182" i="2"/>
  <c r="L198" i="2"/>
  <c r="L214" i="2"/>
  <c r="L230" i="2"/>
  <c r="L246" i="2"/>
  <c r="L262" i="2"/>
  <c r="L278" i="2"/>
  <c r="L294" i="2"/>
  <c r="L310" i="2"/>
  <c r="L23" i="2"/>
  <c r="L39" i="2"/>
  <c r="L55" i="2"/>
  <c r="L71" i="2"/>
  <c r="L87" i="2"/>
  <c r="L103" i="2"/>
  <c r="L119" i="2"/>
  <c r="L135" i="2"/>
  <c r="L151" i="2"/>
  <c r="L167" i="2"/>
  <c r="L183" i="2"/>
  <c r="L199" i="2"/>
  <c r="L215" i="2"/>
  <c r="L231" i="2"/>
  <c r="L247" i="2"/>
  <c r="L263" i="2"/>
  <c r="L279" i="2"/>
  <c r="L295" i="2"/>
  <c r="L311" i="2"/>
  <c r="L327" i="2"/>
  <c r="L343" i="2"/>
  <c r="L359" i="2"/>
  <c r="L375" i="2"/>
  <c r="L391" i="2"/>
  <c r="L407" i="2"/>
  <c r="L423" i="2"/>
  <c r="L439" i="2"/>
  <c r="L455" i="2"/>
  <c r="L471" i="2"/>
  <c r="L41" i="2"/>
  <c r="L73" i="2"/>
  <c r="L105" i="2"/>
  <c r="L137" i="2"/>
  <c r="L169" i="2"/>
  <c r="L185" i="2"/>
  <c r="L217" i="2"/>
  <c r="L249" i="2"/>
  <c r="L265" i="2"/>
  <c r="L297" i="2"/>
  <c r="L329" i="2"/>
  <c r="L361" i="2"/>
  <c r="L377" i="2"/>
  <c r="L409" i="2"/>
  <c r="L441" i="2"/>
  <c r="L473" i="2"/>
  <c r="L24" i="2"/>
  <c r="L40" i="2"/>
  <c r="L56" i="2"/>
  <c r="L72" i="2"/>
  <c r="L88" i="2"/>
  <c r="L104" i="2"/>
  <c r="L120" i="2"/>
  <c r="L136" i="2"/>
  <c r="L152" i="2"/>
  <c r="L168" i="2"/>
  <c r="L184" i="2"/>
  <c r="L200" i="2"/>
  <c r="L216" i="2"/>
  <c r="L232" i="2"/>
  <c r="L248" i="2"/>
  <c r="L264" i="2"/>
  <c r="L280" i="2"/>
  <c r="L296" i="2"/>
  <c r="L312" i="2"/>
  <c r="L328" i="2"/>
  <c r="L344" i="2"/>
  <c r="L360" i="2"/>
  <c r="L376" i="2"/>
  <c r="L392" i="2"/>
  <c r="L408" i="2"/>
  <c r="L424" i="2"/>
  <c r="L440" i="2"/>
  <c r="L456" i="2"/>
  <c r="L472" i="2"/>
  <c r="L25" i="2"/>
  <c r="L57" i="2"/>
  <c r="L89" i="2"/>
  <c r="L121" i="2"/>
  <c r="L153" i="2"/>
  <c r="L201" i="2"/>
  <c r="L233" i="2"/>
  <c r="L281" i="2"/>
  <c r="L313" i="2"/>
  <c r="L345" i="2"/>
  <c r="L393" i="2"/>
  <c r="L425" i="2"/>
  <c r="L457" i="2"/>
  <c r="L33" i="2"/>
  <c r="L82" i="2"/>
  <c r="L131" i="2"/>
  <c r="L179" i="2"/>
  <c r="L225" i="2"/>
  <c r="L266" i="2"/>
  <c r="L307" i="2"/>
  <c r="L346" i="2"/>
  <c r="L382" i="2"/>
  <c r="L414" i="2"/>
  <c r="L446" i="2"/>
  <c r="L478" i="2"/>
  <c r="L180" i="2"/>
  <c r="L268" i="2"/>
  <c r="L348" i="2"/>
  <c r="L417" i="2"/>
  <c r="L449" i="2"/>
  <c r="L419" i="2"/>
  <c r="L146" i="2"/>
  <c r="L275" i="2"/>
  <c r="L355" i="2"/>
  <c r="L484" i="2"/>
  <c r="L454" i="2"/>
  <c r="L458" i="2"/>
  <c r="L51" i="2"/>
  <c r="L284" i="2"/>
  <c r="L161" i="2"/>
  <c r="L398" i="2"/>
  <c r="L401" i="2"/>
  <c r="L434" i="2"/>
  <c r="L339" i="2"/>
  <c r="L438" i="2"/>
  <c r="L442" i="2"/>
  <c r="L220" i="2"/>
  <c r="L34" i="2"/>
  <c r="L83" i="2"/>
  <c r="L132" i="2"/>
  <c r="L226" i="2"/>
  <c r="L308" i="2"/>
  <c r="L385" i="2"/>
  <c r="L481" i="2"/>
  <c r="L420" i="2"/>
  <c r="L241" i="2"/>
  <c r="L394" i="2"/>
  <c r="L242" i="2"/>
  <c r="L106" i="2"/>
  <c r="L289" i="2"/>
  <c r="L290" i="2"/>
  <c r="L338" i="2"/>
  <c r="L436" i="2"/>
  <c r="L406" i="2"/>
  <c r="L259" i="2"/>
  <c r="L26" i="2"/>
  <c r="L476" i="2"/>
  <c r="L35" i="2"/>
  <c r="L84" i="2"/>
  <c r="L138" i="2"/>
  <c r="L186" i="2"/>
  <c r="L227" i="2"/>
  <c r="L273" i="2"/>
  <c r="L314" i="2"/>
  <c r="L353" i="2"/>
  <c r="L386" i="2"/>
  <c r="L418" i="2"/>
  <c r="L450" i="2"/>
  <c r="L482" i="2"/>
  <c r="L483" i="2"/>
  <c r="L321" i="2"/>
  <c r="L282" i="2"/>
  <c r="L154" i="2"/>
  <c r="L460" i="2"/>
  <c r="L52" i="2"/>
  <c r="L326" i="2"/>
  <c r="L330" i="2"/>
  <c r="L257" i="2"/>
  <c r="L470" i="2"/>
  <c r="L218" i="2"/>
  <c r="L81" i="2"/>
  <c r="L444" i="2"/>
  <c r="L36" i="2"/>
  <c r="L90" i="2"/>
  <c r="L145" i="2"/>
  <c r="L188" i="2"/>
  <c r="L228" i="2"/>
  <c r="L274" i="2"/>
  <c r="L316" i="2"/>
  <c r="L354" i="2"/>
  <c r="L387" i="2"/>
  <c r="L451" i="2"/>
  <c r="L97" i="2"/>
  <c r="L234" i="2"/>
  <c r="L388" i="2"/>
  <c r="L422" i="2"/>
  <c r="L358" i="2"/>
  <c r="L362" i="2"/>
  <c r="L243" i="2"/>
  <c r="L430" i="2"/>
  <c r="L369" i="2"/>
  <c r="L466" i="2"/>
  <c r="L300" i="2"/>
  <c r="L378" i="2"/>
  <c r="L260" i="2"/>
  <c r="L42" i="2"/>
  <c r="L193" i="2"/>
  <c r="L452" i="2"/>
  <c r="L195" i="2"/>
  <c r="L426" i="2"/>
  <c r="L100" i="2"/>
  <c r="L324" i="2"/>
  <c r="L465" i="2"/>
  <c r="L370" i="2"/>
  <c r="L172" i="2"/>
  <c r="L74" i="2"/>
  <c r="L410" i="2"/>
  <c r="L178" i="2"/>
  <c r="L49" i="2"/>
  <c r="L98" i="2"/>
  <c r="L147" i="2"/>
  <c r="L194" i="2"/>
  <c r="L236" i="2"/>
  <c r="L276" i="2"/>
  <c r="L322" i="2"/>
  <c r="L356" i="2"/>
  <c r="L390" i="2"/>
  <c r="L485" i="2"/>
  <c r="D12" i="6" s="1"/>
  <c r="L50" i="2"/>
  <c r="L99" i="2"/>
  <c r="L148" i="2"/>
  <c r="L323" i="2"/>
  <c r="L20" i="2"/>
  <c r="L196" i="2"/>
  <c r="L428" i="2"/>
  <c r="L462" i="2"/>
  <c r="L332" i="2"/>
  <c r="L170" i="2"/>
  <c r="L468" i="2"/>
  <c r="L122" i="2"/>
  <c r="L130" i="2"/>
  <c r="L364" i="2"/>
  <c r="L67" i="2"/>
  <c r="L340" i="2"/>
  <c r="L474" i="2"/>
  <c r="L396" i="2"/>
  <c r="L204" i="2"/>
  <c r="L116" i="2"/>
  <c r="L68" i="2"/>
  <c r="L305" i="2"/>
  <c r="L202" i="2"/>
  <c r="L250" i="2"/>
  <c r="L212" i="2"/>
  <c r="L342" i="2"/>
  <c r="L58" i="2"/>
  <c r="L113" i="2"/>
  <c r="L162" i="2"/>
  <c r="L244" i="2"/>
  <c r="L433" i="2"/>
  <c r="L402" i="2"/>
  <c r="L258" i="2"/>
  <c r="L374" i="2"/>
  <c r="L306" i="2"/>
  <c r="L65" i="2"/>
  <c r="L114" i="2"/>
  <c r="L163" i="2"/>
  <c r="L209" i="2"/>
  <c r="L291" i="2"/>
  <c r="L298" i="2"/>
  <c r="L372" i="2"/>
  <c r="L129" i="2"/>
  <c r="L412" i="2"/>
  <c r="L66" i="2"/>
  <c r="L115" i="2"/>
  <c r="L164" i="2"/>
  <c r="L210" i="2"/>
  <c r="L252" i="2"/>
  <c r="L292" i="2"/>
  <c r="L337" i="2"/>
  <c r="L371" i="2"/>
  <c r="L403" i="2"/>
  <c r="L435" i="2"/>
  <c r="L467" i="2"/>
  <c r="L211" i="2"/>
  <c r="L404" i="2"/>
  <c r="L177" i="2"/>
  <c r="L380" i="2"/>
  <c r="F437" i="2"/>
  <c r="F453" i="2"/>
  <c r="F469" i="2"/>
  <c r="F485" i="2"/>
  <c r="D11" i="6" s="1"/>
  <c r="F439" i="2"/>
  <c r="F455" i="2"/>
  <c r="F471" i="2"/>
  <c r="F441" i="2"/>
  <c r="F457" i="2"/>
  <c r="F473" i="2"/>
  <c r="F442" i="2"/>
  <c r="F458" i="2"/>
  <c r="F433" i="2"/>
  <c r="F449" i="2"/>
  <c r="F465" i="2"/>
  <c r="F481" i="2"/>
  <c r="F451" i="2"/>
  <c r="F483" i="2"/>
  <c r="F434" i="2"/>
  <c r="F450" i="2"/>
  <c r="F466" i="2"/>
  <c r="F482" i="2"/>
  <c r="F435" i="2"/>
  <c r="F467" i="2"/>
  <c r="F452" i="2"/>
  <c r="F478" i="2"/>
  <c r="F454" i="2"/>
  <c r="F479" i="2"/>
  <c r="F432" i="2"/>
  <c r="F463" i="2"/>
  <c r="F459" i="2"/>
  <c r="F438" i="2"/>
  <c r="F444" i="2"/>
  <c r="F445" i="2"/>
  <c r="F456" i="2"/>
  <c r="F480" i="2"/>
  <c r="F461" i="2"/>
  <c r="F462" i="2"/>
  <c r="F472" i="2"/>
  <c r="F484" i="2"/>
  <c r="F460" i="2"/>
  <c r="F475" i="2"/>
  <c r="F477" i="2"/>
  <c r="F436" i="2"/>
  <c r="F464" i="2"/>
  <c r="F448" i="2"/>
  <c r="F440" i="2"/>
  <c r="F447" i="2"/>
  <c r="F443" i="2"/>
  <c r="F446" i="2"/>
  <c r="F468" i="2"/>
  <c r="F470" i="2"/>
  <c r="F474" i="2"/>
  <c r="F476" i="2"/>
</calcChain>
</file>

<file path=xl/sharedStrings.xml><?xml version="1.0" encoding="utf-8"?>
<sst xmlns="http://schemas.openxmlformats.org/spreadsheetml/2006/main" count="166" uniqueCount="56">
  <si>
    <t>200C Odin</t>
  </si>
  <si>
    <t>225C Sif</t>
  </si>
  <si>
    <t>225C Odin</t>
  </si>
  <si>
    <t>250 Sif</t>
  </si>
  <si>
    <t>250 Odin</t>
  </si>
  <si>
    <t>Temp</t>
  </si>
  <si>
    <t>Time corrected</t>
  </si>
  <si>
    <t>mass% raw</t>
  </si>
  <si>
    <t>mass% corrected</t>
  </si>
  <si>
    <t>X_C</t>
  </si>
  <si>
    <t>225 Sif</t>
  </si>
  <si>
    <t>225 Odin</t>
  </si>
  <si>
    <t>TEMP</t>
  </si>
  <si>
    <t>CORRECTED TIME</t>
  </si>
  <si>
    <t>MASS%</t>
  </si>
  <si>
    <t>CORRECTED MASS%</t>
  </si>
  <si>
    <t>X_C FROM TOP-POINT</t>
  </si>
  <si>
    <t>Ash PW500:</t>
  </si>
  <si>
    <t>200C</t>
  </si>
  <si>
    <t>225C (Sif)</t>
  </si>
  <si>
    <t>225C (Odin)</t>
  </si>
  <si>
    <t>250C (Sif)</t>
  </si>
  <si>
    <t>MASS% NON-CORRECTED</t>
  </si>
  <si>
    <t>MASS% CORRECTED</t>
  </si>
  <si>
    <t>X_C from top-point</t>
  </si>
  <si>
    <t>TIME CORRECTED</t>
  </si>
  <si>
    <t>X_C FROM TOP</t>
  </si>
  <si>
    <t>TEMP / FEEDSTOCK</t>
  </si>
  <si>
    <t>BRF500</t>
  </si>
  <si>
    <t>WS500</t>
  </si>
  <si>
    <t>PW500</t>
  </si>
  <si>
    <t>Conversion mass%</t>
  </si>
  <si>
    <t>100-end</t>
  </si>
  <si>
    <t>200 (Odin)</t>
  </si>
  <si>
    <t>225 (Sif)</t>
  </si>
  <si>
    <t>250 (Sif)</t>
  </si>
  <si>
    <t>Conversion, X_C</t>
  </si>
  <si>
    <t>TEMP/FEEDSTOCK</t>
  </si>
  <si>
    <t>Ash fraction:</t>
  </si>
  <si>
    <t>Ash Fraction:</t>
  </si>
  <si>
    <t>Difference between Odin and Sif, corrected Mass%</t>
  </si>
  <si>
    <t>Temp/Feedstock</t>
  </si>
  <si>
    <t>Mean</t>
  </si>
  <si>
    <t>TIME</t>
  </si>
  <si>
    <t>Linear (1)</t>
  </si>
  <si>
    <t>Linear (2)</t>
  </si>
  <si>
    <t>RAW MASS%</t>
  </si>
  <si>
    <t>Linear (Real, Used)</t>
  </si>
  <si>
    <t>CORRECTED MASS</t>
  </si>
  <si>
    <t>Linear (Used, Real)</t>
  </si>
  <si>
    <t>CORRECTED</t>
  </si>
  <si>
    <t>LINEAR (REAL)</t>
  </si>
  <si>
    <t>temp</t>
  </si>
  <si>
    <t>time</t>
  </si>
  <si>
    <t>mass%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</si>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</sst>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C9C9"/>
        <bgColor rgb="FF000000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 applyAlignment="1">
      <alignment horizontal="left" vertical="center"/>
    </xf>
    <xf numFmtId="164" fontId="1" fillId="2" borderId="0" xfId="1" applyNumberFormat="1" applyFill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164" fontId="1" fillId="3" borderId="0" xfId="1" applyNumberFormat="1" applyFill="1" applyAlignment="1">
      <alignment horizontal="left" vertical="center"/>
    </xf>
    <xf numFmtId="164" fontId="1" fillId="4" borderId="0" xfId="1" applyNumberFormat="1" applyFill="1" applyAlignment="1">
      <alignment horizontal="left" vertical="center"/>
    </xf>
    <xf numFmtId="164" fontId="1" fillId="5" borderId="0" xfId="1" applyNumberFormat="1" applyFill="1" applyAlignment="1">
      <alignment horizontal="left" vertical="center"/>
    </xf>
    <xf numFmtId="164" fontId="1" fillId="6" borderId="0" xfId="1" applyNumberFormat="1" applyFill="1" applyAlignment="1">
      <alignment horizontal="left" vertical="center"/>
    </xf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164" fontId="0" fillId="3" borderId="0" xfId="0" applyNumberForma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4" fontId="0" fillId="7" borderId="0" xfId="0" applyNumberFormat="1" applyFill="1" applyAlignment="1">
      <alignment horizontal="left" vertical="center"/>
    </xf>
    <xf numFmtId="0" fontId="1" fillId="7" borderId="0" xfId="1" applyFill="1" applyAlignment="1">
      <alignment horizontal="left" vertical="center"/>
    </xf>
    <xf numFmtId="164" fontId="1" fillId="7" borderId="0" xfId="1" applyNumberFormat="1" applyFill="1" applyAlignment="1">
      <alignment horizontal="left" vertical="center"/>
    </xf>
    <xf numFmtId="0" fontId="1" fillId="8" borderId="0" xfId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CAFEF7E8-2168-DF47-A146-B98AE17AF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Time, 250C, 20% O2, 10H Hold (Sif)</a:t>
            </a:r>
            <a:endParaRPr lang="en-GB"/>
          </a:p>
        </c:rich>
      </c:tx>
      <c:layout>
        <c:manualLayout>
          <c:xMode val="edge"/>
          <c:yMode val="edge"/>
          <c:x val="9.6295264623955434E-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BRF500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Data, BRF500 20% O2'!$X$4:$X$1203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Data, BRF500 20% O2'!$Z$4:$Z$1203</c:f>
              <c:numCache>
                <c:formatCode>0.00000</c:formatCode>
                <c:ptCount val="1200"/>
                <c:pt idx="0">
                  <c:v>100</c:v>
                </c:pt>
                <c:pt idx="1">
                  <c:v>100.13368000000001</c:v>
                </c:pt>
                <c:pt idx="2">
                  <c:v>100.29835</c:v>
                </c:pt>
                <c:pt idx="3">
                  <c:v>100.40191</c:v>
                </c:pt>
                <c:pt idx="4">
                  <c:v>100.47273</c:v>
                </c:pt>
                <c:pt idx="5">
                  <c:v>100.48620000000001</c:v>
                </c:pt>
                <c:pt idx="6">
                  <c:v>100.50139</c:v>
                </c:pt>
                <c:pt idx="7">
                  <c:v>100.50736000000001</c:v>
                </c:pt>
                <c:pt idx="8">
                  <c:v>100.50516</c:v>
                </c:pt>
                <c:pt idx="9">
                  <c:v>100.49354000000001</c:v>
                </c:pt>
                <c:pt idx="10">
                  <c:v>100.47245000000001</c:v>
                </c:pt>
                <c:pt idx="11">
                  <c:v>100.45356000000001</c:v>
                </c:pt>
                <c:pt idx="12">
                  <c:v>100.4325</c:v>
                </c:pt>
                <c:pt idx="13">
                  <c:v>100.40184000000001</c:v>
                </c:pt>
                <c:pt idx="14">
                  <c:v>100.39593000000001</c:v>
                </c:pt>
                <c:pt idx="15">
                  <c:v>100.37676</c:v>
                </c:pt>
                <c:pt idx="16">
                  <c:v>100.34614000000001</c:v>
                </c:pt>
                <c:pt idx="17">
                  <c:v>100.32693</c:v>
                </c:pt>
                <c:pt idx="18">
                  <c:v>100.28283</c:v>
                </c:pt>
                <c:pt idx="19">
                  <c:v>100.27135000000001</c:v>
                </c:pt>
                <c:pt idx="20">
                  <c:v>100.22914</c:v>
                </c:pt>
                <c:pt idx="21">
                  <c:v>100.21179000000001</c:v>
                </c:pt>
                <c:pt idx="22">
                  <c:v>100.18510000000001</c:v>
                </c:pt>
                <c:pt idx="23">
                  <c:v>100.14627</c:v>
                </c:pt>
                <c:pt idx="24">
                  <c:v>100.13511000000001</c:v>
                </c:pt>
                <c:pt idx="25">
                  <c:v>100.11029000000001</c:v>
                </c:pt>
                <c:pt idx="26">
                  <c:v>100.07376000000001</c:v>
                </c:pt>
                <c:pt idx="27">
                  <c:v>100.05257</c:v>
                </c:pt>
                <c:pt idx="28">
                  <c:v>100.01653</c:v>
                </c:pt>
                <c:pt idx="29">
                  <c:v>99.993459999999999</c:v>
                </c:pt>
                <c:pt idx="30">
                  <c:v>99.966340000000002</c:v>
                </c:pt>
                <c:pt idx="31">
                  <c:v>99.941340000000011</c:v>
                </c:pt>
                <c:pt idx="32">
                  <c:v>99.89537</c:v>
                </c:pt>
                <c:pt idx="33">
                  <c:v>99.868600000000001</c:v>
                </c:pt>
                <c:pt idx="34">
                  <c:v>99.847400000000007</c:v>
                </c:pt>
                <c:pt idx="35">
                  <c:v>99.822700000000012</c:v>
                </c:pt>
                <c:pt idx="36">
                  <c:v>99.784220000000005</c:v>
                </c:pt>
                <c:pt idx="37">
                  <c:v>99.757390000000001</c:v>
                </c:pt>
                <c:pt idx="38">
                  <c:v>99.726730000000003</c:v>
                </c:pt>
                <c:pt idx="39">
                  <c:v>99.692180000000008</c:v>
                </c:pt>
                <c:pt idx="40">
                  <c:v>99.655799999999999</c:v>
                </c:pt>
                <c:pt idx="41">
                  <c:v>99.628860000000003</c:v>
                </c:pt>
                <c:pt idx="42">
                  <c:v>99.607820000000004</c:v>
                </c:pt>
                <c:pt idx="43">
                  <c:v>99.579239999999999</c:v>
                </c:pt>
                <c:pt idx="44">
                  <c:v>99.548510000000007</c:v>
                </c:pt>
                <c:pt idx="45">
                  <c:v>99.519630000000006</c:v>
                </c:pt>
                <c:pt idx="46">
                  <c:v>99.48527</c:v>
                </c:pt>
                <c:pt idx="47">
                  <c:v>99.46587000000001</c:v>
                </c:pt>
                <c:pt idx="48">
                  <c:v>99.431350000000009</c:v>
                </c:pt>
                <c:pt idx="49">
                  <c:v>99.398650000000004</c:v>
                </c:pt>
                <c:pt idx="50">
                  <c:v>99.371740000000003</c:v>
                </c:pt>
                <c:pt idx="51">
                  <c:v>99.341340000000002</c:v>
                </c:pt>
                <c:pt idx="52">
                  <c:v>99.314520000000002</c:v>
                </c:pt>
                <c:pt idx="53">
                  <c:v>99.281960000000012</c:v>
                </c:pt>
                <c:pt idx="54">
                  <c:v>99.260720000000006</c:v>
                </c:pt>
                <c:pt idx="55">
                  <c:v>99.214780000000005</c:v>
                </c:pt>
                <c:pt idx="56">
                  <c:v>99.195580000000007</c:v>
                </c:pt>
                <c:pt idx="57">
                  <c:v>99.14567000000001</c:v>
                </c:pt>
                <c:pt idx="58">
                  <c:v>99.132360000000006</c:v>
                </c:pt>
                <c:pt idx="59">
                  <c:v>99.109290000000001</c:v>
                </c:pt>
                <c:pt idx="60">
                  <c:v>99.08832000000001</c:v>
                </c:pt>
                <c:pt idx="61">
                  <c:v>99.067050000000009</c:v>
                </c:pt>
                <c:pt idx="62">
                  <c:v>99.030590000000004</c:v>
                </c:pt>
                <c:pt idx="63">
                  <c:v>98.99991</c:v>
                </c:pt>
                <c:pt idx="64">
                  <c:v>98.976950000000002</c:v>
                </c:pt>
                <c:pt idx="65">
                  <c:v>98.938690000000008</c:v>
                </c:pt>
                <c:pt idx="66">
                  <c:v>98.909829999999999</c:v>
                </c:pt>
                <c:pt idx="67">
                  <c:v>98.871510000000001</c:v>
                </c:pt>
                <c:pt idx="68">
                  <c:v>98.848460000000003</c:v>
                </c:pt>
                <c:pt idx="69">
                  <c:v>98.82350000000001</c:v>
                </c:pt>
                <c:pt idx="70">
                  <c:v>98.781350000000003</c:v>
                </c:pt>
                <c:pt idx="71">
                  <c:v>98.748650000000012</c:v>
                </c:pt>
                <c:pt idx="72">
                  <c:v>98.727530000000002</c:v>
                </c:pt>
                <c:pt idx="73">
                  <c:v>98.697030000000012</c:v>
                </c:pt>
                <c:pt idx="74">
                  <c:v>98.66255000000001</c:v>
                </c:pt>
                <c:pt idx="75">
                  <c:v>98.645300000000006</c:v>
                </c:pt>
                <c:pt idx="76">
                  <c:v>98.614699999999999</c:v>
                </c:pt>
                <c:pt idx="77">
                  <c:v>98.582100000000011</c:v>
                </c:pt>
                <c:pt idx="78">
                  <c:v>98.543630000000007</c:v>
                </c:pt>
                <c:pt idx="79">
                  <c:v>98.512900000000002</c:v>
                </c:pt>
                <c:pt idx="80">
                  <c:v>98.470780000000005</c:v>
                </c:pt>
                <c:pt idx="81">
                  <c:v>98.453580000000002</c:v>
                </c:pt>
                <c:pt idx="82">
                  <c:v>98.422690000000003</c:v>
                </c:pt>
                <c:pt idx="83">
                  <c:v>98.417100000000005</c:v>
                </c:pt>
                <c:pt idx="84">
                  <c:v>98.388350000000003</c:v>
                </c:pt>
                <c:pt idx="85">
                  <c:v>98.342380000000006</c:v>
                </c:pt>
                <c:pt idx="86">
                  <c:v>98.313580000000002</c:v>
                </c:pt>
                <c:pt idx="87">
                  <c:v>98.294319999999999</c:v>
                </c:pt>
                <c:pt idx="88">
                  <c:v>98.275150000000011</c:v>
                </c:pt>
                <c:pt idx="89">
                  <c:v>98.256010000000003</c:v>
                </c:pt>
                <c:pt idx="90">
                  <c:v>98.22908000000001</c:v>
                </c:pt>
                <c:pt idx="91">
                  <c:v>98.20047000000001</c:v>
                </c:pt>
                <c:pt idx="92">
                  <c:v>98.169730000000001</c:v>
                </c:pt>
                <c:pt idx="93">
                  <c:v>98.142910000000001</c:v>
                </c:pt>
                <c:pt idx="94">
                  <c:v>98.096920000000011</c:v>
                </c:pt>
                <c:pt idx="95">
                  <c:v>98.075700000000012</c:v>
                </c:pt>
                <c:pt idx="96">
                  <c:v>98.041270000000011</c:v>
                </c:pt>
                <c:pt idx="97">
                  <c:v>98.018270000000001</c:v>
                </c:pt>
                <c:pt idx="98">
                  <c:v>97.979740000000007</c:v>
                </c:pt>
                <c:pt idx="99">
                  <c:v>97.974090000000004</c:v>
                </c:pt>
                <c:pt idx="100">
                  <c:v>97.941540000000003</c:v>
                </c:pt>
                <c:pt idx="101">
                  <c:v>97.914740000000009</c:v>
                </c:pt>
                <c:pt idx="102">
                  <c:v>97.912700000000001</c:v>
                </c:pt>
                <c:pt idx="103">
                  <c:v>97.863020000000006</c:v>
                </c:pt>
                <c:pt idx="104">
                  <c:v>97.845669999999998</c:v>
                </c:pt>
                <c:pt idx="105">
                  <c:v>97.816800000000001</c:v>
                </c:pt>
                <c:pt idx="106">
                  <c:v>97.815150000000003</c:v>
                </c:pt>
                <c:pt idx="107">
                  <c:v>97.759380000000007</c:v>
                </c:pt>
                <c:pt idx="108">
                  <c:v>97.732550000000003</c:v>
                </c:pt>
                <c:pt idx="109">
                  <c:v>97.730820000000008</c:v>
                </c:pt>
                <c:pt idx="110">
                  <c:v>97.692329999999998</c:v>
                </c:pt>
                <c:pt idx="111">
                  <c:v>97.652110000000008</c:v>
                </c:pt>
                <c:pt idx="112">
                  <c:v>97.636720000000011</c:v>
                </c:pt>
                <c:pt idx="113">
                  <c:v>97.584830000000011</c:v>
                </c:pt>
                <c:pt idx="114">
                  <c:v>97.561869999999999</c:v>
                </c:pt>
                <c:pt idx="115">
                  <c:v>97.533210000000011</c:v>
                </c:pt>
                <c:pt idx="116">
                  <c:v>97.504450000000006</c:v>
                </c:pt>
                <c:pt idx="117">
                  <c:v>97.471980000000002</c:v>
                </c:pt>
                <c:pt idx="118">
                  <c:v>97.448660000000004</c:v>
                </c:pt>
                <c:pt idx="119">
                  <c:v>97.427580000000006</c:v>
                </c:pt>
                <c:pt idx="120">
                  <c:v>97.375900000000001</c:v>
                </c:pt>
                <c:pt idx="121">
                  <c:v>97.36636</c:v>
                </c:pt>
                <c:pt idx="122">
                  <c:v>97.343310000000002</c:v>
                </c:pt>
                <c:pt idx="123">
                  <c:v>97.324110000000005</c:v>
                </c:pt>
                <c:pt idx="124">
                  <c:v>97.295439999999999</c:v>
                </c:pt>
                <c:pt idx="125">
                  <c:v>97.272290000000012</c:v>
                </c:pt>
                <c:pt idx="126">
                  <c:v>97.258960000000002</c:v>
                </c:pt>
                <c:pt idx="127">
                  <c:v>97.224530000000001</c:v>
                </c:pt>
                <c:pt idx="128">
                  <c:v>97.199539999999999</c:v>
                </c:pt>
                <c:pt idx="129">
                  <c:v>97.184240000000003</c:v>
                </c:pt>
                <c:pt idx="130">
                  <c:v>97.141810000000007</c:v>
                </c:pt>
                <c:pt idx="131">
                  <c:v>97.138120000000001</c:v>
                </c:pt>
                <c:pt idx="132">
                  <c:v>97.094120000000004</c:v>
                </c:pt>
                <c:pt idx="133">
                  <c:v>97.070950000000011</c:v>
                </c:pt>
                <c:pt idx="134">
                  <c:v>97.044139999999999</c:v>
                </c:pt>
                <c:pt idx="135">
                  <c:v>97.009530000000012</c:v>
                </c:pt>
                <c:pt idx="136">
                  <c:v>96.996320000000011</c:v>
                </c:pt>
                <c:pt idx="137">
                  <c:v>96.971230000000006</c:v>
                </c:pt>
                <c:pt idx="138">
                  <c:v>96.953730000000007</c:v>
                </c:pt>
                <c:pt idx="139">
                  <c:v>96.915710000000004</c:v>
                </c:pt>
                <c:pt idx="140">
                  <c:v>96.867750000000001</c:v>
                </c:pt>
                <c:pt idx="141">
                  <c:v>96.854500000000002</c:v>
                </c:pt>
                <c:pt idx="142">
                  <c:v>96.831250000000011</c:v>
                </c:pt>
                <c:pt idx="143">
                  <c:v>96.819730000000007</c:v>
                </c:pt>
                <c:pt idx="144">
                  <c:v>96.78922</c:v>
                </c:pt>
                <c:pt idx="145">
                  <c:v>96.758520000000004</c:v>
                </c:pt>
                <c:pt idx="146">
                  <c:v>96.735350000000011</c:v>
                </c:pt>
                <c:pt idx="147">
                  <c:v>96.712800000000001</c:v>
                </c:pt>
                <c:pt idx="148">
                  <c:v>96.687840000000008</c:v>
                </c:pt>
                <c:pt idx="149">
                  <c:v>96.657070000000004</c:v>
                </c:pt>
                <c:pt idx="150">
                  <c:v>96.637590000000003</c:v>
                </c:pt>
                <c:pt idx="151">
                  <c:v>96.589770000000001</c:v>
                </c:pt>
                <c:pt idx="152">
                  <c:v>96.593650000000011</c:v>
                </c:pt>
                <c:pt idx="153">
                  <c:v>96.551140000000004</c:v>
                </c:pt>
                <c:pt idx="154">
                  <c:v>96.526310000000009</c:v>
                </c:pt>
                <c:pt idx="155">
                  <c:v>96.520840000000007</c:v>
                </c:pt>
                <c:pt idx="156">
                  <c:v>96.48809</c:v>
                </c:pt>
                <c:pt idx="157">
                  <c:v>96.471040000000002</c:v>
                </c:pt>
                <c:pt idx="158">
                  <c:v>96.45356000000001</c:v>
                </c:pt>
                <c:pt idx="159">
                  <c:v>96.411460000000005</c:v>
                </c:pt>
                <c:pt idx="160">
                  <c:v>96.394440000000003</c:v>
                </c:pt>
                <c:pt idx="161">
                  <c:v>96.359639999999999</c:v>
                </c:pt>
                <c:pt idx="162">
                  <c:v>96.344110000000001</c:v>
                </c:pt>
                <c:pt idx="163">
                  <c:v>96.329149999999998</c:v>
                </c:pt>
                <c:pt idx="164">
                  <c:v>96.304000000000002</c:v>
                </c:pt>
                <c:pt idx="165">
                  <c:v>96.273290000000003</c:v>
                </c:pt>
                <c:pt idx="166">
                  <c:v>96.24633</c:v>
                </c:pt>
                <c:pt idx="167">
                  <c:v>96.240660000000005</c:v>
                </c:pt>
                <c:pt idx="168">
                  <c:v>96.227510000000009</c:v>
                </c:pt>
                <c:pt idx="169">
                  <c:v>96.194630000000004</c:v>
                </c:pt>
                <c:pt idx="170">
                  <c:v>96.154390000000006</c:v>
                </c:pt>
                <c:pt idx="171">
                  <c:v>96.154470000000003</c:v>
                </c:pt>
                <c:pt idx="172">
                  <c:v>96.092750000000009</c:v>
                </c:pt>
                <c:pt idx="173">
                  <c:v>96.0989</c:v>
                </c:pt>
                <c:pt idx="174">
                  <c:v>96.045190000000005</c:v>
                </c:pt>
                <c:pt idx="175">
                  <c:v>96.043289999999999</c:v>
                </c:pt>
                <c:pt idx="176">
                  <c:v>96.02413</c:v>
                </c:pt>
                <c:pt idx="177">
                  <c:v>95.997330000000005</c:v>
                </c:pt>
                <c:pt idx="178">
                  <c:v>95.972410000000011</c:v>
                </c:pt>
                <c:pt idx="179">
                  <c:v>95.98387000000001</c:v>
                </c:pt>
                <c:pt idx="180">
                  <c:v>95.939660000000003</c:v>
                </c:pt>
                <c:pt idx="181">
                  <c:v>95.914770000000004</c:v>
                </c:pt>
                <c:pt idx="182">
                  <c:v>95.895630000000011</c:v>
                </c:pt>
                <c:pt idx="183">
                  <c:v>95.870710000000003</c:v>
                </c:pt>
                <c:pt idx="184">
                  <c:v>95.859080000000006</c:v>
                </c:pt>
                <c:pt idx="185">
                  <c:v>95.836250000000007</c:v>
                </c:pt>
                <c:pt idx="186">
                  <c:v>95.818950000000001</c:v>
                </c:pt>
                <c:pt idx="187">
                  <c:v>95.778750000000002</c:v>
                </c:pt>
                <c:pt idx="188">
                  <c:v>95.74794</c:v>
                </c:pt>
                <c:pt idx="189">
                  <c:v>95.723089999999999</c:v>
                </c:pt>
                <c:pt idx="190">
                  <c:v>95.705870000000004</c:v>
                </c:pt>
                <c:pt idx="191">
                  <c:v>95.688540000000003</c:v>
                </c:pt>
                <c:pt idx="192">
                  <c:v>95.654210000000006</c:v>
                </c:pt>
                <c:pt idx="193">
                  <c:v>95.657780000000002</c:v>
                </c:pt>
                <c:pt idx="194">
                  <c:v>95.636740000000003</c:v>
                </c:pt>
                <c:pt idx="195">
                  <c:v>95.60399000000001</c:v>
                </c:pt>
                <c:pt idx="196">
                  <c:v>95.575569999999999</c:v>
                </c:pt>
                <c:pt idx="197">
                  <c:v>95.558270000000007</c:v>
                </c:pt>
                <c:pt idx="198">
                  <c:v>95.52752000000001</c:v>
                </c:pt>
                <c:pt idx="199">
                  <c:v>95.510200000000012</c:v>
                </c:pt>
                <c:pt idx="200">
                  <c:v>95.483330000000009</c:v>
                </c:pt>
                <c:pt idx="201">
                  <c:v>95.462520000000012</c:v>
                </c:pt>
                <c:pt idx="202">
                  <c:v>95.437340000000006</c:v>
                </c:pt>
                <c:pt idx="203">
                  <c:v>95.400960000000012</c:v>
                </c:pt>
                <c:pt idx="204">
                  <c:v>95.402960000000007</c:v>
                </c:pt>
                <c:pt idx="205">
                  <c:v>95.375950000000003</c:v>
                </c:pt>
                <c:pt idx="206">
                  <c:v>95.341470000000001</c:v>
                </c:pt>
                <c:pt idx="207">
                  <c:v>95.33193</c:v>
                </c:pt>
                <c:pt idx="208">
                  <c:v>95.303060000000002</c:v>
                </c:pt>
                <c:pt idx="209">
                  <c:v>95.297290000000004</c:v>
                </c:pt>
                <c:pt idx="210">
                  <c:v>95.255140000000011</c:v>
                </c:pt>
                <c:pt idx="211">
                  <c:v>95.239840000000001</c:v>
                </c:pt>
                <c:pt idx="212">
                  <c:v>95.228459999999998</c:v>
                </c:pt>
                <c:pt idx="213">
                  <c:v>95.216880000000003</c:v>
                </c:pt>
                <c:pt idx="214">
                  <c:v>95.189930000000004</c:v>
                </c:pt>
                <c:pt idx="215">
                  <c:v>95.176510000000007</c:v>
                </c:pt>
                <c:pt idx="216">
                  <c:v>95.14967</c:v>
                </c:pt>
                <c:pt idx="217">
                  <c:v>95.117070000000012</c:v>
                </c:pt>
                <c:pt idx="218">
                  <c:v>95.092320000000001</c:v>
                </c:pt>
                <c:pt idx="219">
                  <c:v>95.067220000000006</c:v>
                </c:pt>
                <c:pt idx="220">
                  <c:v>95.046260000000004</c:v>
                </c:pt>
                <c:pt idx="221">
                  <c:v>95.040420000000012</c:v>
                </c:pt>
                <c:pt idx="222">
                  <c:v>95.019330000000011</c:v>
                </c:pt>
                <c:pt idx="223">
                  <c:v>94.990459999999999</c:v>
                </c:pt>
                <c:pt idx="224">
                  <c:v>94.963840000000005</c:v>
                </c:pt>
                <c:pt idx="225">
                  <c:v>94.930850000000007</c:v>
                </c:pt>
                <c:pt idx="226">
                  <c:v>94.921720000000008</c:v>
                </c:pt>
                <c:pt idx="227">
                  <c:v>94.894649999999999</c:v>
                </c:pt>
                <c:pt idx="228">
                  <c:v>94.864010000000007</c:v>
                </c:pt>
                <c:pt idx="229">
                  <c:v>94.846690000000009</c:v>
                </c:pt>
                <c:pt idx="230">
                  <c:v>94.827580000000012</c:v>
                </c:pt>
                <c:pt idx="231">
                  <c:v>94.800790000000006</c:v>
                </c:pt>
                <c:pt idx="232">
                  <c:v>94.785510000000002</c:v>
                </c:pt>
                <c:pt idx="233">
                  <c:v>94.750950000000003</c:v>
                </c:pt>
                <c:pt idx="234">
                  <c:v>94.730050000000006</c:v>
                </c:pt>
                <c:pt idx="235">
                  <c:v>94.718190000000007</c:v>
                </c:pt>
                <c:pt idx="236">
                  <c:v>94.695300000000003</c:v>
                </c:pt>
                <c:pt idx="237">
                  <c:v>94.668480000000002</c:v>
                </c:pt>
                <c:pt idx="238">
                  <c:v>94.651210000000006</c:v>
                </c:pt>
                <c:pt idx="239">
                  <c:v>94.643510000000006</c:v>
                </c:pt>
                <c:pt idx="240">
                  <c:v>94.618660000000006</c:v>
                </c:pt>
                <c:pt idx="241">
                  <c:v>94.599230000000006</c:v>
                </c:pt>
                <c:pt idx="242">
                  <c:v>94.56468000000001</c:v>
                </c:pt>
                <c:pt idx="243">
                  <c:v>94.542010000000005</c:v>
                </c:pt>
                <c:pt idx="244">
                  <c:v>94.52458</c:v>
                </c:pt>
                <c:pt idx="245">
                  <c:v>94.509460000000004</c:v>
                </c:pt>
                <c:pt idx="246">
                  <c:v>94.486370000000008</c:v>
                </c:pt>
                <c:pt idx="247">
                  <c:v>94.469160000000002</c:v>
                </c:pt>
                <c:pt idx="248">
                  <c:v>94.436430000000001</c:v>
                </c:pt>
                <c:pt idx="249">
                  <c:v>94.415400000000005</c:v>
                </c:pt>
                <c:pt idx="250">
                  <c:v>94.413360000000011</c:v>
                </c:pt>
                <c:pt idx="251">
                  <c:v>94.379069999999999</c:v>
                </c:pt>
                <c:pt idx="252">
                  <c:v>94.357800000000012</c:v>
                </c:pt>
                <c:pt idx="253">
                  <c:v>94.334910000000008</c:v>
                </c:pt>
                <c:pt idx="254">
                  <c:v>94.327150000000003</c:v>
                </c:pt>
                <c:pt idx="255">
                  <c:v>94.288720000000012</c:v>
                </c:pt>
                <c:pt idx="256">
                  <c:v>94.271370000000005</c:v>
                </c:pt>
                <c:pt idx="257">
                  <c:v>94.25621000000001</c:v>
                </c:pt>
                <c:pt idx="258">
                  <c:v>94.2273</c:v>
                </c:pt>
                <c:pt idx="259">
                  <c:v>94.204370000000011</c:v>
                </c:pt>
                <c:pt idx="260">
                  <c:v>94.175640000000001</c:v>
                </c:pt>
                <c:pt idx="261">
                  <c:v>94.158510000000007</c:v>
                </c:pt>
                <c:pt idx="262">
                  <c:v>94.143020000000007</c:v>
                </c:pt>
                <c:pt idx="263">
                  <c:v>94.11036</c:v>
                </c:pt>
                <c:pt idx="264">
                  <c:v>94.10090000000001</c:v>
                </c:pt>
                <c:pt idx="265">
                  <c:v>94.077830000000006</c:v>
                </c:pt>
                <c:pt idx="266">
                  <c:v>94.051079999999999</c:v>
                </c:pt>
                <c:pt idx="267">
                  <c:v>94.033750000000012</c:v>
                </c:pt>
                <c:pt idx="268">
                  <c:v>94.006799999999998</c:v>
                </c:pt>
                <c:pt idx="269">
                  <c:v>93.99539</c:v>
                </c:pt>
                <c:pt idx="270">
                  <c:v>93.98199000000001</c:v>
                </c:pt>
                <c:pt idx="271">
                  <c:v>93.95881</c:v>
                </c:pt>
                <c:pt idx="272">
                  <c:v>93.936130000000006</c:v>
                </c:pt>
                <c:pt idx="273">
                  <c:v>93.920540000000003</c:v>
                </c:pt>
                <c:pt idx="274">
                  <c:v>93.862890000000007</c:v>
                </c:pt>
                <c:pt idx="275">
                  <c:v>93.859220000000008</c:v>
                </c:pt>
                <c:pt idx="276">
                  <c:v>93.832340000000002</c:v>
                </c:pt>
                <c:pt idx="277">
                  <c:v>93.818899999999999</c:v>
                </c:pt>
                <c:pt idx="278">
                  <c:v>93.78849000000001</c:v>
                </c:pt>
                <c:pt idx="279">
                  <c:v>93.774860000000004</c:v>
                </c:pt>
                <c:pt idx="280">
                  <c:v>93.750039999999998</c:v>
                </c:pt>
                <c:pt idx="281">
                  <c:v>93.72296</c:v>
                </c:pt>
                <c:pt idx="282">
                  <c:v>93.709860000000006</c:v>
                </c:pt>
                <c:pt idx="283">
                  <c:v>93.692440000000005</c:v>
                </c:pt>
                <c:pt idx="284">
                  <c:v>93.671240000000012</c:v>
                </c:pt>
                <c:pt idx="285">
                  <c:v>93.657890000000009</c:v>
                </c:pt>
                <c:pt idx="286">
                  <c:v>93.627310000000008</c:v>
                </c:pt>
                <c:pt idx="287">
                  <c:v>93.596600000000009</c:v>
                </c:pt>
                <c:pt idx="288">
                  <c:v>93.581050000000005</c:v>
                </c:pt>
                <c:pt idx="289">
                  <c:v>93.552540000000008</c:v>
                </c:pt>
                <c:pt idx="290">
                  <c:v>93.529350000000008</c:v>
                </c:pt>
                <c:pt idx="291">
                  <c:v>93.506540000000001</c:v>
                </c:pt>
                <c:pt idx="292">
                  <c:v>93.493140000000011</c:v>
                </c:pt>
                <c:pt idx="293">
                  <c:v>93.481440000000006</c:v>
                </c:pt>
                <c:pt idx="294">
                  <c:v>93.462440000000001</c:v>
                </c:pt>
                <c:pt idx="295">
                  <c:v>93.420169999999999</c:v>
                </c:pt>
                <c:pt idx="296">
                  <c:v>93.404800000000009</c:v>
                </c:pt>
                <c:pt idx="297">
                  <c:v>93.387570000000011</c:v>
                </c:pt>
                <c:pt idx="298">
                  <c:v>93.385730000000009</c:v>
                </c:pt>
                <c:pt idx="299">
                  <c:v>93.353070000000002</c:v>
                </c:pt>
                <c:pt idx="300">
                  <c:v>93.330080000000009</c:v>
                </c:pt>
                <c:pt idx="301">
                  <c:v>93.303170000000009</c:v>
                </c:pt>
                <c:pt idx="302">
                  <c:v>93.278450000000007</c:v>
                </c:pt>
                <c:pt idx="303">
                  <c:v>93.251280000000008</c:v>
                </c:pt>
                <c:pt idx="304">
                  <c:v>93.236170000000001</c:v>
                </c:pt>
                <c:pt idx="305">
                  <c:v>93.226410000000001</c:v>
                </c:pt>
                <c:pt idx="306">
                  <c:v>93.203440000000001</c:v>
                </c:pt>
                <c:pt idx="307">
                  <c:v>93.182600000000008</c:v>
                </c:pt>
                <c:pt idx="308">
                  <c:v>93.149850000000001</c:v>
                </c:pt>
                <c:pt idx="309">
                  <c:v>93.142130000000009</c:v>
                </c:pt>
                <c:pt idx="310">
                  <c:v>93.109940000000009</c:v>
                </c:pt>
                <c:pt idx="311">
                  <c:v>93.078060000000008</c:v>
                </c:pt>
                <c:pt idx="312">
                  <c:v>93.084680000000006</c:v>
                </c:pt>
                <c:pt idx="313">
                  <c:v>93.05389000000001</c:v>
                </c:pt>
                <c:pt idx="314">
                  <c:v>93.025210000000001</c:v>
                </c:pt>
                <c:pt idx="315">
                  <c:v>93.004249999999999</c:v>
                </c:pt>
                <c:pt idx="316">
                  <c:v>92.977260000000001</c:v>
                </c:pt>
                <c:pt idx="317">
                  <c:v>92.940750000000008</c:v>
                </c:pt>
                <c:pt idx="318">
                  <c:v>92.944720000000004</c:v>
                </c:pt>
                <c:pt idx="319">
                  <c:v>92.890920000000008</c:v>
                </c:pt>
                <c:pt idx="320">
                  <c:v>92.888890000000004</c:v>
                </c:pt>
                <c:pt idx="321">
                  <c:v>92.879490000000004</c:v>
                </c:pt>
                <c:pt idx="322">
                  <c:v>92.84678000000001</c:v>
                </c:pt>
                <c:pt idx="323">
                  <c:v>92.835360000000009</c:v>
                </c:pt>
                <c:pt idx="324">
                  <c:v>92.820090000000008</c:v>
                </c:pt>
                <c:pt idx="325">
                  <c:v>92.78746000000001</c:v>
                </c:pt>
                <c:pt idx="326">
                  <c:v>92.768360000000001</c:v>
                </c:pt>
                <c:pt idx="327">
                  <c:v>92.745360000000005</c:v>
                </c:pt>
                <c:pt idx="328">
                  <c:v>92.724080000000001</c:v>
                </c:pt>
                <c:pt idx="329">
                  <c:v>92.704910000000012</c:v>
                </c:pt>
                <c:pt idx="330">
                  <c:v>92.682020000000009</c:v>
                </c:pt>
                <c:pt idx="331">
                  <c:v>92.64949</c:v>
                </c:pt>
                <c:pt idx="332">
                  <c:v>92.63403000000001</c:v>
                </c:pt>
                <c:pt idx="333">
                  <c:v>92.614940000000004</c:v>
                </c:pt>
                <c:pt idx="334">
                  <c:v>92.585999999999999</c:v>
                </c:pt>
                <c:pt idx="335">
                  <c:v>92.557270000000003</c:v>
                </c:pt>
                <c:pt idx="336">
                  <c:v>92.551690000000008</c:v>
                </c:pt>
                <c:pt idx="337">
                  <c:v>92.545660000000012</c:v>
                </c:pt>
                <c:pt idx="338">
                  <c:v>92.515180000000001</c:v>
                </c:pt>
                <c:pt idx="339">
                  <c:v>92.524740000000008</c:v>
                </c:pt>
                <c:pt idx="340">
                  <c:v>92.495870000000011</c:v>
                </c:pt>
                <c:pt idx="341">
                  <c:v>92.455860000000001</c:v>
                </c:pt>
                <c:pt idx="342">
                  <c:v>92.451760000000007</c:v>
                </c:pt>
                <c:pt idx="343">
                  <c:v>92.413620000000009</c:v>
                </c:pt>
                <c:pt idx="344">
                  <c:v>92.382900000000006</c:v>
                </c:pt>
                <c:pt idx="345">
                  <c:v>92.390560000000008</c:v>
                </c:pt>
                <c:pt idx="346">
                  <c:v>92.363740000000007</c:v>
                </c:pt>
                <c:pt idx="347">
                  <c:v>92.338640000000012</c:v>
                </c:pt>
                <c:pt idx="348">
                  <c:v>92.317599999999999</c:v>
                </c:pt>
                <c:pt idx="349">
                  <c:v>92.292750000000012</c:v>
                </c:pt>
                <c:pt idx="350">
                  <c:v>92.284910000000011</c:v>
                </c:pt>
                <c:pt idx="351">
                  <c:v>92.275440000000003</c:v>
                </c:pt>
                <c:pt idx="352">
                  <c:v>92.242990000000006</c:v>
                </c:pt>
                <c:pt idx="353">
                  <c:v>92.227519999999998</c:v>
                </c:pt>
                <c:pt idx="354">
                  <c:v>92.210190000000011</c:v>
                </c:pt>
                <c:pt idx="355">
                  <c:v>92.175670000000011</c:v>
                </c:pt>
                <c:pt idx="356">
                  <c:v>92.169910000000002</c:v>
                </c:pt>
                <c:pt idx="357">
                  <c:v>92.133590000000012</c:v>
                </c:pt>
                <c:pt idx="358">
                  <c:v>92.112230000000011</c:v>
                </c:pt>
                <c:pt idx="359">
                  <c:v>92.093190000000007</c:v>
                </c:pt>
                <c:pt idx="360">
                  <c:v>92.074110000000005</c:v>
                </c:pt>
                <c:pt idx="361">
                  <c:v>92.045380000000009</c:v>
                </c:pt>
                <c:pt idx="362">
                  <c:v>92.039480000000012</c:v>
                </c:pt>
                <c:pt idx="363">
                  <c:v>92.022330000000011</c:v>
                </c:pt>
                <c:pt idx="364">
                  <c:v>91.997399999999999</c:v>
                </c:pt>
                <c:pt idx="365">
                  <c:v>91.987880000000004</c:v>
                </c:pt>
                <c:pt idx="366">
                  <c:v>91.940000000000012</c:v>
                </c:pt>
                <c:pt idx="367">
                  <c:v>91.934170000000009</c:v>
                </c:pt>
                <c:pt idx="368">
                  <c:v>91.910890000000009</c:v>
                </c:pt>
                <c:pt idx="369">
                  <c:v>91.899640000000005</c:v>
                </c:pt>
                <c:pt idx="370">
                  <c:v>91.882300000000001</c:v>
                </c:pt>
                <c:pt idx="371">
                  <c:v>91.855630000000005</c:v>
                </c:pt>
                <c:pt idx="372">
                  <c:v>91.855519999999999</c:v>
                </c:pt>
                <c:pt idx="373">
                  <c:v>91.815200000000004</c:v>
                </c:pt>
                <c:pt idx="374">
                  <c:v>91.80547</c:v>
                </c:pt>
                <c:pt idx="375">
                  <c:v>91.772880000000001</c:v>
                </c:pt>
                <c:pt idx="376">
                  <c:v>91.757800000000003</c:v>
                </c:pt>
                <c:pt idx="377">
                  <c:v>91.715460000000007</c:v>
                </c:pt>
                <c:pt idx="378">
                  <c:v>91.717460000000003</c:v>
                </c:pt>
                <c:pt idx="379">
                  <c:v>91.681070000000005</c:v>
                </c:pt>
                <c:pt idx="380">
                  <c:v>91.67313</c:v>
                </c:pt>
                <c:pt idx="381">
                  <c:v>91.656090000000006</c:v>
                </c:pt>
                <c:pt idx="382">
                  <c:v>91.629300000000001</c:v>
                </c:pt>
                <c:pt idx="383">
                  <c:v>91.619460000000004</c:v>
                </c:pt>
                <c:pt idx="384">
                  <c:v>91.611840000000001</c:v>
                </c:pt>
                <c:pt idx="385">
                  <c:v>91.584980000000002</c:v>
                </c:pt>
                <c:pt idx="386">
                  <c:v>91.554370000000006</c:v>
                </c:pt>
                <c:pt idx="387">
                  <c:v>91.53334000000001</c:v>
                </c:pt>
                <c:pt idx="388">
                  <c:v>91.543060000000011</c:v>
                </c:pt>
                <c:pt idx="389">
                  <c:v>91.529700000000005</c:v>
                </c:pt>
                <c:pt idx="390">
                  <c:v>91.493200000000002</c:v>
                </c:pt>
                <c:pt idx="391">
                  <c:v>91.481670000000008</c:v>
                </c:pt>
                <c:pt idx="392">
                  <c:v>91.443250000000006</c:v>
                </c:pt>
                <c:pt idx="393">
                  <c:v>91.437400000000011</c:v>
                </c:pt>
                <c:pt idx="394">
                  <c:v>91.416450000000012</c:v>
                </c:pt>
                <c:pt idx="395">
                  <c:v>91.383750000000006</c:v>
                </c:pt>
                <c:pt idx="396">
                  <c:v>91.381920000000008</c:v>
                </c:pt>
                <c:pt idx="397">
                  <c:v>91.368610000000004</c:v>
                </c:pt>
                <c:pt idx="398">
                  <c:v>91.368549999999999</c:v>
                </c:pt>
                <c:pt idx="399">
                  <c:v>91.345420000000004</c:v>
                </c:pt>
                <c:pt idx="400">
                  <c:v>91.324269999999999</c:v>
                </c:pt>
                <c:pt idx="401">
                  <c:v>91.305230000000009</c:v>
                </c:pt>
                <c:pt idx="402">
                  <c:v>91.286060000000006</c:v>
                </c:pt>
                <c:pt idx="403">
                  <c:v>91.266950000000008</c:v>
                </c:pt>
                <c:pt idx="404">
                  <c:v>91.263080000000002</c:v>
                </c:pt>
                <c:pt idx="405">
                  <c:v>91.234180000000009</c:v>
                </c:pt>
                <c:pt idx="406">
                  <c:v>91.194020000000009</c:v>
                </c:pt>
                <c:pt idx="407">
                  <c:v>91.176700000000011</c:v>
                </c:pt>
                <c:pt idx="408">
                  <c:v>91.192050000000009</c:v>
                </c:pt>
                <c:pt idx="409">
                  <c:v>91.161360000000002</c:v>
                </c:pt>
                <c:pt idx="410">
                  <c:v>91.136560000000003</c:v>
                </c:pt>
                <c:pt idx="411">
                  <c:v>91.123050000000006</c:v>
                </c:pt>
                <c:pt idx="412">
                  <c:v>91.092570000000009</c:v>
                </c:pt>
                <c:pt idx="413">
                  <c:v>91.080750000000009</c:v>
                </c:pt>
                <c:pt idx="414">
                  <c:v>91.05986</c:v>
                </c:pt>
                <c:pt idx="415">
                  <c:v>91.050200000000004</c:v>
                </c:pt>
                <c:pt idx="416">
                  <c:v>91.034760000000006</c:v>
                </c:pt>
                <c:pt idx="417">
                  <c:v>91.01191</c:v>
                </c:pt>
                <c:pt idx="418">
                  <c:v>90.988860000000003</c:v>
                </c:pt>
                <c:pt idx="419">
                  <c:v>90.973700000000008</c:v>
                </c:pt>
                <c:pt idx="420">
                  <c:v>90.9482</c:v>
                </c:pt>
                <c:pt idx="421">
                  <c:v>90.93883000000001</c:v>
                </c:pt>
                <c:pt idx="422">
                  <c:v>90.914060000000006</c:v>
                </c:pt>
                <c:pt idx="423">
                  <c:v>90.904560000000004</c:v>
                </c:pt>
                <c:pt idx="424">
                  <c:v>90.868070000000003</c:v>
                </c:pt>
                <c:pt idx="425">
                  <c:v>90.873810000000006</c:v>
                </c:pt>
                <c:pt idx="426">
                  <c:v>90.852879999999999</c:v>
                </c:pt>
                <c:pt idx="427">
                  <c:v>90.833290000000005</c:v>
                </c:pt>
                <c:pt idx="428">
                  <c:v>90.816300000000012</c:v>
                </c:pt>
                <c:pt idx="429">
                  <c:v>90.793320000000008</c:v>
                </c:pt>
                <c:pt idx="430">
                  <c:v>90.785570000000007</c:v>
                </c:pt>
                <c:pt idx="431">
                  <c:v>90.775900000000007</c:v>
                </c:pt>
                <c:pt idx="432">
                  <c:v>90.7453</c:v>
                </c:pt>
                <c:pt idx="433">
                  <c:v>90.741550000000004</c:v>
                </c:pt>
                <c:pt idx="434">
                  <c:v>90.726150000000004</c:v>
                </c:pt>
                <c:pt idx="435">
                  <c:v>90.71266</c:v>
                </c:pt>
                <c:pt idx="436">
                  <c:v>90.672450000000012</c:v>
                </c:pt>
                <c:pt idx="437">
                  <c:v>90.679970000000012</c:v>
                </c:pt>
                <c:pt idx="438">
                  <c:v>90.660960000000003</c:v>
                </c:pt>
                <c:pt idx="439">
                  <c:v>90.634060000000005</c:v>
                </c:pt>
                <c:pt idx="440">
                  <c:v>90.624390000000005</c:v>
                </c:pt>
                <c:pt idx="441">
                  <c:v>90.622500000000002</c:v>
                </c:pt>
                <c:pt idx="442">
                  <c:v>90.599800000000002</c:v>
                </c:pt>
                <c:pt idx="443">
                  <c:v>90.588010000000011</c:v>
                </c:pt>
                <c:pt idx="444">
                  <c:v>90.553350000000009</c:v>
                </c:pt>
                <c:pt idx="445">
                  <c:v>90.549630000000008</c:v>
                </c:pt>
                <c:pt idx="446">
                  <c:v>90.53428000000001</c:v>
                </c:pt>
                <c:pt idx="447">
                  <c:v>90.513410000000007</c:v>
                </c:pt>
                <c:pt idx="448">
                  <c:v>90.505549999999999</c:v>
                </c:pt>
                <c:pt idx="449">
                  <c:v>90.492310000000003</c:v>
                </c:pt>
                <c:pt idx="450">
                  <c:v>90.461520000000007</c:v>
                </c:pt>
                <c:pt idx="451">
                  <c:v>90.449980000000011</c:v>
                </c:pt>
                <c:pt idx="452">
                  <c:v>90.415490000000005</c:v>
                </c:pt>
                <c:pt idx="453">
                  <c:v>90.409750000000003</c:v>
                </c:pt>
                <c:pt idx="454">
                  <c:v>90.398220000000009</c:v>
                </c:pt>
                <c:pt idx="455">
                  <c:v>90.375219999999999</c:v>
                </c:pt>
                <c:pt idx="456">
                  <c:v>90.34845</c:v>
                </c:pt>
                <c:pt idx="457">
                  <c:v>90.342690000000005</c:v>
                </c:pt>
                <c:pt idx="458">
                  <c:v>90.335190000000011</c:v>
                </c:pt>
                <c:pt idx="459">
                  <c:v>90.325280000000006</c:v>
                </c:pt>
                <c:pt idx="460">
                  <c:v>90.298640000000006</c:v>
                </c:pt>
                <c:pt idx="461">
                  <c:v>90.283280000000005</c:v>
                </c:pt>
                <c:pt idx="462">
                  <c:v>90.264040000000008</c:v>
                </c:pt>
                <c:pt idx="463">
                  <c:v>90.263980000000004</c:v>
                </c:pt>
                <c:pt idx="464">
                  <c:v>90.246670000000009</c:v>
                </c:pt>
                <c:pt idx="465">
                  <c:v>90.2333</c:v>
                </c:pt>
                <c:pt idx="466">
                  <c:v>90.21981000000001</c:v>
                </c:pt>
                <c:pt idx="467">
                  <c:v>90.206530000000001</c:v>
                </c:pt>
                <c:pt idx="468">
                  <c:v>90.185270000000003</c:v>
                </c:pt>
                <c:pt idx="469">
                  <c:v>90.170090000000002</c:v>
                </c:pt>
                <c:pt idx="470">
                  <c:v>90.143219999999999</c:v>
                </c:pt>
                <c:pt idx="471">
                  <c:v>90.108860000000007</c:v>
                </c:pt>
                <c:pt idx="472">
                  <c:v>90.095410000000001</c:v>
                </c:pt>
                <c:pt idx="473">
                  <c:v>90.103020000000001</c:v>
                </c:pt>
                <c:pt idx="474">
                  <c:v>90.076070000000001</c:v>
                </c:pt>
                <c:pt idx="475">
                  <c:v>90.055120000000002</c:v>
                </c:pt>
                <c:pt idx="476">
                  <c:v>90.041570000000007</c:v>
                </c:pt>
                <c:pt idx="477">
                  <c:v>90.02637</c:v>
                </c:pt>
                <c:pt idx="478">
                  <c:v>90.014780000000002</c:v>
                </c:pt>
                <c:pt idx="479">
                  <c:v>89.999369999999999</c:v>
                </c:pt>
                <c:pt idx="480">
                  <c:v>89.986070000000012</c:v>
                </c:pt>
                <c:pt idx="481">
                  <c:v>89.96857</c:v>
                </c:pt>
                <c:pt idx="482">
                  <c:v>89.947659999999999</c:v>
                </c:pt>
                <c:pt idx="483">
                  <c:v>89.934150000000002</c:v>
                </c:pt>
                <c:pt idx="484">
                  <c:v>89.92483</c:v>
                </c:pt>
                <c:pt idx="485">
                  <c:v>89.916970000000006</c:v>
                </c:pt>
                <c:pt idx="486">
                  <c:v>89.897800000000004</c:v>
                </c:pt>
                <c:pt idx="487">
                  <c:v>89.869100000000003</c:v>
                </c:pt>
                <c:pt idx="488">
                  <c:v>89.855730000000008</c:v>
                </c:pt>
                <c:pt idx="489">
                  <c:v>89.84402</c:v>
                </c:pt>
                <c:pt idx="490">
                  <c:v>89.826920000000001</c:v>
                </c:pt>
                <c:pt idx="491">
                  <c:v>89.798100000000005</c:v>
                </c:pt>
                <c:pt idx="492">
                  <c:v>89.790360000000007</c:v>
                </c:pt>
                <c:pt idx="493">
                  <c:v>89.773060000000001</c:v>
                </c:pt>
                <c:pt idx="494">
                  <c:v>89.75976</c:v>
                </c:pt>
                <c:pt idx="495">
                  <c:v>89.736930000000001</c:v>
                </c:pt>
                <c:pt idx="496">
                  <c:v>89.727170000000001</c:v>
                </c:pt>
                <c:pt idx="497">
                  <c:v>89.705910000000003</c:v>
                </c:pt>
                <c:pt idx="498">
                  <c:v>89.70008</c:v>
                </c:pt>
                <c:pt idx="499">
                  <c:v>89.68489000000001</c:v>
                </c:pt>
                <c:pt idx="500">
                  <c:v>89.667650000000009</c:v>
                </c:pt>
                <c:pt idx="501">
                  <c:v>89.642750000000007</c:v>
                </c:pt>
                <c:pt idx="502">
                  <c:v>89.642800000000008</c:v>
                </c:pt>
                <c:pt idx="503">
                  <c:v>89.615870000000001</c:v>
                </c:pt>
                <c:pt idx="504">
                  <c:v>89.613960000000006</c:v>
                </c:pt>
                <c:pt idx="505">
                  <c:v>89.58717</c:v>
                </c:pt>
                <c:pt idx="506">
                  <c:v>89.558400000000006</c:v>
                </c:pt>
                <c:pt idx="507">
                  <c:v>89.542990000000003</c:v>
                </c:pt>
                <c:pt idx="508">
                  <c:v>89.539169999999999</c:v>
                </c:pt>
                <c:pt idx="509">
                  <c:v>89.523769999999999</c:v>
                </c:pt>
                <c:pt idx="510">
                  <c:v>89.491210000000009</c:v>
                </c:pt>
                <c:pt idx="511">
                  <c:v>89.479820000000004</c:v>
                </c:pt>
                <c:pt idx="512">
                  <c:v>89.479800000000012</c:v>
                </c:pt>
                <c:pt idx="513">
                  <c:v>89.450970000000012</c:v>
                </c:pt>
                <c:pt idx="514">
                  <c:v>89.439620000000005</c:v>
                </c:pt>
                <c:pt idx="515">
                  <c:v>89.420320000000004</c:v>
                </c:pt>
                <c:pt idx="516">
                  <c:v>89.420439999999999</c:v>
                </c:pt>
                <c:pt idx="517">
                  <c:v>89.403010000000009</c:v>
                </c:pt>
                <c:pt idx="518">
                  <c:v>89.389600000000002</c:v>
                </c:pt>
                <c:pt idx="519">
                  <c:v>89.380120000000005</c:v>
                </c:pt>
                <c:pt idx="520">
                  <c:v>89.359070000000003</c:v>
                </c:pt>
                <c:pt idx="521">
                  <c:v>89.341760000000008</c:v>
                </c:pt>
                <c:pt idx="522">
                  <c:v>89.316760000000002</c:v>
                </c:pt>
                <c:pt idx="523">
                  <c:v>89.303300000000007</c:v>
                </c:pt>
                <c:pt idx="524">
                  <c:v>89.310839999999999</c:v>
                </c:pt>
                <c:pt idx="525">
                  <c:v>89.293890000000005</c:v>
                </c:pt>
                <c:pt idx="526">
                  <c:v>89.266850000000005</c:v>
                </c:pt>
                <c:pt idx="527">
                  <c:v>89.240120000000005</c:v>
                </c:pt>
                <c:pt idx="528">
                  <c:v>89.24391</c:v>
                </c:pt>
                <c:pt idx="529">
                  <c:v>89.22099</c:v>
                </c:pt>
                <c:pt idx="530">
                  <c:v>89.207440000000005</c:v>
                </c:pt>
                <c:pt idx="531">
                  <c:v>89.197850000000003</c:v>
                </c:pt>
                <c:pt idx="532">
                  <c:v>89.182680000000005</c:v>
                </c:pt>
                <c:pt idx="533">
                  <c:v>89.178620000000009</c:v>
                </c:pt>
                <c:pt idx="534">
                  <c:v>89.159520000000001</c:v>
                </c:pt>
                <c:pt idx="535">
                  <c:v>89.130810000000011</c:v>
                </c:pt>
                <c:pt idx="536">
                  <c:v>89.140360000000001</c:v>
                </c:pt>
                <c:pt idx="537">
                  <c:v>89.113489999999999</c:v>
                </c:pt>
                <c:pt idx="538">
                  <c:v>89.096220000000002</c:v>
                </c:pt>
                <c:pt idx="539">
                  <c:v>89.07332000000001</c:v>
                </c:pt>
                <c:pt idx="540">
                  <c:v>89.06362</c:v>
                </c:pt>
                <c:pt idx="541">
                  <c:v>89.044600000000003</c:v>
                </c:pt>
                <c:pt idx="542">
                  <c:v>89.017650000000003</c:v>
                </c:pt>
                <c:pt idx="543">
                  <c:v>89.013760000000005</c:v>
                </c:pt>
                <c:pt idx="544">
                  <c:v>88.998470000000012</c:v>
                </c:pt>
                <c:pt idx="545">
                  <c:v>88.988880000000009</c:v>
                </c:pt>
                <c:pt idx="546">
                  <c:v>88.969639999999998</c:v>
                </c:pt>
                <c:pt idx="547">
                  <c:v>88.962209999999999</c:v>
                </c:pt>
                <c:pt idx="548">
                  <c:v>88.942980000000006</c:v>
                </c:pt>
                <c:pt idx="549">
                  <c:v>88.931420000000003</c:v>
                </c:pt>
                <c:pt idx="550">
                  <c:v>88.889210000000006</c:v>
                </c:pt>
                <c:pt idx="551">
                  <c:v>88.887280000000004</c:v>
                </c:pt>
                <c:pt idx="552">
                  <c:v>88.875900000000001</c:v>
                </c:pt>
                <c:pt idx="553">
                  <c:v>88.87015000000001</c:v>
                </c:pt>
                <c:pt idx="554">
                  <c:v>88.85445</c:v>
                </c:pt>
                <c:pt idx="555">
                  <c:v>88.827820000000003</c:v>
                </c:pt>
                <c:pt idx="556">
                  <c:v>88.829630000000009</c:v>
                </c:pt>
                <c:pt idx="557">
                  <c:v>88.804900000000004</c:v>
                </c:pt>
                <c:pt idx="558">
                  <c:v>88.783870000000007</c:v>
                </c:pt>
                <c:pt idx="559">
                  <c:v>88.764540000000011</c:v>
                </c:pt>
                <c:pt idx="560">
                  <c:v>88.754950000000008</c:v>
                </c:pt>
                <c:pt idx="561">
                  <c:v>88.741530000000012</c:v>
                </c:pt>
                <c:pt idx="562">
                  <c:v>88.72420000000001</c:v>
                </c:pt>
                <c:pt idx="563">
                  <c:v>88.710890000000006</c:v>
                </c:pt>
                <c:pt idx="564">
                  <c:v>88.687850000000012</c:v>
                </c:pt>
                <c:pt idx="565">
                  <c:v>88.67249000000001</c:v>
                </c:pt>
                <c:pt idx="566">
                  <c:v>88.661000000000001</c:v>
                </c:pt>
                <c:pt idx="567">
                  <c:v>88.630250000000004</c:v>
                </c:pt>
                <c:pt idx="568">
                  <c:v>88.593900000000005</c:v>
                </c:pt>
                <c:pt idx="569">
                  <c:v>88.595880000000008</c:v>
                </c:pt>
                <c:pt idx="570">
                  <c:v>88.59208000000001</c:v>
                </c:pt>
                <c:pt idx="571">
                  <c:v>88.580550000000002</c:v>
                </c:pt>
                <c:pt idx="572">
                  <c:v>88.574700000000007</c:v>
                </c:pt>
                <c:pt idx="573">
                  <c:v>88.553450000000012</c:v>
                </c:pt>
                <c:pt idx="574">
                  <c:v>88.528770000000009</c:v>
                </c:pt>
                <c:pt idx="575">
                  <c:v>88.517110000000002</c:v>
                </c:pt>
                <c:pt idx="576">
                  <c:v>88.50367</c:v>
                </c:pt>
                <c:pt idx="577">
                  <c:v>88.49436</c:v>
                </c:pt>
                <c:pt idx="578">
                  <c:v>88.47120000000001</c:v>
                </c:pt>
                <c:pt idx="579">
                  <c:v>88.461660000000009</c:v>
                </c:pt>
                <c:pt idx="580">
                  <c:v>88.436640000000011</c:v>
                </c:pt>
                <c:pt idx="581">
                  <c:v>88.423349999999999</c:v>
                </c:pt>
                <c:pt idx="582">
                  <c:v>88.409750000000003</c:v>
                </c:pt>
                <c:pt idx="583">
                  <c:v>88.409810000000007</c:v>
                </c:pt>
                <c:pt idx="584">
                  <c:v>88.369520000000009</c:v>
                </c:pt>
                <c:pt idx="585">
                  <c:v>88.363770000000002</c:v>
                </c:pt>
                <c:pt idx="586">
                  <c:v>88.336880000000008</c:v>
                </c:pt>
                <c:pt idx="587">
                  <c:v>88.325389999999999</c:v>
                </c:pt>
                <c:pt idx="588">
                  <c:v>88.298630000000003</c:v>
                </c:pt>
                <c:pt idx="589">
                  <c:v>88.298600000000008</c:v>
                </c:pt>
                <c:pt idx="590">
                  <c:v>88.26979</c:v>
                </c:pt>
                <c:pt idx="591">
                  <c:v>88.248710000000003</c:v>
                </c:pt>
                <c:pt idx="592">
                  <c:v>88.245020000000011</c:v>
                </c:pt>
                <c:pt idx="593">
                  <c:v>88.22766</c:v>
                </c:pt>
                <c:pt idx="594">
                  <c:v>88.210450000000009</c:v>
                </c:pt>
                <c:pt idx="595">
                  <c:v>88.187600000000003</c:v>
                </c:pt>
                <c:pt idx="596">
                  <c:v>88.170140000000004</c:v>
                </c:pt>
                <c:pt idx="597">
                  <c:v>88.156860000000009</c:v>
                </c:pt>
                <c:pt idx="598">
                  <c:v>88.124040000000008</c:v>
                </c:pt>
                <c:pt idx="599">
                  <c:v>88.120270000000005</c:v>
                </c:pt>
                <c:pt idx="600">
                  <c:v>88.116219999999998</c:v>
                </c:pt>
                <c:pt idx="601">
                  <c:v>88.08559000000001</c:v>
                </c:pt>
                <c:pt idx="602">
                  <c:v>88.06656000000001</c:v>
                </c:pt>
                <c:pt idx="603">
                  <c:v>88.062960000000004</c:v>
                </c:pt>
                <c:pt idx="604">
                  <c:v>88.047440000000009</c:v>
                </c:pt>
                <c:pt idx="605">
                  <c:v>88.037710000000004</c:v>
                </c:pt>
                <c:pt idx="606">
                  <c:v>88.028080000000003</c:v>
                </c:pt>
                <c:pt idx="607">
                  <c:v>88.010890000000003</c:v>
                </c:pt>
                <c:pt idx="608">
                  <c:v>87.985960000000006</c:v>
                </c:pt>
                <c:pt idx="609">
                  <c:v>87.976530000000011</c:v>
                </c:pt>
                <c:pt idx="610">
                  <c:v>87.949570000000008</c:v>
                </c:pt>
                <c:pt idx="611">
                  <c:v>87.932340000000011</c:v>
                </c:pt>
                <c:pt idx="612">
                  <c:v>87.934360000000012</c:v>
                </c:pt>
                <c:pt idx="613">
                  <c:v>87.917100000000005</c:v>
                </c:pt>
                <c:pt idx="614">
                  <c:v>87.903739999999999</c:v>
                </c:pt>
                <c:pt idx="615">
                  <c:v>87.888260000000002</c:v>
                </c:pt>
                <c:pt idx="616">
                  <c:v>87.863399999999999</c:v>
                </c:pt>
                <c:pt idx="617">
                  <c:v>87.855730000000008</c:v>
                </c:pt>
                <c:pt idx="618">
                  <c:v>87.846100000000007</c:v>
                </c:pt>
                <c:pt idx="619">
                  <c:v>87.817350000000005</c:v>
                </c:pt>
                <c:pt idx="620">
                  <c:v>87.820990000000009</c:v>
                </c:pt>
                <c:pt idx="621">
                  <c:v>87.782750000000007</c:v>
                </c:pt>
                <c:pt idx="622">
                  <c:v>87.767470000000003</c:v>
                </c:pt>
                <c:pt idx="623">
                  <c:v>87.748339999999999</c:v>
                </c:pt>
                <c:pt idx="624">
                  <c:v>87.742630000000005</c:v>
                </c:pt>
                <c:pt idx="625">
                  <c:v>87.731070000000003</c:v>
                </c:pt>
                <c:pt idx="626">
                  <c:v>87.704270000000008</c:v>
                </c:pt>
                <c:pt idx="627">
                  <c:v>87.69671000000001</c:v>
                </c:pt>
                <c:pt idx="628">
                  <c:v>87.681139999999999</c:v>
                </c:pt>
                <c:pt idx="629">
                  <c:v>87.665880000000001</c:v>
                </c:pt>
                <c:pt idx="630">
                  <c:v>87.648800000000008</c:v>
                </c:pt>
                <c:pt idx="631">
                  <c:v>87.65052</c:v>
                </c:pt>
                <c:pt idx="632">
                  <c:v>87.615960000000001</c:v>
                </c:pt>
                <c:pt idx="633">
                  <c:v>87.61224</c:v>
                </c:pt>
                <c:pt idx="634">
                  <c:v>87.596720000000005</c:v>
                </c:pt>
                <c:pt idx="635">
                  <c:v>87.579570000000004</c:v>
                </c:pt>
                <c:pt idx="636">
                  <c:v>87.573730000000012</c:v>
                </c:pt>
                <c:pt idx="637">
                  <c:v>87.554780000000008</c:v>
                </c:pt>
                <c:pt idx="638">
                  <c:v>87.539349999999999</c:v>
                </c:pt>
                <c:pt idx="639">
                  <c:v>87.516210000000001</c:v>
                </c:pt>
                <c:pt idx="640">
                  <c:v>87.50676</c:v>
                </c:pt>
                <c:pt idx="641">
                  <c:v>87.476040000000012</c:v>
                </c:pt>
                <c:pt idx="642">
                  <c:v>87.472120000000004</c:v>
                </c:pt>
                <c:pt idx="643">
                  <c:v>87.456850000000003</c:v>
                </c:pt>
                <c:pt idx="644">
                  <c:v>87.454790000000003</c:v>
                </c:pt>
                <c:pt idx="645">
                  <c:v>87.420330000000007</c:v>
                </c:pt>
                <c:pt idx="646">
                  <c:v>87.408860000000004</c:v>
                </c:pt>
                <c:pt idx="647">
                  <c:v>87.403150000000011</c:v>
                </c:pt>
                <c:pt idx="648">
                  <c:v>87.37633000000001</c:v>
                </c:pt>
                <c:pt idx="649">
                  <c:v>87.370360000000005</c:v>
                </c:pt>
                <c:pt idx="650">
                  <c:v>87.359160000000003</c:v>
                </c:pt>
                <c:pt idx="651">
                  <c:v>87.358950000000007</c:v>
                </c:pt>
                <c:pt idx="652">
                  <c:v>87.33402000000001</c:v>
                </c:pt>
                <c:pt idx="653">
                  <c:v>87.32059000000001</c:v>
                </c:pt>
                <c:pt idx="654">
                  <c:v>87.30341</c:v>
                </c:pt>
                <c:pt idx="655">
                  <c:v>87.297710000000009</c:v>
                </c:pt>
                <c:pt idx="656">
                  <c:v>87.278410000000008</c:v>
                </c:pt>
                <c:pt idx="657">
                  <c:v>87.259350000000012</c:v>
                </c:pt>
                <c:pt idx="658">
                  <c:v>87.251650000000012</c:v>
                </c:pt>
                <c:pt idx="659">
                  <c:v>87.230580000000003</c:v>
                </c:pt>
                <c:pt idx="660">
                  <c:v>87.215100000000007</c:v>
                </c:pt>
                <c:pt idx="661">
                  <c:v>87.195890000000006</c:v>
                </c:pt>
                <c:pt idx="662">
                  <c:v>87.186660000000003</c:v>
                </c:pt>
                <c:pt idx="663">
                  <c:v>87.163390000000007</c:v>
                </c:pt>
                <c:pt idx="664">
                  <c:v>87.140360000000001</c:v>
                </c:pt>
                <c:pt idx="665">
                  <c:v>87.138540000000006</c:v>
                </c:pt>
                <c:pt idx="666">
                  <c:v>87.126990000000006</c:v>
                </c:pt>
                <c:pt idx="667">
                  <c:v>87.111660000000001</c:v>
                </c:pt>
                <c:pt idx="668">
                  <c:v>87.102090000000004</c:v>
                </c:pt>
                <c:pt idx="669">
                  <c:v>87.08099</c:v>
                </c:pt>
                <c:pt idx="670">
                  <c:v>87.061730000000011</c:v>
                </c:pt>
                <c:pt idx="671">
                  <c:v>87.050270000000012</c:v>
                </c:pt>
                <c:pt idx="672">
                  <c:v>87.023430000000005</c:v>
                </c:pt>
                <c:pt idx="673">
                  <c:v>87.01397</c:v>
                </c:pt>
                <c:pt idx="674">
                  <c:v>86.998670000000004</c:v>
                </c:pt>
                <c:pt idx="675">
                  <c:v>86.973600000000005</c:v>
                </c:pt>
                <c:pt idx="676">
                  <c:v>86.965920000000011</c:v>
                </c:pt>
                <c:pt idx="677">
                  <c:v>86.952550000000002</c:v>
                </c:pt>
                <c:pt idx="678">
                  <c:v>86.933350000000004</c:v>
                </c:pt>
                <c:pt idx="679">
                  <c:v>86.929520000000011</c:v>
                </c:pt>
                <c:pt idx="680">
                  <c:v>86.906580000000005</c:v>
                </c:pt>
                <c:pt idx="681">
                  <c:v>86.889410000000012</c:v>
                </c:pt>
                <c:pt idx="682">
                  <c:v>86.875950000000003</c:v>
                </c:pt>
                <c:pt idx="683">
                  <c:v>86.860340000000008</c:v>
                </c:pt>
                <c:pt idx="684">
                  <c:v>86.841340000000002</c:v>
                </c:pt>
                <c:pt idx="685">
                  <c:v>86.831700000000012</c:v>
                </c:pt>
                <c:pt idx="686">
                  <c:v>86.820239999999998</c:v>
                </c:pt>
                <c:pt idx="687">
                  <c:v>86.812650000000005</c:v>
                </c:pt>
                <c:pt idx="688">
                  <c:v>86.80107000000001</c:v>
                </c:pt>
                <c:pt idx="689">
                  <c:v>86.797260000000009</c:v>
                </c:pt>
                <c:pt idx="690">
                  <c:v>86.778010000000009</c:v>
                </c:pt>
                <c:pt idx="691">
                  <c:v>86.760750000000002</c:v>
                </c:pt>
                <c:pt idx="692">
                  <c:v>86.747440000000012</c:v>
                </c:pt>
                <c:pt idx="693">
                  <c:v>86.743500000000012</c:v>
                </c:pt>
                <c:pt idx="694">
                  <c:v>86.71463</c:v>
                </c:pt>
                <c:pt idx="695">
                  <c:v>86.712920000000011</c:v>
                </c:pt>
                <c:pt idx="696">
                  <c:v>86.685900000000004</c:v>
                </c:pt>
                <c:pt idx="697">
                  <c:v>86.668720000000008</c:v>
                </c:pt>
                <c:pt idx="698">
                  <c:v>86.662940000000006</c:v>
                </c:pt>
                <c:pt idx="699">
                  <c:v>86.638090000000005</c:v>
                </c:pt>
                <c:pt idx="700">
                  <c:v>86.620830000000012</c:v>
                </c:pt>
                <c:pt idx="701">
                  <c:v>86.609210000000004</c:v>
                </c:pt>
                <c:pt idx="702">
                  <c:v>86.597970000000004</c:v>
                </c:pt>
                <c:pt idx="703">
                  <c:v>86.578680000000006</c:v>
                </c:pt>
                <c:pt idx="704">
                  <c:v>86.563310000000001</c:v>
                </c:pt>
                <c:pt idx="705">
                  <c:v>86.56917</c:v>
                </c:pt>
                <c:pt idx="706">
                  <c:v>86.561370000000011</c:v>
                </c:pt>
                <c:pt idx="707">
                  <c:v>86.542180000000002</c:v>
                </c:pt>
                <c:pt idx="708">
                  <c:v>86.511800000000008</c:v>
                </c:pt>
                <c:pt idx="709">
                  <c:v>86.505750000000006</c:v>
                </c:pt>
                <c:pt idx="710">
                  <c:v>86.475030000000004</c:v>
                </c:pt>
                <c:pt idx="711">
                  <c:v>86.461770000000001</c:v>
                </c:pt>
                <c:pt idx="712">
                  <c:v>86.455670000000012</c:v>
                </c:pt>
                <c:pt idx="713">
                  <c:v>86.430970000000002</c:v>
                </c:pt>
                <c:pt idx="714">
                  <c:v>86.425210000000007</c:v>
                </c:pt>
                <c:pt idx="715">
                  <c:v>86.415760000000006</c:v>
                </c:pt>
                <c:pt idx="716">
                  <c:v>86.408020000000008</c:v>
                </c:pt>
                <c:pt idx="717">
                  <c:v>86.375200000000007</c:v>
                </c:pt>
                <c:pt idx="718">
                  <c:v>86.373460000000009</c:v>
                </c:pt>
                <c:pt idx="719">
                  <c:v>86.352350000000001</c:v>
                </c:pt>
                <c:pt idx="720">
                  <c:v>86.336920000000006</c:v>
                </c:pt>
                <c:pt idx="721">
                  <c:v>86.302600000000012</c:v>
                </c:pt>
                <c:pt idx="722">
                  <c:v>86.302540000000008</c:v>
                </c:pt>
                <c:pt idx="723">
                  <c:v>86.283600000000007</c:v>
                </c:pt>
                <c:pt idx="724">
                  <c:v>86.241080000000011</c:v>
                </c:pt>
                <c:pt idx="725">
                  <c:v>86.256360000000001</c:v>
                </c:pt>
                <c:pt idx="726">
                  <c:v>86.244990000000001</c:v>
                </c:pt>
                <c:pt idx="727">
                  <c:v>86.220140000000001</c:v>
                </c:pt>
                <c:pt idx="728">
                  <c:v>86.206620000000001</c:v>
                </c:pt>
                <c:pt idx="729">
                  <c:v>86.199030000000008</c:v>
                </c:pt>
                <c:pt idx="730">
                  <c:v>86.185600000000008</c:v>
                </c:pt>
                <c:pt idx="731">
                  <c:v>86.168310000000005</c:v>
                </c:pt>
                <c:pt idx="732">
                  <c:v>86.149180000000001</c:v>
                </c:pt>
                <c:pt idx="733">
                  <c:v>86.141490000000005</c:v>
                </c:pt>
                <c:pt idx="734">
                  <c:v>86.126130000000003</c:v>
                </c:pt>
                <c:pt idx="735">
                  <c:v>86.110780000000005</c:v>
                </c:pt>
                <c:pt idx="736">
                  <c:v>86.101260000000011</c:v>
                </c:pt>
                <c:pt idx="737">
                  <c:v>86.085820000000012</c:v>
                </c:pt>
                <c:pt idx="738">
                  <c:v>86.08766</c:v>
                </c:pt>
                <c:pt idx="739">
                  <c:v>86.061050000000009</c:v>
                </c:pt>
                <c:pt idx="740">
                  <c:v>86.045580000000001</c:v>
                </c:pt>
                <c:pt idx="741">
                  <c:v>86.037880000000001</c:v>
                </c:pt>
                <c:pt idx="742">
                  <c:v>86.022750000000002</c:v>
                </c:pt>
                <c:pt idx="743">
                  <c:v>86.014890000000008</c:v>
                </c:pt>
                <c:pt idx="744">
                  <c:v>86.001410000000007</c:v>
                </c:pt>
                <c:pt idx="745">
                  <c:v>85.991890000000012</c:v>
                </c:pt>
                <c:pt idx="746">
                  <c:v>85.97075000000001</c:v>
                </c:pt>
                <c:pt idx="747">
                  <c:v>85.953620000000001</c:v>
                </c:pt>
                <c:pt idx="748">
                  <c:v>85.93432</c:v>
                </c:pt>
                <c:pt idx="749">
                  <c:v>85.926749999999998</c:v>
                </c:pt>
                <c:pt idx="750">
                  <c:v>85.907640000000001</c:v>
                </c:pt>
                <c:pt idx="751">
                  <c:v>85.874980000000008</c:v>
                </c:pt>
                <c:pt idx="752">
                  <c:v>85.871090000000009</c:v>
                </c:pt>
                <c:pt idx="753">
                  <c:v>85.87118000000001</c:v>
                </c:pt>
                <c:pt idx="754">
                  <c:v>85.846240000000009</c:v>
                </c:pt>
                <c:pt idx="755">
                  <c:v>85.836690000000004</c:v>
                </c:pt>
                <c:pt idx="756">
                  <c:v>85.840620000000001</c:v>
                </c:pt>
                <c:pt idx="757">
                  <c:v>85.821269999999998</c:v>
                </c:pt>
                <c:pt idx="758">
                  <c:v>85.786860000000004</c:v>
                </c:pt>
                <c:pt idx="759">
                  <c:v>85.773450000000011</c:v>
                </c:pt>
                <c:pt idx="760">
                  <c:v>85.75021000000001</c:v>
                </c:pt>
                <c:pt idx="761">
                  <c:v>85.729210000000009</c:v>
                </c:pt>
                <c:pt idx="762">
                  <c:v>85.723310000000012</c:v>
                </c:pt>
                <c:pt idx="763">
                  <c:v>85.711860000000001</c:v>
                </c:pt>
                <c:pt idx="764">
                  <c:v>85.700280000000006</c:v>
                </c:pt>
                <c:pt idx="765">
                  <c:v>85.68486</c:v>
                </c:pt>
                <c:pt idx="766">
                  <c:v>85.67953</c:v>
                </c:pt>
                <c:pt idx="767">
                  <c:v>85.658180000000002</c:v>
                </c:pt>
                <c:pt idx="768">
                  <c:v>85.644770000000008</c:v>
                </c:pt>
                <c:pt idx="769">
                  <c:v>85.62951000000001</c:v>
                </c:pt>
                <c:pt idx="770">
                  <c:v>85.614150000000009</c:v>
                </c:pt>
                <c:pt idx="771">
                  <c:v>85.602640000000008</c:v>
                </c:pt>
                <c:pt idx="772">
                  <c:v>85.59114000000001</c:v>
                </c:pt>
                <c:pt idx="773">
                  <c:v>85.575839999999999</c:v>
                </c:pt>
                <c:pt idx="774">
                  <c:v>85.572070000000011</c:v>
                </c:pt>
                <c:pt idx="775">
                  <c:v>85.558630000000008</c:v>
                </c:pt>
                <c:pt idx="776">
                  <c:v>85.54140000000001</c:v>
                </c:pt>
                <c:pt idx="777">
                  <c:v>85.535700000000006</c:v>
                </c:pt>
                <c:pt idx="778">
                  <c:v>85.523980000000009</c:v>
                </c:pt>
                <c:pt idx="779">
                  <c:v>85.499040000000008</c:v>
                </c:pt>
                <c:pt idx="780">
                  <c:v>85.483879999999999</c:v>
                </c:pt>
                <c:pt idx="781">
                  <c:v>85.462710000000001</c:v>
                </c:pt>
                <c:pt idx="782">
                  <c:v>85.453250000000011</c:v>
                </c:pt>
                <c:pt idx="783">
                  <c:v>85.433900000000008</c:v>
                </c:pt>
                <c:pt idx="784">
                  <c:v>85.441730000000007</c:v>
                </c:pt>
                <c:pt idx="785">
                  <c:v>85.426259999999999</c:v>
                </c:pt>
                <c:pt idx="786">
                  <c:v>85.420540000000003</c:v>
                </c:pt>
                <c:pt idx="787">
                  <c:v>85.401270000000011</c:v>
                </c:pt>
                <c:pt idx="788">
                  <c:v>85.39576000000001</c:v>
                </c:pt>
                <c:pt idx="789">
                  <c:v>85.372500000000002</c:v>
                </c:pt>
                <c:pt idx="790">
                  <c:v>85.360860000000002</c:v>
                </c:pt>
                <c:pt idx="791">
                  <c:v>85.334130000000002</c:v>
                </c:pt>
                <c:pt idx="792">
                  <c:v>85.315160000000006</c:v>
                </c:pt>
                <c:pt idx="793">
                  <c:v>85.307420000000008</c:v>
                </c:pt>
                <c:pt idx="794">
                  <c:v>85.305490000000006</c:v>
                </c:pt>
                <c:pt idx="795">
                  <c:v>85.286200000000008</c:v>
                </c:pt>
                <c:pt idx="796">
                  <c:v>85.290150000000011</c:v>
                </c:pt>
                <c:pt idx="797">
                  <c:v>85.263290000000012</c:v>
                </c:pt>
                <c:pt idx="798">
                  <c:v>85.259370000000004</c:v>
                </c:pt>
                <c:pt idx="799">
                  <c:v>85.236490000000003</c:v>
                </c:pt>
                <c:pt idx="800">
                  <c:v>85.223050000000001</c:v>
                </c:pt>
                <c:pt idx="801">
                  <c:v>85.217240000000004</c:v>
                </c:pt>
                <c:pt idx="802">
                  <c:v>85.203749999999999</c:v>
                </c:pt>
                <c:pt idx="803">
                  <c:v>85.188659999999999</c:v>
                </c:pt>
                <c:pt idx="804">
                  <c:v>85.167450000000002</c:v>
                </c:pt>
                <c:pt idx="805">
                  <c:v>85.144270000000006</c:v>
                </c:pt>
                <c:pt idx="806">
                  <c:v>85.144300000000001</c:v>
                </c:pt>
                <c:pt idx="807">
                  <c:v>85.127130000000008</c:v>
                </c:pt>
                <c:pt idx="808">
                  <c:v>85.121459999999999</c:v>
                </c:pt>
                <c:pt idx="809">
                  <c:v>85.115620000000007</c:v>
                </c:pt>
                <c:pt idx="810">
                  <c:v>85.105930000000001</c:v>
                </c:pt>
                <c:pt idx="811">
                  <c:v>85.111840000000001</c:v>
                </c:pt>
                <c:pt idx="812">
                  <c:v>85.0792</c:v>
                </c:pt>
                <c:pt idx="813">
                  <c:v>85.073520000000002</c:v>
                </c:pt>
                <c:pt idx="814">
                  <c:v>85.046530000000004</c:v>
                </c:pt>
                <c:pt idx="815">
                  <c:v>85.063780000000008</c:v>
                </c:pt>
                <c:pt idx="816">
                  <c:v>85.037199999999999</c:v>
                </c:pt>
                <c:pt idx="817">
                  <c:v>85.017840000000007</c:v>
                </c:pt>
                <c:pt idx="818">
                  <c:v>85.008310000000009</c:v>
                </c:pt>
                <c:pt idx="819">
                  <c:v>85.014030000000005</c:v>
                </c:pt>
                <c:pt idx="820">
                  <c:v>84.990920000000003</c:v>
                </c:pt>
                <c:pt idx="821">
                  <c:v>84.979480000000009</c:v>
                </c:pt>
                <c:pt idx="822">
                  <c:v>84.968140000000005</c:v>
                </c:pt>
                <c:pt idx="823">
                  <c:v>84.977460000000008</c:v>
                </c:pt>
                <c:pt idx="824">
                  <c:v>84.941220000000001</c:v>
                </c:pt>
                <c:pt idx="825">
                  <c:v>84.924000000000007</c:v>
                </c:pt>
                <c:pt idx="826">
                  <c:v>84.941340000000011</c:v>
                </c:pt>
                <c:pt idx="827">
                  <c:v>84.904750000000007</c:v>
                </c:pt>
                <c:pt idx="828">
                  <c:v>84.897110000000012</c:v>
                </c:pt>
                <c:pt idx="829">
                  <c:v>84.876020000000011</c:v>
                </c:pt>
                <c:pt idx="830">
                  <c:v>84.874020000000002</c:v>
                </c:pt>
                <c:pt idx="831">
                  <c:v>84.85860000000001</c:v>
                </c:pt>
                <c:pt idx="832">
                  <c:v>84.826050000000009</c:v>
                </c:pt>
                <c:pt idx="833">
                  <c:v>84.824200000000005</c:v>
                </c:pt>
                <c:pt idx="834">
                  <c:v>84.81653</c:v>
                </c:pt>
                <c:pt idx="835">
                  <c:v>84.789720000000003</c:v>
                </c:pt>
                <c:pt idx="836">
                  <c:v>84.793330000000012</c:v>
                </c:pt>
                <c:pt idx="837">
                  <c:v>84.779940000000011</c:v>
                </c:pt>
                <c:pt idx="838">
                  <c:v>84.768510000000006</c:v>
                </c:pt>
                <c:pt idx="839">
                  <c:v>84.760730000000009</c:v>
                </c:pt>
                <c:pt idx="840">
                  <c:v>84.756900000000002</c:v>
                </c:pt>
                <c:pt idx="841">
                  <c:v>84.732040000000012</c:v>
                </c:pt>
                <c:pt idx="842">
                  <c:v>84.707260000000005</c:v>
                </c:pt>
                <c:pt idx="843">
                  <c:v>84.70714000000001</c:v>
                </c:pt>
                <c:pt idx="844">
                  <c:v>84.686050000000009</c:v>
                </c:pt>
                <c:pt idx="845">
                  <c:v>84.676610000000011</c:v>
                </c:pt>
                <c:pt idx="846">
                  <c:v>84.663049999999998</c:v>
                </c:pt>
                <c:pt idx="847">
                  <c:v>84.663160000000005</c:v>
                </c:pt>
                <c:pt idx="848">
                  <c:v>84.651679999999999</c:v>
                </c:pt>
                <c:pt idx="849">
                  <c:v>84.651560000000003</c:v>
                </c:pt>
                <c:pt idx="850">
                  <c:v>84.618950000000012</c:v>
                </c:pt>
                <c:pt idx="851">
                  <c:v>84.63261</c:v>
                </c:pt>
                <c:pt idx="852">
                  <c:v>84.617110000000011</c:v>
                </c:pt>
                <c:pt idx="853">
                  <c:v>84.590260000000001</c:v>
                </c:pt>
                <c:pt idx="854">
                  <c:v>84.594130000000007</c:v>
                </c:pt>
                <c:pt idx="855">
                  <c:v>84.572990000000004</c:v>
                </c:pt>
                <c:pt idx="856">
                  <c:v>84.574820000000003</c:v>
                </c:pt>
                <c:pt idx="857">
                  <c:v>84.551850000000002</c:v>
                </c:pt>
                <c:pt idx="858">
                  <c:v>84.544340000000005</c:v>
                </c:pt>
                <c:pt idx="859">
                  <c:v>84.525000000000006</c:v>
                </c:pt>
                <c:pt idx="860">
                  <c:v>84.538390000000007</c:v>
                </c:pt>
                <c:pt idx="861">
                  <c:v>84.509870000000006</c:v>
                </c:pt>
                <c:pt idx="862">
                  <c:v>84.50003000000001</c:v>
                </c:pt>
                <c:pt idx="863">
                  <c:v>84.484650000000002</c:v>
                </c:pt>
                <c:pt idx="864">
                  <c:v>84.488530000000011</c:v>
                </c:pt>
                <c:pt idx="865">
                  <c:v>84.459810000000004</c:v>
                </c:pt>
                <c:pt idx="866">
                  <c:v>84.454210000000003</c:v>
                </c:pt>
                <c:pt idx="867">
                  <c:v>84.45205</c:v>
                </c:pt>
                <c:pt idx="868">
                  <c:v>84.427210000000002</c:v>
                </c:pt>
                <c:pt idx="869">
                  <c:v>84.402390000000011</c:v>
                </c:pt>
                <c:pt idx="870">
                  <c:v>84.404260000000008</c:v>
                </c:pt>
                <c:pt idx="871">
                  <c:v>84.388919999999999</c:v>
                </c:pt>
                <c:pt idx="872">
                  <c:v>84.37154000000001</c:v>
                </c:pt>
                <c:pt idx="873">
                  <c:v>84.369680000000002</c:v>
                </c:pt>
                <c:pt idx="874">
                  <c:v>84.360130000000012</c:v>
                </c:pt>
                <c:pt idx="875">
                  <c:v>84.371690000000001</c:v>
                </c:pt>
                <c:pt idx="876">
                  <c:v>84.350700000000003</c:v>
                </c:pt>
                <c:pt idx="877">
                  <c:v>84.344850000000008</c:v>
                </c:pt>
                <c:pt idx="878">
                  <c:v>84.321719999999999</c:v>
                </c:pt>
                <c:pt idx="879">
                  <c:v>84.317970000000003</c:v>
                </c:pt>
                <c:pt idx="880">
                  <c:v>84.298839999999998</c:v>
                </c:pt>
                <c:pt idx="881">
                  <c:v>84.302820000000011</c:v>
                </c:pt>
                <c:pt idx="882">
                  <c:v>84.289190000000005</c:v>
                </c:pt>
                <c:pt idx="883">
                  <c:v>84.271979999999999</c:v>
                </c:pt>
                <c:pt idx="884">
                  <c:v>84.25282</c:v>
                </c:pt>
                <c:pt idx="885">
                  <c:v>84.243310000000008</c:v>
                </c:pt>
                <c:pt idx="886">
                  <c:v>84.227640000000008</c:v>
                </c:pt>
                <c:pt idx="887">
                  <c:v>84.199250000000006</c:v>
                </c:pt>
                <c:pt idx="888">
                  <c:v>84.185770000000005</c:v>
                </c:pt>
                <c:pt idx="889">
                  <c:v>84.185760000000002</c:v>
                </c:pt>
                <c:pt idx="890">
                  <c:v>84.18368000000001</c:v>
                </c:pt>
                <c:pt idx="891">
                  <c:v>84.18171000000001</c:v>
                </c:pt>
                <c:pt idx="892">
                  <c:v>84.170420000000007</c:v>
                </c:pt>
                <c:pt idx="893">
                  <c:v>84.145470000000003</c:v>
                </c:pt>
                <c:pt idx="894">
                  <c:v>84.139540000000011</c:v>
                </c:pt>
                <c:pt idx="895">
                  <c:v>84.132140000000007</c:v>
                </c:pt>
                <c:pt idx="896">
                  <c:v>84.128100000000003</c:v>
                </c:pt>
                <c:pt idx="897">
                  <c:v>84.110800000000012</c:v>
                </c:pt>
                <c:pt idx="898">
                  <c:v>84.093500000000006</c:v>
                </c:pt>
                <c:pt idx="899">
                  <c:v>84.09375</c:v>
                </c:pt>
                <c:pt idx="900">
                  <c:v>84.064670000000007</c:v>
                </c:pt>
                <c:pt idx="901">
                  <c:v>84.070570000000004</c:v>
                </c:pt>
                <c:pt idx="902">
                  <c:v>84.045580000000001</c:v>
                </c:pt>
                <c:pt idx="903">
                  <c:v>84.030250000000009</c:v>
                </c:pt>
                <c:pt idx="904">
                  <c:v>84.030370000000005</c:v>
                </c:pt>
                <c:pt idx="905">
                  <c:v>84.028260000000003</c:v>
                </c:pt>
                <c:pt idx="906">
                  <c:v>84.01682000000001</c:v>
                </c:pt>
                <c:pt idx="907">
                  <c:v>83.999720000000011</c:v>
                </c:pt>
                <c:pt idx="908">
                  <c:v>83.98818</c:v>
                </c:pt>
                <c:pt idx="909">
                  <c:v>83.988150000000005</c:v>
                </c:pt>
                <c:pt idx="910">
                  <c:v>83.971100000000007</c:v>
                </c:pt>
                <c:pt idx="911">
                  <c:v>83.947770000000006</c:v>
                </c:pt>
                <c:pt idx="912">
                  <c:v>83.955650000000006</c:v>
                </c:pt>
                <c:pt idx="913">
                  <c:v>83.934340000000006</c:v>
                </c:pt>
                <c:pt idx="914">
                  <c:v>83.942070000000001</c:v>
                </c:pt>
                <c:pt idx="915">
                  <c:v>83.930610000000001</c:v>
                </c:pt>
                <c:pt idx="916">
                  <c:v>83.911450000000002</c:v>
                </c:pt>
                <c:pt idx="917">
                  <c:v>83.894420000000011</c:v>
                </c:pt>
                <c:pt idx="918">
                  <c:v>83.901810000000012</c:v>
                </c:pt>
                <c:pt idx="919">
                  <c:v>83.87118000000001</c:v>
                </c:pt>
                <c:pt idx="920">
                  <c:v>83.872930000000011</c:v>
                </c:pt>
                <c:pt idx="921">
                  <c:v>83.846360000000004</c:v>
                </c:pt>
                <c:pt idx="922">
                  <c:v>83.844390000000004</c:v>
                </c:pt>
                <c:pt idx="923">
                  <c:v>83.830950000000001</c:v>
                </c:pt>
                <c:pt idx="924">
                  <c:v>83.836600000000004</c:v>
                </c:pt>
                <c:pt idx="925">
                  <c:v>83.83108</c:v>
                </c:pt>
                <c:pt idx="926">
                  <c:v>83.819320000000005</c:v>
                </c:pt>
                <c:pt idx="927">
                  <c:v>83.806060000000002</c:v>
                </c:pt>
                <c:pt idx="928">
                  <c:v>83.798230000000004</c:v>
                </c:pt>
                <c:pt idx="929">
                  <c:v>83.792529999999999</c:v>
                </c:pt>
                <c:pt idx="930">
                  <c:v>83.778930000000003</c:v>
                </c:pt>
                <c:pt idx="931">
                  <c:v>83.763640000000009</c:v>
                </c:pt>
                <c:pt idx="932">
                  <c:v>83.750330000000005</c:v>
                </c:pt>
                <c:pt idx="933">
                  <c:v>83.738950000000003</c:v>
                </c:pt>
                <c:pt idx="934">
                  <c:v>83.723610000000008</c:v>
                </c:pt>
                <c:pt idx="935">
                  <c:v>83.702330000000003</c:v>
                </c:pt>
                <c:pt idx="936">
                  <c:v>83.71032000000001</c:v>
                </c:pt>
                <c:pt idx="937">
                  <c:v>83.688950000000006</c:v>
                </c:pt>
                <c:pt idx="938">
                  <c:v>83.694990000000004</c:v>
                </c:pt>
                <c:pt idx="939">
                  <c:v>83.669730000000001</c:v>
                </c:pt>
                <c:pt idx="940">
                  <c:v>83.665930000000003</c:v>
                </c:pt>
                <c:pt idx="941">
                  <c:v>83.637140000000002</c:v>
                </c:pt>
                <c:pt idx="942">
                  <c:v>83.616060000000004</c:v>
                </c:pt>
                <c:pt idx="943">
                  <c:v>83.635290000000012</c:v>
                </c:pt>
                <c:pt idx="944">
                  <c:v>83.646619999999999</c:v>
                </c:pt>
                <c:pt idx="945">
                  <c:v>83.610430000000008</c:v>
                </c:pt>
                <c:pt idx="946">
                  <c:v>83.59508000000001</c:v>
                </c:pt>
                <c:pt idx="947">
                  <c:v>83.600800000000007</c:v>
                </c:pt>
                <c:pt idx="948">
                  <c:v>83.600800000000007</c:v>
                </c:pt>
                <c:pt idx="949">
                  <c:v>83.598849999999999</c:v>
                </c:pt>
                <c:pt idx="950">
                  <c:v>83.566190000000006</c:v>
                </c:pt>
                <c:pt idx="951">
                  <c:v>83.579720000000009</c:v>
                </c:pt>
                <c:pt idx="952">
                  <c:v>83.581740000000011</c:v>
                </c:pt>
                <c:pt idx="953">
                  <c:v>83.531810000000007</c:v>
                </c:pt>
                <c:pt idx="954">
                  <c:v>83.518430000000009</c:v>
                </c:pt>
                <c:pt idx="955">
                  <c:v>83.543320000000008</c:v>
                </c:pt>
                <c:pt idx="956">
                  <c:v>83.514540000000011</c:v>
                </c:pt>
                <c:pt idx="957">
                  <c:v>83.506990000000002</c:v>
                </c:pt>
                <c:pt idx="958">
                  <c:v>83.48763000000001</c:v>
                </c:pt>
                <c:pt idx="959">
                  <c:v>83.485720000000001</c:v>
                </c:pt>
                <c:pt idx="960">
                  <c:v>83.480100000000007</c:v>
                </c:pt>
                <c:pt idx="961">
                  <c:v>83.459130000000002</c:v>
                </c:pt>
                <c:pt idx="962">
                  <c:v>83.447420000000008</c:v>
                </c:pt>
                <c:pt idx="963">
                  <c:v>83.454920000000001</c:v>
                </c:pt>
                <c:pt idx="964">
                  <c:v>83.441600000000008</c:v>
                </c:pt>
                <c:pt idx="965">
                  <c:v>83.424450000000007</c:v>
                </c:pt>
                <c:pt idx="966">
                  <c:v>83.416910000000001</c:v>
                </c:pt>
                <c:pt idx="967">
                  <c:v>83.409030000000001</c:v>
                </c:pt>
                <c:pt idx="968">
                  <c:v>83.39</c:v>
                </c:pt>
                <c:pt idx="969">
                  <c:v>83.361080000000001</c:v>
                </c:pt>
                <c:pt idx="970">
                  <c:v>83.366900000000001</c:v>
                </c:pt>
                <c:pt idx="971">
                  <c:v>83.341890000000006</c:v>
                </c:pt>
                <c:pt idx="972">
                  <c:v>83.34378000000001</c:v>
                </c:pt>
                <c:pt idx="973">
                  <c:v>83.345890000000011</c:v>
                </c:pt>
                <c:pt idx="974">
                  <c:v>83.330520000000007</c:v>
                </c:pt>
                <c:pt idx="975">
                  <c:v>83.31692000000001</c:v>
                </c:pt>
                <c:pt idx="976">
                  <c:v>83.320910000000012</c:v>
                </c:pt>
                <c:pt idx="977">
                  <c:v>83.293900000000008</c:v>
                </c:pt>
                <c:pt idx="978">
                  <c:v>83.282589999999999</c:v>
                </c:pt>
                <c:pt idx="979">
                  <c:v>83.28052000000001</c:v>
                </c:pt>
                <c:pt idx="980">
                  <c:v>83.276700000000005</c:v>
                </c:pt>
                <c:pt idx="981">
                  <c:v>83.25188</c:v>
                </c:pt>
                <c:pt idx="982">
                  <c:v>83.251830000000012</c:v>
                </c:pt>
                <c:pt idx="983">
                  <c:v>83.240400000000008</c:v>
                </c:pt>
                <c:pt idx="984">
                  <c:v>83.228890000000007</c:v>
                </c:pt>
                <c:pt idx="985">
                  <c:v>83.221220000000002</c:v>
                </c:pt>
                <c:pt idx="986">
                  <c:v>83.20956000000001</c:v>
                </c:pt>
                <c:pt idx="987">
                  <c:v>83.182749999999999</c:v>
                </c:pt>
                <c:pt idx="988">
                  <c:v>83.188590000000005</c:v>
                </c:pt>
                <c:pt idx="989">
                  <c:v>83.176990000000004</c:v>
                </c:pt>
                <c:pt idx="990">
                  <c:v>83.171270000000007</c:v>
                </c:pt>
                <c:pt idx="991">
                  <c:v>83.159900000000007</c:v>
                </c:pt>
                <c:pt idx="992">
                  <c:v>83.163850000000011</c:v>
                </c:pt>
                <c:pt idx="993">
                  <c:v>83.148250000000004</c:v>
                </c:pt>
                <c:pt idx="994">
                  <c:v>83.148320000000012</c:v>
                </c:pt>
                <c:pt idx="995">
                  <c:v>83.127189999999999</c:v>
                </c:pt>
                <c:pt idx="996">
                  <c:v>83.13676000000001</c:v>
                </c:pt>
                <c:pt idx="997">
                  <c:v>83.111800000000002</c:v>
                </c:pt>
                <c:pt idx="998">
                  <c:v>83.092550000000003</c:v>
                </c:pt>
                <c:pt idx="999">
                  <c:v>83.09451</c:v>
                </c:pt>
                <c:pt idx="1000">
                  <c:v>83.075280000000006</c:v>
                </c:pt>
                <c:pt idx="1001">
                  <c:v>83.071400000000011</c:v>
                </c:pt>
                <c:pt idx="1002">
                  <c:v>83.067959999999999</c:v>
                </c:pt>
                <c:pt idx="1003">
                  <c:v>83.063880000000012</c:v>
                </c:pt>
                <c:pt idx="1004">
                  <c:v>83.052550000000011</c:v>
                </c:pt>
                <c:pt idx="1005">
                  <c:v>83.03707</c:v>
                </c:pt>
                <c:pt idx="1006">
                  <c:v>83.040700000000001</c:v>
                </c:pt>
                <c:pt idx="1007">
                  <c:v>83.010170000000002</c:v>
                </c:pt>
                <c:pt idx="1008">
                  <c:v>83.008220000000009</c:v>
                </c:pt>
                <c:pt idx="1009">
                  <c:v>83.008340000000004</c:v>
                </c:pt>
                <c:pt idx="1010">
                  <c:v>82.998780000000011</c:v>
                </c:pt>
                <c:pt idx="1011">
                  <c:v>82.973920000000007</c:v>
                </c:pt>
                <c:pt idx="1012">
                  <c:v>82.96793000000001</c:v>
                </c:pt>
                <c:pt idx="1013">
                  <c:v>82.97017000000001</c:v>
                </c:pt>
                <c:pt idx="1014">
                  <c:v>82.960419999999999</c:v>
                </c:pt>
                <c:pt idx="1015">
                  <c:v>82.946970000000007</c:v>
                </c:pt>
                <c:pt idx="1016">
                  <c:v>82.94314</c:v>
                </c:pt>
                <c:pt idx="1017">
                  <c:v>82.92983000000001</c:v>
                </c:pt>
                <c:pt idx="1018">
                  <c:v>82.927810000000008</c:v>
                </c:pt>
                <c:pt idx="1019">
                  <c:v>82.918140000000008</c:v>
                </c:pt>
                <c:pt idx="1020">
                  <c:v>82.906620000000004</c:v>
                </c:pt>
                <c:pt idx="1021">
                  <c:v>82.89913</c:v>
                </c:pt>
                <c:pt idx="1022">
                  <c:v>82.893200000000007</c:v>
                </c:pt>
                <c:pt idx="1023">
                  <c:v>82.872010000000003</c:v>
                </c:pt>
                <c:pt idx="1024">
                  <c:v>82.870310000000003</c:v>
                </c:pt>
                <c:pt idx="1025">
                  <c:v>82.85878000000001</c:v>
                </c:pt>
                <c:pt idx="1026">
                  <c:v>82.860730000000004</c:v>
                </c:pt>
                <c:pt idx="1027">
                  <c:v>82.847210000000004</c:v>
                </c:pt>
                <c:pt idx="1028">
                  <c:v>82.84911000000001</c:v>
                </c:pt>
                <c:pt idx="1029">
                  <c:v>82.835850000000008</c:v>
                </c:pt>
                <c:pt idx="1030">
                  <c:v>82.812989999999999</c:v>
                </c:pt>
                <c:pt idx="1031">
                  <c:v>82.820340000000002</c:v>
                </c:pt>
                <c:pt idx="1032">
                  <c:v>82.810839999999999</c:v>
                </c:pt>
                <c:pt idx="1033">
                  <c:v>82.803049999999999</c:v>
                </c:pt>
                <c:pt idx="1034">
                  <c:v>82.791730000000001</c:v>
                </c:pt>
                <c:pt idx="1035">
                  <c:v>82.778240000000011</c:v>
                </c:pt>
                <c:pt idx="1036">
                  <c:v>82.778230000000008</c:v>
                </c:pt>
                <c:pt idx="1037">
                  <c:v>82.757020000000011</c:v>
                </c:pt>
                <c:pt idx="1038">
                  <c:v>82.747600000000006</c:v>
                </c:pt>
                <c:pt idx="1039">
                  <c:v>82.745710000000003</c:v>
                </c:pt>
                <c:pt idx="1040">
                  <c:v>82.724680000000006</c:v>
                </c:pt>
                <c:pt idx="1041">
                  <c:v>82.722550000000012</c:v>
                </c:pt>
                <c:pt idx="1042">
                  <c:v>82.720790000000008</c:v>
                </c:pt>
                <c:pt idx="1043">
                  <c:v>82.705510000000004</c:v>
                </c:pt>
                <c:pt idx="1044">
                  <c:v>82.716860000000011</c:v>
                </c:pt>
                <c:pt idx="1045">
                  <c:v>82.684440000000009</c:v>
                </c:pt>
                <c:pt idx="1046">
                  <c:v>82.699550000000002</c:v>
                </c:pt>
                <c:pt idx="1047">
                  <c:v>82.67653</c:v>
                </c:pt>
                <c:pt idx="1048">
                  <c:v>82.663270000000011</c:v>
                </c:pt>
                <c:pt idx="1049">
                  <c:v>82.664930000000012</c:v>
                </c:pt>
                <c:pt idx="1050">
                  <c:v>82.642040000000009</c:v>
                </c:pt>
                <c:pt idx="1051">
                  <c:v>82.651880000000006</c:v>
                </c:pt>
                <c:pt idx="1052">
                  <c:v>82.645859999999999</c:v>
                </c:pt>
                <c:pt idx="1053">
                  <c:v>82.628770000000003</c:v>
                </c:pt>
                <c:pt idx="1054">
                  <c:v>82.599789999999999</c:v>
                </c:pt>
                <c:pt idx="1055">
                  <c:v>82.628550000000004</c:v>
                </c:pt>
                <c:pt idx="1056">
                  <c:v>82.590370000000007</c:v>
                </c:pt>
                <c:pt idx="1057">
                  <c:v>82.58259000000001</c:v>
                </c:pt>
                <c:pt idx="1058">
                  <c:v>82.578820000000007</c:v>
                </c:pt>
                <c:pt idx="1059">
                  <c:v>82.567340000000002</c:v>
                </c:pt>
                <c:pt idx="1060">
                  <c:v>82.555810000000008</c:v>
                </c:pt>
                <c:pt idx="1061">
                  <c:v>82.53661000000001</c:v>
                </c:pt>
                <c:pt idx="1062">
                  <c:v>82.532970000000006</c:v>
                </c:pt>
                <c:pt idx="1063">
                  <c:v>82.515410000000003</c:v>
                </c:pt>
                <c:pt idx="1064">
                  <c:v>82.515560000000008</c:v>
                </c:pt>
                <c:pt idx="1065">
                  <c:v>82.505949999999999</c:v>
                </c:pt>
                <c:pt idx="1066">
                  <c:v>82.511510000000001</c:v>
                </c:pt>
                <c:pt idx="1067">
                  <c:v>82.49288</c:v>
                </c:pt>
                <c:pt idx="1068">
                  <c:v>82.503930000000011</c:v>
                </c:pt>
                <c:pt idx="1069">
                  <c:v>82.477310000000003</c:v>
                </c:pt>
                <c:pt idx="1070">
                  <c:v>82.467370000000003</c:v>
                </c:pt>
                <c:pt idx="1071">
                  <c:v>82.461890000000011</c:v>
                </c:pt>
                <c:pt idx="1072">
                  <c:v>82.450299999999999</c:v>
                </c:pt>
                <c:pt idx="1073">
                  <c:v>82.43310000000001</c:v>
                </c:pt>
                <c:pt idx="1074">
                  <c:v>82.438780000000008</c:v>
                </c:pt>
                <c:pt idx="1075">
                  <c:v>82.429460000000006</c:v>
                </c:pt>
                <c:pt idx="1076">
                  <c:v>82.425490000000011</c:v>
                </c:pt>
                <c:pt idx="1077">
                  <c:v>82.40831</c:v>
                </c:pt>
                <c:pt idx="1078">
                  <c:v>82.388990000000007</c:v>
                </c:pt>
                <c:pt idx="1079">
                  <c:v>82.396560000000008</c:v>
                </c:pt>
                <c:pt idx="1080">
                  <c:v>82.379200000000012</c:v>
                </c:pt>
                <c:pt idx="1081">
                  <c:v>82.36591</c:v>
                </c:pt>
                <c:pt idx="1082">
                  <c:v>82.371880000000004</c:v>
                </c:pt>
                <c:pt idx="1083">
                  <c:v>82.371700000000004</c:v>
                </c:pt>
                <c:pt idx="1084">
                  <c:v>82.369710000000012</c:v>
                </c:pt>
                <c:pt idx="1085">
                  <c:v>82.371570000000006</c:v>
                </c:pt>
                <c:pt idx="1086">
                  <c:v>82.34499000000001</c:v>
                </c:pt>
                <c:pt idx="1087">
                  <c:v>82.333420000000004</c:v>
                </c:pt>
                <c:pt idx="1088">
                  <c:v>82.331410000000005</c:v>
                </c:pt>
                <c:pt idx="1089">
                  <c:v>82.32771000000001</c:v>
                </c:pt>
                <c:pt idx="1090">
                  <c:v>82.310410000000005</c:v>
                </c:pt>
                <c:pt idx="1091">
                  <c:v>82.31429</c:v>
                </c:pt>
                <c:pt idx="1092">
                  <c:v>82.310410000000005</c:v>
                </c:pt>
                <c:pt idx="1093">
                  <c:v>82.294880000000006</c:v>
                </c:pt>
                <c:pt idx="1094">
                  <c:v>82.275770000000009</c:v>
                </c:pt>
                <c:pt idx="1095">
                  <c:v>82.285430000000005</c:v>
                </c:pt>
                <c:pt idx="1096">
                  <c:v>82.266300000000001</c:v>
                </c:pt>
                <c:pt idx="1097">
                  <c:v>82.252960000000002</c:v>
                </c:pt>
                <c:pt idx="1098">
                  <c:v>82.254870000000011</c:v>
                </c:pt>
                <c:pt idx="1099">
                  <c:v>82.254800000000003</c:v>
                </c:pt>
                <c:pt idx="1100">
                  <c:v>82.227980000000002</c:v>
                </c:pt>
                <c:pt idx="1101">
                  <c:v>82.229800000000012</c:v>
                </c:pt>
                <c:pt idx="1102">
                  <c:v>82.216380000000001</c:v>
                </c:pt>
                <c:pt idx="1103">
                  <c:v>82.224060000000009</c:v>
                </c:pt>
                <c:pt idx="1104">
                  <c:v>82.210560000000001</c:v>
                </c:pt>
                <c:pt idx="1105">
                  <c:v>82.214430000000007</c:v>
                </c:pt>
                <c:pt idx="1106">
                  <c:v>82.193260000000009</c:v>
                </c:pt>
                <c:pt idx="1107">
                  <c:v>82.174270000000007</c:v>
                </c:pt>
                <c:pt idx="1108">
                  <c:v>82.17992000000001</c:v>
                </c:pt>
                <c:pt idx="1109">
                  <c:v>82.172080000000008</c:v>
                </c:pt>
                <c:pt idx="1110">
                  <c:v>82.166460000000001</c:v>
                </c:pt>
                <c:pt idx="1111">
                  <c:v>82.145430000000005</c:v>
                </c:pt>
                <c:pt idx="1112">
                  <c:v>82.15692</c:v>
                </c:pt>
                <c:pt idx="1113">
                  <c:v>82.135940000000005</c:v>
                </c:pt>
                <c:pt idx="1114">
                  <c:v>82.126280000000008</c:v>
                </c:pt>
                <c:pt idx="1115">
                  <c:v>82.135810000000006</c:v>
                </c:pt>
                <c:pt idx="1116">
                  <c:v>82.137840000000011</c:v>
                </c:pt>
                <c:pt idx="1117">
                  <c:v>82.116489999999999</c:v>
                </c:pt>
                <c:pt idx="1118">
                  <c:v>82.107089999999999</c:v>
                </c:pt>
                <c:pt idx="1119">
                  <c:v>82.124340000000004</c:v>
                </c:pt>
                <c:pt idx="1120">
                  <c:v>82.116600000000005</c:v>
                </c:pt>
                <c:pt idx="1121">
                  <c:v>82.120450000000005</c:v>
                </c:pt>
                <c:pt idx="1122">
                  <c:v>82.095650000000006</c:v>
                </c:pt>
                <c:pt idx="1123">
                  <c:v>82.072770000000006</c:v>
                </c:pt>
                <c:pt idx="1124">
                  <c:v>82.066940000000002</c:v>
                </c:pt>
                <c:pt idx="1125">
                  <c:v>82.084060000000008</c:v>
                </c:pt>
                <c:pt idx="1126">
                  <c:v>82.05744</c:v>
                </c:pt>
                <c:pt idx="1127">
                  <c:v>82.063020000000009</c:v>
                </c:pt>
                <c:pt idx="1128">
                  <c:v>82.068780000000004</c:v>
                </c:pt>
                <c:pt idx="1129">
                  <c:v>82.051510000000007</c:v>
                </c:pt>
                <c:pt idx="1130">
                  <c:v>82.051439999999999</c:v>
                </c:pt>
                <c:pt idx="1131">
                  <c:v>82.043680000000009</c:v>
                </c:pt>
                <c:pt idx="1132">
                  <c:v>82.034000000000006</c:v>
                </c:pt>
                <c:pt idx="1133">
                  <c:v>82.026700000000005</c:v>
                </c:pt>
                <c:pt idx="1134">
                  <c:v>82.011320000000012</c:v>
                </c:pt>
                <c:pt idx="1135">
                  <c:v>81.999570000000006</c:v>
                </c:pt>
                <c:pt idx="1136">
                  <c:v>81.994129999999998</c:v>
                </c:pt>
                <c:pt idx="1137">
                  <c:v>82.007230000000007</c:v>
                </c:pt>
                <c:pt idx="1138">
                  <c:v>81.976740000000007</c:v>
                </c:pt>
                <c:pt idx="1139">
                  <c:v>81.978590000000011</c:v>
                </c:pt>
                <c:pt idx="1140">
                  <c:v>81.986330000000009</c:v>
                </c:pt>
                <c:pt idx="1141">
                  <c:v>81.972850000000008</c:v>
                </c:pt>
                <c:pt idx="1142">
                  <c:v>81.959670000000003</c:v>
                </c:pt>
                <c:pt idx="1143">
                  <c:v>81.95938000000001</c:v>
                </c:pt>
                <c:pt idx="1144">
                  <c:v>81.947860000000006</c:v>
                </c:pt>
                <c:pt idx="1145">
                  <c:v>81.949860000000001</c:v>
                </c:pt>
                <c:pt idx="1146">
                  <c:v>81.940430000000006</c:v>
                </c:pt>
                <c:pt idx="1147">
                  <c:v>81.926880000000011</c:v>
                </c:pt>
                <c:pt idx="1148">
                  <c:v>81.930840000000003</c:v>
                </c:pt>
                <c:pt idx="1149">
                  <c:v>81.899979999999999</c:v>
                </c:pt>
                <c:pt idx="1150">
                  <c:v>81.928740000000005</c:v>
                </c:pt>
                <c:pt idx="1151">
                  <c:v>81.886580000000009</c:v>
                </c:pt>
                <c:pt idx="1152">
                  <c:v>81.890470000000008</c:v>
                </c:pt>
                <c:pt idx="1153">
                  <c:v>81.888750000000002</c:v>
                </c:pt>
                <c:pt idx="1154">
                  <c:v>81.857849999999999</c:v>
                </c:pt>
                <c:pt idx="1155">
                  <c:v>81.863399999999999</c:v>
                </c:pt>
                <c:pt idx="1156">
                  <c:v>81.871350000000007</c:v>
                </c:pt>
                <c:pt idx="1157">
                  <c:v>81.848280000000003</c:v>
                </c:pt>
                <c:pt idx="1158">
                  <c:v>81.871300000000005</c:v>
                </c:pt>
                <c:pt idx="1159">
                  <c:v>81.867429999999999</c:v>
                </c:pt>
                <c:pt idx="1160">
                  <c:v>81.850190000000012</c:v>
                </c:pt>
                <c:pt idx="1161">
                  <c:v>81.840440000000001</c:v>
                </c:pt>
                <c:pt idx="1162">
                  <c:v>81.852200000000011</c:v>
                </c:pt>
                <c:pt idx="1163">
                  <c:v>81.823390000000003</c:v>
                </c:pt>
                <c:pt idx="1164">
                  <c:v>81.825280000000006</c:v>
                </c:pt>
                <c:pt idx="1165">
                  <c:v>81.81759000000001</c:v>
                </c:pt>
                <c:pt idx="1166">
                  <c:v>81.806150000000002</c:v>
                </c:pt>
                <c:pt idx="1167">
                  <c:v>81.802180000000007</c:v>
                </c:pt>
                <c:pt idx="1168">
                  <c:v>81.800250000000005</c:v>
                </c:pt>
                <c:pt idx="1169">
                  <c:v>81.771510000000006</c:v>
                </c:pt>
                <c:pt idx="1170">
                  <c:v>81.792730000000006</c:v>
                </c:pt>
                <c:pt idx="1171">
                  <c:v>81.767589999999998</c:v>
                </c:pt>
                <c:pt idx="1172">
                  <c:v>81.763860000000008</c:v>
                </c:pt>
                <c:pt idx="1173">
                  <c:v>81.767650000000003</c:v>
                </c:pt>
                <c:pt idx="1174">
                  <c:v>81.760069999999999</c:v>
                </c:pt>
                <c:pt idx="1175">
                  <c:v>81.760050000000007</c:v>
                </c:pt>
                <c:pt idx="1176">
                  <c:v>81.744700000000009</c:v>
                </c:pt>
                <c:pt idx="1177">
                  <c:v>81.744800000000012</c:v>
                </c:pt>
                <c:pt idx="1178">
                  <c:v>81.727560000000011</c:v>
                </c:pt>
                <c:pt idx="1179">
                  <c:v>81.748460000000009</c:v>
                </c:pt>
                <c:pt idx="1180">
                  <c:v>81.72563000000001</c:v>
                </c:pt>
                <c:pt idx="1181">
                  <c:v>81.71584</c:v>
                </c:pt>
                <c:pt idx="1182">
                  <c:v>81.727400000000003</c:v>
                </c:pt>
                <c:pt idx="1183">
                  <c:v>81.713890000000006</c:v>
                </c:pt>
                <c:pt idx="1184">
                  <c:v>81.702340000000007</c:v>
                </c:pt>
                <c:pt idx="1185">
                  <c:v>81.691090000000003</c:v>
                </c:pt>
                <c:pt idx="1186">
                  <c:v>81.662559999999999</c:v>
                </c:pt>
                <c:pt idx="1187">
                  <c:v>81.689160000000001</c:v>
                </c:pt>
                <c:pt idx="1188">
                  <c:v>81.66031000000001</c:v>
                </c:pt>
                <c:pt idx="1189">
                  <c:v>81.662310000000005</c:v>
                </c:pt>
                <c:pt idx="1190">
                  <c:v>81.641230000000007</c:v>
                </c:pt>
                <c:pt idx="1191">
                  <c:v>81.643090000000001</c:v>
                </c:pt>
                <c:pt idx="1192">
                  <c:v>81.631489999999999</c:v>
                </c:pt>
                <c:pt idx="1193">
                  <c:v>81.635339999999999</c:v>
                </c:pt>
                <c:pt idx="1194">
                  <c:v>81.612560000000002</c:v>
                </c:pt>
                <c:pt idx="1195">
                  <c:v>81.618130000000008</c:v>
                </c:pt>
                <c:pt idx="1196">
                  <c:v>81.593389999999999</c:v>
                </c:pt>
                <c:pt idx="1197">
                  <c:v>81.600909999999999</c:v>
                </c:pt>
                <c:pt idx="1198">
                  <c:v>81.59329000000001</c:v>
                </c:pt>
                <c:pt idx="1199">
                  <c:v>81.585450000000009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2-1247-9E0B-566AFACCAB56}"/>
            </c:ext>
          </c:extLst>
        </c:ser>
        <c:ser>
          <c:idx val="1"/>
          <c:order val="1"/>
          <c:tx>
            <c:v>WS500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Data, WS500 20% O2'!$U$6:$U$1205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Data, WS500 20% O2'!$W$6:$W$1205</c:f>
              <c:numCache>
                <c:formatCode>0.00000</c:formatCode>
                <c:ptCount val="1200"/>
                <c:pt idx="0">
                  <c:v>100</c:v>
                </c:pt>
                <c:pt idx="1">
                  <c:v>100.13533</c:v>
                </c:pt>
                <c:pt idx="2">
                  <c:v>100.28747</c:v>
                </c:pt>
                <c:pt idx="3">
                  <c:v>100.37188999999999</c:v>
                </c:pt>
                <c:pt idx="4">
                  <c:v>100.41982</c:v>
                </c:pt>
                <c:pt idx="5">
                  <c:v>100.46195999999999</c:v>
                </c:pt>
                <c:pt idx="6">
                  <c:v>100.50807999999999</c:v>
                </c:pt>
                <c:pt idx="7">
                  <c:v>100.53021</c:v>
                </c:pt>
                <c:pt idx="8">
                  <c:v>100.54405</c:v>
                </c:pt>
                <c:pt idx="9">
                  <c:v>100.55995</c:v>
                </c:pt>
                <c:pt idx="10">
                  <c:v>100.58421</c:v>
                </c:pt>
                <c:pt idx="11">
                  <c:v>100.59654999999999</c:v>
                </c:pt>
                <c:pt idx="12">
                  <c:v>100.60240999999999</c:v>
                </c:pt>
                <c:pt idx="13">
                  <c:v>100.60831999999999</c:v>
                </c:pt>
                <c:pt idx="14">
                  <c:v>100.62640999999999</c:v>
                </c:pt>
                <c:pt idx="15">
                  <c:v>100.63248</c:v>
                </c:pt>
                <c:pt idx="16">
                  <c:v>100.62214999999999</c:v>
                </c:pt>
                <c:pt idx="17">
                  <c:v>100.60436</c:v>
                </c:pt>
                <c:pt idx="18">
                  <c:v>100.63042</c:v>
                </c:pt>
                <c:pt idx="19">
                  <c:v>100.63240999999999</c:v>
                </c:pt>
                <c:pt idx="20">
                  <c:v>100.59235</c:v>
                </c:pt>
                <c:pt idx="21">
                  <c:v>100.61031</c:v>
                </c:pt>
                <c:pt idx="22">
                  <c:v>100.61045</c:v>
                </c:pt>
                <c:pt idx="23">
                  <c:v>100.59013</c:v>
                </c:pt>
                <c:pt idx="24">
                  <c:v>100.5821</c:v>
                </c:pt>
                <c:pt idx="25">
                  <c:v>100.59031</c:v>
                </c:pt>
                <c:pt idx="26">
                  <c:v>100.57827999999999</c:v>
                </c:pt>
                <c:pt idx="27">
                  <c:v>100.57813999999999</c:v>
                </c:pt>
                <c:pt idx="28">
                  <c:v>100.57449</c:v>
                </c:pt>
                <c:pt idx="29">
                  <c:v>100.58444</c:v>
                </c:pt>
                <c:pt idx="30">
                  <c:v>100.58022</c:v>
                </c:pt>
                <c:pt idx="31">
                  <c:v>100.58618</c:v>
                </c:pt>
                <c:pt idx="32">
                  <c:v>100.55604</c:v>
                </c:pt>
                <c:pt idx="33">
                  <c:v>100.55216999999999</c:v>
                </c:pt>
                <c:pt idx="34">
                  <c:v>100.54997999999999</c:v>
                </c:pt>
                <c:pt idx="35">
                  <c:v>100.52610999999999</c:v>
                </c:pt>
                <c:pt idx="36">
                  <c:v>100.52190999999999</c:v>
                </c:pt>
                <c:pt idx="37">
                  <c:v>100.50989</c:v>
                </c:pt>
                <c:pt idx="38">
                  <c:v>100.50785999999999</c:v>
                </c:pt>
                <c:pt idx="39">
                  <c:v>100.47189999999999</c:v>
                </c:pt>
                <c:pt idx="40">
                  <c:v>100.48406</c:v>
                </c:pt>
                <c:pt idx="41">
                  <c:v>100.48396</c:v>
                </c:pt>
                <c:pt idx="42">
                  <c:v>100.48984</c:v>
                </c:pt>
                <c:pt idx="43">
                  <c:v>100.46789</c:v>
                </c:pt>
                <c:pt idx="44">
                  <c:v>100.4619</c:v>
                </c:pt>
                <c:pt idx="45">
                  <c:v>100.45780999999999</c:v>
                </c:pt>
                <c:pt idx="46">
                  <c:v>100.44801</c:v>
                </c:pt>
                <c:pt idx="47">
                  <c:v>100.44579</c:v>
                </c:pt>
                <c:pt idx="48">
                  <c:v>100.42556999999999</c:v>
                </c:pt>
                <c:pt idx="49">
                  <c:v>100.40352999999999</c:v>
                </c:pt>
                <c:pt idx="50">
                  <c:v>100.41158999999999</c:v>
                </c:pt>
                <c:pt idx="51">
                  <c:v>100.39362</c:v>
                </c:pt>
                <c:pt idx="52">
                  <c:v>100.38160999999999</c:v>
                </c:pt>
                <c:pt idx="53">
                  <c:v>100.36767999999999</c:v>
                </c:pt>
                <c:pt idx="54">
                  <c:v>100.35768999999999</c:v>
                </c:pt>
                <c:pt idx="55">
                  <c:v>100.35764999999999</c:v>
                </c:pt>
                <c:pt idx="56">
                  <c:v>100.32153</c:v>
                </c:pt>
                <c:pt idx="57">
                  <c:v>100.31122999999999</c:v>
                </c:pt>
                <c:pt idx="58">
                  <c:v>100.30141999999999</c:v>
                </c:pt>
                <c:pt idx="59">
                  <c:v>100.28528999999999</c:v>
                </c:pt>
                <c:pt idx="60">
                  <c:v>100.29329</c:v>
                </c:pt>
                <c:pt idx="61">
                  <c:v>100.29344999999999</c:v>
                </c:pt>
                <c:pt idx="62">
                  <c:v>100.26106999999999</c:v>
                </c:pt>
                <c:pt idx="63">
                  <c:v>100.27925999999999</c:v>
                </c:pt>
                <c:pt idx="64">
                  <c:v>100.25106</c:v>
                </c:pt>
                <c:pt idx="65">
                  <c:v>100.23314999999999</c:v>
                </c:pt>
                <c:pt idx="66">
                  <c:v>100.23699999999999</c:v>
                </c:pt>
                <c:pt idx="67">
                  <c:v>100.21921999999999</c:v>
                </c:pt>
                <c:pt idx="68">
                  <c:v>100.22305999999999</c:v>
                </c:pt>
                <c:pt idx="69">
                  <c:v>100.18894</c:v>
                </c:pt>
                <c:pt idx="70">
                  <c:v>100.1772</c:v>
                </c:pt>
                <c:pt idx="71">
                  <c:v>100.15473999999999</c:v>
                </c:pt>
                <c:pt idx="72">
                  <c:v>100.14269</c:v>
                </c:pt>
                <c:pt idx="73">
                  <c:v>100.13285999999999</c:v>
                </c:pt>
                <c:pt idx="74">
                  <c:v>100.11075</c:v>
                </c:pt>
                <c:pt idx="75">
                  <c:v>100.11476999999999</c:v>
                </c:pt>
                <c:pt idx="76">
                  <c:v>100.10303999999999</c:v>
                </c:pt>
                <c:pt idx="77">
                  <c:v>100.08857999999999</c:v>
                </c:pt>
                <c:pt idx="78">
                  <c:v>100.05452</c:v>
                </c:pt>
                <c:pt idx="79">
                  <c:v>100.0487</c:v>
                </c:pt>
                <c:pt idx="80">
                  <c:v>100.02454</c:v>
                </c:pt>
                <c:pt idx="81">
                  <c:v>100.01850999999999</c:v>
                </c:pt>
                <c:pt idx="82">
                  <c:v>100.00059</c:v>
                </c:pt>
                <c:pt idx="83">
                  <c:v>100.00228</c:v>
                </c:pt>
                <c:pt idx="84">
                  <c:v>99.970269999999999</c:v>
                </c:pt>
                <c:pt idx="85">
                  <c:v>99.954340000000002</c:v>
                </c:pt>
                <c:pt idx="86">
                  <c:v>99.942059999999998</c:v>
                </c:pt>
                <c:pt idx="87">
                  <c:v>99.946280000000002</c:v>
                </c:pt>
                <c:pt idx="88">
                  <c:v>99.932329999999993</c:v>
                </c:pt>
                <c:pt idx="89">
                  <c:v>99.920009999999991</c:v>
                </c:pt>
                <c:pt idx="90">
                  <c:v>99.91</c:v>
                </c:pt>
                <c:pt idx="91">
                  <c:v>99.89609999999999</c:v>
                </c:pt>
                <c:pt idx="92">
                  <c:v>99.870069999999998</c:v>
                </c:pt>
                <c:pt idx="93">
                  <c:v>99.843959999999996</c:v>
                </c:pt>
                <c:pt idx="94">
                  <c:v>99.843909999999994</c:v>
                </c:pt>
                <c:pt idx="95">
                  <c:v>99.829859999999996</c:v>
                </c:pt>
                <c:pt idx="96">
                  <c:v>99.833799999999997</c:v>
                </c:pt>
                <c:pt idx="97">
                  <c:v>99.83775</c:v>
                </c:pt>
                <c:pt idx="98">
                  <c:v>99.785550000000001</c:v>
                </c:pt>
                <c:pt idx="99">
                  <c:v>99.7958</c:v>
                </c:pt>
                <c:pt idx="100">
                  <c:v>99.787679999999995</c:v>
                </c:pt>
                <c:pt idx="101">
                  <c:v>99.771810000000002</c:v>
                </c:pt>
                <c:pt idx="102">
                  <c:v>99.777670000000001</c:v>
                </c:pt>
                <c:pt idx="103">
                  <c:v>99.739899999999992</c:v>
                </c:pt>
                <c:pt idx="104">
                  <c:v>99.729590000000002</c:v>
                </c:pt>
                <c:pt idx="105">
                  <c:v>99.709229999999991</c:v>
                </c:pt>
                <c:pt idx="106">
                  <c:v>99.699669999999998</c:v>
                </c:pt>
                <c:pt idx="107">
                  <c:v>99.659359999999992</c:v>
                </c:pt>
                <c:pt idx="108">
                  <c:v>99.665309999999991</c:v>
                </c:pt>
                <c:pt idx="109">
                  <c:v>99.669529999999995</c:v>
                </c:pt>
                <c:pt idx="110">
                  <c:v>99.677520000000001</c:v>
                </c:pt>
                <c:pt idx="111">
                  <c:v>99.649349999999998</c:v>
                </c:pt>
                <c:pt idx="112">
                  <c:v>99.659439999999989</c:v>
                </c:pt>
                <c:pt idx="113">
                  <c:v>99.606859999999998</c:v>
                </c:pt>
                <c:pt idx="114">
                  <c:v>99.599159999999998</c:v>
                </c:pt>
                <c:pt idx="115">
                  <c:v>99.57701999999999</c:v>
                </c:pt>
                <c:pt idx="116">
                  <c:v>99.557119999999998</c:v>
                </c:pt>
                <c:pt idx="117">
                  <c:v>99.537019999999998</c:v>
                </c:pt>
                <c:pt idx="118">
                  <c:v>99.532799999999995</c:v>
                </c:pt>
                <c:pt idx="119">
                  <c:v>99.520839999999993</c:v>
                </c:pt>
                <c:pt idx="120">
                  <c:v>99.504909999999995</c:v>
                </c:pt>
                <c:pt idx="121">
                  <c:v>99.48693999999999</c:v>
                </c:pt>
                <c:pt idx="122">
                  <c:v>99.456829999999997</c:v>
                </c:pt>
                <c:pt idx="123">
                  <c:v>99.458759999999998</c:v>
                </c:pt>
                <c:pt idx="124">
                  <c:v>99.450699999999998</c:v>
                </c:pt>
                <c:pt idx="125">
                  <c:v>99.416330000000002</c:v>
                </c:pt>
                <c:pt idx="126">
                  <c:v>99.426809999999989</c:v>
                </c:pt>
                <c:pt idx="127">
                  <c:v>99.420609999999996</c:v>
                </c:pt>
                <c:pt idx="128">
                  <c:v>99.370429999999999</c:v>
                </c:pt>
                <c:pt idx="129">
                  <c:v>99.370369999999994</c:v>
                </c:pt>
                <c:pt idx="130">
                  <c:v>99.346310000000003</c:v>
                </c:pt>
                <c:pt idx="131">
                  <c:v>99.336529999999996</c:v>
                </c:pt>
                <c:pt idx="132">
                  <c:v>99.308369999999996</c:v>
                </c:pt>
                <c:pt idx="133">
                  <c:v>99.320359999999994</c:v>
                </c:pt>
                <c:pt idx="134">
                  <c:v>99.316220000000001</c:v>
                </c:pt>
                <c:pt idx="135">
                  <c:v>99.279889999999995</c:v>
                </c:pt>
                <c:pt idx="136">
                  <c:v>99.270189999999999</c:v>
                </c:pt>
                <c:pt idx="137">
                  <c:v>99.258069999999989</c:v>
                </c:pt>
                <c:pt idx="138">
                  <c:v>99.255679999999998</c:v>
                </c:pt>
                <c:pt idx="139">
                  <c:v>99.213709999999992</c:v>
                </c:pt>
                <c:pt idx="140">
                  <c:v>99.18589999999999</c:v>
                </c:pt>
                <c:pt idx="141">
                  <c:v>99.185999999999993</c:v>
                </c:pt>
                <c:pt idx="142">
                  <c:v>99.17170999999999</c:v>
                </c:pt>
                <c:pt idx="143">
                  <c:v>99.17564999999999</c:v>
                </c:pt>
                <c:pt idx="144">
                  <c:v>99.155839999999998</c:v>
                </c:pt>
                <c:pt idx="145">
                  <c:v>99.125489999999999</c:v>
                </c:pt>
                <c:pt idx="146">
                  <c:v>99.137789999999995</c:v>
                </c:pt>
                <c:pt idx="147">
                  <c:v>99.132069999999999</c:v>
                </c:pt>
                <c:pt idx="148">
                  <c:v>99.117930000000001</c:v>
                </c:pt>
                <c:pt idx="149">
                  <c:v>99.095849999999999</c:v>
                </c:pt>
                <c:pt idx="150">
                  <c:v>99.079279999999997</c:v>
                </c:pt>
                <c:pt idx="151">
                  <c:v>99.023379999999989</c:v>
                </c:pt>
                <c:pt idx="152">
                  <c:v>99.041429999999991</c:v>
                </c:pt>
                <c:pt idx="153">
                  <c:v>99.02713</c:v>
                </c:pt>
                <c:pt idx="154">
                  <c:v>98.993319999999997</c:v>
                </c:pt>
                <c:pt idx="155">
                  <c:v>98.997500000000002</c:v>
                </c:pt>
                <c:pt idx="156">
                  <c:v>98.98124</c:v>
                </c:pt>
                <c:pt idx="157">
                  <c:v>98.935239999999993</c:v>
                </c:pt>
                <c:pt idx="158">
                  <c:v>98.96508</c:v>
                </c:pt>
                <c:pt idx="159">
                  <c:v>98.935099999999991</c:v>
                </c:pt>
                <c:pt idx="160">
                  <c:v>98.935389999999998</c:v>
                </c:pt>
                <c:pt idx="161">
                  <c:v>98.887140000000002</c:v>
                </c:pt>
                <c:pt idx="162">
                  <c:v>98.886870000000002</c:v>
                </c:pt>
                <c:pt idx="163">
                  <c:v>98.884969999999996</c:v>
                </c:pt>
                <c:pt idx="164">
                  <c:v>98.8827</c:v>
                </c:pt>
                <c:pt idx="165">
                  <c:v>98.840800000000002</c:v>
                </c:pt>
                <c:pt idx="166">
                  <c:v>98.852679999999992</c:v>
                </c:pt>
                <c:pt idx="167">
                  <c:v>98.834639999999993</c:v>
                </c:pt>
                <c:pt idx="168">
                  <c:v>98.835029999999989</c:v>
                </c:pt>
                <c:pt idx="169">
                  <c:v>98.81465</c:v>
                </c:pt>
                <c:pt idx="170">
                  <c:v>98.816609999999997</c:v>
                </c:pt>
                <c:pt idx="171">
                  <c:v>98.800709999999995</c:v>
                </c:pt>
                <c:pt idx="172">
                  <c:v>98.760120000000001</c:v>
                </c:pt>
                <c:pt idx="173">
                  <c:v>98.766639999999995</c:v>
                </c:pt>
                <c:pt idx="174">
                  <c:v>98.726469999999992</c:v>
                </c:pt>
                <c:pt idx="175">
                  <c:v>98.710340000000002</c:v>
                </c:pt>
                <c:pt idx="176">
                  <c:v>98.706469999999996</c:v>
                </c:pt>
                <c:pt idx="177">
                  <c:v>98.706530000000001</c:v>
                </c:pt>
                <c:pt idx="178">
                  <c:v>98.684269999999998</c:v>
                </c:pt>
                <c:pt idx="179">
                  <c:v>98.704529999999991</c:v>
                </c:pt>
                <c:pt idx="180">
                  <c:v>98.648199999999989</c:v>
                </c:pt>
                <c:pt idx="181">
                  <c:v>98.65025</c:v>
                </c:pt>
                <c:pt idx="182">
                  <c:v>98.638159999999999</c:v>
                </c:pt>
                <c:pt idx="183">
                  <c:v>98.611989999999992</c:v>
                </c:pt>
                <c:pt idx="184">
                  <c:v>98.605999999999995</c:v>
                </c:pt>
                <c:pt idx="185">
                  <c:v>98.602119999999999</c:v>
                </c:pt>
                <c:pt idx="186">
                  <c:v>98.575949999999992</c:v>
                </c:pt>
                <c:pt idx="187">
                  <c:v>98.561889999999991</c:v>
                </c:pt>
                <c:pt idx="188">
                  <c:v>98.551779999999994</c:v>
                </c:pt>
                <c:pt idx="189">
                  <c:v>98.536019999999994</c:v>
                </c:pt>
                <c:pt idx="190">
                  <c:v>98.511659999999992</c:v>
                </c:pt>
                <c:pt idx="191">
                  <c:v>98.515749999999997</c:v>
                </c:pt>
                <c:pt idx="192">
                  <c:v>98.495799999999988</c:v>
                </c:pt>
                <c:pt idx="193">
                  <c:v>98.50148999999999</c:v>
                </c:pt>
                <c:pt idx="194">
                  <c:v>98.489519999999999</c:v>
                </c:pt>
                <c:pt idx="195">
                  <c:v>98.46553999999999</c:v>
                </c:pt>
                <c:pt idx="196">
                  <c:v>98.451799999999992</c:v>
                </c:pt>
                <c:pt idx="197">
                  <c:v>98.437579999999997</c:v>
                </c:pt>
                <c:pt idx="198">
                  <c:v>98.403399999999991</c:v>
                </c:pt>
                <c:pt idx="199">
                  <c:v>98.407240000000002</c:v>
                </c:pt>
                <c:pt idx="200">
                  <c:v>98.37339999999999</c:v>
                </c:pt>
                <c:pt idx="201">
                  <c:v>98.361509999999996</c:v>
                </c:pt>
                <c:pt idx="202">
                  <c:v>98.357169999999996</c:v>
                </c:pt>
                <c:pt idx="203">
                  <c:v>98.337220000000002</c:v>
                </c:pt>
                <c:pt idx="204">
                  <c:v>98.323319999999995</c:v>
                </c:pt>
                <c:pt idx="205">
                  <c:v>98.311129999999991</c:v>
                </c:pt>
                <c:pt idx="206">
                  <c:v>98.297089999999997</c:v>
                </c:pt>
                <c:pt idx="207">
                  <c:v>98.293039999999991</c:v>
                </c:pt>
                <c:pt idx="208">
                  <c:v>98.257109999999997</c:v>
                </c:pt>
                <c:pt idx="209">
                  <c:v>98.266930000000002</c:v>
                </c:pt>
                <c:pt idx="210">
                  <c:v>98.234989999999996</c:v>
                </c:pt>
                <c:pt idx="211">
                  <c:v>98.220799999999997</c:v>
                </c:pt>
                <c:pt idx="212">
                  <c:v>98.210789999999989</c:v>
                </c:pt>
                <c:pt idx="213">
                  <c:v>98.224620000000002</c:v>
                </c:pt>
                <c:pt idx="214">
                  <c:v>98.198639999999997</c:v>
                </c:pt>
                <c:pt idx="215">
                  <c:v>98.170629999999989</c:v>
                </c:pt>
                <c:pt idx="216">
                  <c:v>98.17246999999999</c:v>
                </c:pt>
                <c:pt idx="217">
                  <c:v>98.148409999999998</c:v>
                </c:pt>
                <c:pt idx="218">
                  <c:v>98.144759999999991</c:v>
                </c:pt>
                <c:pt idx="219">
                  <c:v>98.13848999999999</c:v>
                </c:pt>
                <c:pt idx="220">
                  <c:v>98.122609999999995</c:v>
                </c:pt>
                <c:pt idx="221">
                  <c:v>98.114599999999996</c:v>
                </c:pt>
                <c:pt idx="222">
                  <c:v>98.106399999999994</c:v>
                </c:pt>
                <c:pt idx="223">
                  <c:v>98.08650999999999</c:v>
                </c:pt>
                <c:pt idx="224">
                  <c:v>98.050619999999995</c:v>
                </c:pt>
                <c:pt idx="225">
                  <c:v>98.034189999999995</c:v>
                </c:pt>
                <c:pt idx="226">
                  <c:v>98.030279999999991</c:v>
                </c:pt>
                <c:pt idx="227">
                  <c:v>98.014290000000003</c:v>
                </c:pt>
                <c:pt idx="228">
                  <c:v>98.00215</c:v>
                </c:pt>
                <c:pt idx="229">
                  <c:v>97.972129999999993</c:v>
                </c:pt>
                <c:pt idx="230">
                  <c:v>97.979950000000002</c:v>
                </c:pt>
                <c:pt idx="231">
                  <c:v>97.950109999999995</c:v>
                </c:pt>
                <c:pt idx="232">
                  <c:v>97.946119999999993</c:v>
                </c:pt>
                <c:pt idx="233">
                  <c:v>97.916029999999992</c:v>
                </c:pt>
                <c:pt idx="234">
                  <c:v>97.922019999999989</c:v>
                </c:pt>
                <c:pt idx="235">
                  <c:v>97.913910000000001</c:v>
                </c:pt>
                <c:pt idx="236">
                  <c:v>97.897949999999994</c:v>
                </c:pt>
                <c:pt idx="237">
                  <c:v>97.857789999999994</c:v>
                </c:pt>
                <c:pt idx="238">
                  <c:v>97.875699999999995</c:v>
                </c:pt>
                <c:pt idx="239">
                  <c:v>97.849639999999994</c:v>
                </c:pt>
                <c:pt idx="240">
                  <c:v>97.825559999999996</c:v>
                </c:pt>
                <c:pt idx="241">
                  <c:v>97.827519999999993</c:v>
                </c:pt>
                <c:pt idx="242">
                  <c:v>97.803359999999998</c:v>
                </c:pt>
                <c:pt idx="243">
                  <c:v>97.797460000000001</c:v>
                </c:pt>
                <c:pt idx="244">
                  <c:v>97.785499999999999</c:v>
                </c:pt>
                <c:pt idx="245">
                  <c:v>97.77758</c:v>
                </c:pt>
                <c:pt idx="246">
                  <c:v>97.753540000000001</c:v>
                </c:pt>
                <c:pt idx="247">
                  <c:v>97.735500000000002</c:v>
                </c:pt>
                <c:pt idx="248">
                  <c:v>97.733229999999992</c:v>
                </c:pt>
                <c:pt idx="249">
                  <c:v>97.719269999999995</c:v>
                </c:pt>
                <c:pt idx="250">
                  <c:v>97.717199999999991</c:v>
                </c:pt>
                <c:pt idx="251">
                  <c:v>97.701430000000002</c:v>
                </c:pt>
                <c:pt idx="252">
                  <c:v>97.667109999999994</c:v>
                </c:pt>
                <c:pt idx="253">
                  <c:v>97.66494999999999</c:v>
                </c:pt>
                <c:pt idx="254">
                  <c:v>97.663199999999989</c:v>
                </c:pt>
                <c:pt idx="255">
                  <c:v>97.641159999999999</c:v>
                </c:pt>
                <c:pt idx="256">
                  <c:v>97.63503</c:v>
                </c:pt>
                <c:pt idx="257">
                  <c:v>97.625029999999995</c:v>
                </c:pt>
                <c:pt idx="258">
                  <c:v>97.602879999999999</c:v>
                </c:pt>
                <c:pt idx="259">
                  <c:v>97.572679999999991</c:v>
                </c:pt>
                <c:pt idx="260">
                  <c:v>97.552769999999995</c:v>
                </c:pt>
                <c:pt idx="261">
                  <c:v>97.564669999999992</c:v>
                </c:pt>
                <c:pt idx="262">
                  <c:v>97.568619999999996</c:v>
                </c:pt>
                <c:pt idx="263">
                  <c:v>97.51254999999999</c:v>
                </c:pt>
                <c:pt idx="264">
                  <c:v>97.528790000000001</c:v>
                </c:pt>
                <c:pt idx="265">
                  <c:v>97.504629999999992</c:v>
                </c:pt>
                <c:pt idx="266">
                  <c:v>97.480639999999994</c:v>
                </c:pt>
                <c:pt idx="267">
                  <c:v>97.482569999999996</c:v>
                </c:pt>
                <c:pt idx="268">
                  <c:v>97.452429999999993</c:v>
                </c:pt>
                <c:pt idx="269">
                  <c:v>97.444310000000002</c:v>
                </c:pt>
                <c:pt idx="270">
                  <c:v>97.448509999999999</c:v>
                </c:pt>
                <c:pt idx="271">
                  <c:v>97.426079999999999</c:v>
                </c:pt>
                <c:pt idx="272">
                  <c:v>97.398349999999994</c:v>
                </c:pt>
                <c:pt idx="273">
                  <c:v>97.390090000000001</c:v>
                </c:pt>
                <c:pt idx="274">
                  <c:v>97.35002999999999</c:v>
                </c:pt>
                <c:pt idx="275">
                  <c:v>97.332089999999994</c:v>
                </c:pt>
                <c:pt idx="276">
                  <c:v>97.311970000000002</c:v>
                </c:pt>
                <c:pt idx="277">
                  <c:v>97.305970000000002</c:v>
                </c:pt>
                <c:pt idx="278">
                  <c:v>97.304019999999994</c:v>
                </c:pt>
                <c:pt idx="279">
                  <c:v>97.292000000000002</c:v>
                </c:pt>
                <c:pt idx="280">
                  <c:v>97.263840000000002</c:v>
                </c:pt>
                <c:pt idx="281">
                  <c:v>97.237939999999995</c:v>
                </c:pt>
                <c:pt idx="282">
                  <c:v>97.24405999999999</c:v>
                </c:pt>
                <c:pt idx="283">
                  <c:v>97.231719999999996</c:v>
                </c:pt>
                <c:pt idx="284">
                  <c:v>97.231579999999994</c:v>
                </c:pt>
                <c:pt idx="285">
                  <c:v>97.225679999999997</c:v>
                </c:pt>
                <c:pt idx="286">
                  <c:v>97.219789999999989</c:v>
                </c:pt>
                <c:pt idx="287">
                  <c:v>97.197800000000001</c:v>
                </c:pt>
                <c:pt idx="288">
                  <c:v>97.157519999999991</c:v>
                </c:pt>
                <c:pt idx="289">
                  <c:v>97.16355999999999</c:v>
                </c:pt>
                <c:pt idx="290">
                  <c:v>97.13342999999999</c:v>
                </c:pt>
                <c:pt idx="291">
                  <c:v>97.129279999999994</c:v>
                </c:pt>
                <c:pt idx="292">
                  <c:v>97.111329999999995</c:v>
                </c:pt>
                <c:pt idx="293">
                  <c:v>97.103429999999989</c:v>
                </c:pt>
                <c:pt idx="294">
                  <c:v>97.06944</c:v>
                </c:pt>
                <c:pt idx="295">
                  <c:v>97.069109999999995</c:v>
                </c:pt>
                <c:pt idx="296">
                  <c:v>97.043210000000002</c:v>
                </c:pt>
                <c:pt idx="297">
                  <c:v>97.041229999999999</c:v>
                </c:pt>
                <c:pt idx="298">
                  <c:v>97.037129999999991</c:v>
                </c:pt>
                <c:pt idx="299">
                  <c:v>97.015180000000001</c:v>
                </c:pt>
                <c:pt idx="300">
                  <c:v>97.011009999999999</c:v>
                </c:pt>
                <c:pt idx="301">
                  <c:v>96.986999999999995</c:v>
                </c:pt>
                <c:pt idx="302">
                  <c:v>96.978920000000002</c:v>
                </c:pt>
                <c:pt idx="303">
                  <c:v>96.95881</c:v>
                </c:pt>
                <c:pt idx="304">
                  <c:v>96.962999999999994</c:v>
                </c:pt>
                <c:pt idx="305">
                  <c:v>96.930659999999989</c:v>
                </c:pt>
                <c:pt idx="306">
                  <c:v>96.928739999999991</c:v>
                </c:pt>
                <c:pt idx="307">
                  <c:v>96.902839999999998</c:v>
                </c:pt>
                <c:pt idx="308">
                  <c:v>96.87854999999999</c:v>
                </c:pt>
                <c:pt idx="309">
                  <c:v>96.87473</c:v>
                </c:pt>
                <c:pt idx="310">
                  <c:v>96.876930000000002</c:v>
                </c:pt>
                <c:pt idx="311">
                  <c:v>96.868619999999993</c:v>
                </c:pt>
                <c:pt idx="312">
                  <c:v>96.854509999999991</c:v>
                </c:pt>
                <c:pt idx="313">
                  <c:v>96.830590000000001</c:v>
                </c:pt>
                <c:pt idx="314">
                  <c:v>96.796509999999998</c:v>
                </c:pt>
                <c:pt idx="315">
                  <c:v>96.786720000000003</c:v>
                </c:pt>
                <c:pt idx="316">
                  <c:v>96.756429999999995</c:v>
                </c:pt>
                <c:pt idx="317">
                  <c:v>96.75833999999999</c:v>
                </c:pt>
                <c:pt idx="318">
                  <c:v>96.768599999999992</c:v>
                </c:pt>
                <c:pt idx="319">
                  <c:v>96.73827</c:v>
                </c:pt>
                <c:pt idx="320">
                  <c:v>96.754149999999996</c:v>
                </c:pt>
                <c:pt idx="321">
                  <c:v>96.732079999999996</c:v>
                </c:pt>
                <c:pt idx="322">
                  <c:v>96.686139999999995</c:v>
                </c:pt>
                <c:pt idx="323">
                  <c:v>96.680149999999998</c:v>
                </c:pt>
                <c:pt idx="324">
                  <c:v>96.678039999999996</c:v>
                </c:pt>
                <c:pt idx="325">
                  <c:v>96.668059999999997</c:v>
                </c:pt>
                <c:pt idx="326">
                  <c:v>96.630020000000002</c:v>
                </c:pt>
                <c:pt idx="327">
                  <c:v>96.62196999999999</c:v>
                </c:pt>
                <c:pt idx="328">
                  <c:v>96.611800000000002</c:v>
                </c:pt>
                <c:pt idx="329">
                  <c:v>96.587779999999995</c:v>
                </c:pt>
                <c:pt idx="330">
                  <c:v>96.591899999999995</c:v>
                </c:pt>
                <c:pt idx="331">
                  <c:v>96.568010000000001</c:v>
                </c:pt>
                <c:pt idx="332">
                  <c:v>96.555549999999997</c:v>
                </c:pt>
                <c:pt idx="333">
                  <c:v>96.54755999999999</c:v>
                </c:pt>
                <c:pt idx="334">
                  <c:v>96.527689999999993</c:v>
                </c:pt>
                <c:pt idx="335">
                  <c:v>96.517609999999991</c:v>
                </c:pt>
                <c:pt idx="336">
                  <c:v>96.51979</c:v>
                </c:pt>
                <c:pt idx="337">
                  <c:v>96.517269999999996</c:v>
                </c:pt>
                <c:pt idx="338">
                  <c:v>96.495429999999999</c:v>
                </c:pt>
                <c:pt idx="339">
                  <c:v>96.489639999999994</c:v>
                </c:pt>
                <c:pt idx="340">
                  <c:v>96.451189999999997</c:v>
                </c:pt>
                <c:pt idx="341">
                  <c:v>96.447519999999997</c:v>
                </c:pt>
                <c:pt idx="342">
                  <c:v>96.445219999999992</c:v>
                </c:pt>
                <c:pt idx="343">
                  <c:v>96.425449999999998</c:v>
                </c:pt>
                <c:pt idx="344">
                  <c:v>96.397089999999992</c:v>
                </c:pt>
                <c:pt idx="345">
                  <c:v>96.405169999999998</c:v>
                </c:pt>
                <c:pt idx="346">
                  <c:v>96.387019999999993</c:v>
                </c:pt>
                <c:pt idx="347">
                  <c:v>96.379009999999994</c:v>
                </c:pt>
                <c:pt idx="348">
                  <c:v>96.391099999999994</c:v>
                </c:pt>
                <c:pt idx="349">
                  <c:v>96.395150000000001</c:v>
                </c:pt>
                <c:pt idx="350">
                  <c:v>96.425109999999989</c:v>
                </c:pt>
                <c:pt idx="351">
                  <c:v>96.359020000000001</c:v>
                </c:pt>
                <c:pt idx="352">
                  <c:v>96.28689</c:v>
                </c:pt>
                <c:pt idx="353">
                  <c:v>96.280540000000002</c:v>
                </c:pt>
                <c:pt idx="354">
                  <c:v>96.260859999999994</c:v>
                </c:pt>
                <c:pt idx="355">
                  <c:v>96.274760000000001</c:v>
                </c:pt>
                <c:pt idx="356">
                  <c:v>96.286809999999988</c:v>
                </c:pt>
                <c:pt idx="357">
                  <c:v>96.232609999999994</c:v>
                </c:pt>
                <c:pt idx="358">
                  <c:v>96.21047999999999</c:v>
                </c:pt>
                <c:pt idx="359">
                  <c:v>96.210520000000002</c:v>
                </c:pt>
                <c:pt idx="360">
                  <c:v>96.204639999999998</c:v>
                </c:pt>
                <c:pt idx="361">
                  <c:v>96.184529999999995</c:v>
                </c:pt>
                <c:pt idx="362">
                  <c:v>96.166330000000002</c:v>
                </c:pt>
                <c:pt idx="363">
                  <c:v>96.160550000000001</c:v>
                </c:pt>
                <c:pt idx="364">
                  <c:v>96.158540000000002</c:v>
                </c:pt>
                <c:pt idx="365">
                  <c:v>96.154449999999997</c:v>
                </c:pt>
                <c:pt idx="366">
                  <c:v>96.114409999999992</c:v>
                </c:pt>
                <c:pt idx="367">
                  <c:v>96.09438999999999</c:v>
                </c:pt>
                <c:pt idx="368">
                  <c:v>96.054040000000001</c:v>
                </c:pt>
                <c:pt idx="369">
                  <c:v>96.04804</c:v>
                </c:pt>
                <c:pt idx="370">
                  <c:v>96.040120000000002</c:v>
                </c:pt>
                <c:pt idx="371">
                  <c:v>96.030229999999989</c:v>
                </c:pt>
                <c:pt idx="372">
                  <c:v>96.07204999999999</c:v>
                </c:pt>
                <c:pt idx="373">
                  <c:v>96.044029999999992</c:v>
                </c:pt>
                <c:pt idx="374">
                  <c:v>96.011919999999989</c:v>
                </c:pt>
                <c:pt idx="375">
                  <c:v>95.987799999999993</c:v>
                </c:pt>
                <c:pt idx="376">
                  <c:v>95.996049999999997</c:v>
                </c:pt>
                <c:pt idx="377">
                  <c:v>95.951650000000001</c:v>
                </c:pt>
                <c:pt idx="378">
                  <c:v>95.965980000000002</c:v>
                </c:pt>
                <c:pt idx="379">
                  <c:v>95.931669999999997</c:v>
                </c:pt>
                <c:pt idx="380">
                  <c:v>95.927419999999998</c:v>
                </c:pt>
                <c:pt idx="381">
                  <c:v>95.895539999999997</c:v>
                </c:pt>
                <c:pt idx="382">
                  <c:v>95.887569999999997</c:v>
                </c:pt>
                <c:pt idx="383">
                  <c:v>95.863219999999998</c:v>
                </c:pt>
                <c:pt idx="384">
                  <c:v>95.8613</c:v>
                </c:pt>
                <c:pt idx="385">
                  <c:v>95.845230000000001</c:v>
                </c:pt>
                <c:pt idx="386">
                  <c:v>95.819279999999992</c:v>
                </c:pt>
                <c:pt idx="387">
                  <c:v>95.823419999999999</c:v>
                </c:pt>
                <c:pt idx="388">
                  <c:v>95.835380000000001</c:v>
                </c:pt>
                <c:pt idx="389">
                  <c:v>95.815460000000002</c:v>
                </c:pt>
                <c:pt idx="390">
                  <c:v>95.799309999999991</c:v>
                </c:pt>
                <c:pt idx="391">
                  <c:v>95.779449999999997</c:v>
                </c:pt>
                <c:pt idx="392">
                  <c:v>95.753259999999997</c:v>
                </c:pt>
                <c:pt idx="393">
                  <c:v>95.761139999999997</c:v>
                </c:pt>
                <c:pt idx="394">
                  <c:v>95.737049999999996</c:v>
                </c:pt>
                <c:pt idx="395">
                  <c:v>95.727019999999996</c:v>
                </c:pt>
                <c:pt idx="396">
                  <c:v>95.713029999999989</c:v>
                </c:pt>
                <c:pt idx="397">
                  <c:v>95.704989999999995</c:v>
                </c:pt>
                <c:pt idx="398">
                  <c:v>95.685019999999994</c:v>
                </c:pt>
                <c:pt idx="399">
                  <c:v>95.682850000000002</c:v>
                </c:pt>
                <c:pt idx="400">
                  <c:v>95.67470999999999</c:v>
                </c:pt>
                <c:pt idx="401">
                  <c:v>95.646869999999993</c:v>
                </c:pt>
                <c:pt idx="402">
                  <c:v>95.64882999999999</c:v>
                </c:pt>
                <c:pt idx="403">
                  <c:v>95.632989999999992</c:v>
                </c:pt>
                <c:pt idx="404">
                  <c:v>95.60884999999999</c:v>
                </c:pt>
                <c:pt idx="405">
                  <c:v>95.606830000000002</c:v>
                </c:pt>
                <c:pt idx="406">
                  <c:v>95.578609999999998</c:v>
                </c:pt>
                <c:pt idx="407">
                  <c:v>95.558479999999989</c:v>
                </c:pt>
                <c:pt idx="408">
                  <c:v>95.558679999999995</c:v>
                </c:pt>
                <c:pt idx="409">
                  <c:v>95.53237</c:v>
                </c:pt>
                <c:pt idx="410">
                  <c:v>95.520479999999992</c:v>
                </c:pt>
                <c:pt idx="411">
                  <c:v>95.510369999999995</c:v>
                </c:pt>
                <c:pt idx="412">
                  <c:v>95.496759999999995</c:v>
                </c:pt>
                <c:pt idx="413">
                  <c:v>95.494169999999997</c:v>
                </c:pt>
                <c:pt idx="414">
                  <c:v>95.462310000000002</c:v>
                </c:pt>
                <c:pt idx="415">
                  <c:v>95.460319999999996</c:v>
                </c:pt>
                <c:pt idx="416">
                  <c:v>95.446249999999992</c:v>
                </c:pt>
                <c:pt idx="417">
                  <c:v>95.444130000000001</c:v>
                </c:pt>
                <c:pt idx="418">
                  <c:v>95.41825</c:v>
                </c:pt>
                <c:pt idx="419">
                  <c:v>95.386209999999991</c:v>
                </c:pt>
                <c:pt idx="420">
                  <c:v>95.399829999999994</c:v>
                </c:pt>
                <c:pt idx="421">
                  <c:v>95.404150000000001</c:v>
                </c:pt>
                <c:pt idx="422">
                  <c:v>95.373869999999997</c:v>
                </c:pt>
                <c:pt idx="423">
                  <c:v>95.366169999999997</c:v>
                </c:pt>
                <c:pt idx="424">
                  <c:v>95.333799999999997</c:v>
                </c:pt>
                <c:pt idx="425">
                  <c:v>95.31962</c:v>
                </c:pt>
                <c:pt idx="426">
                  <c:v>95.315759999999997</c:v>
                </c:pt>
                <c:pt idx="427">
                  <c:v>95.285719999999998</c:v>
                </c:pt>
                <c:pt idx="428">
                  <c:v>95.319949999999992</c:v>
                </c:pt>
                <c:pt idx="429">
                  <c:v>95.251559999999998</c:v>
                </c:pt>
                <c:pt idx="430">
                  <c:v>95.261569999999992</c:v>
                </c:pt>
                <c:pt idx="431">
                  <c:v>95.275700000000001</c:v>
                </c:pt>
                <c:pt idx="432">
                  <c:v>95.245609999999999</c:v>
                </c:pt>
                <c:pt idx="433">
                  <c:v>95.24163999999999</c:v>
                </c:pt>
                <c:pt idx="434">
                  <c:v>95.22569</c:v>
                </c:pt>
                <c:pt idx="435">
                  <c:v>95.217320000000001</c:v>
                </c:pt>
                <c:pt idx="436">
                  <c:v>95.192979999999991</c:v>
                </c:pt>
                <c:pt idx="437">
                  <c:v>95.225519999999989</c:v>
                </c:pt>
                <c:pt idx="438">
                  <c:v>95.18728999999999</c:v>
                </c:pt>
                <c:pt idx="439">
                  <c:v>95.183489999999992</c:v>
                </c:pt>
                <c:pt idx="440">
                  <c:v>95.165189999999996</c:v>
                </c:pt>
                <c:pt idx="441">
                  <c:v>95.167209999999997</c:v>
                </c:pt>
                <c:pt idx="442">
                  <c:v>95.123459999999994</c:v>
                </c:pt>
                <c:pt idx="443">
                  <c:v>95.123149999999995</c:v>
                </c:pt>
                <c:pt idx="444">
                  <c:v>95.08686999999999</c:v>
                </c:pt>
                <c:pt idx="445">
                  <c:v>95.096959999999996</c:v>
                </c:pt>
                <c:pt idx="446">
                  <c:v>95.09711999999999</c:v>
                </c:pt>
                <c:pt idx="447">
                  <c:v>95.075119999999998</c:v>
                </c:pt>
                <c:pt idx="448">
                  <c:v>95.06913999999999</c:v>
                </c:pt>
                <c:pt idx="449">
                  <c:v>95.067070000000001</c:v>
                </c:pt>
                <c:pt idx="450">
                  <c:v>95.075159999999997</c:v>
                </c:pt>
                <c:pt idx="451">
                  <c:v>95.042929999999998</c:v>
                </c:pt>
                <c:pt idx="452">
                  <c:v>95.00282</c:v>
                </c:pt>
                <c:pt idx="453">
                  <c:v>95.008839999999992</c:v>
                </c:pt>
                <c:pt idx="454">
                  <c:v>95.010769999999994</c:v>
                </c:pt>
                <c:pt idx="455">
                  <c:v>94.972789999999989</c:v>
                </c:pt>
                <c:pt idx="456">
                  <c:v>94.952590000000001</c:v>
                </c:pt>
                <c:pt idx="457">
                  <c:v>94.962620000000001</c:v>
                </c:pt>
                <c:pt idx="458">
                  <c:v>94.962949999999992</c:v>
                </c:pt>
                <c:pt idx="459">
                  <c:v>94.934609999999992</c:v>
                </c:pt>
                <c:pt idx="460">
                  <c:v>94.91655999999999</c:v>
                </c:pt>
                <c:pt idx="461">
                  <c:v>94.896329999999992</c:v>
                </c:pt>
                <c:pt idx="462">
                  <c:v>94.904559999999989</c:v>
                </c:pt>
                <c:pt idx="463">
                  <c:v>94.884239999999991</c:v>
                </c:pt>
                <c:pt idx="464">
                  <c:v>94.856319999999997</c:v>
                </c:pt>
                <c:pt idx="465">
                  <c:v>94.846329999999995</c:v>
                </c:pt>
                <c:pt idx="466">
                  <c:v>94.86824</c:v>
                </c:pt>
                <c:pt idx="467">
                  <c:v>94.844380000000001</c:v>
                </c:pt>
                <c:pt idx="468">
                  <c:v>94.816090000000003</c:v>
                </c:pt>
                <c:pt idx="469">
                  <c:v>94.82432</c:v>
                </c:pt>
                <c:pt idx="470">
                  <c:v>94.808219999999992</c:v>
                </c:pt>
                <c:pt idx="471">
                  <c:v>94.794370000000001</c:v>
                </c:pt>
                <c:pt idx="472">
                  <c:v>94.758290000000002</c:v>
                </c:pt>
                <c:pt idx="473">
                  <c:v>94.751989999999992</c:v>
                </c:pt>
                <c:pt idx="474">
                  <c:v>94.748069999999998</c:v>
                </c:pt>
                <c:pt idx="475">
                  <c:v>94.726050000000001</c:v>
                </c:pt>
                <c:pt idx="476">
                  <c:v>94.723979999999997</c:v>
                </c:pt>
                <c:pt idx="477">
                  <c:v>94.71011</c:v>
                </c:pt>
                <c:pt idx="478">
                  <c:v>94.717939999999999</c:v>
                </c:pt>
                <c:pt idx="479">
                  <c:v>94.681869999999989</c:v>
                </c:pt>
                <c:pt idx="480">
                  <c:v>94.673839999999998</c:v>
                </c:pt>
                <c:pt idx="481">
                  <c:v>94.685749999999999</c:v>
                </c:pt>
                <c:pt idx="482">
                  <c:v>94.673850000000002</c:v>
                </c:pt>
                <c:pt idx="483">
                  <c:v>94.643619999999999</c:v>
                </c:pt>
                <c:pt idx="484">
                  <c:v>94.623769999999993</c:v>
                </c:pt>
                <c:pt idx="485">
                  <c:v>94.613579999999999</c:v>
                </c:pt>
                <c:pt idx="486">
                  <c:v>94.60557</c:v>
                </c:pt>
                <c:pt idx="487">
                  <c:v>94.595489999999998</c:v>
                </c:pt>
                <c:pt idx="488">
                  <c:v>94.593609999999998</c:v>
                </c:pt>
                <c:pt idx="489">
                  <c:v>94.57544</c:v>
                </c:pt>
                <c:pt idx="490">
                  <c:v>94.559509999999989</c:v>
                </c:pt>
                <c:pt idx="491">
                  <c:v>94.54343999999999</c:v>
                </c:pt>
                <c:pt idx="492">
                  <c:v>94.545310000000001</c:v>
                </c:pt>
                <c:pt idx="493">
                  <c:v>94.521319999999989</c:v>
                </c:pt>
                <c:pt idx="494">
                  <c:v>94.505449999999996</c:v>
                </c:pt>
                <c:pt idx="495">
                  <c:v>94.505489999999995</c:v>
                </c:pt>
                <c:pt idx="496">
                  <c:v>94.483369999999994</c:v>
                </c:pt>
                <c:pt idx="497">
                  <c:v>94.471049999999991</c:v>
                </c:pt>
                <c:pt idx="498">
                  <c:v>94.448939999999993</c:v>
                </c:pt>
                <c:pt idx="499">
                  <c:v>94.438890000000001</c:v>
                </c:pt>
                <c:pt idx="500">
                  <c:v>94.412839999999989</c:v>
                </c:pt>
                <c:pt idx="501">
                  <c:v>94.40285999999999</c:v>
                </c:pt>
                <c:pt idx="502">
                  <c:v>94.425109999999989</c:v>
                </c:pt>
                <c:pt idx="503">
                  <c:v>94.405000000000001</c:v>
                </c:pt>
                <c:pt idx="504">
                  <c:v>94.407029999999992</c:v>
                </c:pt>
                <c:pt idx="505">
                  <c:v>94.378990000000002</c:v>
                </c:pt>
                <c:pt idx="506">
                  <c:v>94.352899999999991</c:v>
                </c:pt>
                <c:pt idx="507">
                  <c:v>94.332729999999998</c:v>
                </c:pt>
                <c:pt idx="508">
                  <c:v>94.330529999999996</c:v>
                </c:pt>
                <c:pt idx="509">
                  <c:v>94.304429999999996</c:v>
                </c:pt>
                <c:pt idx="510">
                  <c:v>94.298670000000001</c:v>
                </c:pt>
                <c:pt idx="511">
                  <c:v>94.278449999999992</c:v>
                </c:pt>
                <c:pt idx="512">
                  <c:v>94.288529999999994</c:v>
                </c:pt>
                <c:pt idx="513">
                  <c:v>94.26057999999999</c:v>
                </c:pt>
                <c:pt idx="514">
                  <c:v>94.240499999999997</c:v>
                </c:pt>
                <c:pt idx="515">
                  <c:v>94.234380000000002</c:v>
                </c:pt>
                <c:pt idx="516">
                  <c:v>94.23657</c:v>
                </c:pt>
                <c:pt idx="517">
                  <c:v>94.210269999999994</c:v>
                </c:pt>
                <c:pt idx="518">
                  <c:v>94.200279999999992</c:v>
                </c:pt>
                <c:pt idx="519">
                  <c:v>94.214309999999998</c:v>
                </c:pt>
                <c:pt idx="520">
                  <c:v>94.182220000000001</c:v>
                </c:pt>
                <c:pt idx="521">
                  <c:v>94.174229999999994</c:v>
                </c:pt>
                <c:pt idx="522">
                  <c:v>94.16825</c:v>
                </c:pt>
                <c:pt idx="523">
                  <c:v>94.136129999999994</c:v>
                </c:pt>
                <c:pt idx="524">
                  <c:v>94.146209999999996</c:v>
                </c:pt>
                <c:pt idx="525">
                  <c:v>94.130089999999996</c:v>
                </c:pt>
                <c:pt idx="526">
                  <c:v>94.113869999999991</c:v>
                </c:pt>
                <c:pt idx="527">
                  <c:v>94.09975</c:v>
                </c:pt>
                <c:pt idx="528">
                  <c:v>94.09384</c:v>
                </c:pt>
                <c:pt idx="529">
                  <c:v>94.088119999999989</c:v>
                </c:pt>
                <c:pt idx="530">
                  <c:v>94.075779999999995</c:v>
                </c:pt>
                <c:pt idx="531">
                  <c:v>94.041679999999999</c:v>
                </c:pt>
                <c:pt idx="532">
                  <c:v>94.062049999999999</c:v>
                </c:pt>
                <c:pt idx="533">
                  <c:v>94.051760000000002</c:v>
                </c:pt>
                <c:pt idx="534">
                  <c:v>94.029679999999999</c:v>
                </c:pt>
                <c:pt idx="535">
                  <c:v>94.003679999999989</c:v>
                </c:pt>
                <c:pt idx="536">
                  <c:v>94.021679999999989</c:v>
                </c:pt>
                <c:pt idx="537">
                  <c:v>93.989620000000002</c:v>
                </c:pt>
                <c:pt idx="538">
                  <c:v>93.979559999999992</c:v>
                </c:pt>
                <c:pt idx="539">
                  <c:v>93.963579999999993</c:v>
                </c:pt>
                <c:pt idx="540">
                  <c:v>93.957509999999999</c:v>
                </c:pt>
                <c:pt idx="541">
                  <c:v>93.961649999999992</c:v>
                </c:pt>
                <c:pt idx="542">
                  <c:v>93.931329999999988</c:v>
                </c:pt>
                <c:pt idx="543">
                  <c:v>93.925519999999992</c:v>
                </c:pt>
                <c:pt idx="544">
                  <c:v>93.903449999999992</c:v>
                </c:pt>
                <c:pt idx="545">
                  <c:v>93.885429999999999</c:v>
                </c:pt>
                <c:pt idx="546">
                  <c:v>93.861279999999994</c:v>
                </c:pt>
                <c:pt idx="547">
                  <c:v>93.867379999999997</c:v>
                </c:pt>
                <c:pt idx="548">
                  <c:v>93.85732999999999</c:v>
                </c:pt>
                <c:pt idx="549">
                  <c:v>93.840999999999994</c:v>
                </c:pt>
                <c:pt idx="550">
                  <c:v>93.785209999999992</c:v>
                </c:pt>
                <c:pt idx="551">
                  <c:v>93.817019999999999</c:v>
                </c:pt>
                <c:pt idx="552">
                  <c:v>93.794959999999989</c:v>
                </c:pt>
                <c:pt idx="553">
                  <c:v>93.79898</c:v>
                </c:pt>
                <c:pt idx="554">
                  <c:v>93.770939999999996</c:v>
                </c:pt>
                <c:pt idx="555">
                  <c:v>93.74485</c:v>
                </c:pt>
                <c:pt idx="556">
                  <c:v>93.736959999999996</c:v>
                </c:pt>
                <c:pt idx="557">
                  <c:v>93.752960000000002</c:v>
                </c:pt>
                <c:pt idx="558">
                  <c:v>93.716979999999992</c:v>
                </c:pt>
                <c:pt idx="559">
                  <c:v>93.700699999999998</c:v>
                </c:pt>
                <c:pt idx="560">
                  <c:v>93.688649999999996</c:v>
                </c:pt>
                <c:pt idx="561">
                  <c:v>93.688639999999992</c:v>
                </c:pt>
                <c:pt idx="562">
                  <c:v>93.68656</c:v>
                </c:pt>
                <c:pt idx="563">
                  <c:v>93.652549999999991</c:v>
                </c:pt>
                <c:pt idx="564">
                  <c:v>93.664749999999998</c:v>
                </c:pt>
                <c:pt idx="565">
                  <c:v>93.636479999999992</c:v>
                </c:pt>
                <c:pt idx="566">
                  <c:v>93.600380000000001</c:v>
                </c:pt>
                <c:pt idx="567">
                  <c:v>93.612439999999992</c:v>
                </c:pt>
                <c:pt idx="568">
                  <c:v>93.572409999999991</c:v>
                </c:pt>
                <c:pt idx="569">
                  <c:v>93.576219999999992</c:v>
                </c:pt>
                <c:pt idx="570">
                  <c:v>93.570389999999989</c:v>
                </c:pt>
                <c:pt idx="571">
                  <c:v>93.55055999999999</c:v>
                </c:pt>
                <c:pt idx="572">
                  <c:v>93.544219999999996</c:v>
                </c:pt>
                <c:pt idx="573">
                  <c:v>93.544089999999997</c:v>
                </c:pt>
                <c:pt idx="574">
                  <c:v>93.51209999999999</c:v>
                </c:pt>
                <c:pt idx="575">
                  <c:v>93.522120000000001</c:v>
                </c:pt>
                <c:pt idx="576">
                  <c:v>93.498260000000002</c:v>
                </c:pt>
                <c:pt idx="577">
                  <c:v>93.500279999999989</c:v>
                </c:pt>
                <c:pt idx="578">
                  <c:v>93.487960000000001</c:v>
                </c:pt>
                <c:pt idx="579">
                  <c:v>93.472110000000001</c:v>
                </c:pt>
                <c:pt idx="580">
                  <c:v>93.46602</c:v>
                </c:pt>
                <c:pt idx="581">
                  <c:v>93.442179999999993</c:v>
                </c:pt>
                <c:pt idx="582">
                  <c:v>93.427799999999991</c:v>
                </c:pt>
                <c:pt idx="583">
                  <c:v>93.439849999999993</c:v>
                </c:pt>
                <c:pt idx="584">
                  <c:v>93.403899999999993</c:v>
                </c:pt>
                <c:pt idx="585">
                  <c:v>93.387630000000001</c:v>
                </c:pt>
                <c:pt idx="586">
                  <c:v>93.371619999999993</c:v>
                </c:pt>
                <c:pt idx="587">
                  <c:v>93.365780000000001</c:v>
                </c:pt>
                <c:pt idx="588">
                  <c:v>93.341719999999995</c:v>
                </c:pt>
                <c:pt idx="589">
                  <c:v>93.355879999999999</c:v>
                </c:pt>
                <c:pt idx="590">
                  <c:v>93.31362</c:v>
                </c:pt>
                <c:pt idx="591">
                  <c:v>93.30153</c:v>
                </c:pt>
                <c:pt idx="592">
                  <c:v>93.297550000000001</c:v>
                </c:pt>
                <c:pt idx="593">
                  <c:v>93.285399999999996</c:v>
                </c:pt>
                <c:pt idx="594">
                  <c:v>93.277519999999996</c:v>
                </c:pt>
                <c:pt idx="595">
                  <c:v>93.245350000000002</c:v>
                </c:pt>
                <c:pt idx="596">
                  <c:v>93.219229999999996</c:v>
                </c:pt>
                <c:pt idx="597">
                  <c:v>93.209269999999989</c:v>
                </c:pt>
                <c:pt idx="598">
                  <c:v>93.215389999999999</c:v>
                </c:pt>
                <c:pt idx="599">
                  <c:v>93.199249999999992</c:v>
                </c:pt>
                <c:pt idx="600">
                  <c:v>93.165049999999994</c:v>
                </c:pt>
                <c:pt idx="601">
                  <c:v>93.166910000000001</c:v>
                </c:pt>
                <c:pt idx="602">
                  <c:v>93.147049999999993</c:v>
                </c:pt>
                <c:pt idx="603">
                  <c:v>93.131069999999994</c:v>
                </c:pt>
                <c:pt idx="604">
                  <c:v>93.14694999999999</c:v>
                </c:pt>
                <c:pt idx="605">
                  <c:v>93.128900000000002</c:v>
                </c:pt>
                <c:pt idx="606">
                  <c:v>93.116860000000003</c:v>
                </c:pt>
                <c:pt idx="607">
                  <c:v>93.096679999999992</c:v>
                </c:pt>
                <c:pt idx="608">
                  <c:v>93.074619999999996</c:v>
                </c:pt>
                <c:pt idx="609">
                  <c:v>93.07280999999999</c:v>
                </c:pt>
                <c:pt idx="610">
                  <c:v>93.04267999999999</c:v>
                </c:pt>
                <c:pt idx="611">
                  <c:v>93.03264999999999</c:v>
                </c:pt>
                <c:pt idx="612">
                  <c:v>93.038629999999998</c:v>
                </c:pt>
                <c:pt idx="613">
                  <c:v>93.03264999999999</c:v>
                </c:pt>
                <c:pt idx="614">
                  <c:v>93.010559999999998</c:v>
                </c:pt>
                <c:pt idx="615">
                  <c:v>93.01057999999999</c:v>
                </c:pt>
                <c:pt idx="616">
                  <c:v>92.976619999999997</c:v>
                </c:pt>
                <c:pt idx="617">
                  <c:v>92.97238999999999</c:v>
                </c:pt>
                <c:pt idx="618">
                  <c:v>92.940419999999989</c:v>
                </c:pt>
                <c:pt idx="619">
                  <c:v>92.944419999999994</c:v>
                </c:pt>
                <c:pt idx="620">
                  <c:v>92.948239999999998</c:v>
                </c:pt>
                <c:pt idx="621">
                  <c:v>92.917909999999992</c:v>
                </c:pt>
                <c:pt idx="622">
                  <c:v>92.90594999999999</c:v>
                </c:pt>
                <c:pt idx="623">
                  <c:v>92.886129999999994</c:v>
                </c:pt>
                <c:pt idx="624">
                  <c:v>92.888170000000002</c:v>
                </c:pt>
                <c:pt idx="625">
                  <c:v>92.868009999999998</c:v>
                </c:pt>
                <c:pt idx="626">
                  <c:v>92.84008</c:v>
                </c:pt>
                <c:pt idx="627">
                  <c:v>92.846049999999991</c:v>
                </c:pt>
                <c:pt idx="628">
                  <c:v>92.824029999999993</c:v>
                </c:pt>
                <c:pt idx="629">
                  <c:v>92.811889999999991</c:v>
                </c:pt>
                <c:pt idx="630">
                  <c:v>92.807940000000002</c:v>
                </c:pt>
                <c:pt idx="631">
                  <c:v>92.801850000000002</c:v>
                </c:pt>
                <c:pt idx="632">
                  <c:v>92.77588999999999</c:v>
                </c:pt>
                <c:pt idx="633">
                  <c:v>92.77185999999999</c:v>
                </c:pt>
                <c:pt idx="634">
                  <c:v>92.757959999999997</c:v>
                </c:pt>
                <c:pt idx="635">
                  <c:v>92.749749999999992</c:v>
                </c:pt>
                <c:pt idx="636">
                  <c:v>92.731769999999997</c:v>
                </c:pt>
                <c:pt idx="637">
                  <c:v>92.727829999999997</c:v>
                </c:pt>
                <c:pt idx="638">
                  <c:v>92.697839999999999</c:v>
                </c:pt>
                <c:pt idx="639">
                  <c:v>92.681439999999995</c:v>
                </c:pt>
                <c:pt idx="640">
                  <c:v>92.687689999999989</c:v>
                </c:pt>
                <c:pt idx="641">
                  <c:v>92.663690000000003</c:v>
                </c:pt>
                <c:pt idx="642">
                  <c:v>92.649409999999989</c:v>
                </c:pt>
                <c:pt idx="643">
                  <c:v>92.649679999999989</c:v>
                </c:pt>
                <c:pt idx="644">
                  <c:v>92.64139999999999</c:v>
                </c:pt>
                <c:pt idx="645">
                  <c:v>92.619309999999999</c:v>
                </c:pt>
                <c:pt idx="646">
                  <c:v>92.611429999999999</c:v>
                </c:pt>
                <c:pt idx="647">
                  <c:v>92.589410000000001</c:v>
                </c:pt>
                <c:pt idx="648">
                  <c:v>92.595280000000002</c:v>
                </c:pt>
                <c:pt idx="649">
                  <c:v>92.571239999999989</c:v>
                </c:pt>
                <c:pt idx="650">
                  <c:v>92.571329999999989</c:v>
                </c:pt>
                <c:pt idx="651">
                  <c:v>92.567250000000001</c:v>
                </c:pt>
                <c:pt idx="652">
                  <c:v>92.553319999999999</c:v>
                </c:pt>
                <c:pt idx="653">
                  <c:v>92.53900999999999</c:v>
                </c:pt>
                <c:pt idx="654">
                  <c:v>92.53313</c:v>
                </c:pt>
                <c:pt idx="655">
                  <c:v>92.523049999999998</c:v>
                </c:pt>
                <c:pt idx="656">
                  <c:v>92.496949999999998</c:v>
                </c:pt>
                <c:pt idx="657">
                  <c:v>92.485010000000003</c:v>
                </c:pt>
                <c:pt idx="658">
                  <c:v>92.494949999999989</c:v>
                </c:pt>
                <c:pt idx="659">
                  <c:v>92.486919999999998</c:v>
                </c:pt>
                <c:pt idx="660">
                  <c:v>92.446770000000001</c:v>
                </c:pt>
                <c:pt idx="661">
                  <c:v>92.428699999999992</c:v>
                </c:pt>
                <c:pt idx="662">
                  <c:v>92.41870999999999</c:v>
                </c:pt>
                <c:pt idx="663">
                  <c:v>92.406660000000002</c:v>
                </c:pt>
                <c:pt idx="664">
                  <c:v>92.398559999999989</c:v>
                </c:pt>
                <c:pt idx="665">
                  <c:v>92.382679999999993</c:v>
                </c:pt>
                <c:pt idx="666">
                  <c:v>92.374589999999998</c:v>
                </c:pt>
                <c:pt idx="667">
                  <c:v>92.366479999999996</c:v>
                </c:pt>
                <c:pt idx="668">
                  <c:v>92.352419999999995</c:v>
                </c:pt>
                <c:pt idx="669">
                  <c:v>92.346489999999989</c:v>
                </c:pt>
                <c:pt idx="670">
                  <c:v>92.316400000000002</c:v>
                </c:pt>
                <c:pt idx="671">
                  <c:v>92.31429</c:v>
                </c:pt>
                <c:pt idx="672">
                  <c:v>92.288319999999999</c:v>
                </c:pt>
                <c:pt idx="673">
                  <c:v>92.294409999999999</c:v>
                </c:pt>
                <c:pt idx="674">
                  <c:v>92.25233999999999</c:v>
                </c:pt>
                <c:pt idx="675">
                  <c:v>92.250129999999999</c:v>
                </c:pt>
                <c:pt idx="676">
                  <c:v>92.236129999999989</c:v>
                </c:pt>
                <c:pt idx="677">
                  <c:v>92.234179999999995</c:v>
                </c:pt>
                <c:pt idx="678">
                  <c:v>92.19623</c:v>
                </c:pt>
                <c:pt idx="679">
                  <c:v>92.210119999999989</c:v>
                </c:pt>
                <c:pt idx="680">
                  <c:v>92.196089999999998</c:v>
                </c:pt>
                <c:pt idx="681">
                  <c:v>92.184060000000002</c:v>
                </c:pt>
                <c:pt idx="682">
                  <c:v>92.166079999999994</c:v>
                </c:pt>
                <c:pt idx="683">
                  <c:v>92.147729999999996</c:v>
                </c:pt>
                <c:pt idx="684">
                  <c:v>92.147989999999993</c:v>
                </c:pt>
                <c:pt idx="685">
                  <c:v>92.139870000000002</c:v>
                </c:pt>
                <c:pt idx="686">
                  <c:v>92.125869999999992</c:v>
                </c:pt>
                <c:pt idx="687">
                  <c:v>92.124020000000002</c:v>
                </c:pt>
                <c:pt idx="688">
                  <c:v>92.101699999999994</c:v>
                </c:pt>
                <c:pt idx="689">
                  <c:v>92.115759999999995</c:v>
                </c:pt>
                <c:pt idx="690">
                  <c:v>92.089680000000001</c:v>
                </c:pt>
                <c:pt idx="691">
                  <c:v>92.06774999999999</c:v>
                </c:pt>
                <c:pt idx="692">
                  <c:v>92.059519999999992</c:v>
                </c:pt>
                <c:pt idx="693">
                  <c:v>92.065659999999994</c:v>
                </c:pt>
                <c:pt idx="694">
                  <c:v>92.035309999999996</c:v>
                </c:pt>
                <c:pt idx="695">
                  <c:v>92.045419999999993</c:v>
                </c:pt>
                <c:pt idx="696">
                  <c:v>92.019439999999989</c:v>
                </c:pt>
                <c:pt idx="697">
                  <c:v>91.991289999999992</c:v>
                </c:pt>
                <c:pt idx="698">
                  <c:v>91.981309999999993</c:v>
                </c:pt>
                <c:pt idx="699">
                  <c:v>91.965279999999993</c:v>
                </c:pt>
                <c:pt idx="700">
                  <c:v>91.957219999999992</c:v>
                </c:pt>
                <c:pt idx="701">
                  <c:v>91.94910999999999</c:v>
                </c:pt>
                <c:pt idx="702">
                  <c:v>91.927269999999993</c:v>
                </c:pt>
                <c:pt idx="703">
                  <c:v>91.902990000000003</c:v>
                </c:pt>
                <c:pt idx="704">
                  <c:v>91.909219999999991</c:v>
                </c:pt>
                <c:pt idx="705">
                  <c:v>91.907139999999998</c:v>
                </c:pt>
                <c:pt idx="706">
                  <c:v>91.90307</c:v>
                </c:pt>
                <c:pt idx="707">
                  <c:v>91.889179999999996</c:v>
                </c:pt>
                <c:pt idx="708">
                  <c:v>91.875349999999997</c:v>
                </c:pt>
                <c:pt idx="709">
                  <c:v>91.856989999999996</c:v>
                </c:pt>
                <c:pt idx="710">
                  <c:v>91.826819999999998</c:v>
                </c:pt>
                <c:pt idx="711">
                  <c:v>91.810919999999996</c:v>
                </c:pt>
                <c:pt idx="712">
                  <c:v>91.81474</c:v>
                </c:pt>
                <c:pt idx="713">
                  <c:v>91.822819999999993</c:v>
                </c:pt>
                <c:pt idx="714">
                  <c:v>91.806939999999997</c:v>
                </c:pt>
                <c:pt idx="715">
                  <c:v>91.776820000000001</c:v>
                </c:pt>
                <c:pt idx="716">
                  <c:v>91.780839999999998</c:v>
                </c:pt>
                <c:pt idx="717">
                  <c:v>91.778729999999996</c:v>
                </c:pt>
                <c:pt idx="718">
                  <c:v>91.762829999999994</c:v>
                </c:pt>
                <c:pt idx="719">
                  <c:v>91.736689999999996</c:v>
                </c:pt>
                <c:pt idx="720">
                  <c:v>91.722659999999991</c:v>
                </c:pt>
                <c:pt idx="721">
                  <c:v>91.724779999999996</c:v>
                </c:pt>
                <c:pt idx="722">
                  <c:v>91.700400000000002</c:v>
                </c:pt>
                <c:pt idx="723">
                  <c:v>91.690449999999998</c:v>
                </c:pt>
                <c:pt idx="724">
                  <c:v>91.678439999999995</c:v>
                </c:pt>
                <c:pt idx="725">
                  <c:v>91.644179999999992</c:v>
                </c:pt>
                <c:pt idx="726">
                  <c:v>91.658450000000002</c:v>
                </c:pt>
                <c:pt idx="727">
                  <c:v>91.660339999999991</c:v>
                </c:pt>
                <c:pt idx="728">
                  <c:v>91.622249999999994</c:v>
                </c:pt>
                <c:pt idx="729">
                  <c:v>91.624249999999989</c:v>
                </c:pt>
                <c:pt idx="730">
                  <c:v>91.600269999999995</c:v>
                </c:pt>
                <c:pt idx="731">
                  <c:v>91.590220000000002</c:v>
                </c:pt>
                <c:pt idx="732">
                  <c:v>91.560180000000003</c:v>
                </c:pt>
                <c:pt idx="733">
                  <c:v>91.555949999999996</c:v>
                </c:pt>
                <c:pt idx="734">
                  <c:v>91.560009999999991</c:v>
                </c:pt>
                <c:pt idx="735">
                  <c:v>91.545999999999992</c:v>
                </c:pt>
                <c:pt idx="736">
                  <c:v>91.544209999999993</c:v>
                </c:pt>
                <c:pt idx="737">
                  <c:v>91.525970000000001</c:v>
                </c:pt>
                <c:pt idx="738">
                  <c:v>91.49978999999999</c:v>
                </c:pt>
                <c:pt idx="739">
                  <c:v>91.508049999999997</c:v>
                </c:pt>
                <c:pt idx="740">
                  <c:v>91.485879999999995</c:v>
                </c:pt>
                <c:pt idx="741">
                  <c:v>91.48778999999999</c:v>
                </c:pt>
                <c:pt idx="742">
                  <c:v>91.46</c:v>
                </c:pt>
                <c:pt idx="743">
                  <c:v>91.451669999999993</c:v>
                </c:pt>
                <c:pt idx="744">
                  <c:v>91.433669999999992</c:v>
                </c:pt>
                <c:pt idx="745">
                  <c:v>91.429649999999995</c:v>
                </c:pt>
                <c:pt idx="746">
                  <c:v>91.425659999999993</c:v>
                </c:pt>
                <c:pt idx="747">
                  <c:v>91.393679999999989</c:v>
                </c:pt>
                <c:pt idx="748">
                  <c:v>91.413439999999994</c:v>
                </c:pt>
                <c:pt idx="749">
                  <c:v>91.395579999999995</c:v>
                </c:pt>
                <c:pt idx="750">
                  <c:v>91.35544999999999</c:v>
                </c:pt>
                <c:pt idx="751">
                  <c:v>91.329449999999994</c:v>
                </c:pt>
                <c:pt idx="752">
                  <c:v>91.343400000000003</c:v>
                </c:pt>
                <c:pt idx="753">
                  <c:v>91.347609999999989</c:v>
                </c:pt>
                <c:pt idx="754">
                  <c:v>91.315249999999992</c:v>
                </c:pt>
                <c:pt idx="755">
                  <c:v>91.323449999999994</c:v>
                </c:pt>
                <c:pt idx="756">
                  <c:v>91.329499999999996</c:v>
                </c:pt>
                <c:pt idx="757">
                  <c:v>91.307479999999998</c:v>
                </c:pt>
                <c:pt idx="758">
                  <c:v>91.287279999999996</c:v>
                </c:pt>
                <c:pt idx="759">
                  <c:v>91.261240000000001</c:v>
                </c:pt>
                <c:pt idx="760">
                  <c:v>91.257069999999999</c:v>
                </c:pt>
                <c:pt idx="761">
                  <c:v>91.233139999999992</c:v>
                </c:pt>
                <c:pt idx="762">
                  <c:v>91.223029999999994</c:v>
                </c:pt>
                <c:pt idx="763">
                  <c:v>91.223029999999994</c:v>
                </c:pt>
                <c:pt idx="764">
                  <c:v>91.200859999999992</c:v>
                </c:pt>
                <c:pt idx="765">
                  <c:v>91.182899999999989</c:v>
                </c:pt>
                <c:pt idx="766">
                  <c:v>91.162949999999995</c:v>
                </c:pt>
                <c:pt idx="767">
                  <c:v>91.160789999999992</c:v>
                </c:pt>
                <c:pt idx="768">
                  <c:v>91.152959999999993</c:v>
                </c:pt>
                <c:pt idx="769">
                  <c:v>91.142789999999991</c:v>
                </c:pt>
                <c:pt idx="770">
                  <c:v>91.114679999999993</c:v>
                </c:pt>
                <c:pt idx="771">
                  <c:v>91.112639999999999</c:v>
                </c:pt>
                <c:pt idx="772">
                  <c:v>91.104680000000002</c:v>
                </c:pt>
                <c:pt idx="773">
                  <c:v>91.06859</c:v>
                </c:pt>
                <c:pt idx="774">
                  <c:v>91.082759999999993</c:v>
                </c:pt>
                <c:pt idx="775">
                  <c:v>91.082639999999998</c:v>
                </c:pt>
                <c:pt idx="776">
                  <c:v>91.062629999999999</c:v>
                </c:pt>
                <c:pt idx="777">
                  <c:v>91.062719999999999</c:v>
                </c:pt>
                <c:pt idx="778">
                  <c:v>91.044299999999993</c:v>
                </c:pt>
                <c:pt idx="779">
                  <c:v>91.022509999999997</c:v>
                </c:pt>
                <c:pt idx="780">
                  <c:v>91.016390000000001</c:v>
                </c:pt>
                <c:pt idx="781">
                  <c:v>91.008299999999991</c:v>
                </c:pt>
                <c:pt idx="782">
                  <c:v>90.982279999999989</c:v>
                </c:pt>
                <c:pt idx="783">
                  <c:v>90.982289999999992</c:v>
                </c:pt>
                <c:pt idx="784">
                  <c:v>90.972250000000003</c:v>
                </c:pt>
                <c:pt idx="785">
                  <c:v>90.958339999999993</c:v>
                </c:pt>
                <c:pt idx="786">
                  <c:v>90.950310000000002</c:v>
                </c:pt>
                <c:pt idx="787">
                  <c:v>90.954259999999991</c:v>
                </c:pt>
                <c:pt idx="788">
                  <c:v>90.940119999999993</c:v>
                </c:pt>
                <c:pt idx="789">
                  <c:v>90.927979999999991</c:v>
                </c:pt>
                <c:pt idx="790">
                  <c:v>90.926119999999997</c:v>
                </c:pt>
                <c:pt idx="791">
                  <c:v>90.918019999999999</c:v>
                </c:pt>
                <c:pt idx="792">
                  <c:v>90.89</c:v>
                </c:pt>
                <c:pt idx="793">
                  <c:v>90.885979999999989</c:v>
                </c:pt>
                <c:pt idx="794">
                  <c:v>90.863829999999993</c:v>
                </c:pt>
                <c:pt idx="795">
                  <c:v>90.867949999999993</c:v>
                </c:pt>
                <c:pt idx="796">
                  <c:v>90.870009999999994</c:v>
                </c:pt>
                <c:pt idx="797">
                  <c:v>90.847709999999992</c:v>
                </c:pt>
                <c:pt idx="798">
                  <c:v>90.829830000000001</c:v>
                </c:pt>
                <c:pt idx="799">
                  <c:v>90.819509999999994</c:v>
                </c:pt>
                <c:pt idx="800">
                  <c:v>90.801749999999998</c:v>
                </c:pt>
                <c:pt idx="801">
                  <c:v>90.795429999999996</c:v>
                </c:pt>
                <c:pt idx="802">
                  <c:v>90.813779999999994</c:v>
                </c:pt>
                <c:pt idx="803">
                  <c:v>90.775559999999999</c:v>
                </c:pt>
                <c:pt idx="804">
                  <c:v>90.755739999999989</c:v>
                </c:pt>
                <c:pt idx="805">
                  <c:v>90.75958</c:v>
                </c:pt>
                <c:pt idx="806">
                  <c:v>90.763469999999998</c:v>
                </c:pt>
                <c:pt idx="807">
                  <c:v>90.729339999999993</c:v>
                </c:pt>
                <c:pt idx="808">
                  <c:v>90.72735999999999</c:v>
                </c:pt>
                <c:pt idx="809">
                  <c:v>90.723590000000002</c:v>
                </c:pt>
                <c:pt idx="810">
                  <c:v>90.711190000000002</c:v>
                </c:pt>
                <c:pt idx="811">
                  <c:v>90.713399999999993</c:v>
                </c:pt>
                <c:pt idx="812">
                  <c:v>90.685389999999998</c:v>
                </c:pt>
                <c:pt idx="813">
                  <c:v>90.691400000000002</c:v>
                </c:pt>
                <c:pt idx="814">
                  <c:v>90.701359999999994</c:v>
                </c:pt>
                <c:pt idx="815">
                  <c:v>90.709299999999999</c:v>
                </c:pt>
                <c:pt idx="816">
                  <c:v>90.66543999999999</c:v>
                </c:pt>
                <c:pt idx="817">
                  <c:v>90.629289999999997</c:v>
                </c:pt>
                <c:pt idx="818">
                  <c:v>90.631169999999997</c:v>
                </c:pt>
                <c:pt idx="819">
                  <c:v>90.657339999999991</c:v>
                </c:pt>
                <c:pt idx="820">
                  <c:v>90.625149999999991</c:v>
                </c:pt>
                <c:pt idx="821">
                  <c:v>90.611039999999988</c:v>
                </c:pt>
                <c:pt idx="822">
                  <c:v>90.597279999999998</c:v>
                </c:pt>
                <c:pt idx="823">
                  <c:v>90.587620000000001</c:v>
                </c:pt>
                <c:pt idx="824">
                  <c:v>90.587159999999997</c:v>
                </c:pt>
                <c:pt idx="825">
                  <c:v>90.599049999999991</c:v>
                </c:pt>
                <c:pt idx="826">
                  <c:v>90.613329999999991</c:v>
                </c:pt>
                <c:pt idx="827">
                  <c:v>90.583059999999989</c:v>
                </c:pt>
                <c:pt idx="828">
                  <c:v>90.574759999999998</c:v>
                </c:pt>
                <c:pt idx="829">
                  <c:v>90.53895</c:v>
                </c:pt>
                <c:pt idx="830">
                  <c:v>90.53479999999999</c:v>
                </c:pt>
                <c:pt idx="831">
                  <c:v>90.544959999999989</c:v>
                </c:pt>
                <c:pt idx="832">
                  <c:v>90.52476999999999</c:v>
                </c:pt>
                <c:pt idx="833">
                  <c:v>90.510919999999999</c:v>
                </c:pt>
                <c:pt idx="834">
                  <c:v>90.512630000000001</c:v>
                </c:pt>
                <c:pt idx="835">
                  <c:v>90.480719999999991</c:v>
                </c:pt>
                <c:pt idx="836">
                  <c:v>90.474699999999999</c:v>
                </c:pt>
                <c:pt idx="837">
                  <c:v>90.46459999999999</c:v>
                </c:pt>
                <c:pt idx="838">
                  <c:v>90.450729999999993</c:v>
                </c:pt>
                <c:pt idx="839">
                  <c:v>90.440609999999992</c:v>
                </c:pt>
                <c:pt idx="840">
                  <c:v>90.448549999999997</c:v>
                </c:pt>
                <c:pt idx="841">
                  <c:v>90.426490000000001</c:v>
                </c:pt>
                <c:pt idx="842">
                  <c:v>90.380119999999991</c:v>
                </c:pt>
                <c:pt idx="843">
                  <c:v>90.376319999999993</c:v>
                </c:pt>
                <c:pt idx="844">
                  <c:v>90.380299999999991</c:v>
                </c:pt>
                <c:pt idx="845">
                  <c:v>90.362479999999991</c:v>
                </c:pt>
                <c:pt idx="846">
                  <c:v>90.360299999999995</c:v>
                </c:pt>
                <c:pt idx="847">
                  <c:v>90.338250000000002</c:v>
                </c:pt>
                <c:pt idx="848">
                  <c:v>90.330249999999992</c:v>
                </c:pt>
                <c:pt idx="849">
                  <c:v>90.33023</c:v>
                </c:pt>
                <c:pt idx="850">
                  <c:v>90.30601999999999</c:v>
                </c:pt>
                <c:pt idx="851">
                  <c:v>90.32423</c:v>
                </c:pt>
                <c:pt idx="852">
                  <c:v>90.296099999999996</c:v>
                </c:pt>
                <c:pt idx="853">
                  <c:v>90.302109999999999</c:v>
                </c:pt>
                <c:pt idx="854">
                  <c:v>90.306129999999996</c:v>
                </c:pt>
                <c:pt idx="855">
                  <c:v>90.28425</c:v>
                </c:pt>
                <c:pt idx="856">
                  <c:v>90.294109999999989</c:v>
                </c:pt>
                <c:pt idx="857">
                  <c:v>90.268019999999993</c:v>
                </c:pt>
                <c:pt idx="858">
                  <c:v>90.282219999999995</c:v>
                </c:pt>
                <c:pt idx="859">
                  <c:v>90.260059999999996</c:v>
                </c:pt>
                <c:pt idx="860">
                  <c:v>90.249849999999995</c:v>
                </c:pt>
                <c:pt idx="861">
                  <c:v>90.248089999999991</c:v>
                </c:pt>
                <c:pt idx="862">
                  <c:v>90.241879999999995</c:v>
                </c:pt>
                <c:pt idx="863">
                  <c:v>90.203779999999995</c:v>
                </c:pt>
                <c:pt idx="864">
                  <c:v>90.219939999999994</c:v>
                </c:pt>
                <c:pt idx="865">
                  <c:v>90.195740000000001</c:v>
                </c:pt>
                <c:pt idx="866">
                  <c:v>90.187759999999997</c:v>
                </c:pt>
                <c:pt idx="867">
                  <c:v>90.181640000000002</c:v>
                </c:pt>
                <c:pt idx="868">
                  <c:v>90.169659999999993</c:v>
                </c:pt>
                <c:pt idx="869">
                  <c:v>90.143559999999994</c:v>
                </c:pt>
                <c:pt idx="870">
                  <c:v>90.145519999999991</c:v>
                </c:pt>
                <c:pt idx="871">
                  <c:v>90.133649999999989</c:v>
                </c:pt>
                <c:pt idx="872">
                  <c:v>90.113579999999999</c:v>
                </c:pt>
                <c:pt idx="873">
                  <c:v>90.113680000000002</c:v>
                </c:pt>
                <c:pt idx="874">
                  <c:v>90.099519999999998</c:v>
                </c:pt>
                <c:pt idx="875">
                  <c:v>90.119749999999996</c:v>
                </c:pt>
                <c:pt idx="876">
                  <c:v>90.10150999999999</c:v>
                </c:pt>
                <c:pt idx="877">
                  <c:v>90.097459999999998</c:v>
                </c:pt>
                <c:pt idx="878">
                  <c:v>90.079359999999994</c:v>
                </c:pt>
                <c:pt idx="879">
                  <c:v>90.081400000000002</c:v>
                </c:pt>
                <c:pt idx="880">
                  <c:v>90.059280000000001</c:v>
                </c:pt>
                <c:pt idx="881">
                  <c:v>90.041289999999989</c:v>
                </c:pt>
                <c:pt idx="882">
                  <c:v>90.045419999999993</c:v>
                </c:pt>
                <c:pt idx="883">
                  <c:v>90.029330000000002</c:v>
                </c:pt>
                <c:pt idx="884">
                  <c:v>90.021109999999993</c:v>
                </c:pt>
                <c:pt idx="885">
                  <c:v>90.007300000000001</c:v>
                </c:pt>
                <c:pt idx="886">
                  <c:v>90.007189999999994</c:v>
                </c:pt>
                <c:pt idx="887">
                  <c:v>89.977170000000001</c:v>
                </c:pt>
                <c:pt idx="888">
                  <c:v>89.95926</c:v>
                </c:pt>
                <c:pt idx="889">
                  <c:v>89.96920999999999</c:v>
                </c:pt>
                <c:pt idx="890">
                  <c:v>89.969089999999994</c:v>
                </c:pt>
                <c:pt idx="891">
                  <c:v>89.973119999999994</c:v>
                </c:pt>
                <c:pt idx="892">
                  <c:v>89.963209999999989</c:v>
                </c:pt>
                <c:pt idx="893">
                  <c:v>89.928979999999996</c:v>
                </c:pt>
                <c:pt idx="894">
                  <c:v>89.949059999999989</c:v>
                </c:pt>
                <c:pt idx="895">
                  <c:v>89.935040000000001</c:v>
                </c:pt>
                <c:pt idx="896">
                  <c:v>89.924849999999992</c:v>
                </c:pt>
                <c:pt idx="897">
                  <c:v>89.939030000000002</c:v>
                </c:pt>
                <c:pt idx="898">
                  <c:v>89.912989999999994</c:v>
                </c:pt>
                <c:pt idx="899">
                  <c:v>89.918959999999998</c:v>
                </c:pt>
                <c:pt idx="900">
                  <c:v>89.897069999999999</c:v>
                </c:pt>
                <c:pt idx="901">
                  <c:v>89.890630000000002</c:v>
                </c:pt>
                <c:pt idx="902">
                  <c:v>89.864660000000001</c:v>
                </c:pt>
                <c:pt idx="903">
                  <c:v>89.874749999999992</c:v>
                </c:pt>
                <c:pt idx="904">
                  <c:v>89.848709999999997</c:v>
                </c:pt>
                <c:pt idx="905">
                  <c:v>89.852739999999997</c:v>
                </c:pt>
                <c:pt idx="906">
                  <c:v>89.838560000000001</c:v>
                </c:pt>
                <c:pt idx="907">
                  <c:v>89.820740000000001</c:v>
                </c:pt>
                <c:pt idx="908">
                  <c:v>89.820610000000002</c:v>
                </c:pt>
                <c:pt idx="909">
                  <c:v>89.822670000000002</c:v>
                </c:pt>
                <c:pt idx="910">
                  <c:v>89.812629999999999</c:v>
                </c:pt>
                <c:pt idx="911">
                  <c:v>89.786450000000002</c:v>
                </c:pt>
                <c:pt idx="912">
                  <c:v>89.798789999999997</c:v>
                </c:pt>
                <c:pt idx="913">
                  <c:v>89.774459999999991</c:v>
                </c:pt>
                <c:pt idx="914">
                  <c:v>89.778539999999992</c:v>
                </c:pt>
                <c:pt idx="915">
                  <c:v>89.766359999999992</c:v>
                </c:pt>
                <c:pt idx="916">
                  <c:v>89.754390000000001</c:v>
                </c:pt>
                <c:pt idx="917">
                  <c:v>89.744590000000002</c:v>
                </c:pt>
                <c:pt idx="918">
                  <c:v>89.748369999999994</c:v>
                </c:pt>
                <c:pt idx="919">
                  <c:v>89.728399999999993</c:v>
                </c:pt>
                <c:pt idx="920">
                  <c:v>89.722279999999998</c:v>
                </c:pt>
                <c:pt idx="921">
                  <c:v>89.72448</c:v>
                </c:pt>
                <c:pt idx="922">
                  <c:v>89.698359999999994</c:v>
                </c:pt>
                <c:pt idx="923">
                  <c:v>89.678249999999991</c:v>
                </c:pt>
                <c:pt idx="924">
                  <c:v>89.698119999999989</c:v>
                </c:pt>
                <c:pt idx="925">
                  <c:v>89.682239999999993</c:v>
                </c:pt>
                <c:pt idx="926">
                  <c:v>89.680179999999993</c:v>
                </c:pt>
                <c:pt idx="927">
                  <c:v>89.672229999999999</c:v>
                </c:pt>
                <c:pt idx="928">
                  <c:v>89.660150000000002</c:v>
                </c:pt>
                <c:pt idx="929">
                  <c:v>89.658189999999991</c:v>
                </c:pt>
                <c:pt idx="930">
                  <c:v>89.662179999999992</c:v>
                </c:pt>
                <c:pt idx="931">
                  <c:v>89.6601</c:v>
                </c:pt>
                <c:pt idx="932">
                  <c:v>89.63391</c:v>
                </c:pt>
                <c:pt idx="933">
                  <c:v>89.628009999999989</c:v>
                </c:pt>
                <c:pt idx="934">
                  <c:v>89.611980000000003</c:v>
                </c:pt>
                <c:pt idx="935">
                  <c:v>89.607969999999995</c:v>
                </c:pt>
                <c:pt idx="936">
                  <c:v>89.606070000000003</c:v>
                </c:pt>
                <c:pt idx="937">
                  <c:v>89.589879999999994</c:v>
                </c:pt>
                <c:pt idx="938">
                  <c:v>89.594059999999999</c:v>
                </c:pt>
                <c:pt idx="939">
                  <c:v>89.57580999999999</c:v>
                </c:pt>
                <c:pt idx="940">
                  <c:v>89.56586999999999</c:v>
                </c:pt>
                <c:pt idx="941">
                  <c:v>89.537559999999999</c:v>
                </c:pt>
                <c:pt idx="942">
                  <c:v>89.533709999999999</c:v>
                </c:pt>
                <c:pt idx="943">
                  <c:v>89.533479999999997</c:v>
                </c:pt>
                <c:pt idx="944">
                  <c:v>89.529640000000001</c:v>
                </c:pt>
                <c:pt idx="945">
                  <c:v>89.489800000000002</c:v>
                </c:pt>
                <c:pt idx="946">
                  <c:v>89.485569999999996</c:v>
                </c:pt>
                <c:pt idx="947">
                  <c:v>89.50766999999999</c:v>
                </c:pt>
                <c:pt idx="948">
                  <c:v>89.49763999999999</c:v>
                </c:pt>
                <c:pt idx="949">
                  <c:v>89.483639999999994</c:v>
                </c:pt>
                <c:pt idx="950">
                  <c:v>89.467569999999995</c:v>
                </c:pt>
                <c:pt idx="951">
                  <c:v>89.493629999999996</c:v>
                </c:pt>
                <c:pt idx="952">
                  <c:v>89.499759999999995</c:v>
                </c:pt>
                <c:pt idx="953">
                  <c:v>89.449379999999991</c:v>
                </c:pt>
                <c:pt idx="954">
                  <c:v>89.439499999999995</c:v>
                </c:pt>
                <c:pt idx="955">
                  <c:v>89.461539999999999</c:v>
                </c:pt>
                <c:pt idx="956">
                  <c:v>89.439539999999994</c:v>
                </c:pt>
                <c:pt idx="957">
                  <c:v>89.435429999999997</c:v>
                </c:pt>
                <c:pt idx="958">
                  <c:v>89.429239999999993</c:v>
                </c:pt>
                <c:pt idx="959">
                  <c:v>89.427399999999992</c:v>
                </c:pt>
                <c:pt idx="960">
                  <c:v>89.397149999999996</c:v>
                </c:pt>
                <c:pt idx="961">
                  <c:v>89.389420000000001</c:v>
                </c:pt>
                <c:pt idx="962">
                  <c:v>89.379300000000001</c:v>
                </c:pt>
                <c:pt idx="963">
                  <c:v>89.381209999999996</c:v>
                </c:pt>
                <c:pt idx="964">
                  <c:v>89.367049999999992</c:v>
                </c:pt>
                <c:pt idx="965">
                  <c:v>89.351339999999993</c:v>
                </c:pt>
                <c:pt idx="966">
                  <c:v>89.357339999999994</c:v>
                </c:pt>
                <c:pt idx="967">
                  <c:v>89.343109999999996</c:v>
                </c:pt>
                <c:pt idx="968">
                  <c:v>89.319009999999992</c:v>
                </c:pt>
                <c:pt idx="969">
                  <c:v>89.307090000000002</c:v>
                </c:pt>
                <c:pt idx="970">
                  <c:v>89.296849999999992</c:v>
                </c:pt>
                <c:pt idx="971">
                  <c:v>89.313090000000003</c:v>
                </c:pt>
                <c:pt idx="972">
                  <c:v>89.297029999999992</c:v>
                </c:pt>
                <c:pt idx="973">
                  <c:v>89.311049999999994</c:v>
                </c:pt>
                <c:pt idx="974">
                  <c:v>89.301029999999997</c:v>
                </c:pt>
                <c:pt idx="975">
                  <c:v>89.276859999999999</c:v>
                </c:pt>
                <c:pt idx="976">
                  <c:v>89.293059999999997</c:v>
                </c:pt>
                <c:pt idx="977">
                  <c:v>89.256789999999995</c:v>
                </c:pt>
                <c:pt idx="978">
                  <c:v>89.236829999999998</c:v>
                </c:pt>
                <c:pt idx="979">
                  <c:v>89.24682</c:v>
                </c:pt>
                <c:pt idx="980">
                  <c:v>89.242889999999989</c:v>
                </c:pt>
                <c:pt idx="981">
                  <c:v>89.222839999999991</c:v>
                </c:pt>
                <c:pt idx="982">
                  <c:v>89.21665999999999</c:v>
                </c:pt>
                <c:pt idx="983">
                  <c:v>89.200829999999996</c:v>
                </c:pt>
                <c:pt idx="984">
                  <c:v>89.194749999999999</c:v>
                </c:pt>
                <c:pt idx="985">
                  <c:v>89.196829999999991</c:v>
                </c:pt>
                <c:pt idx="986">
                  <c:v>89.188659999999999</c:v>
                </c:pt>
                <c:pt idx="987">
                  <c:v>89.176459999999992</c:v>
                </c:pt>
                <c:pt idx="988">
                  <c:v>89.178779999999989</c:v>
                </c:pt>
                <c:pt idx="989">
                  <c:v>89.166640000000001</c:v>
                </c:pt>
                <c:pt idx="990">
                  <c:v>89.160569999999993</c:v>
                </c:pt>
                <c:pt idx="991">
                  <c:v>89.140589999999989</c:v>
                </c:pt>
                <c:pt idx="992">
                  <c:v>89.154589999999999</c:v>
                </c:pt>
                <c:pt idx="993">
                  <c:v>89.140599999999992</c:v>
                </c:pt>
                <c:pt idx="994">
                  <c:v>89.138359999999992</c:v>
                </c:pt>
                <c:pt idx="995">
                  <c:v>89.13848999999999</c:v>
                </c:pt>
                <c:pt idx="996">
                  <c:v>89.140270000000001</c:v>
                </c:pt>
                <c:pt idx="997">
                  <c:v>89.106359999999995</c:v>
                </c:pt>
                <c:pt idx="998">
                  <c:v>89.080199999999991</c:v>
                </c:pt>
                <c:pt idx="999">
                  <c:v>89.084239999999994</c:v>
                </c:pt>
                <c:pt idx="1000">
                  <c:v>89.086299999999994</c:v>
                </c:pt>
                <c:pt idx="1001">
                  <c:v>89.080469999999991</c:v>
                </c:pt>
                <c:pt idx="1002">
                  <c:v>89.066419999999994</c:v>
                </c:pt>
                <c:pt idx="1003">
                  <c:v>89.068389999999994</c:v>
                </c:pt>
                <c:pt idx="1004">
                  <c:v>89.066279999999992</c:v>
                </c:pt>
                <c:pt idx="1005">
                  <c:v>89.064340000000001</c:v>
                </c:pt>
                <c:pt idx="1006">
                  <c:v>89.058149999999998</c:v>
                </c:pt>
                <c:pt idx="1007">
                  <c:v>89.052199999999999</c:v>
                </c:pt>
                <c:pt idx="1008">
                  <c:v>89.028210000000001</c:v>
                </c:pt>
                <c:pt idx="1009">
                  <c:v>89.030079999999998</c:v>
                </c:pt>
                <c:pt idx="1010">
                  <c:v>89.010199999999998</c:v>
                </c:pt>
                <c:pt idx="1011">
                  <c:v>89.002249999999989</c:v>
                </c:pt>
                <c:pt idx="1012">
                  <c:v>88.994149999999991</c:v>
                </c:pt>
                <c:pt idx="1013">
                  <c:v>88.972070000000002</c:v>
                </c:pt>
                <c:pt idx="1014">
                  <c:v>88.959919999999997</c:v>
                </c:pt>
                <c:pt idx="1015">
                  <c:v>88.957909999999998</c:v>
                </c:pt>
                <c:pt idx="1016">
                  <c:v>88.95393</c:v>
                </c:pt>
                <c:pt idx="1017">
                  <c:v>88.94798999999999</c:v>
                </c:pt>
                <c:pt idx="1018">
                  <c:v>88.944009999999992</c:v>
                </c:pt>
                <c:pt idx="1019">
                  <c:v>88.941869999999994</c:v>
                </c:pt>
                <c:pt idx="1020">
                  <c:v>88.960489999999993</c:v>
                </c:pt>
                <c:pt idx="1021">
                  <c:v>88.90791999999999</c:v>
                </c:pt>
                <c:pt idx="1022">
                  <c:v>88.921779999999998</c:v>
                </c:pt>
                <c:pt idx="1023">
                  <c:v>88.88561</c:v>
                </c:pt>
                <c:pt idx="1024">
                  <c:v>88.903739999999999</c:v>
                </c:pt>
                <c:pt idx="1025">
                  <c:v>88.89376</c:v>
                </c:pt>
                <c:pt idx="1026">
                  <c:v>88.889719999999997</c:v>
                </c:pt>
                <c:pt idx="1027">
                  <c:v>88.859729999999999</c:v>
                </c:pt>
                <c:pt idx="1028">
                  <c:v>88.869680000000002</c:v>
                </c:pt>
                <c:pt idx="1029">
                  <c:v>88.863630000000001</c:v>
                </c:pt>
                <c:pt idx="1030">
                  <c:v>88.826049999999995</c:v>
                </c:pt>
                <c:pt idx="1031">
                  <c:v>88.837490000000003</c:v>
                </c:pt>
                <c:pt idx="1032">
                  <c:v>88.833649999999992</c:v>
                </c:pt>
                <c:pt idx="1033">
                  <c:v>88.823509999999999</c:v>
                </c:pt>
                <c:pt idx="1034">
                  <c:v>88.819499999999991</c:v>
                </c:pt>
                <c:pt idx="1035">
                  <c:v>88.807419999999993</c:v>
                </c:pt>
                <c:pt idx="1036">
                  <c:v>88.795279999999991</c:v>
                </c:pt>
                <c:pt idx="1037">
                  <c:v>88.805479999999989</c:v>
                </c:pt>
                <c:pt idx="1038">
                  <c:v>88.777540000000002</c:v>
                </c:pt>
                <c:pt idx="1039">
                  <c:v>88.777439999999999</c:v>
                </c:pt>
                <c:pt idx="1040">
                  <c:v>88.763439999999989</c:v>
                </c:pt>
                <c:pt idx="1041">
                  <c:v>88.751379999999997</c:v>
                </c:pt>
                <c:pt idx="1042">
                  <c:v>88.759419999999992</c:v>
                </c:pt>
                <c:pt idx="1043">
                  <c:v>88.741339999999994</c:v>
                </c:pt>
                <c:pt idx="1044">
                  <c:v>88.747309999999999</c:v>
                </c:pt>
                <c:pt idx="1045">
                  <c:v>88.721399999999988</c:v>
                </c:pt>
                <c:pt idx="1046">
                  <c:v>88.723339999999993</c:v>
                </c:pt>
                <c:pt idx="1047">
                  <c:v>88.713189999999997</c:v>
                </c:pt>
                <c:pt idx="1048">
                  <c:v>88.713349999999991</c:v>
                </c:pt>
                <c:pt idx="1049">
                  <c:v>88.703069999999997</c:v>
                </c:pt>
                <c:pt idx="1050">
                  <c:v>88.69717</c:v>
                </c:pt>
                <c:pt idx="1051">
                  <c:v>88.699389999999994</c:v>
                </c:pt>
                <c:pt idx="1052">
                  <c:v>88.699149999999989</c:v>
                </c:pt>
                <c:pt idx="1053">
                  <c:v>88.693119999999993</c:v>
                </c:pt>
                <c:pt idx="1054">
                  <c:v>88.653030000000001</c:v>
                </c:pt>
                <c:pt idx="1055">
                  <c:v>88.660879999999992</c:v>
                </c:pt>
                <c:pt idx="1056">
                  <c:v>88.624859999999998</c:v>
                </c:pt>
                <c:pt idx="1057">
                  <c:v>88.620750000000001</c:v>
                </c:pt>
                <c:pt idx="1058">
                  <c:v>88.614879999999999</c:v>
                </c:pt>
                <c:pt idx="1059">
                  <c:v>88.608919999999998</c:v>
                </c:pt>
                <c:pt idx="1060">
                  <c:v>88.602849999999989</c:v>
                </c:pt>
                <c:pt idx="1061">
                  <c:v>88.592879999999994</c:v>
                </c:pt>
                <c:pt idx="1062">
                  <c:v>88.596969999999999</c:v>
                </c:pt>
                <c:pt idx="1063">
                  <c:v>88.572699999999998</c:v>
                </c:pt>
                <c:pt idx="1064">
                  <c:v>88.576819999999998</c:v>
                </c:pt>
                <c:pt idx="1065">
                  <c:v>88.550809999999998</c:v>
                </c:pt>
                <c:pt idx="1066">
                  <c:v>88.550789999999992</c:v>
                </c:pt>
                <c:pt idx="1067">
                  <c:v>88.540859999999995</c:v>
                </c:pt>
                <c:pt idx="1068">
                  <c:v>88.526429999999991</c:v>
                </c:pt>
                <c:pt idx="1069">
                  <c:v>88.522759999999991</c:v>
                </c:pt>
                <c:pt idx="1070">
                  <c:v>88.522449999999992</c:v>
                </c:pt>
                <c:pt idx="1071">
                  <c:v>88.502629999999996</c:v>
                </c:pt>
                <c:pt idx="1072">
                  <c:v>88.506529999999998</c:v>
                </c:pt>
                <c:pt idx="1073">
                  <c:v>88.470359999999999</c:v>
                </c:pt>
                <c:pt idx="1074">
                  <c:v>88.480429999999998</c:v>
                </c:pt>
                <c:pt idx="1075">
                  <c:v>88.482410000000002</c:v>
                </c:pt>
                <c:pt idx="1076">
                  <c:v>88.46056999999999</c:v>
                </c:pt>
                <c:pt idx="1077">
                  <c:v>88.460560000000001</c:v>
                </c:pt>
                <c:pt idx="1078">
                  <c:v>88.460489999999993</c:v>
                </c:pt>
                <c:pt idx="1079">
                  <c:v>88.462319999999991</c:v>
                </c:pt>
                <c:pt idx="1080">
                  <c:v>88.440179999999998</c:v>
                </c:pt>
                <c:pt idx="1081">
                  <c:v>88.422219999999996</c:v>
                </c:pt>
                <c:pt idx="1082">
                  <c:v>88.428429999999992</c:v>
                </c:pt>
                <c:pt idx="1083">
                  <c:v>88.432339999999996</c:v>
                </c:pt>
                <c:pt idx="1084">
                  <c:v>88.416240000000002</c:v>
                </c:pt>
                <c:pt idx="1085">
                  <c:v>88.426059999999993</c:v>
                </c:pt>
                <c:pt idx="1086">
                  <c:v>88.388319999999993</c:v>
                </c:pt>
                <c:pt idx="1087">
                  <c:v>88.380380000000002</c:v>
                </c:pt>
                <c:pt idx="1088">
                  <c:v>88.378149999999991</c:v>
                </c:pt>
                <c:pt idx="1089">
                  <c:v>88.372189999999989</c:v>
                </c:pt>
                <c:pt idx="1090">
                  <c:v>88.36999999999999</c:v>
                </c:pt>
                <c:pt idx="1091">
                  <c:v>88.35821</c:v>
                </c:pt>
                <c:pt idx="1092">
                  <c:v>88.350049999999996</c:v>
                </c:pt>
                <c:pt idx="1093">
                  <c:v>88.33583999999999</c:v>
                </c:pt>
                <c:pt idx="1094">
                  <c:v>88.33386999999999</c:v>
                </c:pt>
                <c:pt idx="1095">
                  <c:v>88.327969999999993</c:v>
                </c:pt>
                <c:pt idx="1096">
                  <c:v>88.330129999999997</c:v>
                </c:pt>
                <c:pt idx="1097">
                  <c:v>88.314109999999999</c:v>
                </c:pt>
                <c:pt idx="1098">
                  <c:v>88.32419999999999</c:v>
                </c:pt>
                <c:pt idx="1099">
                  <c:v>88.295760000000001</c:v>
                </c:pt>
                <c:pt idx="1100">
                  <c:v>88.28586</c:v>
                </c:pt>
                <c:pt idx="1101">
                  <c:v>88.275859999999994</c:v>
                </c:pt>
                <c:pt idx="1102">
                  <c:v>88.281750000000002</c:v>
                </c:pt>
                <c:pt idx="1103">
                  <c:v>88.273899999999998</c:v>
                </c:pt>
                <c:pt idx="1104">
                  <c:v>88.269629999999992</c:v>
                </c:pt>
                <c:pt idx="1105">
                  <c:v>88.257719999999992</c:v>
                </c:pt>
                <c:pt idx="1106">
                  <c:v>88.227710000000002</c:v>
                </c:pt>
                <c:pt idx="1107">
                  <c:v>88.215599999999995</c:v>
                </c:pt>
                <c:pt idx="1108">
                  <c:v>88.223479999999995</c:v>
                </c:pt>
                <c:pt idx="1109">
                  <c:v>88.199309999999997</c:v>
                </c:pt>
                <c:pt idx="1110">
                  <c:v>88.201589999999996</c:v>
                </c:pt>
                <c:pt idx="1111">
                  <c:v>88.211550000000003</c:v>
                </c:pt>
                <c:pt idx="1112">
                  <c:v>88.205529999999996</c:v>
                </c:pt>
                <c:pt idx="1113">
                  <c:v>88.173569999999998</c:v>
                </c:pt>
                <c:pt idx="1114">
                  <c:v>88.15137</c:v>
                </c:pt>
                <c:pt idx="1115">
                  <c:v>88.16328</c:v>
                </c:pt>
                <c:pt idx="1116">
                  <c:v>88.159549999999996</c:v>
                </c:pt>
                <c:pt idx="1117">
                  <c:v>88.155409999999989</c:v>
                </c:pt>
                <c:pt idx="1118">
                  <c:v>88.141390000000001</c:v>
                </c:pt>
                <c:pt idx="1119">
                  <c:v>88.143169999999998</c:v>
                </c:pt>
                <c:pt idx="1120">
                  <c:v>88.143349999999998</c:v>
                </c:pt>
                <c:pt idx="1121">
                  <c:v>88.111279999999994</c:v>
                </c:pt>
                <c:pt idx="1122">
                  <c:v>88.109409999999997</c:v>
                </c:pt>
                <c:pt idx="1123">
                  <c:v>88.091309999999993</c:v>
                </c:pt>
                <c:pt idx="1124">
                  <c:v>88.093319999999991</c:v>
                </c:pt>
                <c:pt idx="1125">
                  <c:v>88.089249999999993</c:v>
                </c:pt>
                <c:pt idx="1126">
                  <c:v>88.079340000000002</c:v>
                </c:pt>
                <c:pt idx="1127">
                  <c:v>88.065179999999998</c:v>
                </c:pt>
                <c:pt idx="1128">
                  <c:v>88.085219999999993</c:v>
                </c:pt>
                <c:pt idx="1129">
                  <c:v>88.061160000000001</c:v>
                </c:pt>
                <c:pt idx="1130">
                  <c:v>88.067139999999995</c:v>
                </c:pt>
                <c:pt idx="1131">
                  <c:v>88.039139999999989</c:v>
                </c:pt>
                <c:pt idx="1132">
                  <c:v>88.037149999999997</c:v>
                </c:pt>
                <c:pt idx="1133">
                  <c:v>88.037120000000002</c:v>
                </c:pt>
                <c:pt idx="1134">
                  <c:v>88.015109999999993</c:v>
                </c:pt>
                <c:pt idx="1135">
                  <c:v>88.014929999999993</c:v>
                </c:pt>
                <c:pt idx="1136">
                  <c:v>88.018919999999994</c:v>
                </c:pt>
                <c:pt idx="1137">
                  <c:v>87.994799999999998</c:v>
                </c:pt>
                <c:pt idx="1138">
                  <c:v>87.978859999999997</c:v>
                </c:pt>
                <c:pt idx="1139">
                  <c:v>87.970869999999991</c:v>
                </c:pt>
                <c:pt idx="1140">
                  <c:v>87.972729999999999</c:v>
                </c:pt>
                <c:pt idx="1141">
                  <c:v>87.972929999999991</c:v>
                </c:pt>
                <c:pt idx="1142">
                  <c:v>87.972909999999999</c:v>
                </c:pt>
                <c:pt idx="1143">
                  <c:v>87.960769999999997</c:v>
                </c:pt>
                <c:pt idx="1144">
                  <c:v>87.940629999999999</c:v>
                </c:pt>
                <c:pt idx="1145">
                  <c:v>87.920779999999993</c:v>
                </c:pt>
                <c:pt idx="1146">
                  <c:v>87.922779999999989</c:v>
                </c:pt>
                <c:pt idx="1147">
                  <c:v>87.902739999999994</c:v>
                </c:pt>
                <c:pt idx="1148">
                  <c:v>87.906859999999995</c:v>
                </c:pt>
                <c:pt idx="1149">
                  <c:v>87.884529999999998</c:v>
                </c:pt>
                <c:pt idx="1150">
                  <c:v>87.884540000000001</c:v>
                </c:pt>
                <c:pt idx="1151">
                  <c:v>87.862579999999994</c:v>
                </c:pt>
                <c:pt idx="1152">
                  <c:v>87.850449999999995</c:v>
                </c:pt>
                <c:pt idx="1153">
                  <c:v>87.866680000000002</c:v>
                </c:pt>
                <c:pt idx="1154">
                  <c:v>87.830410000000001</c:v>
                </c:pt>
                <c:pt idx="1155">
                  <c:v>87.834220000000002</c:v>
                </c:pt>
                <c:pt idx="1156">
                  <c:v>87.836550000000003</c:v>
                </c:pt>
                <c:pt idx="1157">
                  <c:v>87.816189999999992</c:v>
                </c:pt>
                <c:pt idx="1158">
                  <c:v>87.822479999999999</c:v>
                </c:pt>
                <c:pt idx="1159">
                  <c:v>87.830419999999989</c:v>
                </c:pt>
                <c:pt idx="1160">
                  <c:v>87.808309999999992</c:v>
                </c:pt>
                <c:pt idx="1161">
                  <c:v>87.796319999999994</c:v>
                </c:pt>
                <c:pt idx="1162">
                  <c:v>87.802419999999998</c:v>
                </c:pt>
                <c:pt idx="1163">
                  <c:v>87.778229999999994</c:v>
                </c:pt>
                <c:pt idx="1164">
                  <c:v>87.768319999999989</c:v>
                </c:pt>
                <c:pt idx="1165">
                  <c:v>87.744239999999991</c:v>
                </c:pt>
                <c:pt idx="1166">
                  <c:v>87.744209999999995</c:v>
                </c:pt>
                <c:pt idx="1167">
                  <c:v>87.738159999999993</c:v>
                </c:pt>
                <c:pt idx="1168">
                  <c:v>87.730009999999993</c:v>
                </c:pt>
                <c:pt idx="1169">
                  <c:v>87.722139999999996</c:v>
                </c:pt>
                <c:pt idx="1170">
                  <c:v>87.726219999999998</c:v>
                </c:pt>
                <c:pt idx="1171">
                  <c:v>87.71996</c:v>
                </c:pt>
                <c:pt idx="1172">
                  <c:v>87.70210999999999</c:v>
                </c:pt>
                <c:pt idx="1173">
                  <c:v>87.70196</c:v>
                </c:pt>
                <c:pt idx="1174">
                  <c:v>87.702129999999997</c:v>
                </c:pt>
                <c:pt idx="1175">
                  <c:v>87.69601999999999</c:v>
                </c:pt>
                <c:pt idx="1176">
                  <c:v>87.655900000000003</c:v>
                </c:pt>
                <c:pt idx="1177">
                  <c:v>87.663910000000001</c:v>
                </c:pt>
                <c:pt idx="1178">
                  <c:v>87.65791999999999</c:v>
                </c:pt>
                <c:pt idx="1179">
                  <c:v>87.645899999999997</c:v>
                </c:pt>
                <c:pt idx="1180">
                  <c:v>87.647949999999994</c:v>
                </c:pt>
                <c:pt idx="1181">
                  <c:v>87.623609999999999</c:v>
                </c:pt>
                <c:pt idx="1182">
                  <c:v>87.629689999999997</c:v>
                </c:pt>
                <c:pt idx="1183">
                  <c:v>87.631839999999997</c:v>
                </c:pt>
                <c:pt idx="1184">
                  <c:v>87.601410000000001</c:v>
                </c:pt>
                <c:pt idx="1185">
                  <c:v>87.603729999999999</c:v>
                </c:pt>
                <c:pt idx="1186">
                  <c:v>87.591969999999989</c:v>
                </c:pt>
                <c:pt idx="1187">
                  <c:v>87.593710000000002</c:v>
                </c:pt>
                <c:pt idx="1188">
                  <c:v>87.573619999999991</c:v>
                </c:pt>
                <c:pt idx="1189">
                  <c:v>87.561569999999989</c:v>
                </c:pt>
                <c:pt idx="1190">
                  <c:v>87.547609999999992</c:v>
                </c:pt>
                <c:pt idx="1191">
                  <c:v>87.565629999999999</c:v>
                </c:pt>
                <c:pt idx="1192">
                  <c:v>87.531489999999991</c:v>
                </c:pt>
                <c:pt idx="1193">
                  <c:v>87.533469999999994</c:v>
                </c:pt>
                <c:pt idx="1194">
                  <c:v>87.507350000000002</c:v>
                </c:pt>
                <c:pt idx="1195">
                  <c:v>87.509429999999995</c:v>
                </c:pt>
                <c:pt idx="1196">
                  <c:v>87.509469999999993</c:v>
                </c:pt>
                <c:pt idx="1197">
                  <c:v>87.491419999999991</c:v>
                </c:pt>
                <c:pt idx="1198">
                  <c:v>87.475259999999992</c:v>
                </c:pt>
                <c:pt idx="1199">
                  <c:v>87.495469999999997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12-1247-9E0B-566AFACCAB56}"/>
            </c:ext>
          </c:extLst>
        </c:ser>
        <c:ser>
          <c:idx val="2"/>
          <c:order val="2"/>
          <c:tx>
            <c:v>PW500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Data, PW500, 20% O2'!$T$6:$T$1205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Data, PW500, 20% O2'!$V$6:$V$1205</c:f>
              <c:numCache>
                <c:formatCode>0.00000</c:formatCode>
                <c:ptCount val="1200"/>
                <c:pt idx="0">
                  <c:v>100</c:v>
                </c:pt>
                <c:pt idx="1">
                  <c:v>100.07222</c:v>
                </c:pt>
                <c:pt idx="2">
                  <c:v>100.24102000000001</c:v>
                </c:pt>
                <c:pt idx="3">
                  <c:v>100.36515</c:v>
                </c:pt>
                <c:pt idx="4">
                  <c:v>100.47009</c:v>
                </c:pt>
                <c:pt idx="5">
                  <c:v>100.56121</c:v>
                </c:pt>
                <c:pt idx="6">
                  <c:v>100.64377999999999</c:v>
                </c:pt>
                <c:pt idx="7">
                  <c:v>100.70595</c:v>
                </c:pt>
                <c:pt idx="8">
                  <c:v>100.75063</c:v>
                </c:pt>
                <c:pt idx="9">
                  <c:v>100.8124</c:v>
                </c:pt>
                <c:pt idx="10">
                  <c:v>100.86834999999999</c:v>
                </c:pt>
                <c:pt idx="11">
                  <c:v>100.91674</c:v>
                </c:pt>
                <c:pt idx="12">
                  <c:v>100.94501</c:v>
                </c:pt>
                <c:pt idx="13">
                  <c:v>100.99073</c:v>
                </c:pt>
                <c:pt idx="14">
                  <c:v>101.05032</c:v>
                </c:pt>
                <c:pt idx="15">
                  <c:v>101.1001</c:v>
                </c:pt>
                <c:pt idx="16">
                  <c:v>101.12672000000001</c:v>
                </c:pt>
                <c:pt idx="17">
                  <c:v>101.15756999999999</c:v>
                </c:pt>
                <c:pt idx="18">
                  <c:v>101.18048</c:v>
                </c:pt>
                <c:pt idx="19">
                  <c:v>101.23242</c:v>
                </c:pt>
                <c:pt idx="20">
                  <c:v>101.24070999999999</c:v>
                </c:pt>
                <c:pt idx="21">
                  <c:v>101.26730999999999</c:v>
                </c:pt>
                <c:pt idx="22">
                  <c:v>101.28998</c:v>
                </c:pt>
                <c:pt idx="23">
                  <c:v>101.30839</c:v>
                </c:pt>
                <c:pt idx="24">
                  <c:v>101.32501000000001</c:v>
                </c:pt>
                <c:pt idx="25">
                  <c:v>101.35849</c:v>
                </c:pt>
                <c:pt idx="26">
                  <c:v>101.39308</c:v>
                </c:pt>
                <c:pt idx="27">
                  <c:v>101.39927</c:v>
                </c:pt>
                <c:pt idx="28">
                  <c:v>101.42671</c:v>
                </c:pt>
                <c:pt idx="29">
                  <c:v>101.45356</c:v>
                </c:pt>
                <c:pt idx="30">
                  <c:v>101.47327</c:v>
                </c:pt>
                <c:pt idx="31">
                  <c:v>101.50639</c:v>
                </c:pt>
                <c:pt idx="32">
                  <c:v>101.49619</c:v>
                </c:pt>
                <c:pt idx="33">
                  <c:v>101.51696</c:v>
                </c:pt>
                <c:pt idx="34">
                  <c:v>101.54977</c:v>
                </c:pt>
                <c:pt idx="35">
                  <c:v>101.56862</c:v>
                </c:pt>
                <c:pt idx="36">
                  <c:v>101.55602999999999</c:v>
                </c:pt>
                <c:pt idx="37">
                  <c:v>101.59544</c:v>
                </c:pt>
                <c:pt idx="38">
                  <c:v>101.58913</c:v>
                </c:pt>
                <c:pt idx="39">
                  <c:v>101.60137</c:v>
                </c:pt>
                <c:pt idx="40">
                  <c:v>101.62841</c:v>
                </c:pt>
                <c:pt idx="41">
                  <c:v>101.64285</c:v>
                </c:pt>
                <c:pt idx="42">
                  <c:v>101.64322</c:v>
                </c:pt>
                <c:pt idx="43">
                  <c:v>101.66173999999999</c:v>
                </c:pt>
                <c:pt idx="44">
                  <c:v>101.68052</c:v>
                </c:pt>
                <c:pt idx="45">
                  <c:v>101.67981999999999</c:v>
                </c:pt>
                <c:pt idx="46">
                  <c:v>101.70129</c:v>
                </c:pt>
                <c:pt idx="47">
                  <c:v>101.71333</c:v>
                </c:pt>
                <c:pt idx="48">
                  <c:v>101.71496</c:v>
                </c:pt>
                <c:pt idx="49">
                  <c:v>101.73152999999999</c:v>
                </c:pt>
                <c:pt idx="50">
                  <c:v>101.75427999999999</c:v>
                </c:pt>
                <c:pt idx="51">
                  <c:v>101.76031</c:v>
                </c:pt>
                <c:pt idx="52">
                  <c:v>101.76692</c:v>
                </c:pt>
                <c:pt idx="53">
                  <c:v>101.77280999999999</c:v>
                </c:pt>
                <c:pt idx="54">
                  <c:v>101.79998999999999</c:v>
                </c:pt>
                <c:pt idx="55">
                  <c:v>101.80817</c:v>
                </c:pt>
                <c:pt idx="56">
                  <c:v>101.79995</c:v>
                </c:pt>
                <c:pt idx="57">
                  <c:v>101.81028000000001</c:v>
                </c:pt>
                <c:pt idx="58">
                  <c:v>101.81442</c:v>
                </c:pt>
                <c:pt idx="59">
                  <c:v>101.83253999999999</c:v>
                </c:pt>
                <c:pt idx="60">
                  <c:v>101.83924</c:v>
                </c:pt>
                <c:pt idx="61">
                  <c:v>101.85135</c:v>
                </c:pt>
                <c:pt idx="62">
                  <c:v>101.85138999999999</c:v>
                </c:pt>
                <c:pt idx="63">
                  <c:v>101.86781000000001</c:v>
                </c:pt>
                <c:pt idx="64">
                  <c:v>101.89488</c:v>
                </c:pt>
                <c:pt idx="65">
                  <c:v>101.88095</c:v>
                </c:pt>
                <c:pt idx="66">
                  <c:v>101.89058</c:v>
                </c:pt>
                <c:pt idx="67">
                  <c:v>101.89503000000001</c:v>
                </c:pt>
                <c:pt idx="68">
                  <c:v>101.91537</c:v>
                </c:pt>
                <c:pt idx="69">
                  <c:v>101.90712000000001</c:v>
                </c:pt>
                <c:pt idx="70">
                  <c:v>101.92232</c:v>
                </c:pt>
                <c:pt idx="71">
                  <c:v>101.91531000000001</c:v>
                </c:pt>
                <c:pt idx="72">
                  <c:v>101.91763</c:v>
                </c:pt>
                <c:pt idx="73">
                  <c:v>101.91517</c:v>
                </c:pt>
                <c:pt idx="74">
                  <c:v>101.92981999999999</c:v>
                </c:pt>
                <c:pt idx="75">
                  <c:v>101.93008</c:v>
                </c:pt>
                <c:pt idx="76">
                  <c:v>101.93832999999999</c:v>
                </c:pt>
                <c:pt idx="77">
                  <c:v>101.94672</c:v>
                </c:pt>
                <c:pt idx="78">
                  <c:v>101.94431</c:v>
                </c:pt>
                <c:pt idx="79">
                  <c:v>101.9525</c:v>
                </c:pt>
                <c:pt idx="80">
                  <c:v>101.95677999999999</c:v>
                </c:pt>
                <c:pt idx="81">
                  <c:v>101.97150999999999</c:v>
                </c:pt>
                <c:pt idx="82">
                  <c:v>101.95902</c:v>
                </c:pt>
                <c:pt idx="83">
                  <c:v>101.98754</c:v>
                </c:pt>
                <c:pt idx="84">
                  <c:v>101.97552</c:v>
                </c:pt>
                <c:pt idx="85">
                  <c:v>101.9652</c:v>
                </c:pt>
                <c:pt idx="86">
                  <c:v>101.97924</c:v>
                </c:pt>
                <c:pt idx="87">
                  <c:v>101.99578</c:v>
                </c:pt>
                <c:pt idx="88">
                  <c:v>101.99419999999999</c:v>
                </c:pt>
                <c:pt idx="89">
                  <c:v>102.00628999999999</c:v>
                </c:pt>
                <c:pt idx="90">
                  <c:v>102.00846</c:v>
                </c:pt>
                <c:pt idx="91">
                  <c:v>102.00408</c:v>
                </c:pt>
                <c:pt idx="92">
                  <c:v>102.01879</c:v>
                </c:pt>
                <c:pt idx="93">
                  <c:v>102.02070999999999</c:v>
                </c:pt>
                <c:pt idx="94">
                  <c:v>102.0125</c:v>
                </c:pt>
                <c:pt idx="95">
                  <c:v>102.01454</c:v>
                </c:pt>
                <c:pt idx="96">
                  <c:v>102.03350999999999</c:v>
                </c:pt>
                <c:pt idx="97">
                  <c:v>102.05159999999999</c:v>
                </c:pt>
                <c:pt idx="98">
                  <c:v>102.01868999999999</c:v>
                </c:pt>
                <c:pt idx="99">
                  <c:v>102.04315</c:v>
                </c:pt>
                <c:pt idx="100">
                  <c:v>102.04957</c:v>
                </c:pt>
                <c:pt idx="101">
                  <c:v>102.06432</c:v>
                </c:pt>
                <c:pt idx="102">
                  <c:v>102.07629</c:v>
                </c:pt>
                <c:pt idx="103">
                  <c:v>102.04729</c:v>
                </c:pt>
                <c:pt idx="104">
                  <c:v>102.06791</c:v>
                </c:pt>
                <c:pt idx="105">
                  <c:v>102.06386000000001</c:v>
                </c:pt>
                <c:pt idx="106">
                  <c:v>102.06613</c:v>
                </c:pt>
                <c:pt idx="107">
                  <c:v>102.05179</c:v>
                </c:pt>
                <c:pt idx="108">
                  <c:v>102.05977</c:v>
                </c:pt>
                <c:pt idx="109">
                  <c:v>102.08505</c:v>
                </c:pt>
                <c:pt idx="110">
                  <c:v>102.07418</c:v>
                </c:pt>
                <c:pt idx="111">
                  <c:v>102.07066999999999</c:v>
                </c:pt>
                <c:pt idx="112">
                  <c:v>102.08287</c:v>
                </c:pt>
                <c:pt idx="113">
                  <c:v>102.05998</c:v>
                </c:pt>
                <c:pt idx="114">
                  <c:v>102.06629</c:v>
                </c:pt>
                <c:pt idx="115">
                  <c:v>102.07666</c:v>
                </c:pt>
                <c:pt idx="116">
                  <c:v>102.08078</c:v>
                </c:pt>
                <c:pt idx="117">
                  <c:v>102.06017</c:v>
                </c:pt>
                <c:pt idx="118">
                  <c:v>102.08044</c:v>
                </c:pt>
                <c:pt idx="119">
                  <c:v>102.08049</c:v>
                </c:pt>
                <c:pt idx="120">
                  <c:v>102.06826</c:v>
                </c:pt>
                <c:pt idx="121">
                  <c:v>102.08696999999999</c:v>
                </c:pt>
                <c:pt idx="122">
                  <c:v>102.08695</c:v>
                </c:pt>
                <c:pt idx="123">
                  <c:v>102.07879</c:v>
                </c:pt>
                <c:pt idx="124">
                  <c:v>102.08256</c:v>
                </c:pt>
                <c:pt idx="125">
                  <c:v>102.07418</c:v>
                </c:pt>
                <c:pt idx="126">
                  <c:v>102.09733</c:v>
                </c:pt>
                <c:pt idx="127">
                  <c:v>102.10294999999999</c:v>
                </c:pt>
                <c:pt idx="128">
                  <c:v>102.10145</c:v>
                </c:pt>
                <c:pt idx="129">
                  <c:v>102.1033</c:v>
                </c:pt>
                <c:pt idx="130">
                  <c:v>102.09896000000001</c:v>
                </c:pt>
                <c:pt idx="131">
                  <c:v>102.09918</c:v>
                </c:pt>
                <c:pt idx="132">
                  <c:v>102.09753000000001</c:v>
                </c:pt>
                <c:pt idx="133">
                  <c:v>102.10115999999999</c:v>
                </c:pt>
                <c:pt idx="134">
                  <c:v>102.10325</c:v>
                </c:pt>
                <c:pt idx="135">
                  <c:v>102.08864</c:v>
                </c:pt>
                <c:pt idx="136">
                  <c:v>102.09093</c:v>
                </c:pt>
                <c:pt idx="137">
                  <c:v>102.08893</c:v>
                </c:pt>
                <c:pt idx="138">
                  <c:v>102.12559</c:v>
                </c:pt>
                <c:pt idx="139">
                  <c:v>102.10345</c:v>
                </c:pt>
                <c:pt idx="140">
                  <c:v>102.08282</c:v>
                </c:pt>
                <c:pt idx="141">
                  <c:v>102.10342</c:v>
                </c:pt>
                <c:pt idx="142">
                  <c:v>102.07404</c:v>
                </c:pt>
                <c:pt idx="143">
                  <c:v>102.1053</c:v>
                </c:pt>
                <c:pt idx="144">
                  <c:v>102.08494</c:v>
                </c:pt>
                <c:pt idx="145">
                  <c:v>102.09903</c:v>
                </c:pt>
                <c:pt idx="146">
                  <c:v>102.09698</c:v>
                </c:pt>
                <c:pt idx="147">
                  <c:v>102.10814000000001</c:v>
                </c:pt>
                <c:pt idx="148">
                  <c:v>102.10391</c:v>
                </c:pt>
                <c:pt idx="149">
                  <c:v>102.09754</c:v>
                </c:pt>
                <c:pt idx="150">
                  <c:v>102.10101</c:v>
                </c:pt>
                <c:pt idx="151">
                  <c:v>102.08083999999999</c:v>
                </c:pt>
                <c:pt idx="152">
                  <c:v>102.11978999999999</c:v>
                </c:pt>
                <c:pt idx="153">
                  <c:v>102.09453000000001</c:v>
                </c:pt>
                <c:pt idx="154">
                  <c:v>102.09474</c:v>
                </c:pt>
                <c:pt idx="155">
                  <c:v>102.09156</c:v>
                </c:pt>
                <c:pt idx="156">
                  <c:v>102.10943999999999</c:v>
                </c:pt>
                <c:pt idx="157">
                  <c:v>102.09309999999999</c:v>
                </c:pt>
                <c:pt idx="158">
                  <c:v>102.12012</c:v>
                </c:pt>
                <c:pt idx="159">
                  <c:v>102.0912</c:v>
                </c:pt>
                <c:pt idx="160">
                  <c:v>102.10384999999999</c:v>
                </c:pt>
                <c:pt idx="161">
                  <c:v>102.08494999999999</c:v>
                </c:pt>
                <c:pt idx="162">
                  <c:v>102.09075</c:v>
                </c:pt>
                <c:pt idx="163">
                  <c:v>102.10167</c:v>
                </c:pt>
                <c:pt idx="164">
                  <c:v>102.09690999999999</c:v>
                </c:pt>
                <c:pt idx="165">
                  <c:v>102.08857999999999</c:v>
                </c:pt>
                <c:pt idx="166">
                  <c:v>102.08044</c:v>
                </c:pt>
                <c:pt idx="167">
                  <c:v>102.10084000000001</c:v>
                </c:pt>
                <c:pt idx="168">
                  <c:v>102.1122</c:v>
                </c:pt>
                <c:pt idx="169">
                  <c:v>102.11157</c:v>
                </c:pt>
                <c:pt idx="170">
                  <c:v>102.10549999999999</c:v>
                </c:pt>
                <c:pt idx="171">
                  <c:v>102.12187</c:v>
                </c:pt>
                <c:pt idx="172">
                  <c:v>102.11093</c:v>
                </c:pt>
                <c:pt idx="173">
                  <c:v>102.11596</c:v>
                </c:pt>
                <c:pt idx="174">
                  <c:v>102.09300999999999</c:v>
                </c:pt>
                <c:pt idx="175">
                  <c:v>102.10346</c:v>
                </c:pt>
                <c:pt idx="176">
                  <c:v>102.09971</c:v>
                </c:pt>
                <c:pt idx="177">
                  <c:v>102.11179</c:v>
                </c:pt>
                <c:pt idx="178">
                  <c:v>102.10531</c:v>
                </c:pt>
                <c:pt idx="179">
                  <c:v>102.13019</c:v>
                </c:pt>
                <c:pt idx="180">
                  <c:v>102.10755</c:v>
                </c:pt>
                <c:pt idx="181">
                  <c:v>102.1156</c:v>
                </c:pt>
                <c:pt idx="182">
                  <c:v>102.11552</c:v>
                </c:pt>
                <c:pt idx="183">
                  <c:v>102.11578</c:v>
                </c:pt>
                <c:pt idx="184">
                  <c:v>102.11985</c:v>
                </c:pt>
                <c:pt idx="185">
                  <c:v>102.11579</c:v>
                </c:pt>
                <c:pt idx="186">
                  <c:v>102.11784</c:v>
                </c:pt>
                <c:pt idx="187">
                  <c:v>102.09711</c:v>
                </c:pt>
                <c:pt idx="188">
                  <c:v>102.10329</c:v>
                </c:pt>
                <c:pt idx="189">
                  <c:v>102.11171</c:v>
                </c:pt>
                <c:pt idx="190">
                  <c:v>102.10957999999999</c:v>
                </c:pt>
                <c:pt idx="191">
                  <c:v>102.10545</c:v>
                </c:pt>
                <c:pt idx="192">
                  <c:v>102.11208999999999</c:v>
                </c:pt>
                <c:pt idx="193">
                  <c:v>102.13641</c:v>
                </c:pt>
                <c:pt idx="194">
                  <c:v>102.12586</c:v>
                </c:pt>
                <c:pt idx="195">
                  <c:v>102.12192</c:v>
                </c:pt>
                <c:pt idx="196">
                  <c:v>102.1221</c:v>
                </c:pt>
                <c:pt idx="197">
                  <c:v>102.11781000000001</c:v>
                </c:pt>
                <c:pt idx="198">
                  <c:v>102.12018</c:v>
                </c:pt>
                <c:pt idx="199">
                  <c:v>102.12602</c:v>
                </c:pt>
                <c:pt idx="200">
                  <c:v>102.09726999999999</c:v>
                </c:pt>
                <c:pt idx="201">
                  <c:v>102.10773999999999</c:v>
                </c:pt>
                <c:pt idx="202">
                  <c:v>102.09894</c:v>
                </c:pt>
                <c:pt idx="203">
                  <c:v>102.1014</c:v>
                </c:pt>
                <c:pt idx="204">
                  <c:v>102.10963</c:v>
                </c:pt>
                <c:pt idx="205">
                  <c:v>102.09712</c:v>
                </c:pt>
                <c:pt idx="206">
                  <c:v>102.10108</c:v>
                </c:pt>
                <c:pt idx="207">
                  <c:v>102.10557</c:v>
                </c:pt>
                <c:pt idx="208">
                  <c:v>102.10155</c:v>
                </c:pt>
                <c:pt idx="209">
                  <c:v>102.11357</c:v>
                </c:pt>
                <c:pt idx="210">
                  <c:v>102.09092</c:v>
                </c:pt>
                <c:pt idx="211">
                  <c:v>102.09721999999999</c:v>
                </c:pt>
                <c:pt idx="212">
                  <c:v>102.09517</c:v>
                </c:pt>
                <c:pt idx="213">
                  <c:v>102.11958</c:v>
                </c:pt>
                <c:pt idx="214">
                  <c:v>102.10558999999999</c:v>
                </c:pt>
                <c:pt idx="215">
                  <c:v>102.10124999999999</c:v>
                </c:pt>
                <c:pt idx="216">
                  <c:v>102.11775</c:v>
                </c:pt>
                <c:pt idx="217">
                  <c:v>102.10131</c:v>
                </c:pt>
                <c:pt idx="218">
                  <c:v>102.10388</c:v>
                </c:pt>
                <c:pt idx="219">
                  <c:v>102.10523000000001</c:v>
                </c:pt>
                <c:pt idx="220">
                  <c:v>102.099</c:v>
                </c:pt>
                <c:pt idx="221">
                  <c:v>102.10526</c:v>
                </c:pt>
                <c:pt idx="222">
                  <c:v>102.12179999999999</c:v>
                </c:pt>
                <c:pt idx="223">
                  <c:v>102.10533</c:v>
                </c:pt>
                <c:pt idx="224">
                  <c:v>102.09123</c:v>
                </c:pt>
                <c:pt idx="225">
                  <c:v>102.08247</c:v>
                </c:pt>
                <c:pt idx="226">
                  <c:v>102.07890999999999</c:v>
                </c:pt>
                <c:pt idx="227">
                  <c:v>102.09308</c:v>
                </c:pt>
                <c:pt idx="228">
                  <c:v>102.0787</c:v>
                </c:pt>
                <c:pt idx="229">
                  <c:v>102.08244999999999</c:v>
                </c:pt>
                <c:pt idx="230">
                  <c:v>102.1011</c:v>
                </c:pt>
                <c:pt idx="231">
                  <c:v>102.07644999999999</c:v>
                </c:pt>
                <c:pt idx="232">
                  <c:v>102.09101</c:v>
                </c:pt>
                <c:pt idx="233">
                  <c:v>102.06224</c:v>
                </c:pt>
                <c:pt idx="234">
                  <c:v>102.08109999999999</c:v>
                </c:pt>
                <c:pt idx="235">
                  <c:v>102.06804</c:v>
                </c:pt>
                <c:pt idx="236">
                  <c:v>102.07661</c:v>
                </c:pt>
                <c:pt idx="237">
                  <c:v>102.06842999999999</c:v>
                </c:pt>
                <c:pt idx="238">
                  <c:v>102.07235</c:v>
                </c:pt>
                <c:pt idx="239">
                  <c:v>102.07451999999999</c:v>
                </c:pt>
                <c:pt idx="240">
                  <c:v>102.05387999999999</c:v>
                </c:pt>
                <c:pt idx="241">
                  <c:v>102.06796</c:v>
                </c:pt>
                <c:pt idx="242">
                  <c:v>102.05965999999999</c:v>
                </c:pt>
                <c:pt idx="243">
                  <c:v>102.07012</c:v>
                </c:pt>
                <c:pt idx="244">
                  <c:v>102.06623</c:v>
                </c:pt>
                <c:pt idx="245">
                  <c:v>102.07248</c:v>
                </c:pt>
                <c:pt idx="246">
                  <c:v>102.07066999999999</c:v>
                </c:pt>
                <c:pt idx="247">
                  <c:v>102.08278</c:v>
                </c:pt>
                <c:pt idx="248">
                  <c:v>102.05786999999999</c:v>
                </c:pt>
                <c:pt idx="249">
                  <c:v>102.06216999999999</c:v>
                </c:pt>
                <c:pt idx="250">
                  <c:v>102.07417</c:v>
                </c:pt>
                <c:pt idx="251">
                  <c:v>102.05032</c:v>
                </c:pt>
                <c:pt idx="252">
                  <c:v>102.03958</c:v>
                </c:pt>
                <c:pt idx="253">
                  <c:v>102.06376</c:v>
                </c:pt>
                <c:pt idx="254">
                  <c:v>102.05578</c:v>
                </c:pt>
                <c:pt idx="255">
                  <c:v>102.04344</c:v>
                </c:pt>
                <c:pt idx="256">
                  <c:v>102.04741</c:v>
                </c:pt>
                <c:pt idx="257">
                  <c:v>102.03932999999999</c:v>
                </c:pt>
                <c:pt idx="258">
                  <c:v>102.03505</c:v>
                </c:pt>
                <c:pt idx="259">
                  <c:v>102.02898999999999</c:v>
                </c:pt>
                <c:pt idx="260">
                  <c:v>102.03082999999999</c:v>
                </c:pt>
                <c:pt idx="261">
                  <c:v>102.03149000000001</c:v>
                </c:pt>
                <c:pt idx="262">
                  <c:v>102.04562</c:v>
                </c:pt>
                <c:pt idx="263">
                  <c:v>102.02471</c:v>
                </c:pt>
                <c:pt idx="264">
                  <c:v>102.04558</c:v>
                </c:pt>
                <c:pt idx="265">
                  <c:v>102.02903999999999</c:v>
                </c:pt>
                <c:pt idx="266">
                  <c:v>102.02896</c:v>
                </c:pt>
                <c:pt idx="267">
                  <c:v>102.02244</c:v>
                </c:pt>
                <c:pt idx="268">
                  <c:v>102.03113999999999</c:v>
                </c:pt>
                <c:pt idx="269">
                  <c:v>102.02252</c:v>
                </c:pt>
                <c:pt idx="270">
                  <c:v>102.02882</c:v>
                </c:pt>
                <c:pt idx="271">
                  <c:v>102.02643999999999</c:v>
                </c:pt>
                <c:pt idx="272">
                  <c:v>102.01474</c:v>
                </c:pt>
                <c:pt idx="273">
                  <c:v>102.00843</c:v>
                </c:pt>
                <c:pt idx="274">
                  <c:v>101.99351</c:v>
                </c:pt>
                <c:pt idx="275">
                  <c:v>102.01042</c:v>
                </c:pt>
                <c:pt idx="276">
                  <c:v>101.99378</c:v>
                </c:pt>
                <c:pt idx="277">
                  <c:v>101.99145</c:v>
                </c:pt>
                <c:pt idx="278">
                  <c:v>101.96928</c:v>
                </c:pt>
                <c:pt idx="279">
                  <c:v>101.99813</c:v>
                </c:pt>
                <c:pt idx="280">
                  <c:v>101.99404</c:v>
                </c:pt>
                <c:pt idx="281">
                  <c:v>101.97920999999999</c:v>
                </c:pt>
                <c:pt idx="282">
                  <c:v>101.99248</c:v>
                </c:pt>
                <c:pt idx="283">
                  <c:v>101.98927</c:v>
                </c:pt>
                <c:pt idx="284">
                  <c:v>101.98931</c:v>
                </c:pt>
                <c:pt idx="285">
                  <c:v>101.99418</c:v>
                </c:pt>
                <c:pt idx="286">
                  <c:v>101.97584000000001</c:v>
                </c:pt>
                <c:pt idx="287">
                  <c:v>101.97757</c:v>
                </c:pt>
                <c:pt idx="288">
                  <c:v>101.99388999999999</c:v>
                </c:pt>
                <c:pt idx="289">
                  <c:v>101.97957</c:v>
                </c:pt>
                <c:pt idx="290">
                  <c:v>101.99807</c:v>
                </c:pt>
                <c:pt idx="291">
                  <c:v>101.97727999999999</c:v>
                </c:pt>
                <c:pt idx="292">
                  <c:v>101.98971</c:v>
                </c:pt>
                <c:pt idx="293">
                  <c:v>101.97105000000001</c:v>
                </c:pt>
                <c:pt idx="294">
                  <c:v>101.95466999999999</c:v>
                </c:pt>
                <c:pt idx="295">
                  <c:v>101.95439999999999</c:v>
                </c:pt>
                <c:pt idx="296">
                  <c:v>101.94855</c:v>
                </c:pt>
                <c:pt idx="297">
                  <c:v>101.94855</c:v>
                </c:pt>
                <c:pt idx="298">
                  <c:v>101.97539999999999</c:v>
                </c:pt>
                <c:pt idx="299">
                  <c:v>101.94859</c:v>
                </c:pt>
                <c:pt idx="300">
                  <c:v>101.95666</c:v>
                </c:pt>
                <c:pt idx="301">
                  <c:v>101.95641999999999</c:v>
                </c:pt>
                <c:pt idx="302">
                  <c:v>101.94235</c:v>
                </c:pt>
                <c:pt idx="303">
                  <c:v>101.94641</c:v>
                </c:pt>
                <c:pt idx="304">
                  <c:v>101.93819000000001</c:v>
                </c:pt>
                <c:pt idx="305">
                  <c:v>101.93753</c:v>
                </c:pt>
                <c:pt idx="306">
                  <c:v>101.93607</c:v>
                </c:pt>
                <c:pt idx="307">
                  <c:v>101.94264</c:v>
                </c:pt>
                <c:pt idx="308">
                  <c:v>101.91324</c:v>
                </c:pt>
                <c:pt idx="309">
                  <c:v>101.92801</c:v>
                </c:pt>
                <c:pt idx="310">
                  <c:v>101.92431000000001</c:v>
                </c:pt>
                <c:pt idx="311">
                  <c:v>101.91528</c:v>
                </c:pt>
                <c:pt idx="312">
                  <c:v>101.91553</c:v>
                </c:pt>
                <c:pt idx="313">
                  <c:v>101.91331</c:v>
                </c:pt>
                <c:pt idx="314">
                  <c:v>101.90921</c:v>
                </c:pt>
                <c:pt idx="315">
                  <c:v>101.91163</c:v>
                </c:pt>
                <c:pt idx="316">
                  <c:v>101.87643</c:v>
                </c:pt>
                <c:pt idx="317">
                  <c:v>101.8824</c:v>
                </c:pt>
                <c:pt idx="318">
                  <c:v>101.89512999999999</c:v>
                </c:pt>
                <c:pt idx="319">
                  <c:v>101.89291</c:v>
                </c:pt>
                <c:pt idx="320">
                  <c:v>101.88625999999999</c:v>
                </c:pt>
                <c:pt idx="321">
                  <c:v>101.90307</c:v>
                </c:pt>
                <c:pt idx="322">
                  <c:v>101.88446999999999</c:v>
                </c:pt>
                <c:pt idx="323">
                  <c:v>101.89285</c:v>
                </c:pt>
                <c:pt idx="324">
                  <c:v>101.89282</c:v>
                </c:pt>
                <c:pt idx="325">
                  <c:v>101.88667</c:v>
                </c:pt>
                <c:pt idx="326">
                  <c:v>101.87423</c:v>
                </c:pt>
                <c:pt idx="327">
                  <c:v>101.89089</c:v>
                </c:pt>
                <c:pt idx="328">
                  <c:v>101.87398</c:v>
                </c:pt>
                <c:pt idx="329">
                  <c:v>101.88463</c:v>
                </c:pt>
                <c:pt idx="330">
                  <c:v>101.87859</c:v>
                </c:pt>
                <c:pt idx="331">
                  <c:v>101.86194</c:v>
                </c:pt>
                <c:pt idx="332">
                  <c:v>101.86819</c:v>
                </c:pt>
                <c:pt idx="333">
                  <c:v>101.86185999999999</c:v>
                </c:pt>
                <c:pt idx="334">
                  <c:v>101.8638</c:v>
                </c:pt>
                <c:pt idx="335">
                  <c:v>101.86385</c:v>
                </c:pt>
                <c:pt idx="336">
                  <c:v>101.87005000000001</c:v>
                </c:pt>
                <c:pt idx="337">
                  <c:v>101.88231999999999</c:v>
                </c:pt>
                <c:pt idx="338">
                  <c:v>101.86975</c:v>
                </c:pt>
                <c:pt idx="339">
                  <c:v>101.8741</c:v>
                </c:pt>
                <c:pt idx="340">
                  <c:v>101.86176</c:v>
                </c:pt>
                <c:pt idx="341">
                  <c:v>101.84777</c:v>
                </c:pt>
                <c:pt idx="342">
                  <c:v>101.84492</c:v>
                </c:pt>
                <c:pt idx="343">
                  <c:v>101.84983</c:v>
                </c:pt>
                <c:pt idx="344">
                  <c:v>101.83511</c:v>
                </c:pt>
                <c:pt idx="345">
                  <c:v>101.84732</c:v>
                </c:pt>
                <c:pt idx="346">
                  <c:v>101.84291999999999</c:v>
                </c:pt>
                <c:pt idx="347">
                  <c:v>101.84309999999999</c:v>
                </c:pt>
                <c:pt idx="348">
                  <c:v>101.84309</c:v>
                </c:pt>
                <c:pt idx="349">
                  <c:v>101.83081</c:v>
                </c:pt>
                <c:pt idx="350">
                  <c:v>101.83655</c:v>
                </c:pt>
                <c:pt idx="351">
                  <c:v>101.85182999999999</c:v>
                </c:pt>
                <c:pt idx="352">
                  <c:v>101.82254999999999</c:v>
                </c:pt>
                <c:pt idx="353">
                  <c:v>101.83691</c:v>
                </c:pt>
                <c:pt idx="354">
                  <c:v>101.8451</c:v>
                </c:pt>
                <c:pt idx="355">
                  <c:v>101.82883</c:v>
                </c:pt>
                <c:pt idx="356">
                  <c:v>101.84098</c:v>
                </c:pt>
                <c:pt idx="357">
                  <c:v>101.82684</c:v>
                </c:pt>
                <c:pt idx="358">
                  <c:v>101.83259</c:v>
                </c:pt>
                <c:pt idx="359">
                  <c:v>101.82017999999999</c:v>
                </c:pt>
                <c:pt idx="360">
                  <c:v>101.81851</c:v>
                </c:pt>
                <c:pt idx="361">
                  <c:v>101.81838999999999</c:v>
                </c:pt>
                <c:pt idx="362">
                  <c:v>101.81605</c:v>
                </c:pt>
                <c:pt idx="363">
                  <c:v>101.8184</c:v>
                </c:pt>
                <c:pt idx="364">
                  <c:v>101.82229</c:v>
                </c:pt>
                <c:pt idx="365">
                  <c:v>101.81241</c:v>
                </c:pt>
                <c:pt idx="366">
                  <c:v>101.78746</c:v>
                </c:pt>
                <c:pt idx="367">
                  <c:v>101.80656</c:v>
                </c:pt>
                <c:pt idx="368">
                  <c:v>101.79752999999999</c:v>
                </c:pt>
                <c:pt idx="369">
                  <c:v>101.80996</c:v>
                </c:pt>
                <c:pt idx="370">
                  <c:v>101.79758</c:v>
                </c:pt>
                <c:pt idx="371">
                  <c:v>101.77318</c:v>
                </c:pt>
                <c:pt idx="372">
                  <c:v>101.81220999999999</c:v>
                </c:pt>
                <c:pt idx="373">
                  <c:v>101.7773</c:v>
                </c:pt>
                <c:pt idx="374">
                  <c:v>101.78717</c:v>
                </c:pt>
                <c:pt idx="375">
                  <c:v>101.7851</c:v>
                </c:pt>
                <c:pt idx="376">
                  <c:v>101.79586</c:v>
                </c:pt>
                <c:pt idx="377">
                  <c:v>101.77500999999999</c:v>
                </c:pt>
                <c:pt idx="378">
                  <c:v>101.7898</c:v>
                </c:pt>
                <c:pt idx="379">
                  <c:v>101.77092</c:v>
                </c:pt>
                <c:pt idx="380">
                  <c:v>101.78722999999999</c:v>
                </c:pt>
                <c:pt idx="381">
                  <c:v>101.77104</c:v>
                </c:pt>
                <c:pt idx="382">
                  <c:v>101.76497999999999</c:v>
                </c:pt>
                <c:pt idx="383">
                  <c:v>101.75435</c:v>
                </c:pt>
                <c:pt idx="384">
                  <c:v>101.77500999999999</c:v>
                </c:pt>
                <c:pt idx="385">
                  <c:v>101.76651</c:v>
                </c:pt>
                <c:pt idx="386">
                  <c:v>101.75019</c:v>
                </c:pt>
                <c:pt idx="387">
                  <c:v>101.75042999999999</c:v>
                </c:pt>
                <c:pt idx="388">
                  <c:v>101.76497000000001</c:v>
                </c:pt>
                <c:pt idx="389">
                  <c:v>101.77109</c:v>
                </c:pt>
                <c:pt idx="390">
                  <c:v>101.76499</c:v>
                </c:pt>
                <c:pt idx="391">
                  <c:v>101.76479</c:v>
                </c:pt>
                <c:pt idx="392">
                  <c:v>101.74172</c:v>
                </c:pt>
                <c:pt idx="393">
                  <c:v>101.75042999999999</c:v>
                </c:pt>
                <c:pt idx="394">
                  <c:v>101.75001999999999</c:v>
                </c:pt>
                <c:pt idx="395">
                  <c:v>101.75221000000001</c:v>
                </c:pt>
                <c:pt idx="396">
                  <c:v>101.75841</c:v>
                </c:pt>
                <c:pt idx="397">
                  <c:v>101.74847</c:v>
                </c:pt>
                <c:pt idx="398">
                  <c:v>101.76040999999999</c:v>
                </c:pt>
                <c:pt idx="399">
                  <c:v>101.76436</c:v>
                </c:pt>
                <c:pt idx="400">
                  <c:v>101.76589</c:v>
                </c:pt>
                <c:pt idx="401">
                  <c:v>101.76039</c:v>
                </c:pt>
                <c:pt idx="402">
                  <c:v>101.74822</c:v>
                </c:pt>
                <c:pt idx="403">
                  <c:v>101.75225</c:v>
                </c:pt>
                <c:pt idx="404">
                  <c:v>101.75009</c:v>
                </c:pt>
                <c:pt idx="405">
                  <c:v>101.76064</c:v>
                </c:pt>
                <c:pt idx="406">
                  <c:v>101.74388</c:v>
                </c:pt>
                <c:pt idx="407">
                  <c:v>101.7401</c:v>
                </c:pt>
                <c:pt idx="408">
                  <c:v>101.75619999999999</c:v>
                </c:pt>
                <c:pt idx="409">
                  <c:v>101.73736</c:v>
                </c:pt>
                <c:pt idx="410">
                  <c:v>101.74439</c:v>
                </c:pt>
                <c:pt idx="411">
                  <c:v>101.72761</c:v>
                </c:pt>
                <c:pt idx="412">
                  <c:v>101.74455999999999</c:v>
                </c:pt>
                <c:pt idx="413">
                  <c:v>101.72942999999999</c:v>
                </c:pt>
                <c:pt idx="414">
                  <c:v>101.73143</c:v>
                </c:pt>
                <c:pt idx="415">
                  <c:v>101.73992</c:v>
                </c:pt>
                <c:pt idx="416">
                  <c:v>101.73345999999999</c:v>
                </c:pt>
                <c:pt idx="417">
                  <c:v>101.75246</c:v>
                </c:pt>
                <c:pt idx="418">
                  <c:v>101.73814</c:v>
                </c:pt>
                <c:pt idx="419">
                  <c:v>101.73379</c:v>
                </c:pt>
                <c:pt idx="420">
                  <c:v>101.72717</c:v>
                </c:pt>
                <c:pt idx="421">
                  <c:v>101.73795</c:v>
                </c:pt>
                <c:pt idx="422">
                  <c:v>101.73577</c:v>
                </c:pt>
                <c:pt idx="423">
                  <c:v>101.75066</c:v>
                </c:pt>
                <c:pt idx="424">
                  <c:v>101.7111</c:v>
                </c:pt>
                <c:pt idx="425">
                  <c:v>101.73336</c:v>
                </c:pt>
                <c:pt idx="426">
                  <c:v>101.73177</c:v>
                </c:pt>
                <c:pt idx="427">
                  <c:v>101.71928</c:v>
                </c:pt>
                <c:pt idx="428">
                  <c:v>101.72147</c:v>
                </c:pt>
                <c:pt idx="429">
                  <c:v>101.70896999999999</c:v>
                </c:pt>
                <c:pt idx="430">
                  <c:v>101.71928</c:v>
                </c:pt>
                <c:pt idx="431">
                  <c:v>101.73575</c:v>
                </c:pt>
                <c:pt idx="432">
                  <c:v>101.72346</c:v>
                </c:pt>
                <c:pt idx="433">
                  <c:v>101.73573999999999</c:v>
                </c:pt>
                <c:pt idx="434">
                  <c:v>101.73202999999999</c:v>
                </c:pt>
                <c:pt idx="435">
                  <c:v>101.72932</c:v>
                </c:pt>
                <c:pt idx="436">
                  <c:v>101.72342999999999</c:v>
                </c:pt>
                <c:pt idx="437">
                  <c:v>101.7296</c:v>
                </c:pt>
                <c:pt idx="438">
                  <c:v>101.73546</c:v>
                </c:pt>
                <c:pt idx="439">
                  <c:v>101.72752</c:v>
                </c:pt>
                <c:pt idx="440">
                  <c:v>101.73958</c:v>
                </c:pt>
                <c:pt idx="441">
                  <c:v>101.74824</c:v>
                </c:pt>
                <c:pt idx="442">
                  <c:v>101.75076</c:v>
                </c:pt>
                <c:pt idx="443">
                  <c:v>101.75836</c:v>
                </c:pt>
                <c:pt idx="444">
                  <c:v>101.72317</c:v>
                </c:pt>
                <c:pt idx="445">
                  <c:v>101.74185</c:v>
                </c:pt>
                <c:pt idx="446">
                  <c:v>101.74436</c:v>
                </c:pt>
                <c:pt idx="447">
                  <c:v>101.73202000000001</c:v>
                </c:pt>
                <c:pt idx="448">
                  <c:v>101.72955999999999</c:v>
                </c:pt>
                <c:pt idx="449">
                  <c:v>101.72927</c:v>
                </c:pt>
                <c:pt idx="450">
                  <c:v>101.73802000000001</c:v>
                </c:pt>
                <c:pt idx="451">
                  <c:v>101.73770999999999</c:v>
                </c:pt>
                <c:pt idx="452">
                  <c:v>101.7274</c:v>
                </c:pt>
                <c:pt idx="453">
                  <c:v>101.73369</c:v>
                </c:pt>
                <c:pt idx="454">
                  <c:v>101.73175000000001</c:v>
                </c:pt>
                <c:pt idx="455">
                  <c:v>101.73797999999999</c:v>
                </c:pt>
                <c:pt idx="456">
                  <c:v>101.72963</c:v>
                </c:pt>
                <c:pt idx="457">
                  <c:v>101.73558</c:v>
                </c:pt>
                <c:pt idx="458">
                  <c:v>101.75023</c:v>
                </c:pt>
                <c:pt idx="459">
                  <c:v>101.73768</c:v>
                </c:pt>
                <c:pt idx="460">
                  <c:v>101.73999000000001</c:v>
                </c:pt>
                <c:pt idx="461">
                  <c:v>101.72526999999999</c:v>
                </c:pt>
                <c:pt idx="462">
                  <c:v>101.72964999999999</c:v>
                </c:pt>
                <c:pt idx="463">
                  <c:v>101.72736999999999</c:v>
                </c:pt>
                <c:pt idx="464">
                  <c:v>101.74008000000001</c:v>
                </c:pt>
                <c:pt idx="465">
                  <c:v>101.73567</c:v>
                </c:pt>
                <c:pt idx="466">
                  <c:v>101.74196000000001</c:v>
                </c:pt>
                <c:pt idx="467">
                  <c:v>101.74392</c:v>
                </c:pt>
                <c:pt idx="468">
                  <c:v>101.73558</c:v>
                </c:pt>
                <c:pt idx="469">
                  <c:v>101.73961</c:v>
                </c:pt>
                <c:pt idx="470">
                  <c:v>101.74424</c:v>
                </c:pt>
                <c:pt idx="471">
                  <c:v>101.73809</c:v>
                </c:pt>
                <c:pt idx="472">
                  <c:v>101.71899999999999</c:v>
                </c:pt>
                <c:pt idx="473">
                  <c:v>101.75060000000001</c:v>
                </c:pt>
                <c:pt idx="474">
                  <c:v>101.72547</c:v>
                </c:pt>
                <c:pt idx="475">
                  <c:v>101.72763999999999</c:v>
                </c:pt>
                <c:pt idx="476">
                  <c:v>101.72572</c:v>
                </c:pt>
                <c:pt idx="477">
                  <c:v>101.72351999999999</c:v>
                </c:pt>
                <c:pt idx="478">
                  <c:v>101.73974</c:v>
                </c:pt>
                <c:pt idx="479">
                  <c:v>101.72752</c:v>
                </c:pt>
                <c:pt idx="480">
                  <c:v>101.73173</c:v>
                </c:pt>
                <c:pt idx="481">
                  <c:v>101.72957</c:v>
                </c:pt>
                <c:pt idx="482">
                  <c:v>101.73336999999999</c:v>
                </c:pt>
                <c:pt idx="483">
                  <c:v>101.74</c:v>
                </c:pt>
                <c:pt idx="484">
                  <c:v>101.73387</c:v>
                </c:pt>
                <c:pt idx="485">
                  <c:v>101.74842</c:v>
                </c:pt>
                <c:pt idx="486">
                  <c:v>101.72126</c:v>
                </c:pt>
                <c:pt idx="487">
                  <c:v>101.71306</c:v>
                </c:pt>
                <c:pt idx="488">
                  <c:v>101.72763</c:v>
                </c:pt>
                <c:pt idx="489">
                  <c:v>101.71993999999999</c:v>
                </c:pt>
                <c:pt idx="490">
                  <c:v>101.72378</c:v>
                </c:pt>
                <c:pt idx="491">
                  <c:v>101.72107</c:v>
                </c:pt>
                <c:pt idx="492">
                  <c:v>101.71908000000001</c:v>
                </c:pt>
                <c:pt idx="493">
                  <c:v>101.71951</c:v>
                </c:pt>
                <c:pt idx="494">
                  <c:v>101.72570999999999</c:v>
                </c:pt>
                <c:pt idx="495">
                  <c:v>101.70934</c:v>
                </c:pt>
                <c:pt idx="496">
                  <c:v>101.70524</c:v>
                </c:pt>
                <c:pt idx="497">
                  <c:v>101.71308999999999</c:v>
                </c:pt>
                <c:pt idx="498">
                  <c:v>101.69834</c:v>
                </c:pt>
                <c:pt idx="499">
                  <c:v>101.71509</c:v>
                </c:pt>
                <c:pt idx="500">
                  <c:v>101.70641999999999</c:v>
                </c:pt>
                <c:pt idx="501">
                  <c:v>101.70487</c:v>
                </c:pt>
                <c:pt idx="502">
                  <c:v>101.7089</c:v>
                </c:pt>
                <c:pt idx="503">
                  <c:v>101.71518</c:v>
                </c:pt>
                <c:pt idx="504">
                  <c:v>101.71939999999999</c:v>
                </c:pt>
                <c:pt idx="505">
                  <c:v>101.69454999999999</c:v>
                </c:pt>
                <c:pt idx="506">
                  <c:v>101.69443</c:v>
                </c:pt>
                <c:pt idx="507">
                  <c:v>101.67357</c:v>
                </c:pt>
                <c:pt idx="508">
                  <c:v>101.69</c:v>
                </c:pt>
                <c:pt idx="509">
                  <c:v>101.70479</c:v>
                </c:pt>
                <c:pt idx="510">
                  <c:v>101.67798999999999</c:v>
                </c:pt>
                <c:pt idx="511">
                  <c:v>101.70488</c:v>
                </c:pt>
                <c:pt idx="512">
                  <c:v>101.69871999999999</c:v>
                </c:pt>
                <c:pt idx="513">
                  <c:v>101.68805</c:v>
                </c:pt>
                <c:pt idx="514">
                  <c:v>101.68859999999999</c:v>
                </c:pt>
                <c:pt idx="515">
                  <c:v>101.67784</c:v>
                </c:pt>
                <c:pt idx="516">
                  <c:v>101.68859999999999</c:v>
                </c:pt>
                <c:pt idx="517">
                  <c:v>101.69677</c:v>
                </c:pt>
                <c:pt idx="518">
                  <c:v>101.70877</c:v>
                </c:pt>
                <c:pt idx="519">
                  <c:v>101.69233</c:v>
                </c:pt>
                <c:pt idx="520">
                  <c:v>101.68241999999999</c:v>
                </c:pt>
                <c:pt idx="521">
                  <c:v>101.69450999999999</c:v>
                </c:pt>
                <c:pt idx="522">
                  <c:v>101.68203</c:v>
                </c:pt>
                <c:pt idx="523">
                  <c:v>101.68214</c:v>
                </c:pt>
                <c:pt idx="524">
                  <c:v>101.68163</c:v>
                </c:pt>
                <c:pt idx="525">
                  <c:v>101.68638</c:v>
                </c:pt>
                <c:pt idx="526">
                  <c:v>101.67755</c:v>
                </c:pt>
                <c:pt idx="527">
                  <c:v>101.67561000000001</c:v>
                </c:pt>
                <c:pt idx="528">
                  <c:v>101.69029</c:v>
                </c:pt>
                <c:pt idx="529">
                  <c:v>101.69476</c:v>
                </c:pt>
                <c:pt idx="530">
                  <c:v>101.69403</c:v>
                </c:pt>
                <c:pt idx="531">
                  <c:v>101.68849</c:v>
                </c:pt>
                <c:pt idx="532">
                  <c:v>101.68845999999999</c:v>
                </c:pt>
                <c:pt idx="533">
                  <c:v>101.69244</c:v>
                </c:pt>
                <c:pt idx="534">
                  <c:v>101.68393999999999</c:v>
                </c:pt>
                <c:pt idx="535">
                  <c:v>101.69042</c:v>
                </c:pt>
                <c:pt idx="536">
                  <c:v>101.68590999999999</c:v>
                </c:pt>
                <c:pt idx="537">
                  <c:v>101.67583999999999</c:v>
                </c:pt>
                <c:pt idx="538">
                  <c:v>101.69257999999999</c:v>
                </c:pt>
                <c:pt idx="539">
                  <c:v>101.68826</c:v>
                </c:pt>
                <c:pt idx="540">
                  <c:v>101.6861</c:v>
                </c:pt>
                <c:pt idx="541">
                  <c:v>101.68624</c:v>
                </c:pt>
                <c:pt idx="542">
                  <c:v>101.69019</c:v>
                </c:pt>
                <c:pt idx="543">
                  <c:v>101.68621</c:v>
                </c:pt>
                <c:pt idx="544">
                  <c:v>101.68607</c:v>
                </c:pt>
                <c:pt idx="545">
                  <c:v>101.68837000000001</c:v>
                </c:pt>
                <c:pt idx="546">
                  <c:v>101.67187</c:v>
                </c:pt>
                <c:pt idx="547">
                  <c:v>101.69457</c:v>
                </c:pt>
                <c:pt idx="548">
                  <c:v>101.68841999999999</c:v>
                </c:pt>
                <c:pt idx="549">
                  <c:v>101.68823</c:v>
                </c:pt>
                <c:pt idx="550">
                  <c:v>101.65136</c:v>
                </c:pt>
                <c:pt idx="551">
                  <c:v>101.66968</c:v>
                </c:pt>
                <c:pt idx="552">
                  <c:v>101.66361999999999</c:v>
                </c:pt>
                <c:pt idx="553">
                  <c:v>101.66579</c:v>
                </c:pt>
                <c:pt idx="554">
                  <c:v>101.66323</c:v>
                </c:pt>
                <c:pt idx="555">
                  <c:v>101.6591</c:v>
                </c:pt>
                <c:pt idx="556">
                  <c:v>101.65306</c:v>
                </c:pt>
                <c:pt idx="557">
                  <c:v>101.65743000000001</c:v>
                </c:pt>
                <c:pt idx="558">
                  <c:v>101.65313999999999</c:v>
                </c:pt>
                <c:pt idx="559">
                  <c:v>101.66164000000001</c:v>
                </c:pt>
                <c:pt idx="560">
                  <c:v>101.64718000000001</c:v>
                </c:pt>
                <c:pt idx="561">
                  <c:v>101.65755</c:v>
                </c:pt>
                <c:pt idx="562">
                  <c:v>101.64282</c:v>
                </c:pt>
                <c:pt idx="563">
                  <c:v>101.65685000000001</c:v>
                </c:pt>
                <c:pt idx="564">
                  <c:v>101.64048</c:v>
                </c:pt>
                <c:pt idx="565">
                  <c:v>101.65321</c:v>
                </c:pt>
                <c:pt idx="566">
                  <c:v>101.64707</c:v>
                </c:pt>
                <c:pt idx="567">
                  <c:v>101.63851</c:v>
                </c:pt>
                <c:pt idx="568">
                  <c:v>101.62244</c:v>
                </c:pt>
                <c:pt idx="569">
                  <c:v>101.63488</c:v>
                </c:pt>
                <c:pt idx="570">
                  <c:v>101.63679</c:v>
                </c:pt>
                <c:pt idx="571">
                  <c:v>101.62869000000001</c:v>
                </c:pt>
                <c:pt idx="572">
                  <c:v>101.64064999999999</c:v>
                </c:pt>
                <c:pt idx="573">
                  <c:v>101.63659</c:v>
                </c:pt>
                <c:pt idx="574">
                  <c:v>101.61807</c:v>
                </c:pt>
                <c:pt idx="575">
                  <c:v>101.63267</c:v>
                </c:pt>
                <c:pt idx="576">
                  <c:v>101.61641</c:v>
                </c:pt>
                <c:pt idx="577">
                  <c:v>101.63087</c:v>
                </c:pt>
                <c:pt idx="578">
                  <c:v>101.61605</c:v>
                </c:pt>
                <c:pt idx="579">
                  <c:v>101.61639</c:v>
                </c:pt>
                <c:pt idx="580">
                  <c:v>101.61619</c:v>
                </c:pt>
                <c:pt idx="581">
                  <c:v>101.61823</c:v>
                </c:pt>
                <c:pt idx="582">
                  <c:v>101.62218</c:v>
                </c:pt>
                <c:pt idx="583">
                  <c:v>101.63663</c:v>
                </c:pt>
                <c:pt idx="584">
                  <c:v>101.61001</c:v>
                </c:pt>
                <c:pt idx="585">
                  <c:v>101.62004</c:v>
                </c:pt>
                <c:pt idx="586">
                  <c:v>101.61586</c:v>
                </c:pt>
                <c:pt idx="587">
                  <c:v>101.60598</c:v>
                </c:pt>
                <c:pt idx="588">
                  <c:v>101.60169999999999</c:v>
                </c:pt>
                <c:pt idx="589">
                  <c:v>101.61</c:v>
                </c:pt>
                <c:pt idx="590">
                  <c:v>101.58687999999999</c:v>
                </c:pt>
                <c:pt idx="591">
                  <c:v>101.58483</c:v>
                </c:pt>
                <c:pt idx="592">
                  <c:v>101.6016</c:v>
                </c:pt>
                <c:pt idx="593">
                  <c:v>101.58673</c:v>
                </c:pt>
                <c:pt idx="594">
                  <c:v>101.58116</c:v>
                </c:pt>
                <c:pt idx="595">
                  <c:v>101.57471</c:v>
                </c:pt>
                <c:pt idx="596">
                  <c:v>101.57698000000001</c:v>
                </c:pt>
                <c:pt idx="597">
                  <c:v>101.56661</c:v>
                </c:pt>
                <c:pt idx="598">
                  <c:v>101.54791</c:v>
                </c:pt>
                <c:pt idx="599">
                  <c:v>101.56466</c:v>
                </c:pt>
                <c:pt idx="600">
                  <c:v>101.55996999999999</c:v>
                </c:pt>
                <c:pt idx="601">
                  <c:v>101.55174</c:v>
                </c:pt>
                <c:pt idx="602">
                  <c:v>101.55013</c:v>
                </c:pt>
                <c:pt idx="603">
                  <c:v>101.56048</c:v>
                </c:pt>
                <c:pt idx="604">
                  <c:v>101.56448</c:v>
                </c:pt>
                <c:pt idx="605">
                  <c:v>101.57249</c:v>
                </c:pt>
                <c:pt idx="606">
                  <c:v>101.55998</c:v>
                </c:pt>
                <c:pt idx="607">
                  <c:v>101.56596</c:v>
                </c:pt>
                <c:pt idx="608">
                  <c:v>101.55425</c:v>
                </c:pt>
                <c:pt idx="609">
                  <c:v>101.55649</c:v>
                </c:pt>
                <c:pt idx="610">
                  <c:v>101.55428999999999</c:v>
                </c:pt>
                <c:pt idx="611">
                  <c:v>101.52508</c:v>
                </c:pt>
                <c:pt idx="612">
                  <c:v>101.54170000000001</c:v>
                </c:pt>
                <c:pt idx="613">
                  <c:v>101.54161000000001</c:v>
                </c:pt>
                <c:pt idx="614">
                  <c:v>101.52094</c:v>
                </c:pt>
                <c:pt idx="615">
                  <c:v>101.53366</c:v>
                </c:pt>
                <c:pt idx="616">
                  <c:v>101.52361000000001</c:v>
                </c:pt>
                <c:pt idx="617">
                  <c:v>101.51494</c:v>
                </c:pt>
                <c:pt idx="618">
                  <c:v>101.53766</c:v>
                </c:pt>
                <c:pt idx="619">
                  <c:v>101.527</c:v>
                </c:pt>
                <c:pt idx="620">
                  <c:v>101.52898</c:v>
                </c:pt>
                <c:pt idx="621">
                  <c:v>101.51669</c:v>
                </c:pt>
                <c:pt idx="622">
                  <c:v>101.51470999999999</c:v>
                </c:pt>
                <c:pt idx="623">
                  <c:v>101.51667</c:v>
                </c:pt>
                <c:pt idx="624">
                  <c:v>101.51761</c:v>
                </c:pt>
                <c:pt idx="625">
                  <c:v>101.51088</c:v>
                </c:pt>
                <c:pt idx="626">
                  <c:v>101.49822</c:v>
                </c:pt>
                <c:pt idx="627">
                  <c:v>101.50239999999999</c:v>
                </c:pt>
                <c:pt idx="628">
                  <c:v>101.50058</c:v>
                </c:pt>
                <c:pt idx="629">
                  <c:v>101.4858</c:v>
                </c:pt>
                <c:pt idx="630">
                  <c:v>101.49224</c:v>
                </c:pt>
                <c:pt idx="631">
                  <c:v>101.47188</c:v>
                </c:pt>
                <c:pt idx="632">
                  <c:v>101.47775</c:v>
                </c:pt>
                <c:pt idx="633">
                  <c:v>101.48226</c:v>
                </c:pt>
                <c:pt idx="634">
                  <c:v>101.47935</c:v>
                </c:pt>
                <c:pt idx="635">
                  <c:v>101.47765</c:v>
                </c:pt>
                <c:pt idx="636">
                  <c:v>101.46722</c:v>
                </c:pt>
                <c:pt idx="637">
                  <c:v>101.47175</c:v>
                </c:pt>
                <c:pt idx="638">
                  <c:v>101.46963</c:v>
                </c:pt>
                <c:pt idx="639">
                  <c:v>101.46120999999999</c:v>
                </c:pt>
                <c:pt idx="640">
                  <c:v>101.46741</c:v>
                </c:pt>
                <c:pt idx="641">
                  <c:v>101.45711</c:v>
                </c:pt>
                <c:pt idx="642">
                  <c:v>101.4508</c:v>
                </c:pt>
                <c:pt idx="643">
                  <c:v>101.4716</c:v>
                </c:pt>
                <c:pt idx="644">
                  <c:v>101.46948</c:v>
                </c:pt>
                <c:pt idx="645">
                  <c:v>101.46326999999999</c:v>
                </c:pt>
                <c:pt idx="646">
                  <c:v>101.45484999999999</c:v>
                </c:pt>
                <c:pt idx="647">
                  <c:v>101.45294</c:v>
                </c:pt>
                <c:pt idx="648">
                  <c:v>101.44068</c:v>
                </c:pt>
                <c:pt idx="649">
                  <c:v>101.459</c:v>
                </c:pt>
                <c:pt idx="650">
                  <c:v>101.45307</c:v>
                </c:pt>
                <c:pt idx="651">
                  <c:v>101.47163</c:v>
                </c:pt>
                <c:pt idx="652">
                  <c:v>101.45074</c:v>
                </c:pt>
                <c:pt idx="653">
                  <c:v>101.45895</c:v>
                </c:pt>
                <c:pt idx="654">
                  <c:v>101.44662</c:v>
                </c:pt>
                <c:pt idx="655">
                  <c:v>101.45074</c:v>
                </c:pt>
                <c:pt idx="656">
                  <c:v>101.43228000000001</c:v>
                </c:pt>
                <c:pt idx="657">
                  <c:v>101.4359</c:v>
                </c:pt>
                <c:pt idx="658">
                  <c:v>101.4507</c:v>
                </c:pt>
                <c:pt idx="659">
                  <c:v>101.42818</c:v>
                </c:pt>
                <c:pt idx="660">
                  <c:v>101.43607</c:v>
                </c:pt>
                <c:pt idx="661">
                  <c:v>101.43434000000001</c:v>
                </c:pt>
                <c:pt idx="662">
                  <c:v>101.42437</c:v>
                </c:pt>
                <c:pt idx="663">
                  <c:v>101.42628000000001</c:v>
                </c:pt>
                <c:pt idx="664">
                  <c:v>101.42184</c:v>
                </c:pt>
                <c:pt idx="665">
                  <c:v>101.42167999999999</c:v>
                </c:pt>
                <c:pt idx="666">
                  <c:v>101.4076</c:v>
                </c:pt>
                <c:pt idx="667">
                  <c:v>101.41938</c:v>
                </c:pt>
                <c:pt idx="668">
                  <c:v>101.41379999999999</c:v>
                </c:pt>
                <c:pt idx="669">
                  <c:v>101.40947</c:v>
                </c:pt>
                <c:pt idx="670">
                  <c:v>101.39075</c:v>
                </c:pt>
                <c:pt idx="671">
                  <c:v>101.40335999999999</c:v>
                </c:pt>
                <c:pt idx="672">
                  <c:v>101.38669</c:v>
                </c:pt>
                <c:pt idx="673">
                  <c:v>101.4011</c:v>
                </c:pt>
                <c:pt idx="674">
                  <c:v>101.38061</c:v>
                </c:pt>
                <c:pt idx="675">
                  <c:v>101.37634</c:v>
                </c:pt>
                <c:pt idx="676">
                  <c:v>101.36839000000001</c:v>
                </c:pt>
                <c:pt idx="677">
                  <c:v>101.37616</c:v>
                </c:pt>
                <c:pt idx="678">
                  <c:v>101.3683</c:v>
                </c:pt>
                <c:pt idx="679">
                  <c:v>101.37479</c:v>
                </c:pt>
                <c:pt idx="680">
                  <c:v>101.36827</c:v>
                </c:pt>
                <c:pt idx="681">
                  <c:v>101.36018</c:v>
                </c:pt>
                <c:pt idx="682">
                  <c:v>101.3682</c:v>
                </c:pt>
                <c:pt idx="683">
                  <c:v>101.35138999999999</c:v>
                </c:pt>
                <c:pt idx="684">
                  <c:v>101.34764</c:v>
                </c:pt>
                <c:pt idx="685">
                  <c:v>101.34934</c:v>
                </c:pt>
                <c:pt idx="686">
                  <c:v>101.35155</c:v>
                </c:pt>
                <c:pt idx="687">
                  <c:v>101.37036999999999</c:v>
                </c:pt>
                <c:pt idx="688">
                  <c:v>101.34535</c:v>
                </c:pt>
                <c:pt idx="689">
                  <c:v>101.35386</c:v>
                </c:pt>
                <c:pt idx="690">
                  <c:v>101.34754</c:v>
                </c:pt>
                <c:pt idx="691">
                  <c:v>101.33505</c:v>
                </c:pt>
                <c:pt idx="692">
                  <c:v>101.33132000000001</c:v>
                </c:pt>
                <c:pt idx="693">
                  <c:v>101.35159</c:v>
                </c:pt>
                <c:pt idx="694">
                  <c:v>101.33507</c:v>
                </c:pt>
                <c:pt idx="695">
                  <c:v>101.34941999999999</c:v>
                </c:pt>
                <c:pt idx="696">
                  <c:v>101.33714000000001</c:v>
                </c:pt>
                <c:pt idx="697">
                  <c:v>101.33497</c:v>
                </c:pt>
                <c:pt idx="698">
                  <c:v>101.32662999999999</c:v>
                </c:pt>
                <c:pt idx="699">
                  <c:v>101.31247</c:v>
                </c:pt>
                <c:pt idx="700">
                  <c:v>101.31681</c:v>
                </c:pt>
                <c:pt idx="701">
                  <c:v>101.31647</c:v>
                </c:pt>
                <c:pt idx="702">
                  <c:v>101.31035</c:v>
                </c:pt>
                <c:pt idx="703">
                  <c:v>101.29398999999999</c:v>
                </c:pt>
                <c:pt idx="704">
                  <c:v>101.29187</c:v>
                </c:pt>
                <c:pt idx="705">
                  <c:v>101.30007000000001</c:v>
                </c:pt>
                <c:pt idx="706">
                  <c:v>101.30421</c:v>
                </c:pt>
                <c:pt idx="707">
                  <c:v>101.31021</c:v>
                </c:pt>
                <c:pt idx="708">
                  <c:v>101.30660999999999</c:v>
                </c:pt>
                <c:pt idx="709">
                  <c:v>101.31045</c:v>
                </c:pt>
                <c:pt idx="710">
                  <c:v>101.28756</c:v>
                </c:pt>
                <c:pt idx="711">
                  <c:v>101.27148</c:v>
                </c:pt>
                <c:pt idx="712">
                  <c:v>101.28529</c:v>
                </c:pt>
                <c:pt idx="713">
                  <c:v>101.28570999999999</c:v>
                </c:pt>
                <c:pt idx="714">
                  <c:v>101.28988</c:v>
                </c:pt>
                <c:pt idx="715">
                  <c:v>101.29626999999999</c:v>
                </c:pt>
                <c:pt idx="716">
                  <c:v>101.27551</c:v>
                </c:pt>
                <c:pt idx="717">
                  <c:v>101.27958</c:v>
                </c:pt>
                <c:pt idx="718">
                  <c:v>101.26508</c:v>
                </c:pt>
                <c:pt idx="719">
                  <c:v>101.26691</c:v>
                </c:pt>
                <c:pt idx="720">
                  <c:v>101.28147</c:v>
                </c:pt>
                <c:pt idx="721">
                  <c:v>101.26085</c:v>
                </c:pt>
                <c:pt idx="722">
                  <c:v>101.26080999999999</c:v>
                </c:pt>
                <c:pt idx="723">
                  <c:v>101.24637</c:v>
                </c:pt>
                <c:pt idx="724">
                  <c:v>101.24236000000001</c:v>
                </c:pt>
                <c:pt idx="725">
                  <c:v>101.23381999999999</c:v>
                </c:pt>
                <c:pt idx="726">
                  <c:v>101.23636999999999</c:v>
                </c:pt>
                <c:pt idx="727">
                  <c:v>101.23238000000001</c:v>
                </c:pt>
                <c:pt idx="728">
                  <c:v>101.23988</c:v>
                </c:pt>
                <c:pt idx="729">
                  <c:v>101.22574</c:v>
                </c:pt>
                <c:pt idx="730">
                  <c:v>101.24487000000001</c:v>
                </c:pt>
                <c:pt idx="731">
                  <c:v>101.21984</c:v>
                </c:pt>
                <c:pt idx="732">
                  <c:v>101.21117</c:v>
                </c:pt>
                <c:pt idx="733">
                  <c:v>101.20291</c:v>
                </c:pt>
                <c:pt idx="734">
                  <c:v>101.21142999999999</c:v>
                </c:pt>
                <c:pt idx="735">
                  <c:v>101.20296</c:v>
                </c:pt>
                <c:pt idx="736">
                  <c:v>101.20706</c:v>
                </c:pt>
                <c:pt idx="737">
                  <c:v>101.20329</c:v>
                </c:pt>
                <c:pt idx="738">
                  <c:v>101.19691</c:v>
                </c:pt>
                <c:pt idx="739">
                  <c:v>101.19284999999999</c:v>
                </c:pt>
                <c:pt idx="740">
                  <c:v>101.20108999999999</c:v>
                </c:pt>
                <c:pt idx="741">
                  <c:v>101.21118</c:v>
                </c:pt>
                <c:pt idx="742">
                  <c:v>101.20334</c:v>
                </c:pt>
                <c:pt idx="743">
                  <c:v>101.19499999999999</c:v>
                </c:pt>
                <c:pt idx="744">
                  <c:v>101.19246</c:v>
                </c:pt>
                <c:pt idx="745">
                  <c:v>101.19077</c:v>
                </c:pt>
                <c:pt idx="746">
                  <c:v>101.17610000000001</c:v>
                </c:pt>
                <c:pt idx="747">
                  <c:v>101.16811</c:v>
                </c:pt>
                <c:pt idx="748">
                  <c:v>101.18201999999999</c:v>
                </c:pt>
                <c:pt idx="749">
                  <c:v>101.17246</c:v>
                </c:pt>
                <c:pt idx="750">
                  <c:v>101.16566</c:v>
                </c:pt>
                <c:pt idx="751">
                  <c:v>101.15559999999999</c:v>
                </c:pt>
                <c:pt idx="752">
                  <c:v>101.1699</c:v>
                </c:pt>
                <c:pt idx="753">
                  <c:v>101.16197</c:v>
                </c:pt>
                <c:pt idx="754">
                  <c:v>101.14346</c:v>
                </c:pt>
                <c:pt idx="755">
                  <c:v>101.15568999999999</c:v>
                </c:pt>
                <c:pt idx="756">
                  <c:v>101.16825</c:v>
                </c:pt>
                <c:pt idx="757">
                  <c:v>101.17001</c:v>
                </c:pt>
                <c:pt idx="758">
                  <c:v>101.14297000000001</c:v>
                </c:pt>
                <c:pt idx="759">
                  <c:v>101.13087</c:v>
                </c:pt>
                <c:pt idx="760">
                  <c:v>101.13688999999999</c:v>
                </c:pt>
                <c:pt idx="761">
                  <c:v>101.13511</c:v>
                </c:pt>
                <c:pt idx="762">
                  <c:v>101.12878000000001</c:v>
                </c:pt>
                <c:pt idx="763">
                  <c:v>101.12437</c:v>
                </c:pt>
                <c:pt idx="764">
                  <c:v>101.1203</c:v>
                </c:pt>
                <c:pt idx="765">
                  <c:v>101.12273</c:v>
                </c:pt>
                <c:pt idx="766">
                  <c:v>101.10853</c:v>
                </c:pt>
                <c:pt idx="767">
                  <c:v>101.11411</c:v>
                </c:pt>
                <c:pt idx="768">
                  <c:v>101.12067999999999</c:v>
                </c:pt>
                <c:pt idx="769">
                  <c:v>101.10572000000001</c:v>
                </c:pt>
                <c:pt idx="770">
                  <c:v>101.10411000000001</c:v>
                </c:pt>
                <c:pt idx="771">
                  <c:v>101.08929000000001</c:v>
                </c:pt>
                <c:pt idx="772">
                  <c:v>101.09547999999999</c:v>
                </c:pt>
                <c:pt idx="773">
                  <c:v>101.08324</c:v>
                </c:pt>
                <c:pt idx="774">
                  <c:v>101.08951999999999</c:v>
                </c:pt>
                <c:pt idx="775">
                  <c:v>101.11214</c:v>
                </c:pt>
                <c:pt idx="776">
                  <c:v>101.10002</c:v>
                </c:pt>
                <c:pt idx="777">
                  <c:v>101.12081999999999</c:v>
                </c:pt>
                <c:pt idx="778">
                  <c:v>101.08338000000001</c:v>
                </c:pt>
                <c:pt idx="779">
                  <c:v>101.08969999999999</c:v>
                </c:pt>
                <c:pt idx="780">
                  <c:v>101.07268999999999</c:v>
                </c:pt>
                <c:pt idx="781">
                  <c:v>101.06652</c:v>
                </c:pt>
                <c:pt idx="782">
                  <c:v>101.07080000000001</c:v>
                </c:pt>
                <c:pt idx="783">
                  <c:v>101.08723000000001</c:v>
                </c:pt>
                <c:pt idx="784">
                  <c:v>101.06952</c:v>
                </c:pt>
                <c:pt idx="785">
                  <c:v>101.07113</c:v>
                </c:pt>
                <c:pt idx="786">
                  <c:v>101.08763</c:v>
                </c:pt>
                <c:pt idx="787">
                  <c:v>101.06886</c:v>
                </c:pt>
                <c:pt idx="788">
                  <c:v>101.08341</c:v>
                </c:pt>
                <c:pt idx="789">
                  <c:v>101.07306</c:v>
                </c:pt>
                <c:pt idx="790">
                  <c:v>101.06868</c:v>
                </c:pt>
                <c:pt idx="791">
                  <c:v>101.06253</c:v>
                </c:pt>
                <c:pt idx="792">
                  <c:v>101.05653</c:v>
                </c:pt>
                <c:pt idx="793">
                  <c:v>101.06283999999999</c:v>
                </c:pt>
                <c:pt idx="794">
                  <c:v>101.0463</c:v>
                </c:pt>
                <c:pt idx="795">
                  <c:v>101.05844999999999</c:v>
                </c:pt>
                <c:pt idx="796">
                  <c:v>101.05853</c:v>
                </c:pt>
                <c:pt idx="797">
                  <c:v>101.03375</c:v>
                </c:pt>
                <c:pt idx="798">
                  <c:v>101.04816</c:v>
                </c:pt>
                <c:pt idx="799">
                  <c:v>101.03617</c:v>
                </c:pt>
                <c:pt idx="800">
                  <c:v>101.0318</c:v>
                </c:pt>
                <c:pt idx="801">
                  <c:v>101.0275</c:v>
                </c:pt>
                <c:pt idx="802">
                  <c:v>101.0378</c:v>
                </c:pt>
                <c:pt idx="803">
                  <c:v>101.01730999999999</c:v>
                </c:pt>
                <c:pt idx="804">
                  <c:v>101.02325999999999</c:v>
                </c:pt>
                <c:pt idx="805">
                  <c:v>101.04423</c:v>
                </c:pt>
                <c:pt idx="806">
                  <c:v>101.03740999999999</c:v>
                </c:pt>
                <c:pt idx="807">
                  <c:v>101.02759</c:v>
                </c:pt>
                <c:pt idx="808">
                  <c:v>101.03552999999999</c:v>
                </c:pt>
                <c:pt idx="809">
                  <c:v>101.04832</c:v>
                </c:pt>
                <c:pt idx="810">
                  <c:v>101.03162</c:v>
                </c:pt>
                <c:pt idx="811">
                  <c:v>101.05813999999999</c:v>
                </c:pt>
                <c:pt idx="812">
                  <c:v>101.03332</c:v>
                </c:pt>
                <c:pt idx="813">
                  <c:v>101.03372</c:v>
                </c:pt>
                <c:pt idx="814">
                  <c:v>101.03166</c:v>
                </c:pt>
                <c:pt idx="815">
                  <c:v>101.03989</c:v>
                </c:pt>
                <c:pt idx="816">
                  <c:v>101.04008</c:v>
                </c:pt>
                <c:pt idx="817">
                  <c:v>101.02145</c:v>
                </c:pt>
                <c:pt idx="818">
                  <c:v>101.02972</c:v>
                </c:pt>
                <c:pt idx="819">
                  <c:v>101.05025999999999</c:v>
                </c:pt>
                <c:pt idx="820">
                  <c:v>101.03189999999999</c:v>
                </c:pt>
                <c:pt idx="821">
                  <c:v>101.02727</c:v>
                </c:pt>
                <c:pt idx="822">
                  <c:v>101.02376</c:v>
                </c:pt>
                <c:pt idx="823">
                  <c:v>101.03758000000001</c:v>
                </c:pt>
                <c:pt idx="824">
                  <c:v>101.02351</c:v>
                </c:pt>
                <c:pt idx="825">
                  <c:v>101.00479</c:v>
                </c:pt>
                <c:pt idx="826">
                  <c:v>101.02768999999999</c:v>
                </c:pt>
                <c:pt idx="827">
                  <c:v>100.999</c:v>
                </c:pt>
                <c:pt idx="828">
                  <c:v>101.01297</c:v>
                </c:pt>
                <c:pt idx="829">
                  <c:v>101.0196</c:v>
                </c:pt>
                <c:pt idx="830">
                  <c:v>101.01485</c:v>
                </c:pt>
                <c:pt idx="831">
                  <c:v>101.01486</c:v>
                </c:pt>
                <c:pt idx="832">
                  <c:v>100.99655</c:v>
                </c:pt>
                <c:pt idx="833">
                  <c:v>100.99673</c:v>
                </c:pt>
                <c:pt idx="834">
                  <c:v>101.00467</c:v>
                </c:pt>
                <c:pt idx="835">
                  <c:v>100.98631999999999</c:v>
                </c:pt>
                <c:pt idx="836">
                  <c:v>100.99249999999999</c:v>
                </c:pt>
                <c:pt idx="837">
                  <c:v>100.99042</c:v>
                </c:pt>
                <c:pt idx="838">
                  <c:v>100.99034</c:v>
                </c:pt>
                <c:pt idx="839">
                  <c:v>100.97776999999999</c:v>
                </c:pt>
                <c:pt idx="840">
                  <c:v>101.00466</c:v>
                </c:pt>
                <c:pt idx="841">
                  <c:v>100.98424</c:v>
                </c:pt>
                <c:pt idx="842">
                  <c:v>100.96545</c:v>
                </c:pt>
                <c:pt idx="843">
                  <c:v>100.97563</c:v>
                </c:pt>
                <c:pt idx="844">
                  <c:v>100.97963</c:v>
                </c:pt>
                <c:pt idx="845">
                  <c:v>100.97593999999999</c:v>
                </c:pt>
                <c:pt idx="846">
                  <c:v>100.9658</c:v>
                </c:pt>
                <c:pt idx="847">
                  <c:v>100.96984999999999</c:v>
                </c:pt>
                <c:pt idx="848">
                  <c:v>100.97373999999999</c:v>
                </c:pt>
                <c:pt idx="849">
                  <c:v>100.99231</c:v>
                </c:pt>
                <c:pt idx="850">
                  <c:v>100.97995</c:v>
                </c:pt>
                <c:pt idx="851">
                  <c:v>100.98842999999999</c:v>
                </c:pt>
                <c:pt idx="852">
                  <c:v>100.98182</c:v>
                </c:pt>
                <c:pt idx="853">
                  <c:v>100.99424999999999</c:v>
                </c:pt>
                <c:pt idx="854">
                  <c:v>101.00697</c:v>
                </c:pt>
                <c:pt idx="855">
                  <c:v>100.98824999999999</c:v>
                </c:pt>
                <c:pt idx="856">
                  <c:v>100.99239</c:v>
                </c:pt>
                <c:pt idx="857">
                  <c:v>100.98394999999999</c:v>
                </c:pt>
                <c:pt idx="858">
                  <c:v>100.99674</c:v>
                </c:pt>
                <c:pt idx="859">
                  <c:v>100.96957</c:v>
                </c:pt>
                <c:pt idx="860">
                  <c:v>100.99632</c:v>
                </c:pt>
                <c:pt idx="861">
                  <c:v>100.98011</c:v>
                </c:pt>
                <c:pt idx="862">
                  <c:v>100.99646</c:v>
                </c:pt>
                <c:pt idx="863">
                  <c:v>100.98792</c:v>
                </c:pt>
                <c:pt idx="864">
                  <c:v>100.99028</c:v>
                </c:pt>
                <c:pt idx="865">
                  <c:v>100.9821</c:v>
                </c:pt>
                <c:pt idx="866">
                  <c:v>100.99679999999999</c:v>
                </c:pt>
                <c:pt idx="867">
                  <c:v>100.99646</c:v>
                </c:pt>
                <c:pt idx="868">
                  <c:v>100.97775</c:v>
                </c:pt>
                <c:pt idx="869">
                  <c:v>100.95729</c:v>
                </c:pt>
                <c:pt idx="870">
                  <c:v>100.98827</c:v>
                </c:pt>
                <c:pt idx="871">
                  <c:v>100.97174</c:v>
                </c:pt>
                <c:pt idx="872">
                  <c:v>100.96527999999999</c:v>
                </c:pt>
                <c:pt idx="873">
                  <c:v>100.96747999999999</c:v>
                </c:pt>
                <c:pt idx="874">
                  <c:v>100.95348</c:v>
                </c:pt>
                <c:pt idx="875">
                  <c:v>100.97203</c:v>
                </c:pt>
                <c:pt idx="876">
                  <c:v>100.96766</c:v>
                </c:pt>
                <c:pt idx="877">
                  <c:v>100.96764</c:v>
                </c:pt>
                <c:pt idx="878">
                  <c:v>100.96123</c:v>
                </c:pt>
                <c:pt idx="879">
                  <c:v>100.97803999999999</c:v>
                </c:pt>
                <c:pt idx="880">
                  <c:v>100.97163999999999</c:v>
                </c:pt>
                <c:pt idx="881">
                  <c:v>100.96572</c:v>
                </c:pt>
                <c:pt idx="882">
                  <c:v>100.96758</c:v>
                </c:pt>
                <c:pt idx="883">
                  <c:v>100.96559000000001</c:v>
                </c:pt>
                <c:pt idx="884">
                  <c:v>100.96359</c:v>
                </c:pt>
                <c:pt idx="885">
                  <c:v>100.95746</c:v>
                </c:pt>
                <c:pt idx="886">
                  <c:v>100.95478</c:v>
                </c:pt>
                <c:pt idx="887">
                  <c:v>100.94074999999999</c:v>
                </c:pt>
                <c:pt idx="888">
                  <c:v>100.93465999999999</c:v>
                </c:pt>
                <c:pt idx="889">
                  <c:v>100.94107</c:v>
                </c:pt>
                <c:pt idx="890">
                  <c:v>100.94065999999999</c:v>
                </c:pt>
                <c:pt idx="891">
                  <c:v>100.96556</c:v>
                </c:pt>
                <c:pt idx="892">
                  <c:v>100.95542</c:v>
                </c:pt>
                <c:pt idx="893">
                  <c:v>100.95755</c:v>
                </c:pt>
                <c:pt idx="894">
                  <c:v>100.94701999999999</c:v>
                </c:pt>
                <c:pt idx="895">
                  <c:v>100.94280999999999</c:v>
                </c:pt>
                <c:pt idx="896">
                  <c:v>100.96156999999999</c:v>
                </c:pt>
                <c:pt idx="897">
                  <c:v>100.96343</c:v>
                </c:pt>
                <c:pt idx="898">
                  <c:v>100.95962</c:v>
                </c:pt>
                <c:pt idx="899">
                  <c:v>100.95950999999999</c:v>
                </c:pt>
                <c:pt idx="900">
                  <c:v>100.96348</c:v>
                </c:pt>
                <c:pt idx="901">
                  <c:v>100.94278</c:v>
                </c:pt>
                <c:pt idx="902">
                  <c:v>100.95701</c:v>
                </c:pt>
                <c:pt idx="903">
                  <c:v>100.92974</c:v>
                </c:pt>
                <c:pt idx="904">
                  <c:v>100.94112</c:v>
                </c:pt>
                <c:pt idx="905">
                  <c:v>100.94047</c:v>
                </c:pt>
                <c:pt idx="906">
                  <c:v>100.94468999999999</c:v>
                </c:pt>
                <c:pt idx="907">
                  <c:v>100.93474000000001</c:v>
                </c:pt>
                <c:pt idx="908">
                  <c:v>100.93883</c:v>
                </c:pt>
                <c:pt idx="909">
                  <c:v>100.92643</c:v>
                </c:pt>
                <c:pt idx="910">
                  <c:v>100.94096</c:v>
                </c:pt>
                <c:pt idx="911">
                  <c:v>100.93854999999999</c:v>
                </c:pt>
                <c:pt idx="912">
                  <c:v>100.95765</c:v>
                </c:pt>
                <c:pt idx="913">
                  <c:v>100.93044999999999</c:v>
                </c:pt>
                <c:pt idx="914">
                  <c:v>100.95317</c:v>
                </c:pt>
                <c:pt idx="915">
                  <c:v>100.953</c:v>
                </c:pt>
                <c:pt idx="916">
                  <c:v>100.93671000000001</c:v>
                </c:pt>
                <c:pt idx="917">
                  <c:v>100.93082</c:v>
                </c:pt>
                <c:pt idx="918">
                  <c:v>100.9693</c:v>
                </c:pt>
                <c:pt idx="919">
                  <c:v>100.94504999999999</c:v>
                </c:pt>
                <c:pt idx="920">
                  <c:v>100.95335</c:v>
                </c:pt>
                <c:pt idx="921">
                  <c:v>100.95126</c:v>
                </c:pt>
                <c:pt idx="922">
                  <c:v>100.94698</c:v>
                </c:pt>
                <c:pt idx="923">
                  <c:v>100.93684</c:v>
                </c:pt>
                <c:pt idx="924">
                  <c:v>100.95934</c:v>
                </c:pt>
                <c:pt idx="925">
                  <c:v>100.95294</c:v>
                </c:pt>
                <c:pt idx="926">
                  <c:v>100.96755</c:v>
                </c:pt>
                <c:pt idx="927">
                  <c:v>100.96979999999999</c:v>
                </c:pt>
                <c:pt idx="928">
                  <c:v>100.96777</c:v>
                </c:pt>
                <c:pt idx="929">
                  <c:v>100.96541000000001</c:v>
                </c:pt>
                <c:pt idx="930">
                  <c:v>100.96768</c:v>
                </c:pt>
                <c:pt idx="931">
                  <c:v>100.95742</c:v>
                </c:pt>
                <c:pt idx="932">
                  <c:v>100.95296999999999</c:v>
                </c:pt>
                <c:pt idx="933">
                  <c:v>100.95544</c:v>
                </c:pt>
                <c:pt idx="934">
                  <c:v>100.94889999999999</c:v>
                </c:pt>
                <c:pt idx="935">
                  <c:v>100.95954</c:v>
                </c:pt>
                <c:pt idx="936">
                  <c:v>100.96369</c:v>
                </c:pt>
                <c:pt idx="937">
                  <c:v>100.95688</c:v>
                </c:pt>
                <c:pt idx="938">
                  <c:v>100.9637</c:v>
                </c:pt>
                <c:pt idx="939">
                  <c:v>100.96151999999999</c:v>
                </c:pt>
                <c:pt idx="940">
                  <c:v>100.95129</c:v>
                </c:pt>
                <c:pt idx="941">
                  <c:v>100.9387</c:v>
                </c:pt>
                <c:pt idx="942">
                  <c:v>100.93637</c:v>
                </c:pt>
                <c:pt idx="943">
                  <c:v>100.94495999999999</c:v>
                </c:pt>
                <c:pt idx="944">
                  <c:v>100.95719</c:v>
                </c:pt>
                <c:pt idx="945">
                  <c:v>100.93074</c:v>
                </c:pt>
                <c:pt idx="946">
                  <c:v>100.94493</c:v>
                </c:pt>
                <c:pt idx="947">
                  <c:v>100.94682</c:v>
                </c:pt>
                <c:pt idx="948">
                  <c:v>100.9409</c:v>
                </c:pt>
                <c:pt idx="949">
                  <c:v>100.94686</c:v>
                </c:pt>
                <c:pt idx="950">
                  <c:v>100.94916000000001</c:v>
                </c:pt>
                <c:pt idx="951">
                  <c:v>100.95132</c:v>
                </c:pt>
                <c:pt idx="952">
                  <c:v>100.97</c:v>
                </c:pt>
                <c:pt idx="953">
                  <c:v>100.93446</c:v>
                </c:pt>
                <c:pt idx="954">
                  <c:v>100.92648</c:v>
                </c:pt>
                <c:pt idx="955">
                  <c:v>100.95959000000001</c:v>
                </c:pt>
                <c:pt idx="956">
                  <c:v>100.93065</c:v>
                </c:pt>
                <c:pt idx="957">
                  <c:v>100.95362</c:v>
                </c:pt>
                <c:pt idx="958">
                  <c:v>100.94896</c:v>
                </c:pt>
                <c:pt idx="959">
                  <c:v>100.953</c:v>
                </c:pt>
                <c:pt idx="960">
                  <c:v>100.94065999999999</c:v>
                </c:pt>
                <c:pt idx="961">
                  <c:v>100.9367</c:v>
                </c:pt>
                <c:pt idx="962">
                  <c:v>100.9449</c:v>
                </c:pt>
                <c:pt idx="963">
                  <c:v>100.95724</c:v>
                </c:pt>
                <c:pt idx="964">
                  <c:v>100.94089</c:v>
                </c:pt>
                <c:pt idx="965">
                  <c:v>100.94723999999999</c:v>
                </c:pt>
                <c:pt idx="966">
                  <c:v>100.94714999999999</c:v>
                </c:pt>
                <c:pt idx="967">
                  <c:v>100.95108999999999</c:v>
                </c:pt>
                <c:pt idx="968">
                  <c:v>100.94887</c:v>
                </c:pt>
                <c:pt idx="969">
                  <c:v>100.93464</c:v>
                </c:pt>
                <c:pt idx="970">
                  <c:v>100.93239</c:v>
                </c:pt>
                <c:pt idx="971">
                  <c:v>100.94489</c:v>
                </c:pt>
                <c:pt idx="972">
                  <c:v>100.94467</c:v>
                </c:pt>
                <c:pt idx="973">
                  <c:v>100.96596</c:v>
                </c:pt>
                <c:pt idx="974">
                  <c:v>100.96344999999999</c:v>
                </c:pt>
                <c:pt idx="975">
                  <c:v>100.94253</c:v>
                </c:pt>
                <c:pt idx="976">
                  <c:v>100.94905</c:v>
                </c:pt>
                <c:pt idx="977">
                  <c:v>100.93872999999999</c:v>
                </c:pt>
                <c:pt idx="978">
                  <c:v>100.92639</c:v>
                </c:pt>
                <c:pt idx="979">
                  <c:v>100.94905</c:v>
                </c:pt>
                <c:pt idx="980">
                  <c:v>100.94712</c:v>
                </c:pt>
                <c:pt idx="981">
                  <c:v>100.95313</c:v>
                </c:pt>
                <c:pt idx="982">
                  <c:v>100.93451</c:v>
                </c:pt>
                <c:pt idx="983">
                  <c:v>100.93261</c:v>
                </c:pt>
                <c:pt idx="984">
                  <c:v>100.94116</c:v>
                </c:pt>
                <c:pt idx="985">
                  <c:v>100.93489</c:v>
                </c:pt>
                <c:pt idx="986">
                  <c:v>100.9469</c:v>
                </c:pt>
                <c:pt idx="987">
                  <c:v>100.95499</c:v>
                </c:pt>
                <c:pt idx="988">
                  <c:v>100.95308</c:v>
                </c:pt>
                <c:pt idx="989">
                  <c:v>100.94463999999999</c:v>
                </c:pt>
                <c:pt idx="990">
                  <c:v>100.94118</c:v>
                </c:pt>
                <c:pt idx="991">
                  <c:v>100.93071</c:v>
                </c:pt>
                <c:pt idx="992">
                  <c:v>100.93854999999999</c:v>
                </c:pt>
                <c:pt idx="993">
                  <c:v>100.94674999999999</c:v>
                </c:pt>
                <c:pt idx="994">
                  <c:v>100.95909999999999</c:v>
                </c:pt>
                <c:pt idx="995">
                  <c:v>100.92809</c:v>
                </c:pt>
                <c:pt idx="996">
                  <c:v>100.97357</c:v>
                </c:pt>
                <c:pt idx="997">
                  <c:v>100.93637</c:v>
                </c:pt>
                <c:pt idx="998">
                  <c:v>100.947</c:v>
                </c:pt>
                <c:pt idx="999">
                  <c:v>100.93875</c:v>
                </c:pt>
                <c:pt idx="1000">
                  <c:v>100.9156</c:v>
                </c:pt>
                <c:pt idx="1001">
                  <c:v>100.94472999999999</c:v>
                </c:pt>
                <c:pt idx="1002">
                  <c:v>100.94535999999999</c:v>
                </c:pt>
                <c:pt idx="1003">
                  <c:v>100.95545</c:v>
                </c:pt>
                <c:pt idx="1004">
                  <c:v>100.95529999999999</c:v>
                </c:pt>
                <c:pt idx="1005">
                  <c:v>100.9533</c:v>
                </c:pt>
                <c:pt idx="1006">
                  <c:v>100.9569</c:v>
                </c:pt>
                <c:pt idx="1007">
                  <c:v>100.94718</c:v>
                </c:pt>
                <c:pt idx="1008">
                  <c:v>100.93679</c:v>
                </c:pt>
                <c:pt idx="1009">
                  <c:v>100.92646999999999</c:v>
                </c:pt>
                <c:pt idx="1010">
                  <c:v>100.92836</c:v>
                </c:pt>
                <c:pt idx="1011">
                  <c:v>100.92246</c:v>
                </c:pt>
                <c:pt idx="1012">
                  <c:v>100.93423</c:v>
                </c:pt>
                <c:pt idx="1013">
                  <c:v>100.92224</c:v>
                </c:pt>
                <c:pt idx="1014">
                  <c:v>100.9387</c:v>
                </c:pt>
                <c:pt idx="1015">
                  <c:v>100.94462</c:v>
                </c:pt>
                <c:pt idx="1016">
                  <c:v>100.92878</c:v>
                </c:pt>
                <c:pt idx="1017">
                  <c:v>100.93478</c:v>
                </c:pt>
                <c:pt idx="1018">
                  <c:v>100.94092000000001</c:v>
                </c:pt>
                <c:pt idx="1019">
                  <c:v>100.95295</c:v>
                </c:pt>
                <c:pt idx="1020">
                  <c:v>100.94490999999999</c:v>
                </c:pt>
                <c:pt idx="1021">
                  <c:v>100.93702</c:v>
                </c:pt>
                <c:pt idx="1022">
                  <c:v>100.94893</c:v>
                </c:pt>
                <c:pt idx="1023">
                  <c:v>100.93019</c:v>
                </c:pt>
                <c:pt idx="1024">
                  <c:v>100.95097</c:v>
                </c:pt>
                <c:pt idx="1025">
                  <c:v>100.93666</c:v>
                </c:pt>
                <c:pt idx="1026">
                  <c:v>100.93868000000001</c:v>
                </c:pt>
                <c:pt idx="1027">
                  <c:v>100.94502</c:v>
                </c:pt>
                <c:pt idx="1028">
                  <c:v>100.93472</c:v>
                </c:pt>
                <c:pt idx="1029">
                  <c:v>100.95538999999999</c:v>
                </c:pt>
                <c:pt idx="1030">
                  <c:v>100.94171</c:v>
                </c:pt>
                <c:pt idx="1031">
                  <c:v>100.94277</c:v>
                </c:pt>
                <c:pt idx="1032">
                  <c:v>100.95712</c:v>
                </c:pt>
                <c:pt idx="1033">
                  <c:v>100.95947</c:v>
                </c:pt>
                <c:pt idx="1034">
                  <c:v>100.9468</c:v>
                </c:pt>
                <c:pt idx="1035">
                  <c:v>100.92421</c:v>
                </c:pt>
                <c:pt idx="1036">
                  <c:v>100.94223</c:v>
                </c:pt>
                <c:pt idx="1037">
                  <c:v>100.96975</c:v>
                </c:pt>
                <c:pt idx="1038">
                  <c:v>100.93071999999999</c:v>
                </c:pt>
                <c:pt idx="1039">
                  <c:v>100.96393999999999</c:v>
                </c:pt>
                <c:pt idx="1040">
                  <c:v>100.94286</c:v>
                </c:pt>
                <c:pt idx="1041">
                  <c:v>100.95522</c:v>
                </c:pt>
                <c:pt idx="1042">
                  <c:v>100.96356</c:v>
                </c:pt>
                <c:pt idx="1043">
                  <c:v>100.94304</c:v>
                </c:pt>
                <c:pt idx="1044">
                  <c:v>100.96532999999999</c:v>
                </c:pt>
                <c:pt idx="1045">
                  <c:v>100.91422</c:v>
                </c:pt>
                <c:pt idx="1046">
                  <c:v>100.94123999999999</c:v>
                </c:pt>
                <c:pt idx="1047">
                  <c:v>100.93867</c:v>
                </c:pt>
                <c:pt idx="1048">
                  <c:v>100.94342</c:v>
                </c:pt>
                <c:pt idx="1049">
                  <c:v>100.95524</c:v>
                </c:pt>
                <c:pt idx="1050">
                  <c:v>100.94704</c:v>
                </c:pt>
                <c:pt idx="1051">
                  <c:v>100.9554</c:v>
                </c:pt>
                <c:pt idx="1052">
                  <c:v>100.95945999999999</c:v>
                </c:pt>
                <c:pt idx="1053">
                  <c:v>100.96568000000001</c:v>
                </c:pt>
                <c:pt idx="1054">
                  <c:v>100.94713</c:v>
                </c:pt>
                <c:pt idx="1055">
                  <c:v>100.9674</c:v>
                </c:pt>
                <c:pt idx="1056">
                  <c:v>100.93250999999999</c:v>
                </c:pt>
                <c:pt idx="1057">
                  <c:v>100.93871</c:v>
                </c:pt>
                <c:pt idx="1058">
                  <c:v>100.94709</c:v>
                </c:pt>
                <c:pt idx="1059">
                  <c:v>100.93239</c:v>
                </c:pt>
                <c:pt idx="1060">
                  <c:v>100.94687999999999</c:v>
                </c:pt>
                <c:pt idx="1061">
                  <c:v>100.93255000000001</c:v>
                </c:pt>
                <c:pt idx="1062">
                  <c:v>100.93665</c:v>
                </c:pt>
                <c:pt idx="1063">
                  <c:v>100.94063</c:v>
                </c:pt>
                <c:pt idx="1064">
                  <c:v>100.94266999999999</c:v>
                </c:pt>
                <c:pt idx="1065">
                  <c:v>100.93259</c:v>
                </c:pt>
                <c:pt idx="1066">
                  <c:v>100.93702999999999</c:v>
                </c:pt>
                <c:pt idx="1067">
                  <c:v>100.93075</c:v>
                </c:pt>
                <c:pt idx="1068">
                  <c:v>100.9425</c:v>
                </c:pt>
                <c:pt idx="1069">
                  <c:v>100.94108</c:v>
                </c:pt>
                <c:pt idx="1070">
                  <c:v>100.95292999999999</c:v>
                </c:pt>
                <c:pt idx="1071">
                  <c:v>100.95949</c:v>
                </c:pt>
                <c:pt idx="1072">
                  <c:v>100.93904999999999</c:v>
                </c:pt>
                <c:pt idx="1073">
                  <c:v>100.92833</c:v>
                </c:pt>
                <c:pt idx="1074">
                  <c:v>100.93411</c:v>
                </c:pt>
                <c:pt idx="1075">
                  <c:v>100.93486</c:v>
                </c:pt>
                <c:pt idx="1076">
                  <c:v>100.93513</c:v>
                </c:pt>
                <c:pt idx="1077">
                  <c:v>100.95316</c:v>
                </c:pt>
                <c:pt idx="1078">
                  <c:v>100.96189</c:v>
                </c:pt>
                <c:pt idx="1079">
                  <c:v>100.94304</c:v>
                </c:pt>
                <c:pt idx="1080">
                  <c:v>100.93191</c:v>
                </c:pt>
                <c:pt idx="1081">
                  <c:v>100.94495000000001</c:v>
                </c:pt>
                <c:pt idx="1082">
                  <c:v>100.95341000000001</c:v>
                </c:pt>
                <c:pt idx="1083">
                  <c:v>100.96357999999999</c:v>
                </c:pt>
                <c:pt idx="1084">
                  <c:v>100.95941000000001</c:v>
                </c:pt>
                <c:pt idx="1085">
                  <c:v>100.96550000000001</c:v>
                </c:pt>
                <c:pt idx="1086">
                  <c:v>100.95741</c:v>
                </c:pt>
                <c:pt idx="1087">
                  <c:v>100.97185999999999</c:v>
                </c:pt>
                <c:pt idx="1088">
                  <c:v>100.95484999999999</c:v>
                </c:pt>
                <c:pt idx="1089">
                  <c:v>100.96979999999999</c:v>
                </c:pt>
                <c:pt idx="1090">
                  <c:v>100.96306</c:v>
                </c:pt>
                <c:pt idx="1091">
                  <c:v>100.97581</c:v>
                </c:pt>
                <c:pt idx="1092">
                  <c:v>100.98433</c:v>
                </c:pt>
                <c:pt idx="1093">
                  <c:v>100.96557</c:v>
                </c:pt>
                <c:pt idx="1094">
                  <c:v>100.96123</c:v>
                </c:pt>
                <c:pt idx="1095">
                  <c:v>100.98607</c:v>
                </c:pt>
                <c:pt idx="1096">
                  <c:v>100.9927</c:v>
                </c:pt>
                <c:pt idx="1097">
                  <c:v>100.99263000000001</c:v>
                </c:pt>
                <c:pt idx="1098">
                  <c:v>100.98665</c:v>
                </c:pt>
                <c:pt idx="1099">
                  <c:v>100.98598</c:v>
                </c:pt>
                <c:pt idx="1100">
                  <c:v>100.97165</c:v>
                </c:pt>
                <c:pt idx="1101">
                  <c:v>100.97595</c:v>
                </c:pt>
                <c:pt idx="1102">
                  <c:v>100.97812999999999</c:v>
                </c:pt>
                <c:pt idx="1103">
                  <c:v>100.97194999999999</c:v>
                </c:pt>
                <c:pt idx="1104">
                  <c:v>100.99845000000001</c:v>
                </c:pt>
                <c:pt idx="1105">
                  <c:v>100.98202000000001</c:v>
                </c:pt>
                <c:pt idx="1106">
                  <c:v>100.97570999999999</c:v>
                </c:pt>
                <c:pt idx="1107">
                  <c:v>100.97765</c:v>
                </c:pt>
                <c:pt idx="1108">
                  <c:v>100.99421</c:v>
                </c:pt>
                <c:pt idx="1109">
                  <c:v>100.96969</c:v>
                </c:pt>
                <c:pt idx="1110">
                  <c:v>100.99419</c:v>
                </c:pt>
                <c:pt idx="1111">
                  <c:v>101.00707</c:v>
                </c:pt>
                <c:pt idx="1112">
                  <c:v>101.00279</c:v>
                </c:pt>
                <c:pt idx="1113">
                  <c:v>101.00091999999999</c:v>
                </c:pt>
                <c:pt idx="1114">
                  <c:v>100.99647</c:v>
                </c:pt>
                <c:pt idx="1115">
                  <c:v>100.98967999999999</c:v>
                </c:pt>
                <c:pt idx="1116">
                  <c:v>100.9885</c:v>
                </c:pt>
                <c:pt idx="1117">
                  <c:v>101.00055999999999</c:v>
                </c:pt>
                <c:pt idx="1118">
                  <c:v>101.01697</c:v>
                </c:pt>
                <c:pt idx="1119">
                  <c:v>101.01084</c:v>
                </c:pt>
                <c:pt idx="1120">
                  <c:v>101.01734999999999</c:v>
                </c:pt>
                <c:pt idx="1121">
                  <c:v>101.02112</c:v>
                </c:pt>
                <c:pt idx="1122">
                  <c:v>101.00703</c:v>
                </c:pt>
                <c:pt idx="1123">
                  <c:v>101.00068</c:v>
                </c:pt>
                <c:pt idx="1124">
                  <c:v>101.01161</c:v>
                </c:pt>
                <c:pt idx="1125">
                  <c:v>100.99918</c:v>
                </c:pt>
                <c:pt idx="1126">
                  <c:v>101.0132</c:v>
                </c:pt>
                <c:pt idx="1127">
                  <c:v>101.02358</c:v>
                </c:pt>
                <c:pt idx="1128">
                  <c:v>101.03961</c:v>
                </c:pt>
                <c:pt idx="1129">
                  <c:v>101.02745</c:v>
                </c:pt>
                <c:pt idx="1130">
                  <c:v>101.02077</c:v>
                </c:pt>
                <c:pt idx="1131">
                  <c:v>101.04774</c:v>
                </c:pt>
                <c:pt idx="1132">
                  <c:v>101.02786</c:v>
                </c:pt>
                <c:pt idx="1133">
                  <c:v>101.05880999999999</c:v>
                </c:pt>
                <c:pt idx="1134">
                  <c:v>101.02768999999999</c:v>
                </c:pt>
                <c:pt idx="1135">
                  <c:v>101.04798</c:v>
                </c:pt>
                <c:pt idx="1136">
                  <c:v>101.05837</c:v>
                </c:pt>
                <c:pt idx="1137">
                  <c:v>101.04177</c:v>
                </c:pt>
                <c:pt idx="1138">
                  <c:v>101.03377</c:v>
                </c:pt>
                <c:pt idx="1139">
                  <c:v>101.03376</c:v>
                </c:pt>
                <c:pt idx="1140">
                  <c:v>101.04210999999999</c:v>
                </c:pt>
                <c:pt idx="1141">
                  <c:v>101.04634</c:v>
                </c:pt>
                <c:pt idx="1142">
                  <c:v>101.03807</c:v>
                </c:pt>
                <c:pt idx="1143">
                  <c:v>101.05628</c:v>
                </c:pt>
                <c:pt idx="1144">
                  <c:v>101.03789999999999</c:v>
                </c:pt>
                <c:pt idx="1145">
                  <c:v>101.04823</c:v>
                </c:pt>
                <c:pt idx="1146">
                  <c:v>101.02695</c:v>
                </c:pt>
                <c:pt idx="1147">
                  <c:v>101.04207</c:v>
                </c:pt>
                <c:pt idx="1148">
                  <c:v>101.04658999999999</c:v>
                </c:pt>
                <c:pt idx="1149">
                  <c:v>101.02562999999999</c:v>
                </c:pt>
                <c:pt idx="1150">
                  <c:v>101.04810999999999</c:v>
                </c:pt>
                <c:pt idx="1151">
                  <c:v>101.04593</c:v>
                </c:pt>
                <c:pt idx="1152">
                  <c:v>101.04415</c:v>
                </c:pt>
                <c:pt idx="1153">
                  <c:v>101.06271</c:v>
                </c:pt>
                <c:pt idx="1154">
                  <c:v>101.03375</c:v>
                </c:pt>
                <c:pt idx="1155">
                  <c:v>101.04129</c:v>
                </c:pt>
                <c:pt idx="1156">
                  <c:v>101.04622999999999</c:v>
                </c:pt>
                <c:pt idx="1157">
                  <c:v>101.04805999999999</c:v>
                </c:pt>
                <c:pt idx="1158">
                  <c:v>101.06057</c:v>
                </c:pt>
                <c:pt idx="1159">
                  <c:v>101.07102999999999</c:v>
                </c:pt>
                <c:pt idx="1160">
                  <c:v>101.06864</c:v>
                </c:pt>
                <c:pt idx="1161">
                  <c:v>101.05831999999999</c:v>
                </c:pt>
                <c:pt idx="1162">
                  <c:v>101.09193</c:v>
                </c:pt>
                <c:pt idx="1163">
                  <c:v>101.06264</c:v>
                </c:pt>
                <c:pt idx="1164">
                  <c:v>101.07494</c:v>
                </c:pt>
                <c:pt idx="1165">
                  <c:v>101.05656999999999</c:v>
                </c:pt>
                <c:pt idx="1166">
                  <c:v>101.06256999999999</c:v>
                </c:pt>
                <c:pt idx="1167">
                  <c:v>101.08754</c:v>
                </c:pt>
                <c:pt idx="1168">
                  <c:v>101.07709</c:v>
                </c:pt>
                <c:pt idx="1169">
                  <c:v>101.08329999999999</c:v>
                </c:pt>
                <c:pt idx="1170">
                  <c:v>101.07290999999999</c:v>
                </c:pt>
                <c:pt idx="1171">
                  <c:v>101.08924999999999</c:v>
                </c:pt>
                <c:pt idx="1172">
                  <c:v>101.07509</c:v>
                </c:pt>
                <c:pt idx="1173">
                  <c:v>101.09966</c:v>
                </c:pt>
                <c:pt idx="1174">
                  <c:v>101.10655</c:v>
                </c:pt>
                <c:pt idx="1175">
                  <c:v>101.08936</c:v>
                </c:pt>
                <c:pt idx="1176">
                  <c:v>101.10571</c:v>
                </c:pt>
                <c:pt idx="1177">
                  <c:v>101.10198</c:v>
                </c:pt>
                <c:pt idx="1178">
                  <c:v>101.11028</c:v>
                </c:pt>
                <c:pt idx="1179">
                  <c:v>101.11011999999999</c:v>
                </c:pt>
                <c:pt idx="1180">
                  <c:v>101.11015999999999</c:v>
                </c:pt>
                <c:pt idx="1181">
                  <c:v>101.09925</c:v>
                </c:pt>
                <c:pt idx="1182">
                  <c:v>101.12034</c:v>
                </c:pt>
                <c:pt idx="1183">
                  <c:v>101.11821</c:v>
                </c:pt>
                <c:pt idx="1184">
                  <c:v>101.11583</c:v>
                </c:pt>
                <c:pt idx="1185">
                  <c:v>101.12696</c:v>
                </c:pt>
                <c:pt idx="1186">
                  <c:v>101.10258</c:v>
                </c:pt>
                <c:pt idx="1187">
                  <c:v>101.11854</c:v>
                </c:pt>
                <c:pt idx="1188">
                  <c:v>101.11237</c:v>
                </c:pt>
                <c:pt idx="1189">
                  <c:v>101.1267</c:v>
                </c:pt>
                <c:pt idx="1190">
                  <c:v>101.10599999999999</c:v>
                </c:pt>
                <c:pt idx="1191">
                  <c:v>101.13103</c:v>
                </c:pt>
                <c:pt idx="1192">
                  <c:v>101.10003999999999</c:v>
                </c:pt>
                <c:pt idx="1193">
                  <c:v>101.12457000000001</c:v>
                </c:pt>
                <c:pt idx="1194">
                  <c:v>101.11001</c:v>
                </c:pt>
                <c:pt idx="1195">
                  <c:v>101.12448999999999</c:v>
                </c:pt>
                <c:pt idx="1196">
                  <c:v>101.11689</c:v>
                </c:pt>
                <c:pt idx="1197">
                  <c:v>101.12881</c:v>
                </c:pt>
                <c:pt idx="1198">
                  <c:v>101.12412999999999</c:v>
                </c:pt>
                <c:pt idx="1199">
                  <c:v>101.1356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12-1247-9E0B-566AFACCA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636400"/>
        <c:axId val="1712450143"/>
      </c:scatterChart>
      <c:valAx>
        <c:axId val="14586364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[min]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12450143"/>
        <c:crosses val="autoZero"/>
        <c:crossBetween val="midCat"/>
      </c:valAx>
      <c:valAx>
        <c:axId val="1712450143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5863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time, 225C, 20% O2, 4H Hold, (Sif)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BRF500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Data, BRF500 20% O2'!$J$4:$J$483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BRF500 20% O2'!$L$4:$L$483</c:f>
              <c:numCache>
                <c:formatCode>0.00000</c:formatCode>
                <c:ptCount val="480"/>
                <c:pt idx="0">
                  <c:v>100</c:v>
                </c:pt>
                <c:pt idx="1">
                  <c:v>100.07646</c:v>
                </c:pt>
                <c:pt idx="2">
                  <c:v>100.23093</c:v>
                </c:pt>
                <c:pt idx="3">
                  <c:v>100.31434</c:v>
                </c:pt>
                <c:pt idx="4">
                  <c:v>100.39111</c:v>
                </c:pt>
                <c:pt idx="5">
                  <c:v>100.42195</c:v>
                </c:pt>
                <c:pt idx="6">
                  <c:v>100.42564</c:v>
                </c:pt>
                <c:pt idx="7">
                  <c:v>100.47351999999999</c:v>
                </c:pt>
                <c:pt idx="8">
                  <c:v>100.49309</c:v>
                </c:pt>
                <c:pt idx="9">
                  <c:v>100.48724</c:v>
                </c:pt>
                <c:pt idx="10">
                  <c:v>100.48958999999999</c:v>
                </c:pt>
                <c:pt idx="11">
                  <c:v>100.51752999999999</c:v>
                </c:pt>
                <c:pt idx="12">
                  <c:v>100.4949</c:v>
                </c:pt>
                <c:pt idx="13">
                  <c:v>100.47865999999999</c:v>
                </c:pt>
                <c:pt idx="14">
                  <c:v>100.51151</c:v>
                </c:pt>
                <c:pt idx="15">
                  <c:v>100.48985</c:v>
                </c:pt>
                <c:pt idx="16">
                  <c:v>100.48371</c:v>
                </c:pt>
                <c:pt idx="17">
                  <c:v>100.45693</c:v>
                </c:pt>
                <c:pt idx="18">
                  <c:v>100.47315</c:v>
                </c:pt>
                <c:pt idx="19">
                  <c:v>100.43292</c:v>
                </c:pt>
                <c:pt idx="20">
                  <c:v>100.43544</c:v>
                </c:pt>
                <c:pt idx="21">
                  <c:v>100.42411</c:v>
                </c:pt>
                <c:pt idx="22">
                  <c:v>100.41226</c:v>
                </c:pt>
                <c:pt idx="23">
                  <c:v>100.39417</c:v>
                </c:pt>
                <c:pt idx="24">
                  <c:v>100.36509</c:v>
                </c:pt>
                <c:pt idx="25">
                  <c:v>100.36218</c:v>
                </c:pt>
                <c:pt idx="26">
                  <c:v>100.34137</c:v>
                </c:pt>
                <c:pt idx="27">
                  <c:v>100.35069</c:v>
                </c:pt>
                <c:pt idx="28">
                  <c:v>100.34326</c:v>
                </c:pt>
                <c:pt idx="29">
                  <c:v>100.30530999999999</c:v>
                </c:pt>
                <c:pt idx="30">
                  <c:v>100.29227</c:v>
                </c:pt>
                <c:pt idx="31">
                  <c:v>100.2833</c:v>
                </c:pt>
                <c:pt idx="32">
                  <c:v>100.26418</c:v>
                </c:pt>
                <c:pt idx="33">
                  <c:v>100.26515999999999</c:v>
                </c:pt>
                <c:pt idx="34">
                  <c:v>100.24652</c:v>
                </c:pt>
                <c:pt idx="35">
                  <c:v>100.23204</c:v>
                </c:pt>
                <c:pt idx="36">
                  <c:v>100.21419999999999</c:v>
                </c:pt>
                <c:pt idx="37">
                  <c:v>100.20501</c:v>
                </c:pt>
                <c:pt idx="38">
                  <c:v>100.18096</c:v>
                </c:pt>
                <c:pt idx="39">
                  <c:v>100.17502999999999</c:v>
                </c:pt>
                <c:pt idx="40">
                  <c:v>100.14746</c:v>
                </c:pt>
                <c:pt idx="41">
                  <c:v>100.1396</c:v>
                </c:pt>
                <c:pt idx="42">
                  <c:v>100.11739</c:v>
                </c:pt>
                <c:pt idx="43">
                  <c:v>100.09975</c:v>
                </c:pt>
                <c:pt idx="44">
                  <c:v>100.08037999999999</c:v>
                </c:pt>
                <c:pt idx="45">
                  <c:v>100.06019999999999</c:v>
                </c:pt>
                <c:pt idx="46">
                  <c:v>100.03122999999999</c:v>
                </c:pt>
                <c:pt idx="47">
                  <c:v>100.03157999999999</c:v>
                </c:pt>
                <c:pt idx="48">
                  <c:v>99.99503</c:v>
                </c:pt>
                <c:pt idx="49">
                  <c:v>99.991469999999993</c:v>
                </c:pt>
                <c:pt idx="50">
                  <c:v>99.97139</c:v>
                </c:pt>
                <c:pt idx="51">
                  <c:v>99.955849999999998</c:v>
                </c:pt>
                <c:pt idx="52">
                  <c:v>99.97963</c:v>
                </c:pt>
                <c:pt idx="53">
                  <c:v>99.918949999999995</c:v>
                </c:pt>
                <c:pt idx="54">
                  <c:v>99.906779999999998</c:v>
                </c:pt>
                <c:pt idx="55">
                  <c:v>99.890529999999998</c:v>
                </c:pt>
                <c:pt idx="56">
                  <c:v>99.867099999999994</c:v>
                </c:pt>
                <c:pt idx="57">
                  <c:v>99.861130000000003</c:v>
                </c:pt>
                <c:pt idx="58">
                  <c:v>99.842190000000002</c:v>
                </c:pt>
                <c:pt idx="59">
                  <c:v>99.813850000000002</c:v>
                </c:pt>
                <c:pt idx="60">
                  <c:v>99.783339999999995</c:v>
                </c:pt>
                <c:pt idx="61">
                  <c:v>99.799160000000001</c:v>
                </c:pt>
                <c:pt idx="62">
                  <c:v>99.774029999999996</c:v>
                </c:pt>
                <c:pt idx="63">
                  <c:v>99.736629999999991</c:v>
                </c:pt>
                <c:pt idx="64">
                  <c:v>99.718829999999997</c:v>
                </c:pt>
                <c:pt idx="65">
                  <c:v>99.711359999999999</c:v>
                </c:pt>
                <c:pt idx="66">
                  <c:v>99.676479999999998</c:v>
                </c:pt>
                <c:pt idx="67">
                  <c:v>99.662210000000002</c:v>
                </c:pt>
                <c:pt idx="68">
                  <c:v>99.649509999999992</c:v>
                </c:pt>
                <c:pt idx="69">
                  <c:v>99.623429999999999</c:v>
                </c:pt>
                <c:pt idx="70">
                  <c:v>99.609459999999999</c:v>
                </c:pt>
                <c:pt idx="71">
                  <c:v>99.618729999999999</c:v>
                </c:pt>
                <c:pt idx="72">
                  <c:v>99.569540000000003</c:v>
                </c:pt>
                <c:pt idx="73">
                  <c:v>99.552419999999998</c:v>
                </c:pt>
                <c:pt idx="74">
                  <c:v>99.527000000000001</c:v>
                </c:pt>
                <c:pt idx="75">
                  <c:v>99.517719999999997</c:v>
                </c:pt>
                <c:pt idx="76">
                  <c:v>99.522769999999994</c:v>
                </c:pt>
                <c:pt idx="77">
                  <c:v>99.480539999999991</c:v>
                </c:pt>
                <c:pt idx="78">
                  <c:v>99.455629999999999</c:v>
                </c:pt>
                <c:pt idx="79">
                  <c:v>99.430179999999993</c:v>
                </c:pt>
                <c:pt idx="80">
                  <c:v>99.407619999999994</c:v>
                </c:pt>
                <c:pt idx="81">
                  <c:v>99.409689999999998</c:v>
                </c:pt>
                <c:pt idx="82">
                  <c:v>99.378739999999993</c:v>
                </c:pt>
                <c:pt idx="83">
                  <c:v>99.382679999999993</c:v>
                </c:pt>
                <c:pt idx="84">
                  <c:v>99.340959999999995</c:v>
                </c:pt>
                <c:pt idx="85">
                  <c:v>99.331589999999991</c:v>
                </c:pt>
                <c:pt idx="86">
                  <c:v>99.315699999999993</c:v>
                </c:pt>
                <c:pt idx="87">
                  <c:v>99.281819999999996</c:v>
                </c:pt>
                <c:pt idx="88">
                  <c:v>99.249520000000004</c:v>
                </c:pt>
                <c:pt idx="89">
                  <c:v>99.23657</c:v>
                </c:pt>
                <c:pt idx="90">
                  <c:v>99.238029999999995</c:v>
                </c:pt>
                <c:pt idx="91">
                  <c:v>99.210700000000003</c:v>
                </c:pt>
                <c:pt idx="92">
                  <c:v>99.178049999999999</c:v>
                </c:pt>
                <c:pt idx="93">
                  <c:v>99.169359999999998</c:v>
                </c:pt>
                <c:pt idx="94">
                  <c:v>99.157699999999991</c:v>
                </c:pt>
                <c:pt idx="95">
                  <c:v>99.117949999999993</c:v>
                </c:pt>
                <c:pt idx="96">
                  <c:v>99.106709999999993</c:v>
                </c:pt>
                <c:pt idx="97">
                  <c:v>99.104939999999999</c:v>
                </c:pt>
                <c:pt idx="98">
                  <c:v>99.072310000000002</c:v>
                </c:pt>
                <c:pt idx="99">
                  <c:v>99.062550000000002</c:v>
                </c:pt>
                <c:pt idx="100">
                  <c:v>99.040679999999995</c:v>
                </c:pt>
                <c:pt idx="101">
                  <c:v>99.044780000000003</c:v>
                </c:pt>
                <c:pt idx="102">
                  <c:v>98.995580000000004</c:v>
                </c:pt>
                <c:pt idx="103">
                  <c:v>98.982779999999991</c:v>
                </c:pt>
                <c:pt idx="104">
                  <c:v>98.973389999999995</c:v>
                </c:pt>
                <c:pt idx="105">
                  <c:v>98.942340000000002</c:v>
                </c:pt>
                <c:pt idx="106">
                  <c:v>98.913539999999998</c:v>
                </c:pt>
                <c:pt idx="107">
                  <c:v>98.89636999999999</c:v>
                </c:pt>
                <c:pt idx="108">
                  <c:v>98.886240000000001</c:v>
                </c:pt>
                <c:pt idx="109">
                  <c:v>98.858710000000002</c:v>
                </c:pt>
                <c:pt idx="110">
                  <c:v>98.841549999999998</c:v>
                </c:pt>
                <c:pt idx="111">
                  <c:v>98.794600000000003</c:v>
                </c:pt>
                <c:pt idx="112">
                  <c:v>98.811099999999996</c:v>
                </c:pt>
                <c:pt idx="113">
                  <c:v>98.775769999999994</c:v>
                </c:pt>
                <c:pt idx="114">
                  <c:v>98.780019999999993</c:v>
                </c:pt>
                <c:pt idx="115">
                  <c:v>98.74006</c:v>
                </c:pt>
                <c:pt idx="116">
                  <c:v>98.712609999999998</c:v>
                </c:pt>
                <c:pt idx="117">
                  <c:v>98.677250000000001</c:v>
                </c:pt>
                <c:pt idx="118">
                  <c:v>98.666979999999995</c:v>
                </c:pt>
                <c:pt idx="119">
                  <c:v>98.654219999999995</c:v>
                </c:pt>
                <c:pt idx="120">
                  <c:v>98.634289999999993</c:v>
                </c:pt>
                <c:pt idx="121">
                  <c:v>98.626329999999996</c:v>
                </c:pt>
                <c:pt idx="122">
                  <c:v>98.577259999999995</c:v>
                </c:pt>
                <c:pt idx="123">
                  <c:v>98.560679999999991</c:v>
                </c:pt>
                <c:pt idx="124">
                  <c:v>98.555120000000002</c:v>
                </c:pt>
                <c:pt idx="125">
                  <c:v>98.52373</c:v>
                </c:pt>
                <c:pt idx="126">
                  <c:v>98.489620000000002</c:v>
                </c:pt>
                <c:pt idx="127">
                  <c:v>98.462999999999994</c:v>
                </c:pt>
                <c:pt idx="128">
                  <c:v>98.473249999999993</c:v>
                </c:pt>
                <c:pt idx="129">
                  <c:v>98.42747</c:v>
                </c:pt>
                <c:pt idx="130">
                  <c:v>98.416529999999995</c:v>
                </c:pt>
                <c:pt idx="131">
                  <c:v>98.40737</c:v>
                </c:pt>
                <c:pt idx="132">
                  <c:v>98.389330000000001</c:v>
                </c:pt>
                <c:pt idx="133">
                  <c:v>98.349339999999998</c:v>
                </c:pt>
                <c:pt idx="134">
                  <c:v>98.338049999999996</c:v>
                </c:pt>
                <c:pt idx="135">
                  <c:v>98.33180999999999</c:v>
                </c:pt>
                <c:pt idx="136">
                  <c:v>98.279479999999992</c:v>
                </c:pt>
                <c:pt idx="137">
                  <c:v>98.275499999999994</c:v>
                </c:pt>
                <c:pt idx="138">
                  <c:v>98.232579999999999</c:v>
                </c:pt>
                <c:pt idx="139">
                  <c:v>98.228679999999997</c:v>
                </c:pt>
                <c:pt idx="140">
                  <c:v>98.189909999999998</c:v>
                </c:pt>
                <c:pt idx="141">
                  <c:v>98.197149999999993</c:v>
                </c:pt>
                <c:pt idx="142">
                  <c:v>98.142629999999997</c:v>
                </c:pt>
                <c:pt idx="143">
                  <c:v>98.151079999999993</c:v>
                </c:pt>
                <c:pt idx="144">
                  <c:v>98.110370000000003</c:v>
                </c:pt>
                <c:pt idx="145">
                  <c:v>98.094999999999999</c:v>
                </c:pt>
                <c:pt idx="146">
                  <c:v>98.097139999999996</c:v>
                </c:pt>
                <c:pt idx="147">
                  <c:v>98.049599999999998</c:v>
                </c:pt>
                <c:pt idx="148">
                  <c:v>98.01773</c:v>
                </c:pt>
                <c:pt idx="149">
                  <c:v>98.02709999999999</c:v>
                </c:pt>
                <c:pt idx="150">
                  <c:v>97.998549999999994</c:v>
                </c:pt>
                <c:pt idx="151">
                  <c:v>97.981939999999994</c:v>
                </c:pt>
                <c:pt idx="152">
                  <c:v>97.962940000000003</c:v>
                </c:pt>
                <c:pt idx="153">
                  <c:v>97.936520000000002</c:v>
                </c:pt>
                <c:pt idx="154">
                  <c:v>97.929130000000001</c:v>
                </c:pt>
                <c:pt idx="155">
                  <c:v>97.931659999999994</c:v>
                </c:pt>
                <c:pt idx="156">
                  <c:v>97.890789999999996</c:v>
                </c:pt>
                <c:pt idx="157">
                  <c:v>97.87008999999999</c:v>
                </c:pt>
                <c:pt idx="158">
                  <c:v>97.826619999999991</c:v>
                </c:pt>
                <c:pt idx="159">
                  <c:v>97.839320000000001</c:v>
                </c:pt>
                <c:pt idx="160">
                  <c:v>97.788309999999996</c:v>
                </c:pt>
                <c:pt idx="161">
                  <c:v>97.795540000000003</c:v>
                </c:pt>
                <c:pt idx="162">
                  <c:v>97.771810000000002</c:v>
                </c:pt>
                <c:pt idx="163">
                  <c:v>97.751589999999993</c:v>
                </c:pt>
                <c:pt idx="164">
                  <c:v>97.73017999999999</c:v>
                </c:pt>
                <c:pt idx="165">
                  <c:v>97.704340000000002</c:v>
                </c:pt>
                <c:pt idx="166">
                  <c:v>97.691540000000003</c:v>
                </c:pt>
                <c:pt idx="167">
                  <c:v>97.671109999999999</c:v>
                </c:pt>
                <c:pt idx="168">
                  <c:v>97.652799999999999</c:v>
                </c:pt>
                <c:pt idx="169">
                  <c:v>97.645399999999995</c:v>
                </c:pt>
                <c:pt idx="170">
                  <c:v>97.641739999999999</c:v>
                </c:pt>
                <c:pt idx="171">
                  <c:v>97.62012</c:v>
                </c:pt>
                <c:pt idx="172">
                  <c:v>97.609110000000001</c:v>
                </c:pt>
                <c:pt idx="173">
                  <c:v>97.589619999999996</c:v>
                </c:pt>
                <c:pt idx="174">
                  <c:v>97.572639999999993</c:v>
                </c:pt>
                <c:pt idx="175">
                  <c:v>97.563980000000001</c:v>
                </c:pt>
                <c:pt idx="176">
                  <c:v>97.534719999999993</c:v>
                </c:pt>
                <c:pt idx="177">
                  <c:v>97.508499999999998</c:v>
                </c:pt>
                <c:pt idx="178">
                  <c:v>97.490340000000003</c:v>
                </c:pt>
                <c:pt idx="179">
                  <c:v>97.47381</c:v>
                </c:pt>
                <c:pt idx="180">
                  <c:v>97.450029999999998</c:v>
                </c:pt>
                <c:pt idx="181">
                  <c:v>97.437349999999995</c:v>
                </c:pt>
                <c:pt idx="182">
                  <c:v>97.430329999999998</c:v>
                </c:pt>
                <c:pt idx="183">
                  <c:v>97.406649999999999</c:v>
                </c:pt>
                <c:pt idx="184">
                  <c:v>97.406409999999994</c:v>
                </c:pt>
                <c:pt idx="185">
                  <c:v>97.38073</c:v>
                </c:pt>
                <c:pt idx="186">
                  <c:v>97.350679999999997</c:v>
                </c:pt>
                <c:pt idx="187">
                  <c:v>97.333349999999996</c:v>
                </c:pt>
                <c:pt idx="188">
                  <c:v>97.340479999999999</c:v>
                </c:pt>
                <c:pt idx="189">
                  <c:v>97.304180000000002</c:v>
                </c:pt>
                <c:pt idx="190">
                  <c:v>97.314520000000002</c:v>
                </c:pt>
                <c:pt idx="191">
                  <c:v>97.29486</c:v>
                </c:pt>
                <c:pt idx="192">
                  <c:v>97.277159999999995</c:v>
                </c:pt>
                <c:pt idx="193">
                  <c:v>97.251519999999999</c:v>
                </c:pt>
                <c:pt idx="194">
                  <c:v>97.243870000000001</c:v>
                </c:pt>
                <c:pt idx="195">
                  <c:v>97.222219999999993</c:v>
                </c:pt>
                <c:pt idx="196">
                  <c:v>97.220569999999995</c:v>
                </c:pt>
                <c:pt idx="197">
                  <c:v>97.189059999999998</c:v>
                </c:pt>
                <c:pt idx="198">
                  <c:v>97.176239999999993</c:v>
                </c:pt>
                <c:pt idx="199">
                  <c:v>97.155940000000001</c:v>
                </c:pt>
                <c:pt idx="200">
                  <c:v>97.141829999999999</c:v>
                </c:pt>
                <c:pt idx="201">
                  <c:v>97.123199999999997</c:v>
                </c:pt>
                <c:pt idx="202">
                  <c:v>97.13109</c:v>
                </c:pt>
                <c:pt idx="203">
                  <c:v>97.105040000000002</c:v>
                </c:pt>
                <c:pt idx="204">
                  <c:v>97.081090000000003</c:v>
                </c:pt>
                <c:pt idx="205">
                  <c:v>97.068929999999995</c:v>
                </c:pt>
                <c:pt idx="206">
                  <c:v>97.053349999999995</c:v>
                </c:pt>
                <c:pt idx="207">
                  <c:v>97.029979999999995</c:v>
                </c:pt>
                <c:pt idx="208">
                  <c:v>97.026499999999999</c:v>
                </c:pt>
                <c:pt idx="209">
                  <c:v>97.00672999999999</c:v>
                </c:pt>
                <c:pt idx="210">
                  <c:v>96.990160000000003</c:v>
                </c:pt>
                <c:pt idx="211">
                  <c:v>96.980800000000002</c:v>
                </c:pt>
                <c:pt idx="212">
                  <c:v>96.935019999999994</c:v>
                </c:pt>
                <c:pt idx="213">
                  <c:v>96.929869999999994</c:v>
                </c:pt>
                <c:pt idx="214">
                  <c:v>96.913519999999991</c:v>
                </c:pt>
                <c:pt idx="215">
                  <c:v>96.911450000000002</c:v>
                </c:pt>
                <c:pt idx="216">
                  <c:v>96.89452</c:v>
                </c:pt>
                <c:pt idx="217">
                  <c:v>96.889510000000001</c:v>
                </c:pt>
                <c:pt idx="218">
                  <c:v>96.876660000000001</c:v>
                </c:pt>
                <c:pt idx="219">
                  <c:v>96.841129999999993</c:v>
                </c:pt>
                <c:pt idx="220">
                  <c:v>96.851689999999991</c:v>
                </c:pt>
                <c:pt idx="221">
                  <c:v>96.847970000000004</c:v>
                </c:pt>
                <c:pt idx="222">
                  <c:v>96.818379999999991</c:v>
                </c:pt>
                <c:pt idx="223">
                  <c:v>96.796279999999996</c:v>
                </c:pt>
                <c:pt idx="224">
                  <c:v>96.778260000000003</c:v>
                </c:pt>
                <c:pt idx="225">
                  <c:v>96.776479999999992</c:v>
                </c:pt>
                <c:pt idx="226">
                  <c:v>96.749070000000003</c:v>
                </c:pt>
                <c:pt idx="227">
                  <c:v>96.746830000000003</c:v>
                </c:pt>
                <c:pt idx="228">
                  <c:v>96.712599999999995</c:v>
                </c:pt>
                <c:pt idx="229">
                  <c:v>96.717799999999997</c:v>
                </c:pt>
                <c:pt idx="230">
                  <c:v>96.692139999999995</c:v>
                </c:pt>
                <c:pt idx="231">
                  <c:v>96.690249999999992</c:v>
                </c:pt>
                <c:pt idx="232">
                  <c:v>96.672539999999998</c:v>
                </c:pt>
                <c:pt idx="233">
                  <c:v>96.645139999999998</c:v>
                </c:pt>
                <c:pt idx="234">
                  <c:v>96.620319999999992</c:v>
                </c:pt>
                <c:pt idx="235">
                  <c:v>96.639039999999994</c:v>
                </c:pt>
                <c:pt idx="236">
                  <c:v>96.618229999999997</c:v>
                </c:pt>
                <c:pt idx="237">
                  <c:v>96.60347999999999</c:v>
                </c:pt>
                <c:pt idx="238">
                  <c:v>96.575800000000001</c:v>
                </c:pt>
                <c:pt idx="239">
                  <c:v>96.584360000000004</c:v>
                </c:pt>
                <c:pt idx="240">
                  <c:v>96.571919999999992</c:v>
                </c:pt>
                <c:pt idx="241">
                  <c:v>96.550229999999999</c:v>
                </c:pt>
                <c:pt idx="242">
                  <c:v>96.532849999999996</c:v>
                </c:pt>
                <c:pt idx="243">
                  <c:v>96.504440000000002</c:v>
                </c:pt>
                <c:pt idx="244">
                  <c:v>96.498949999999994</c:v>
                </c:pt>
                <c:pt idx="245">
                  <c:v>96.47139</c:v>
                </c:pt>
                <c:pt idx="246">
                  <c:v>96.470929999999996</c:v>
                </c:pt>
                <c:pt idx="247">
                  <c:v>96.44941</c:v>
                </c:pt>
                <c:pt idx="248">
                  <c:v>96.422299999999993</c:v>
                </c:pt>
                <c:pt idx="249">
                  <c:v>96.399749999999997</c:v>
                </c:pt>
                <c:pt idx="250">
                  <c:v>96.409329999999997</c:v>
                </c:pt>
                <c:pt idx="251">
                  <c:v>96.411270000000002</c:v>
                </c:pt>
                <c:pt idx="252">
                  <c:v>96.391120000000001</c:v>
                </c:pt>
                <c:pt idx="253">
                  <c:v>96.391030000000001</c:v>
                </c:pt>
                <c:pt idx="254">
                  <c:v>96.370369999999994</c:v>
                </c:pt>
                <c:pt idx="255">
                  <c:v>96.345159999999993</c:v>
                </c:pt>
                <c:pt idx="256">
                  <c:v>96.345529999999997</c:v>
                </c:pt>
                <c:pt idx="257">
                  <c:v>96.325649999999996</c:v>
                </c:pt>
                <c:pt idx="258">
                  <c:v>96.294699999999992</c:v>
                </c:pt>
                <c:pt idx="259">
                  <c:v>96.284409999999994</c:v>
                </c:pt>
                <c:pt idx="260">
                  <c:v>96.27552</c:v>
                </c:pt>
                <c:pt idx="261">
                  <c:v>96.270960000000002</c:v>
                </c:pt>
                <c:pt idx="262">
                  <c:v>96.283329999999992</c:v>
                </c:pt>
                <c:pt idx="263">
                  <c:v>96.258780000000002</c:v>
                </c:pt>
                <c:pt idx="264">
                  <c:v>96.241640000000004</c:v>
                </c:pt>
                <c:pt idx="265">
                  <c:v>96.217410000000001</c:v>
                </c:pt>
                <c:pt idx="266">
                  <c:v>96.224869999999996</c:v>
                </c:pt>
                <c:pt idx="267">
                  <c:v>96.202860000000001</c:v>
                </c:pt>
                <c:pt idx="268">
                  <c:v>96.173220000000001</c:v>
                </c:pt>
                <c:pt idx="269">
                  <c:v>96.168170000000003</c:v>
                </c:pt>
                <c:pt idx="270">
                  <c:v>96.16279999999999</c:v>
                </c:pt>
                <c:pt idx="271">
                  <c:v>96.147949999999994</c:v>
                </c:pt>
                <c:pt idx="272">
                  <c:v>96.115139999999997</c:v>
                </c:pt>
                <c:pt idx="273">
                  <c:v>96.135179999999991</c:v>
                </c:pt>
                <c:pt idx="274">
                  <c:v>96.120570000000001</c:v>
                </c:pt>
                <c:pt idx="275">
                  <c:v>96.097830000000002</c:v>
                </c:pt>
                <c:pt idx="276">
                  <c:v>96.07889999999999</c:v>
                </c:pt>
                <c:pt idx="277">
                  <c:v>96.053370000000001</c:v>
                </c:pt>
                <c:pt idx="278">
                  <c:v>96.05498</c:v>
                </c:pt>
                <c:pt idx="279">
                  <c:v>96.029740000000004</c:v>
                </c:pt>
                <c:pt idx="280">
                  <c:v>96.027329999999992</c:v>
                </c:pt>
                <c:pt idx="281">
                  <c:v>96.022239999999996</c:v>
                </c:pt>
                <c:pt idx="282">
                  <c:v>95.992179999999991</c:v>
                </c:pt>
                <c:pt idx="283">
                  <c:v>95.999740000000003</c:v>
                </c:pt>
                <c:pt idx="284">
                  <c:v>95.988869999999991</c:v>
                </c:pt>
                <c:pt idx="285">
                  <c:v>95.951160000000002</c:v>
                </c:pt>
                <c:pt idx="286">
                  <c:v>95.969759999999994</c:v>
                </c:pt>
                <c:pt idx="287">
                  <c:v>95.936129999999991</c:v>
                </c:pt>
                <c:pt idx="288">
                  <c:v>95.937690000000003</c:v>
                </c:pt>
                <c:pt idx="289">
                  <c:v>95.911990000000003</c:v>
                </c:pt>
                <c:pt idx="290">
                  <c:v>95.916650000000004</c:v>
                </c:pt>
                <c:pt idx="291">
                  <c:v>95.896050000000002</c:v>
                </c:pt>
                <c:pt idx="292">
                  <c:v>95.881630000000001</c:v>
                </c:pt>
                <c:pt idx="293">
                  <c:v>95.874499999999998</c:v>
                </c:pt>
                <c:pt idx="294">
                  <c:v>95.850470000000001</c:v>
                </c:pt>
                <c:pt idx="295">
                  <c:v>95.822699999999998</c:v>
                </c:pt>
                <c:pt idx="296">
                  <c:v>95.827010000000001</c:v>
                </c:pt>
                <c:pt idx="297">
                  <c:v>95.850679999999997</c:v>
                </c:pt>
                <c:pt idx="298">
                  <c:v>95.799570000000003</c:v>
                </c:pt>
                <c:pt idx="299">
                  <c:v>95.808459999999997</c:v>
                </c:pt>
                <c:pt idx="300">
                  <c:v>95.783509999999993</c:v>
                </c:pt>
                <c:pt idx="301">
                  <c:v>95.766710000000003</c:v>
                </c:pt>
                <c:pt idx="302">
                  <c:v>95.763649999999998</c:v>
                </c:pt>
                <c:pt idx="303">
                  <c:v>95.748719999999992</c:v>
                </c:pt>
                <c:pt idx="304">
                  <c:v>95.726209999999995</c:v>
                </c:pt>
                <c:pt idx="305">
                  <c:v>95.731880000000004</c:v>
                </c:pt>
                <c:pt idx="306">
                  <c:v>95.722740000000002</c:v>
                </c:pt>
                <c:pt idx="307">
                  <c:v>95.722160000000002</c:v>
                </c:pt>
                <c:pt idx="308">
                  <c:v>95.697019999999995</c:v>
                </c:pt>
                <c:pt idx="309">
                  <c:v>95.682419999999993</c:v>
                </c:pt>
                <c:pt idx="310">
                  <c:v>95.684229999999999</c:v>
                </c:pt>
                <c:pt idx="311">
                  <c:v>95.677120000000002</c:v>
                </c:pt>
                <c:pt idx="312">
                  <c:v>95.649749999999997</c:v>
                </c:pt>
                <c:pt idx="313">
                  <c:v>95.638220000000004</c:v>
                </c:pt>
                <c:pt idx="314">
                  <c:v>95.636569999999992</c:v>
                </c:pt>
                <c:pt idx="315">
                  <c:v>95.620570000000001</c:v>
                </c:pt>
                <c:pt idx="316">
                  <c:v>95.603839999999991</c:v>
                </c:pt>
                <c:pt idx="317">
                  <c:v>95.602090000000004</c:v>
                </c:pt>
                <c:pt idx="318">
                  <c:v>95.567449999999994</c:v>
                </c:pt>
                <c:pt idx="319">
                  <c:v>95.57486999999999</c:v>
                </c:pt>
                <c:pt idx="320">
                  <c:v>95.567439999999991</c:v>
                </c:pt>
                <c:pt idx="321">
                  <c:v>95.556020000000004</c:v>
                </c:pt>
                <c:pt idx="322">
                  <c:v>95.550789999999992</c:v>
                </c:pt>
                <c:pt idx="323">
                  <c:v>95.550539999999998</c:v>
                </c:pt>
                <c:pt idx="324">
                  <c:v>95.517709999999994</c:v>
                </c:pt>
                <c:pt idx="325">
                  <c:v>95.495229999999992</c:v>
                </c:pt>
                <c:pt idx="326">
                  <c:v>95.507019999999997</c:v>
                </c:pt>
                <c:pt idx="327">
                  <c:v>95.521000000000001</c:v>
                </c:pt>
                <c:pt idx="328">
                  <c:v>95.462569999999999</c:v>
                </c:pt>
                <c:pt idx="329">
                  <c:v>95.483530000000002</c:v>
                </c:pt>
                <c:pt idx="330">
                  <c:v>95.47054</c:v>
                </c:pt>
                <c:pt idx="331">
                  <c:v>95.461100000000002</c:v>
                </c:pt>
                <c:pt idx="332">
                  <c:v>95.453949999999992</c:v>
                </c:pt>
                <c:pt idx="333">
                  <c:v>95.44905</c:v>
                </c:pt>
                <c:pt idx="334">
                  <c:v>95.417259999999999</c:v>
                </c:pt>
                <c:pt idx="335">
                  <c:v>95.430179999999993</c:v>
                </c:pt>
                <c:pt idx="336">
                  <c:v>95.421199999999999</c:v>
                </c:pt>
                <c:pt idx="337">
                  <c:v>95.392020000000002</c:v>
                </c:pt>
                <c:pt idx="338">
                  <c:v>95.395479999999992</c:v>
                </c:pt>
                <c:pt idx="339">
                  <c:v>95.39054999999999</c:v>
                </c:pt>
                <c:pt idx="340">
                  <c:v>95.379139999999992</c:v>
                </c:pt>
                <c:pt idx="341">
                  <c:v>95.349090000000004</c:v>
                </c:pt>
                <c:pt idx="342">
                  <c:v>95.338809999999995</c:v>
                </c:pt>
                <c:pt idx="343">
                  <c:v>95.34975</c:v>
                </c:pt>
                <c:pt idx="344">
                  <c:v>95.32978</c:v>
                </c:pt>
                <c:pt idx="345">
                  <c:v>95.313469999999995</c:v>
                </c:pt>
                <c:pt idx="346">
                  <c:v>95.320459999999997</c:v>
                </c:pt>
                <c:pt idx="347">
                  <c:v>95.284219999999991</c:v>
                </c:pt>
                <c:pt idx="348">
                  <c:v>95.284239999999997</c:v>
                </c:pt>
                <c:pt idx="349">
                  <c:v>95.267969999999991</c:v>
                </c:pt>
                <c:pt idx="350">
                  <c:v>95.268090000000001</c:v>
                </c:pt>
                <c:pt idx="351">
                  <c:v>95.249549999999999</c:v>
                </c:pt>
                <c:pt idx="352">
                  <c:v>95.251769999999993</c:v>
                </c:pt>
                <c:pt idx="353">
                  <c:v>95.242359999999991</c:v>
                </c:pt>
                <c:pt idx="354">
                  <c:v>95.198430000000002</c:v>
                </c:pt>
                <c:pt idx="355">
                  <c:v>95.218710000000002</c:v>
                </c:pt>
                <c:pt idx="356">
                  <c:v>95.180719999999994</c:v>
                </c:pt>
                <c:pt idx="357">
                  <c:v>95.191209999999998</c:v>
                </c:pt>
                <c:pt idx="358">
                  <c:v>95.159859999999995</c:v>
                </c:pt>
                <c:pt idx="359">
                  <c:v>95.147350000000003</c:v>
                </c:pt>
                <c:pt idx="360">
                  <c:v>95.147319999999993</c:v>
                </c:pt>
                <c:pt idx="361">
                  <c:v>95.132620000000003</c:v>
                </c:pt>
                <c:pt idx="362">
                  <c:v>95.108639999999994</c:v>
                </c:pt>
                <c:pt idx="363">
                  <c:v>95.123049999999992</c:v>
                </c:pt>
                <c:pt idx="364">
                  <c:v>95.108620000000002</c:v>
                </c:pt>
                <c:pt idx="365">
                  <c:v>95.091300000000004</c:v>
                </c:pt>
                <c:pt idx="366">
                  <c:v>95.076309999999992</c:v>
                </c:pt>
                <c:pt idx="367">
                  <c:v>95.063279999999992</c:v>
                </c:pt>
                <c:pt idx="368">
                  <c:v>95.048689999999993</c:v>
                </c:pt>
                <c:pt idx="369">
                  <c:v>95.017579999999995</c:v>
                </c:pt>
                <c:pt idx="370">
                  <c:v>95.024909999999991</c:v>
                </c:pt>
                <c:pt idx="371">
                  <c:v>94.990740000000002</c:v>
                </c:pt>
                <c:pt idx="372">
                  <c:v>94.999759999999995</c:v>
                </c:pt>
                <c:pt idx="373">
                  <c:v>94.985979999999998</c:v>
                </c:pt>
                <c:pt idx="374">
                  <c:v>94.981309999999993</c:v>
                </c:pt>
                <c:pt idx="375">
                  <c:v>94.96768999999999</c:v>
                </c:pt>
                <c:pt idx="376">
                  <c:v>94.940649999999991</c:v>
                </c:pt>
                <c:pt idx="377">
                  <c:v>94.916650000000004</c:v>
                </c:pt>
                <c:pt idx="378">
                  <c:v>94.940789999999993</c:v>
                </c:pt>
                <c:pt idx="379">
                  <c:v>94.887829999999994</c:v>
                </c:pt>
                <c:pt idx="380">
                  <c:v>94.891739999999999</c:v>
                </c:pt>
                <c:pt idx="381">
                  <c:v>94.873159999999999</c:v>
                </c:pt>
                <c:pt idx="382">
                  <c:v>94.891379999999998</c:v>
                </c:pt>
                <c:pt idx="383">
                  <c:v>94.860469999999992</c:v>
                </c:pt>
                <c:pt idx="384">
                  <c:v>94.843729999999994</c:v>
                </c:pt>
                <c:pt idx="385">
                  <c:v>94.842709999999997</c:v>
                </c:pt>
                <c:pt idx="386">
                  <c:v>94.81841</c:v>
                </c:pt>
                <c:pt idx="387">
                  <c:v>94.795969999999997</c:v>
                </c:pt>
                <c:pt idx="388">
                  <c:v>94.82347</c:v>
                </c:pt>
                <c:pt idx="389">
                  <c:v>94.771479999999997</c:v>
                </c:pt>
                <c:pt idx="390">
                  <c:v>94.774659999999997</c:v>
                </c:pt>
                <c:pt idx="391">
                  <c:v>94.757890000000003</c:v>
                </c:pt>
                <c:pt idx="392">
                  <c:v>94.767129999999995</c:v>
                </c:pt>
                <c:pt idx="393">
                  <c:v>94.739719999999991</c:v>
                </c:pt>
                <c:pt idx="394">
                  <c:v>94.712620000000001</c:v>
                </c:pt>
                <c:pt idx="395">
                  <c:v>94.722020000000001</c:v>
                </c:pt>
                <c:pt idx="396">
                  <c:v>94.685549999999992</c:v>
                </c:pt>
                <c:pt idx="397">
                  <c:v>94.690489999999997</c:v>
                </c:pt>
                <c:pt idx="398">
                  <c:v>94.697890000000001</c:v>
                </c:pt>
                <c:pt idx="399">
                  <c:v>94.680930000000004</c:v>
                </c:pt>
                <c:pt idx="400">
                  <c:v>94.672069999999991</c:v>
                </c:pt>
                <c:pt idx="401">
                  <c:v>94.659139999999994</c:v>
                </c:pt>
                <c:pt idx="402">
                  <c:v>94.627439999999993</c:v>
                </c:pt>
                <c:pt idx="403">
                  <c:v>94.655810000000002</c:v>
                </c:pt>
                <c:pt idx="404">
                  <c:v>94.609030000000004</c:v>
                </c:pt>
                <c:pt idx="405">
                  <c:v>94.613280000000003</c:v>
                </c:pt>
                <c:pt idx="406">
                  <c:v>94.608220000000003</c:v>
                </c:pt>
                <c:pt idx="407">
                  <c:v>94.602620000000002</c:v>
                </c:pt>
                <c:pt idx="408">
                  <c:v>94.592010000000002</c:v>
                </c:pt>
                <c:pt idx="409">
                  <c:v>94.586460000000002</c:v>
                </c:pt>
                <c:pt idx="410">
                  <c:v>94.574420000000003</c:v>
                </c:pt>
                <c:pt idx="411">
                  <c:v>94.535519999999991</c:v>
                </c:pt>
                <c:pt idx="412">
                  <c:v>94.555759999999992</c:v>
                </c:pt>
                <c:pt idx="413">
                  <c:v>94.517740000000003</c:v>
                </c:pt>
                <c:pt idx="414">
                  <c:v>94.529839999999993</c:v>
                </c:pt>
                <c:pt idx="415">
                  <c:v>94.537489999999991</c:v>
                </c:pt>
                <c:pt idx="416">
                  <c:v>94.51876</c:v>
                </c:pt>
                <c:pt idx="417">
                  <c:v>94.495049999999992</c:v>
                </c:pt>
                <c:pt idx="418">
                  <c:v>94.506540000000001</c:v>
                </c:pt>
                <c:pt idx="419">
                  <c:v>94.477409999999992</c:v>
                </c:pt>
                <c:pt idx="420">
                  <c:v>94.498390000000001</c:v>
                </c:pt>
                <c:pt idx="421">
                  <c:v>94.460799999999992</c:v>
                </c:pt>
                <c:pt idx="422">
                  <c:v>94.460629999999995</c:v>
                </c:pt>
                <c:pt idx="423">
                  <c:v>94.435090000000002</c:v>
                </c:pt>
                <c:pt idx="424">
                  <c:v>94.442039999999992</c:v>
                </c:pt>
                <c:pt idx="425">
                  <c:v>94.402349999999998</c:v>
                </c:pt>
                <c:pt idx="426">
                  <c:v>94.441839999999999</c:v>
                </c:pt>
                <c:pt idx="427">
                  <c:v>94.431209999999993</c:v>
                </c:pt>
                <c:pt idx="428">
                  <c:v>94.393159999999995</c:v>
                </c:pt>
                <c:pt idx="429">
                  <c:v>94.412809999999993</c:v>
                </c:pt>
                <c:pt idx="430">
                  <c:v>94.393029999999996</c:v>
                </c:pt>
                <c:pt idx="431">
                  <c:v>94.381149999999991</c:v>
                </c:pt>
                <c:pt idx="432">
                  <c:v>94.364279999999994</c:v>
                </c:pt>
                <c:pt idx="433">
                  <c:v>94.347250000000003</c:v>
                </c:pt>
                <c:pt idx="434">
                  <c:v>94.338319999999996</c:v>
                </c:pt>
                <c:pt idx="435">
                  <c:v>94.338740000000001</c:v>
                </c:pt>
                <c:pt idx="436">
                  <c:v>94.33959999999999</c:v>
                </c:pt>
                <c:pt idx="437">
                  <c:v>94.343389999999999</c:v>
                </c:pt>
                <c:pt idx="438">
                  <c:v>94.279409999999999</c:v>
                </c:pt>
                <c:pt idx="439">
                  <c:v>94.308840000000004</c:v>
                </c:pt>
                <c:pt idx="440">
                  <c:v>94.319000000000003</c:v>
                </c:pt>
                <c:pt idx="441">
                  <c:v>94.265289999999993</c:v>
                </c:pt>
                <c:pt idx="442">
                  <c:v>94.252969999999991</c:v>
                </c:pt>
                <c:pt idx="443">
                  <c:v>94.241280000000003</c:v>
                </c:pt>
                <c:pt idx="444">
                  <c:v>94.230400000000003</c:v>
                </c:pt>
                <c:pt idx="445">
                  <c:v>94.223129999999998</c:v>
                </c:pt>
                <c:pt idx="446">
                  <c:v>94.224819999999994</c:v>
                </c:pt>
                <c:pt idx="447">
                  <c:v>94.210309999999993</c:v>
                </c:pt>
                <c:pt idx="448">
                  <c:v>94.206369999999993</c:v>
                </c:pt>
                <c:pt idx="449">
                  <c:v>94.192009999999996</c:v>
                </c:pt>
                <c:pt idx="450">
                  <c:v>94.182559999999995</c:v>
                </c:pt>
                <c:pt idx="451">
                  <c:v>94.169809999999998</c:v>
                </c:pt>
                <c:pt idx="452">
                  <c:v>94.18074</c:v>
                </c:pt>
                <c:pt idx="453">
                  <c:v>94.157650000000004</c:v>
                </c:pt>
                <c:pt idx="454">
                  <c:v>94.159350000000003</c:v>
                </c:pt>
                <c:pt idx="455">
                  <c:v>94.111409999999992</c:v>
                </c:pt>
                <c:pt idx="456">
                  <c:v>94.109250000000003</c:v>
                </c:pt>
                <c:pt idx="457">
                  <c:v>94.135599999999997</c:v>
                </c:pt>
                <c:pt idx="458">
                  <c:v>94.102589999999992</c:v>
                </c:pt>
                <c:pt idx="459">
                  <c:v>94.124939999999995</c:v>
                </c:pt>
                <c:pt idx="460">
                  <c:v>94.06371</c:v>
                </c:pt>
                <c:pt idx="461">
                  <c:v>94.068049999999999</c:v>
                </c:pt>
                <c:pt idx="462">
                  <c:v>94.085999999999999</c:v>
                </c:pt>
                <c:pt idx="463">
                  <c:v>94.06617</c:v>
                </c:pt>
                <c:pt idx="464">
                  <c:v>94.051369999999991</c:v>
                </c:pt>
                <c:pt idx="465">
                  <c:v>94.033369999999991</c:v>
                </c:pt>
                <c:pt idx="466">
                  <c:v>94.038879999999992</c:v>
                </c:pt>
                <c:pt idx="467">
                  <c:v>94.028440000000003</c:v>
                </c:pt>
                <c:pt idx="468">
                  <c:v>94.016040000000004</c:v>
                </c:pt>
                <c:pt idx="469">
                  <c:v>94.007239999999996</c:v>
                </c:pt>
                <c:pt idx="470">
                  <c:v>93.996780000000001</c:v>
                </c:pt>
                <c:pt idx="471">
                  <c:v>94.00376</c:v>
                </c:pt>
                <c:pt idx="472">
                  <c:v>93.93822999999999</c:v>
                </c:pt>
                <c:pt idx="473">
                  <c:v>93.972610000000003</c:v>
                </c:pt>
                <c:pt idx="474">
                  <c:v>93.938699999999997</c:v>
                </c:pt>
                <c:pt idx="475">
                  <c:v>93.965299999999999</c:v>
                </c:pt>
                <c:pt idx="476">
                  <c:v>93.9619</c:v>
                </c:pt>
                <c:pt idx="477">
                  <c:v>93.943249999999992</c:v>
                </c:pt>
                <c:pt idx="478">
                  <c:v>93.936610000000002</c:v>
                </c:pt>
                <c:pt idx="479">
                  <c:v>93.946759999999998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3-F348-9AFE-9A60A91FCE24}"/>
            </c:ext>
          </c:extLst>
        </c:ser>
        <c:ser>
          <c:idx val="1"/>
          <c:order val="1"/>
          <c:tx>
            <c:v>WS500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Data, WS500 20% O2'!$I$6:$I$485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WS500 20% O2'!$K$6:$K$485</c:f>
              <c:numCache>
                <c:formatCode>0.00000</c:formatCode>
                <c:ptCount val="480"/>
                <c:pt idx="0">
                  <c:v>100</c:v>
                </c:pt>
                <c:pt idx="1">
                  <c:v>100.07458</c:v>
                </c:pt>
                <c:pt idx="2">
                  <c:v>100.19248999999999</c:v>
                </c:pt>
                <c:pt idx="3">
                  <c:v>100.2285</c:v>
                </c:pt>
                <c:pt idx="4">
                  <c:v>100.28353</c:v>
                </c:pt>
                <c:pt idx="5">
                  <c:v>100.30177</c:v>
                </c:pt>
                <c:pt idx="6">
                  <c:v>100.30179</c:v>
                </c:pt>
                <c:pt idx="7">
                  <c:v>100.3467</c:v>
                </c:pt>
                <c:pt idx="8">
                  <c:v>100.35924</c:v>
                </c:pt>
                <c:pt idx="9">
                  <c:v>100.35401</c:v>
                </c:pt>
                <c:pt idx="10">
                  <c:v>100.36301999999999</c:v>
                </c:pt>
                <c:pt idx="11">
                  <c:v>100.38949</c:v>
                </c:pt>
                <c:pt idx="12">
                  <c:v>100.37388</c:v>
                </c:pt>
                <c:pt idx="13">
                  <c:v>100.36041</c:v>
                </c:pt>
                <c:pt idx="14">
                  <c:v>100.3955</c:v>
                </c:pt>
                <c:pt idx="15">
                  <c:v>100.38432</c:v>
                </c:pt>
                <c:pt idx="16">
                  <c:v>100.38253999999999</c:v>
                </c:pt>
                <c:pt idx="17">
                  <c:v>100.36806</c:v>
                </c:pt>
                <c:pt idx="18">
                  <c:v>100.36561</c:v>
                </c:pt>
                <c:pt idx="19">
                  <c:v>100.3526</c:v>
                </c:pt>
                <c:pt idx="20">
                  <c:v>100.3484</c:v>
                </c:pt>
                <c:pt idx="21">
                  <c:v>100.34831</c:v>
                </c:pt>
                <c:pt idx="22">
                  <c:v>100.336</c:v>
                </c:pt>
                <c:pt idx="23">
                  <c:v>100.35661999999999</c:v>
                </c:pt>
                <c:pt idx="24">
                  <c:v>100.33384</c:v>
                </c:pt>
                <c:pt idx="25">
                  <c:v>100.34448</c:v>
                </c:pt>
                <c:pt idx="26">
                  <c:v>100.31697</c:v>
                </c:pt>
                <c:pt idx="27">
                  <c:v>100.32701</c:v>
                </c:pt>
                <c:pt idx="28">
                  <c:v>100.32926</c:v>
                </c:pt>
                <c:pt idx="29">
                  <c:v>100.30589999999999</c:v>
                </c:pt>
                <c:pt idx="30">
                  <c:v>100.31480000000001</c:v>
                </c:pt>
                <c:pt idx="31">
                  <c:v>100.2809</c:v>
                </c:pt>
                <c:pt idx="32">
                  <c:v>100.29346</c:v>
                </c:pt>
                <c:pt idx="33">
                  <c:v>100.27538</c:v>
                </c:pt>
                <c:pt idx="34">
                  <c:v>100.29331000000001</c:v>
                </c:pt>
                <c:pt idx="35">
                  <c:v>100.28453999999999</c:v>
                </c:pt>
                <c:pt idx="36">
                  <c:v>100.25368999999999</c:v>
                </c:pt>
                <c:pt idx="37">
                  <c:v>100.25753999999999</c:v>
                </c:pt>
                <c:pt idx="38">
                  <c:v>100.25145999999999</c:v>
                </c:pt>
                <c:pt idx="39">
                  <c:v>100.22599</c:v>
                </c:pt>
                <c:pt idx="40">
                  <c:v>100.23884</c:v>
                </c:pt>
                <c:pt idx="41">
                  <c:v>100.21276999999999</c:v>
                </c:pt>
                <c:pt idx="42">
                  <c:v>100.22445</c:v>
                </c:pt>
                <c:pt idx="43">
                  <c:v>100.22126</c:v>
                </c:pt>
                <c:pt idx="44">
                  <c:v>100.21308999999999</c:v>
                </c:pt>
                <c:pt idx="45">
                  <c:v>100.20613</c:v>
                </c:pt>
                <c:pt idx="46">
                  <c:v>100.19036</c:v>
                </c:pt>
                <c:pt idx="47">
                  <c:v>100.18402</c:v>
                </c:pt>
                <c:pt idx="48">
                  <c:v>100.15859999999999</c:v>
                </c:pt>
                <c:pt idx="49">
                  <c:v>100.18125999999999</c:v>
                </c:pt>
                <c:pt idx="50">
                  <c:v>100.15722</c:v>
                </c:pt>
                <c:pt idx="51">
                  <c:v>100.17887999999999</c:v>
                </c:pt>
                <c:pt idx="52">
                  <c:v>100.19602999999999</c:v>
                </c:pt>
                <c:pt idx="53">
                  <c:v>100.16482999999999</c:v>
                </c:pt>
                <c:pt idx="54">
                  <c:v>100.12638</c:v>
                </c:pt>
                <c:pt idx="55">
                  <c:v>100.13968</c:v>
                </c:pt>
                <c:pt idx="56">
                  <c:v>100.13133000000001</c:v>
                </c:pt>
                <c:pt idx="57">
                  <c:v>100.13928</c:v>
                </c:pt>
                <c:pt idx="58">
                  <c:v>100.11373</c:v>
                </c:pt>
                <c:pt idx="59">
                  <c:v>100.11651999999999</c:v>
                </c:pt>
                <c:pt idx="60">
                  <c:v>100.09784999999999</c:v>
                </c:pt>
                <c:pt idx="61">
                  <c:v>100.09757999999999</c:v>
                </c:pt>
                <c:pt idx="62">
                  <c:v>100.07621999999999</c:v>
                </c:pt>
                <c:pt idx="63">
                  <c:v>100.08216</c:v>
                </c:pt>
                <c:pt idx="64">
                  <c:v>100.07447000000001</c:v>
                </c:pt>
                <c:pt idx="65">
                  <c:v>100.04877</c:v>
                </c:pt>
                <c:pt idx="66">
                  <c:v>100.05472999999999</c:v>
                </c:pt>
                <c:pt idx="67">
                  <c:v>100.04464</c:v>
                </c:pt>
                <c:pt idx="68">
                  <c:v>100.05319</c:v>
                </c:pt>
                <c:pt idx="69">
                  <c:v>100.04228999999999</c:v>
                </c:pt>
                <c:pt idx="70">
                  <c:v>100.02320999999999</c:v>
                </c:pt>
                <c:pt idx="71">
                  <c:v>100.03581</c:v>
                </c:pt>
                <c:pt idx="72">
                  <c:v>99.993849999999995</c:v>
                </c:pt>
                <c:pt idx="73">
                  <c:v>100.01951</c:v>
                </c:pt>
                <c:pt idx="74">
                  <c:v>100.0063</c:v>
                </c:pt>
                <c:pt idx="75">
                  <c:v>99.998350000000002</c:v>
                </c:pt>
                <c:pt idx="76">
                  <c:v>100.00828</c:v>
                </c:pt>
                <c:pt idx="77">
                  <c:v>99.970609999999994</c:v>
                </c:pt>
                <c:pt idx="78">
                  <c:v>99.982829999999993</c:v>
                </c:pt>
                <c:pt idx="79">
                  <c:v>99.943240000000003</c:v>
                </c:pt>
                <c:pt idx="80">
                  <c:v>99.947189999999992</c:v>
                </c:pt>
                <c:pt idx="81">
                  <c:v>99.94659</c:v>
                </c:pt>
                <c:pt idx="82">
                  <c:v>99.955600000000004</c:v>
                </c:pt>
                <c:pt idx="83">
                  <c:v>99.960030000000003</c:v>
                </c:pt>
                <c:pt idx="84">
                  <c:v>99.928519999999992</c:v>
                </c:pt>
                <c:pt idx="85">
                  <c:v>99.935130000000001</c:v>
                </c:pt>
                <c:pt idx="86">
                  <c:v>99.932749999999999</c:v>
                </c:pt>
                <c:pt idx="87">
                  <c:v>99.908739999999995</c:v>
                </c:pt>
                <c:pt idx="88">
                  <c:v>99.902670000000001</c:v>
                </c:pt>
                <c:pt idx="89">
                  <c:v>99.888220000000004</c:v>
                </c:pt>
                <c:pt idx="90">
                  <c:v>99.902789999999996</c:v>
                </c:pt>
                <c:pt idx="91">
                  <c:v>99.897030000000001</c:v>
                </c:pt>
                <c:pt idx="92">
                  <c:v>99.877989999999997</c:v>
                </c:pt>
                <c:pt idx="93">
                  <c:v>99.878199999999993</c:v>
                </c:pt>
                <c:pt idx="94">
                  <c:v>99.884079999999997</c:v>
                </c:pt>
                <c:pt idx="95">
                  <c:v>99.842309999999998</c:v>
                </c:pt>
                <c:pt idx="96">
                  <c:v>99.845960000000005</c:v>
                </c:pt>
                <c:pt idx="97">
                  <c:v>99.87303</c:v>
                </c:pt>
                <c:pt idx="98">
                  <c:v>99.850309999999993</c:v>
                </c:pt>
                <c:pt idx="99">
                  <c:v>99.83708</c:v>
                </c:pt>
                <c:pt idx="100">
                  <c:v>99.831189999999992</c:v>
                </c:pt>
                <c:pt idx="101">
                  <c:v>99.824789999999993</c:v>
                </c:pt>
                <c:pt idx="102">
                  <c:v>99.815950000000001</c:v>
                </c:pt>
                <c:pt idx="103">
                  <c:v>99.815939999999998</c:v>
                </c:pt>
                <c:pt idx="104">
                  <c:v>99.80547</c:v>
                </c:pt>
                <c:pt idx="105">
                  <c:v>99.803789999999992</c:v>
                </c:pt>
                <c:pt idx="106">
                  <c:v>99.807879999999997</c:v>
                </c:pt>
                <c:pt idx="107">
                  <c:v>99.78689</c:v>
                </c:pt>
                <c:pt idx="108">
                  <c:v>99.769890000000004</c:v>
                </c:pt>
                <c:pt idx="109">
                  <c:v>99.752070000000003</c:v>
                </c:pt>
                <c:pt idx="110">
                  <c:v>99.748819999999995</c:v>
                </c:pt>
                <c:pt idx="111">
                  <c:v>99.740650000000002</c:v>
                </c:pt>
                <c:pt idx="112">
                  <c:v>99.750640000000004</c:v>
                </c:pt>
                <c:pt idx="113">
                  <c:v>99.727769999999992</c:v>
                </c:pt>
                <c:pt idx="114">
                  <c:v>99.740939999999995</c:v>
                </c:pt>
                <c:pt idx="115">
                  <c:v>99.726349999999996</c:v>
                </c:pt>
                <c:pt idx="116">
                  <c:v>99.712639999999993</c:v>
                </c:pt>
                <c:pt idx="117">
                  <c:v>99.708849999999998</c:v>
                </c:pt>
                <c:pt idx="118">
                  <c:v>99.69838</c:v>
                </c:pt>
                <c:pt idx="119">
                  <c:v>99.69162</c:v>
                </c:pt>
                <c:pt idx="120">
                  <c:v>99.677530000000004</c:v>
                </c:pt>
                <c:pt idx="121">
                  <c:v>99.685469999999995</c:v>
                </c:pt>
                <c:pt idx="122">
                  <c:v>99.658640000000005</c:v>
                </c:pt>
                <c:pt idx="123">
                  <c:v>99.647319999999993</c:v>
                </c:pt>
                <c:pt idx="124">
                  <c:v>99.656229999999994</c:v>
                </c:pt>
                <c:pt idx="125">
                  <c:v>99.647980000000004</c:v>
                </c:pt>
                <c:pt idx="126">
                  <c:v>99.620159999999998</c:v>
                </c:pt>
                <c:pt idx="127">
                  <c:v>99.624769999999998</c:v>
                </c:pt>
                <c:pt idx="128">
                  <c:v>99.597260000000006</c:v>
                </c:pt>
                <c:pt idx="129">
                  <c:v>99.608019999999996</c:v>
                </c:pt>
                <c:pt idx="130">
                  <c:v>99.605279999999993</c:v>
                </c:pt>
                <c:pt idx="131">
                  <c:v>99.59348</c:v>
                </c:pt>
                <c:pt idx="132">
                  <c:v>99.569779999999994</c:v>
                </c:pt>
                <c:pt idx="133">
                  <c:v>99.547299999999993</c:v>
                </c:pt>
                <c:pt idx="134">
                  <c:v>99.55883</c:v>
                </c:pt>
                <c:pt idx="135">
                  <c:v>99.556809999999999</c:v>
                </c:pt>
                <c:pt idx="136">
                  <c:v>99.540229999999994</c:v>
                </c:pt>
                <c:pt idx="137">
                  <c:v>99.525499999999994</c:v>
                </c:pt>
                <c:pt idx="138">
                  <c:v>99.506770000000003</c:v>
                </c:pt>
                <c:pt idx="139">
                  <c:v>99.527730000000005</c:v>
                </c:pt>
                <c:pt idx="140">
                  <c:v>99.495620000000002</c:v>
                </c:pt>
                <c:pt idx="141">
                  <c:v>99.504710000000003</c:v>
                </c:pt>
                <c:pt idx="142">
                  <c:v>99.451849999999993</c:v>
                </c:pt>
                <c:pt idx="143">
                  <c:v>99.49145</c:v>
                </c:pt>
                <c:pt idx="144">
                  <c:v>99.43732</c:v>
                </c:pt>
                <c:pt idx="145">
                  <c:v>99.442750000000004</c:v>
                </c:pt>
                <c:pt idx="146">
                  <c:v>99.462549999999993</c:v>
                </c:pt>
                <c:pt idx="147">
                  <c:v>99.428110000000004</c:v>
                </c:pt>
                <c:pt idx="148">
                  <c:v>99.432549999999992</c:v>
                </c:pt>
                <c:pt idx="149">
                  <c:v>99.422129999999996</c:v>
                </c:pt>
                <c:pt idx="150">
                  <c:v>99.387889999999999</c:v>
                </c:pt>
                <c:pt idx="151">
                  <c:v>99.377929999999992</c:v>
                </c:pt>
                <c:pt idx="152">
                  <c:v>99.375060000000005</c:v>
                </c:pt>
                <c:pt idx="153">
                  <c:v>99.372919999999993</c:v>
                </c:pt>
                <c:pt idx="154">
                  <c:v>99.366810000000001</c:v>
                </c:pt>
                <c:pt idx="155">
                  <c:v>99.379480000000001</c:v>
                </c:pt>
                <c:pt idx="156">
                  <c:v>99.352519999999998</c:v>
                </c:pt>
                <c:pt idx="157">
                  <c:v>99.343559999999997</c:v>
                </c:pt>
                <c:pt idx="158">
                  <c:v>99.333380000000005</c:v>
                </c:pt>
                <c:pt idx="159">
                  <c:v>99.314489999999992</c:v>
                </c:pt>
                <c:pt idx="160">
                  <c:v>99.292909999999992</c:v>
                </c:pt>
                <c:pt idx="161">
                  <c:v>99.293279999999996</c:v>
                </c:pt>
                <c:pt idx="162">
                  <c:v>99.295109999999994</c:v>
                </c:pt>
                <c:pt idx="163">
                  <c:v>99.290909999999997</c:v>
                </c:pt>
                <c:pt idx="164">
                  <c:v>99.273309999999995</c:v>
                </c:pt>
                <c:pt idx="165">
                  <c:v>99.268249999999995</c:v>
                </c:pt>
                <c:pt idx="166">
                  <c:v>99.273499999999999</c:v>
                </c:pt>
                <c:pt idx="167">
                  <c:v>99.263589999999994</c:v>
                </c:pt>
                <c:pt idx="168">
                  <c:v>99.232389999999995</c:v>
                </c:pt>
                <c:pt idx="169">
                  <c:v>99.252529999999993</c:v>
                </c:pt>
                <c:pt idx="170">
                  <c:v>99.26576</c:v>
                </c:pt>
                <c:pt idx="171">
                  <c:v>99.263490000000004</c:v>
                </c:pt>
                <c:pt idx="172">
                  <c:v>99.252470000000002</c:v>
                </c:pt>
                <c:pt idx="173">
                  <c:v>99.21499</c:v>
                </c:pt>
                <c:pt idx="174">
                  <c:v>99.229399999999998</c:v>
                </c:pt>
                <c:pt idx="175">
                  <c:v>99.226140000000001</c:v>
                </c:pt>
                <c:pt idx="176">
                  <c:v>99.202529999999996</c:v>
                </c:pt>
                <c:pt idx="177">
                  <c:v>99.213030000000003</c:v>
                </c:pt>
                <c:pt idx="178">
                  <c:v>99.191999999999993</c:v>
                </c:pt>
                <c:pt idx="179">
                  <c:v>99.19144</c:v>
                </c:pt>
                <c:pt idx="180">
                  <c:v>99.174599999999998</c:v>
                </c:pt>
                <c:pt idx="181">
                  <c:v>99.172629999999998</c:v>
                </c:pt>
                <c:pt idx="182">
                  <c:v>99.155959999999993</c:v>
                </c:pt>
                <c:pt idx="183">
                  <c:v>99.145269999999996</c:v>
                </c:pt>
                <c:pt idx="184">
                  <c:v>99.176760000000002</c:v>
                </c:pt>
                <c:pt idx="185">
                  <c:v>99.143069999999994</c:v>
                </c:pt>
                <c:pt idx="186">
                  <c:v>99.163259999999994</c:v>
                </c:pt>
                <c:pt idx="187">
                  <c:v>99.144829999999999</c:v>
                </c:pt>
                <c:pt idx="188">
                  <c:v>99.142889999999994</c:v>
                </c:pt>
                <c:pt idx="189">
                  <c:v>99.134659999999997</c:v>
                </c:pt>
                <c:pt idx="190">
                  <c:v>99.117919999999998</c:v>
                </c:pt>
                <c:pt idx="191">
                  <c:v>99.117400000000004</c:v>
                </c:pt>
                <c:pt idx="192">
                  <c:v>99.094650000000001</c:v>
                </c:pt>
                <c:pt idx="193">
                  <c:v>99.112290000000002</c:v>
                </c:pt>
                <c:pt idx="194">
                  <c:v>99.10521</c:v>
                </c:pt>
                <c:pt idx="195">
                  <c:v>99.096800000000002</c:v>
                </c:pt>
                <c:pt idx="196">
                  <c:v>99.09272</c:v>
                </c:pt>
                <c:pt idx="197">
                  <c:v>99.08417</c:v>
                </c:pt>
                <c:pt idx="198">
                  <c:v>99.055989999999994</c:v>
                </c:pt>
                <c:pt idx="199">
                  <c:v>99.069019999999995</c:v>
                </c:pt>
                <c:pt idx="200">
                  <c:v>99.061199999999999</c:v>
                </c:pt>
                <c:pt idx="201">
                  <c:v>99.063189999999992</c:v>
                </c:pt>
                <c:pt idx="202">
                  <c:v>99.039550000000006</c:v>
                </c:pt>
                <c:pt idx="203">
                  <c:v>99.041889999999995</c:v>
                </c:pt>
                <c:pt idx="204">
                  <c:v>99.045479999999998</c:v>
                </c:pt>
                <c:pt idx="205">
                  <c:v>99.023139999999998</c:v>
                </c:pt>
                <c:pt idx="206">
                  <c:v>99.014020000000002</c:v>
                </c:pt>
                <c:pt idx="207">
                  <c:v>99.016549999999995</c:v>
                </c:pt>
                <c:pt idx="208">
                  <c:v>99.041899999999998</c:v>
                </c:pt>
                <c:pt idx="209">
                  <c:v>98.999070000000003</c:v>
                </c:pt>
                <c:pt idx="210">
                  <c:v>98.993929999999992</c:v>
                </c:pt>
                <c:pt idx="211">
                  <c:v>98.984390000000005</c:v>
                </c:pt>
                <c:pt idx="212">
                  <c:v>98.968000000000004</c:v>
                </c:pt>
                <c:pt idx="213">
                  <c:v>98.970550000000003</c:v>
                </c:pt>
                <c:pt idx="214">
                  <c:v>98.954949999999997</c:v>
                </c:pt>
                <c:pt idx="215">
                  <c:v>98.965670000000003</c:v>
                </c:pt>
                <c:pt idx="216">
                  <c:v>98.954669999999993</c:v>
                </c:pt>
                <c:pt idx="217">
                  <c:v>98.955950000000001</c:v>
                </c:pt>
                <c:pt idx="218">
                  <c:v>98.95317</c:v>
                </c:pt>
                <c:pt idx="219">
                  <c:v>98.925200000000004</c:v>
                </c:pt>
                <c:pt idx="220">
                  <c:v>98.948989999999995</c:v>
                </c:pt>
                <c:pt idx="221">
                  <c:v>98.933920000000001</c:v>
                </c:pt>
                <c:pt idx="222">
                  <c:v>98.915239999999997</c:v>
                </c:pt>
                <c:pt idx="223">
                  <c:v>98.933779999999999</c:v>
                </c:pt>
                <c:pt idx="224">
                  <c:v>98.904510000000002</c:v>
                </c:pt>
                <c:pt idx="225">
                  <c:v>98.930040000000005</c:v>
                </c:pt>
                <c:pt idx="226">
                  <c:v>98.926360000000003</c:v>
                </c:pt>
                <c:pt idx="227">
                  <c:v>98.915300000000002</c:v>
                </c:pt>
                <c:pt idx="228">
                  <c:v>98.892079999999993</c:v>
                </c:pt>
                <c:pt idx="229">
                  <c:v>98.915279999999996</c:v>
                </c:pt>
                <c:pt idx="230">
                  <c:v>98.889340000000004</c:v>
                </c:pt>
                <c:pt idx="231">
                  <c:v>98.891859999999994</c:v>
                </c:pt>
                <c:pt idx="232">
                  <c:v>98.885300000000001</c:v>
                </c:pt>
                <c:pt idx="233">
                  <c:v>98.877679999999998</c:v>
                </c:pt>
                <c:pt idx="234">
                  <c:v>98.838769999999997</c:v>
                </c:pt>
                <c:pt idx="235">
                  <c:v>98.856049999999996</c:v>
                </c:pt>
                <c:pt idx="236">
                  <c:v>98.852339999999998</c:v>
                </c:pt>
                <c:pt idx="237">
                  <c:v>98.866479999999996</c:v>
                </c:pt>
                <c:pt idx="238">
                  <c:v>98.832679999999996</c:v>
                </c:pt>
                <c:pt idx="239">
                  <c:v>98.843710000000002</c:v>
                </c:pt>
                <c:pt idx="240">
                  <c:v>98.835229999999996</c:v>
                </c:pt>
                <c:pt idx="241">
                  <c:v>98.829089999999994</c:v>
                </c:pt>
                <c:pt idx="242">
                  <c:v>98.819779999999994</c:v>
                </c:pt>
                <c:pt idx="243">
                  <c:v>98.808009999999996</c:v>
                </c:pt>
                <c:pt idx="244">
                  <c:v>98.821330000000003</c:v>
                </c:pt>
                <c:pt idx="245">
                  <c:v>98.807969999999997</c:v>
                </c:pt>
                <c:pt idx="246">
                  <c:v>98.811549999999997</c:v>
                </c:pt>
                <c:pt idx="247">
                  <c:v>98.781559999999999</c:v>
                </c:pt>
                <c:pt idx="248">
                  <c:v>98.763400000000004</c:v>
                </c:pt>
                <c:pt idx="249">
                  <c:v>98.754779999999997</c:v>
                </c:pt>
                <c:pt idx="250">
                  <c:v>98.761269999999996</c:v>
                </c:pt>
                <c:pt idx="251">
                  <c:v>98.748530000000002</c:v>
                </c:pt>
                <c:pt idx="252">
                  <c:v>98.776430000000005</c:v>
                </c:pt>
                <c:pt idx="253">
                  <c:v>98.732100000000003</c:v>
                </c:pt>
                <c:pt idx="254">
                  <c:v>98.739499999999992</c:v>
                </c:pt>
                <c:pt idx="255">
                  <c:v>98.758769999999998</c:v>
                </c:pt>
                <c:pt idx="256">
                  <c:v>98.729309999999998</c:v>
                </c:pt>
                <c:pt idx="257">
                  <c:v>98.719070000000002</c:v>
                </c:pt>
                <c:pt idx="258">
                  <c:v>98.704340000000002</c:v>
                </c:pt>
                <c:pt idx="259">
                  <c:v>98.720739999999992</c:v>
                </c:pt>
                <c:pt idx="260">
                  <c:v>98.693179999999998</c:v>
                </c:pt>
                <c:pt idx="261">
                  <c:v>98.702539999999999</c:v>
                </c:pt>
                <c:pt idx="262">
                  <c:v>98.708429999999993</c:v>
                </c:pt>
                <c:pt idx="263">
                  <c:v>98.699389999999994</c:v>
                </c:pt>
                <c:pt idx="264">
                  <c:v>98.689869999999999</c:v>
                </c:pt>
                <c:pt idx="265">
                  <c:v>98.693420000000003</c:v>
                </c:pt>
                <c:pt idx="266">
                  <c:v>98.689219999999992</c:v>
                </c:pt>
                <c:pt idx="267">
                  <c:v>98.675380000000004</c:v>
                </c:pt>
                <c:pt idx="268">
                  <c:v>98.674040000000005</c:v>
                </c:pt>
                <c:pt idx="269">
                  <c:v>98.659660000000002</c:v>
                </c:pt>
                <c:pt idx="270">
                  <c:v>98.670149999999992</c:v>
                </c:pt>
                <c:pt idx="271">
                  <c:v>98.668300000000002</c:v>
                </c:pt>
                <c:pt idx="272">
                  <c:v>98.623400000000004</c:v>
                </c:pt>
                <c:pt idx="273">
                  <c:v>98.642560000000003</c:v>
                </c:pt>
                <c:pt idx="274">
                  <c:v>98.678730000000002</c:v>
                </c:pt>
                <c:pt idx="275">
                  <c:v>98.622659999999996</c:v>
                </c:pt>
                <c:pt idx="276">
                  <c:v>98.651319999999998</c:v>
                </c:pt>
                <c:pt idx="277">
                  <c:v>98.628559999999993</c:v>
                </c:pt>
                <c:pt idx="278">
                  <c:v>98.61354</c:v>
                </c:pt>
                <c:pt idx="279">
                  <c:v>98.598609999999994</c:v>
                </c:pt>
                <c:pt idx="280">
                  <c:v>98.599000000000004</c:v>
                </c:pt>
                <c:pt idx="281">
                  <c:v>98.595969999999994</c:v>
                </c:pt>
                <c:pt idx="282">
                  <c:v>98.562070000000006</c:v>
                </c:pt>
                <c:pt idx="283">
                  <c:v>98.604709999999997</c:v>
                </c:pt>
                <c:pt idx="284">
                  <c:v>98.575009999999992</c:v>
                </c:pt>
                <c:pt idx="285">
                  <c:v>98.560760000000002</c:v>
                </c:pt>
                <c:pt idx="286">
                  <c:v>98.579930000000004</c:v>
                </c:pt>
                <c:pt idx="287">
                  <c:v>98.550089999999997</c:v>
                </c:pt>
                <c:pt idx="288">
                  <c:v>98.547969999999992</c:v>
                </c:pt>
                <c:pt idx="289">
                  <c:v>98.545680000000004</c:v>
                </c:pt>
                <c:pt idx="290">
                  <c:v>98.556510000000003</c:v>
                </c:pt>
                <c:pt idx="291">
                  <c:v>98.506309999999999</c:v>
                </c:pt>
                <c:pt idx="292">
                  <c:v>98.533339999999995</c:v>
                </c:pt>
                <c:pt idx="293">
                  <c:v>98.525229999999993</c:v>
                </c:pt>
                <c:pt idx="294">
                  <c:v>98.522809999999993</c:v>
                </c:pt>
                <c:pt idx="295">
                  <c:v>98.507679999999993</c:v>
                </c:pt>
                <c:pt idx="296">
                  <c:v>98.503579999999999</c:v>
                </c:pt>
                <c:pt idx="297">
                  <c:v>98.50385</c:v>
                </c:pt>
                <c:pt idx="298">
                  <c:v>98.472309999999993</c:v>
                </c:pt>
                <c:pt idx="299">
                  <c:v>98.491050000000001</c:v>
                </c:pt>
                <c:pt idx="300">
                  <c:v>98.494309999999999</c:v>
                </c:pt>
                <c:pt idx="301">
                  <c:v>98.457499999999996</c:v>
                </c:pt>
                <c:pt idx="302">
                  <c:v>98.491169999999997</c:v>
                </c:pt>
                <c:pt idx="303">
                  <c:v>98.493679999999998</c:v>
                </c:pt>
                <c:pt idx="304">
                  <c:v>98.473439999999997</c:v>
                </c:pt>
                <c:pt idx="305">
                  <c:v>98.470100000000002</c:v>
                </c:pt>
                <c:pt idx="306">
                  <c:v>98.453050000000005</c:v>
                </c:pt>
                <c:pt idx="307">
                  <c:v>98.475880000000004</c:v>
                </c:pt>
                <c:pt idx="308">
                  <c:v>98.458640000000003</c:v>
                </c:pt>
                <c:pt idx="309">
                  <c:v>98.442509999999999</c:v>
                </c:pt>
                <c:pt idx="310">
                  <c:v>98.463520000000003</c:v>
                </c:pt>
                <c:pt idx="311">
                  <c:v>98.444320000000005</c:v>
                </c:pt>
                <c:pt idx="312">
                  <c:v>98.444659999999999</c:v>
                </c:pt>
                <c:pt idx="313">
                  <c:v>98.446399999999997</c:v>
                </c:pt>
                <c:pt idx="314">
                  <c:v>98.440839999999994</c:v>
                </c:pt>
                <c:pt idx="315">
                  <c:v>98.387699999999995</c:v>
                </c:pt>
                <c:pt idx="316">
                  <c:v>98.427549999999997</c:v>
                </c:pt>
                <c:pt idx="317">
                  <c:v>98.406469999999999</c:v>
                </c:pt>
                <c:pt idx="318">
                  <c:v>98.402829999999994</c:v>
                </c:pt>
                <c:pt idx="319">
                  <c:v>98.395809999999997</c:v>
                </c:pt>
                <c:pt idx="320">
                  <c:v>98.395560000000003</c:v>
                </c:pt>
                <c:pt idx="321">
                  <c:v>98.393519999999995</c:v>
                </c:pt>
                <c:pt idx="322">
                  <c:v>98.422039999999996</c:v>
                </c:pt>
                <c:pt idx="323">
                  <c:v>98.392120000000006</c:v>
                </c:pt>
                <c:pt idx="324">
                  <c:v>98.378959999999992</c:v>
                </c:pt>
                <c:pt idx="325">
                  <c:v>98.364199999999997</c:v>
                </c:pt>
                <c:pt idx="326">
                  <c:v>98.353889999999993</c:v>
                </c:pt>
                <c:pt idx="327">
                  <c:v>98.382090000000005</c:v>
                </c:pt>
                <c:pt idx="328">
                  <c:v>98.363709999999998</c:v>
                </c:pt>
                <c:pt idx="329">
                  <c:v>98.368570000000005</c:v>
                </c:pt>
                <c:pt idx="330">
                  <c:v>98.376739999999998</c:v>
                </c:pt>
                <c:pt idx="331">
                  <c:v>98.375299999999996</c:v>
                </c:pt>
                <c:pt idx="332">
                  <c:v>98.383380000000002</c:v>
                </c:pt>
                <c:pt idx="333">
                  <c:v>98.368449999999996</c:v>
                </c:pt>
                <c:pt idx="334">
                  <c:v>98.362189999999998</c:v>
                </c:pt>
                <c:pt idx="335">
                  <c:v>98.360209999999995</c:v>
                </c:pt>
                <c:pt idx="336">
                  <c:v>98.364810000000006</c:v>
                </c:pt>
                <c:pt idx="337">
                  <c:v>98.351389999999995</c:v>
                </c:pt>
                <c:pt idx="338">
                  <c:v>98.351590000000002</c:v>
                </c:pt>
                <c:pt idx="339">
                  <c:v>98.331149999999994</c:v>
                </c:pt>
                <c:pt idx="340">
                  <c:v>98.324380000000005</c:v>
                </c:pt>
                <c:pt idx="341">
                  <c:v>98.34196</c:v>
                </c:pt>
                <c:pt idx="342">
                  <c:v>98.326250000000002</c:v>
                </c:pt>
                <c:pt idx="343">
                  <c:v>98.332309999999993</c:v>
                </c:pt>
                <c:pt idx="344">
                  <c:v>98.315929999999994</c:v>
                </c:pt>
                <c:pt idx="345">
                  <c:v>98.293149999999997</c:v>
                </c:pt>
                <c:pt idx="346">
                  <c:v>98.309460000000001</c:v>
                </c:pt>
                <c:pt idx="347">
                  <c:v>98.275179999999992</c:v>
                </c:pt>
                <c:pt idx="348">
                  <c:v>98.309249999999992</c:v>
                </c:pt>
                <c:pt idx="349">
                  <c:v>98.244460000000004</c:v>
                </c:pt>
                <c:pt idx="350">
                  <c:v>98.299059999999997</c:v>
                </c:pt>
                <c:pt idx="351">
                  <c:v>98.268630000000002</c:v>
                </c:pt>
                <c:pt idx="352">
                  <c:v>98.303539999999998</c:v>
                </c:pt>
                <c:pt idx="353">
                  <c:v>98.263099999999994</c:v>
                </c:pt>
                <c:pt idx="354">
                  <c:v>98.245409999999993</c:v>
                </c:pt>
                <c:pt idx="355">
                  <c:v>98.243769999999998</c:v>
                </c:pt>
                <c:pt idx="356">
                  <c:v>98.229140000000001</c:v>
                </c:pt>
                <c:pt idx="357">
                  <c:v>98.218850000000003</c:v>
                </c:pt>
                <c:pt idx="358">
                  <c:v>98.212479999999999</c:v>
                </c:pt>
                <c:pt idx="359">
                  <c:v>98.195430000000002</c:v>
                </c:pt>
                <c:pt idx="360">
                  <c:v>98.210329999999999</c:v>
                </c:pt>
                <c:pt idx="361">
                  <c:v>98.201629999999994</c:v>
                </c:pt>
                <c:pt idx="362">
                  <c:v>98.18938</c:v>
                </c:pt>
                <c:pt idx="363">
                  <c:v>98.184249999999992</c:v>
                </c:pt>
                <c:pt idx="364">
                  <c:v>98.197810000000004</c:v>
                </c:pt>
                <c:pt idx="365">
                  <c:v>98.178730000000002</c:v>
                </c:pt>
                <c:pt idx="366">
                  <c:v>98.172319999999999</c:v>
                </c:pt>
                <c:pt idx="367">
                  <c:v>98.152739999999994</c:v>
                </c:pt>
                <c:pt idx="368">
                  <c:v>98.136920000000003</c:v>
                </c:pt>
                <c:pt idx="369">
                  <c:v>98.13476</c:v>
                </c:pt>
                <c:pt idx="370">
                  <c:v>98.130679999999998</c:v>
                </c:pt>
                <c:pt idx="371">
                  <c:v>98.105959999999996</c:v>
                </c:pt>
                <c:pt idx="372">
                  <c:v>98.114789999999999</c:v>
                </c:pt>
                <c:pt idx="373">
                  <c:v>98.143289999999993</c:v>
                </c:pt>
                <c:pt idx="374">
                  <c:v>98.090249999999997</c:v>
                </c:pt>
                <c:pt idx="375">
                  <c:v>98.092370000000003</c:v>
                </c:pt>
                <c:pt idx="376">
                  <c:v>98.087599999999995</c:v>
                </c:pt>
                <c:pt idx="377">
                  <c:v>98.047550000000001</c:v>
                </c:pt>
                <c:pt idx="378">
                  <c:v>98.075209999999998</c:v>
                </c:pt>
                <c:pt idx="379">
                  <c:v>98.032960000000003</c:v>
                </c:pt>
                <c:pt idx="380">
                  <c:v>98.078459999999993</c:v>
                </c:pt>
                <c:pt idx="381">
                  <c:v>98.052019999999999</c:v>
                </c:pt>
                <c:pt idx="382">
                  <c:v>98.058179999999993</c:v>
                </c:pt>
                <c:pt idx="383">
                  <c:v>98.020219999999995</c:v>
                </c:pt>
                <c:pt idx="384">
                  <c:v>98.005859999999998</c:v>
                </c:pt>
                <c:pt idx="385">
                  <c:v>98.000069999999994</c:v>
                </c:pt>
                <c:pt idx="386">
                  <c:v>97.994109999999992</c:v>
                </c:pt>
                <c:pt idx="387">
                  <c:v>97.963039999999992</c:v>
                </c:pt>
                <c:pt idx="388">
                  <c:v>97.974819999999994</c:v>
                </c:pt>
                <c:pt idx="389">
                  <c:v>97.968289999999996</c:v>
                </c:pt>
                <c:pt idx="390">
                  <c:v>97.97363</c:v>
                </c:pt>
                <c:pt idx="391">
                  <c:v>97.960669999999993</c:v>
                </c:pt>
                <c:pt idx="392">
                  <c:v>97.967479999999995</c:v>
                </c:pt>
                <c:pt idx="393">
                  <c:v>97.942250000000001</c:v>
                </c:pt>
                <c:pt idx="394">
                  <c:v>97.931659999999994</c:v>
                </c:pt>
                <c:pt idx="395">
                  <c:v>97.928169999999994</c:v>
                </c:pt>
                <c:pt idx="396">
                  <c:v>97.910749999999993</c:v>
                </c:pt>
                <c:pt idx="397">
                  <c:v>97.875259999999997</c:v>
                </c:pt>
                <c:pt idx="398">
                  <c:v>97.914490000000001</c:v>
                </c:pt>
                <c:pt idx="399">
                  <c:v>97.890940000000001</c:v>
                </c:pt>
                <c:pt idx="400">
                  <c:v>97.906710000000004</c:v>
                </c:pt>
                <c:pt idx="401">
                  <c:v>97.901709999999994</c:v>
                </c:pt>
                <c:pt idx="402">
                  <c:v>97.8934</c:v>
                </c:pt>
                <c:pt idx="403">
                  <c:v>97.88955</c:v>
                </c:pt>
                <c:pt idx="404">
                  <c:v>97.867159999999998</c:v>
                </c:pt>
                <c:pt idx="405">
                  <c:v>97.87585</c:v>
                </c:pt>
                <c:pt idx="406">
                  <c:v>97.878659999999996</c:v>
                </c:pt>
                <c:pt idx="407">
                  <c:v>97.853219999999993</c:v>
                </c:pt>
                <c:pt idx="408">
                  <c:v>97.899450000000002</c:v>
                </c:pt>
                <c:pt idx="409">
                  <c:v>97.857709999999997</c:v>
                </c:pt>
                <c:pt idx="410">
                  <c:v>97.845659999999995</c:v>
                </c:pt>
                <c:pt idx="411">
                  <c:v>97.809229999999999</c:v>
                </c:pt>
                <c:pt idx="412">
                  <c:v>97.854289999999992</c:v>
                </c:pt>
                <c:pt idx="413">
                  <c:v>97.798540000000003</c:v>
                </c:pt>
                <c:pt idx="414">
                  <c:v>97.834980000000002</c:v>
                </c:pt>
                <c:pt idx="415">
                  <c:v>97.828490000000002</c:v>
                </c:pt>
                <c:pt idx="416">
                  <c:v>97.821979999999996</c:v>
                </c:pt>
                <c:pt idx="417">
                  <c:v>97.796109999999999</c:v>
                </c:pt>
                <c:pt idx="418">
                  <c:v>97.799340000000001</c:v>
                </c:pt>
                <c:pt idx="419">
                  <c:v>97.797070000000005</c:v>
                </c:pt>
                <c:pt idx="420">
                  <c:v>97.813339999999997</c:v>
                </c:pt>
                <c:pt idx="421">
                  <c:v>97.771239999999992</c:v>
                </c:pt>
                <c:pt idx="422">
                  <c:v>97.773780000000002</c:v>
                </c:pt>
                <c:pt idx="423">
                  <c:v>97.772949999999994</c:v>
                </c:pt>
                <c:pt idx="424">
                  <c:v>97.777180000000001</c:v>
                </c:pt>
                <c:pt idx="425">
                  <c:v>97.741869999999992</c:v>
                </c:pt>
                <c:pt idx="426">
                  <c:v>97.766760000000005</c:v>
                </c:pt>
                <c:pt idx="427">
                  <c:v>97.764539999999997</c:v>
                </c:pt>
                <c:pt idx="428">
                  <c:v>97.743619999999993</c:v>
                </c:pt>
                <c:pt idx="429">
                  <c:v>97.750280000000004</c:v>
                </c:pt>
                <c:pt idx="430">
                  <c:v>97.711839999999995</c:v>
                </c:pt>
                <c:pt idx="431">
                  <c:v>97.74024</c:v>
                </c:pt>
                <c:pt idx="432">
                  <c:v>97.709029999999998</c:v>
                </c:pt>
                <c:pt idx="433">
                  <c:v>97.70581</c:v>
                </c:pt>
                <c:pt idx="434">
                  <c:v>97.712450000000004</c:v>
                </c:pt>
                <c:pt idx="435">
                  <c:v>97.689239999999998</c:v>
                </c:pt>
                <c:pt idx="436">
                  <c:v>97.697479999999999</c:v>
                </c:pt>
                <c:pt idx="437">
                  <c:v>97.718329999999995</c:v>
                </c:pt>
                <c:pt idx="438">
                  <c:v>97.641419999999997</c:v>
                </c:pt>
                <c:pt idx="439">
                  <c:v>97.703090000000003</c:v>
                </c:pt>
                <c:pt idx="440">
                  <c:v>97.680980000000005</c:v>
                </c:pt>
                <c:pt idx="441">
                  <c:v>97.64913</c:v>
                </c:pt>
                <c:pt idx="442">
                  <c:v>97.662149999999997</c:v>
                </c:pt>
                <c:pt idx="443">
                  <c:v>97.620930000000001</c:v>
                </c:pt>
                <c:pt idx="444">
                  <c:v>97.646619999999999</c:v>
                </c:pt>
                <c:pt idx="445">
                  <c:v>97.646199999999993</c:v>
                </c:pt>
                <c:pt idx="446">
                  <c:v>97.636740000000003</c:v>
                </c:pt>
                <c:pt idx="447">
                  <c:v>97.635570000000001</c:v>
                </c:pt>
                <c:pt idx="448">
                  <c:v>97.625259999999997</c:v>
                </c:pt>
                <c:pt idx="449">
                  <c:v>97.614989999999992</c:v>
                </c:pt>
                <c:pt idx="450">
                  <c:v>97.631209999999996</c:v>
                </c:pt>
                <c:pt idx="451">
                  <c:v>97.612930000000006</c:v>
                </c:pt>
                <c:pt idx="452">
                  <c:v>97.604839999999996</c:v>
                </c:pt>
                <c:pt idx="453">
                  <c:v>97.606589999999997</c:v>
                </c:pt>
                <c:pt idx="454">
                  <c:v>97.600859999999997</c:v>
                </c:pt>
                <c:pt idx="455">
                  <c:v>97.565370000000001</c:v>
                </c:pt>
                <c:pt idx="456">
                  <c:v>97.581829999999997</c:v>
                </c:pt>
                <c:pt idx="457">
                  <c:v>97.608869999999996</c:v>
                </c:pt>
                <c:pt idx="458">
                  <c:v>97.554029999999997</c:v>
                </c:pt>
                <c:pt idx="459">
                  <c:v>97.581379999999996</c:v>
                </c:pt>
                <c:pt idx="460">
                  <c:v>97.547319999999999</c:v>
                </c:pt>
                <c:pt idx="461">
                  <c:v>97.578800000000001</c:v>
                </c:pt>
                <c:pt idx="462">
                  <c:v>97.562150000000003</c:v>
                </c:pt>
                <c:pt idx="463">
                  <c:v>97.542069999999995</c:v>
                </c:pt>
                <c:pt idx="464">
                  <c:v>97.528760000000005</c:v>
                </c:pt>
                <c:pt idx="465">
                  <c:v>97.520240000000001</c:v>
                </c:pt>
                <c:pt idx="466">
                  <c:v>97.524140000000003</c:v>
                </c:pt>
                <c:pt idx="467">
                  <c:v>97.549019999999999</c:v>
                </c:pt>
                <c:pt idx="468">
                  <c:v>97.509540000000001</c:v>
                </c:pt>
                <c:pt idx="469">
                  <c:v>97.501310000000004</c:v>
                </c:pt>
                <c:pt idx="470">
                  <c:v>97.519319999999993</c:v>
                </c:pt>
                <c:pt idx="471">
                  <c:v>97.52422</c:v>
                </c:pt>
                <c:pt idx="472">
                  <c:v>97.469340000000003</c:v>
                </c:pt>
                <c:pt idx="473">
                  <c:v>97.464979999999997</c:v>
                </c:pt>
                <c:pt idx="474">
                  <c:v>97.474379999999996</c:v>
                </c:pt>
                <c:pt idx="475">
                  <c:v>97.492339999999999</c:v>
                </c:pt>
                <c:pt idx="476">
                  <c:v>97.503479999999996</c:v>
                </c:pt>
                <c:pt idx="477">
                  <c:v>97.477360000000004</c:v>
                </c:pt>
                <c:pt idx="478">
                  <c:v>97.488699999999994</c:v>
                </c:pt>
                <c:pt idx="479">
                  <c:v>97.504130000000004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3-F348-9AFE-9A60A91FCE24}"/>
            </c:ext>
          </c:extLst>
        </c:ser>
        <c:ser>
          <c:idx val="2"/>
          <c:order val="2"/>
          <c:tx>
            <c:v>PW500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Data, PW500, 20% O2'!$H$6:$H$485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PW500, 20% O2'!$J$6:$J$485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100.09631</c:v>
                </c:pt>
                <c:pt idx="2">
                  <c:v>100.21639</c:v>
                </c:pt>
                <c:pt idx="3">
                  <c:v>100.27955</c:v>
                </c:pt>
                <c:pt idx="4">
                  <c:v>100.36578</c:v>
                </c:pt>
                <c:pt idx="5">
                  <c:v>100.41095</c:v>
                </c:pt>
                <c:pt idx="6">
                  <c:v>100.4576</c:v>
                </c:pt>
                <c:pt idx="7">
                  <c:v>100.53948</c:v>
                </c:pt>
                <c:pt idx="8">
                  <c:v>100.57729</c:v>
                </c:pt>
                <c:pt idx="9">
                  <c:v>100.61188</c:v>
                </c:pt>
                <c:pt idx="10">
                  <c:v>100.61677</c:v>
                </c:pt>
                <c:pt idx="11">
                  <c:v>100.65525</c:v>
                </c:pt>
                <c:pt idx="12">
                  <c:v>100.70643</c:v>
                </c:pt>
                <c:pt idx="13">
                  <c:v>100.71171</c:v>
                </c:pt>
                <c:pt idx="14">
                  <c:v>100.76459</c:v>
                </c:pt>
                <c:pt idx="15">
                  <c:v>100.77988000000001</c:v>
                </c:pt>
                <c:pt idx="16">
                  <c:v>100.789</c:v>
                </c:pt>
                <c:pt idx="17">
                  <c:v>100.79913000000001</c:v>
                </c:pt>
                <c:pt idx="18">
                  <c:v>100.82209</c:v>
                </c:pt>
                <c:pt idx="19">
                  <c:v>100.83186000000001</c:v>
                </c:pt>
                <c:pt idx="20">
                  <c:v>100.86785999999999</c:v>
                </c:pt>
                <c:pt idx="21">
                  <c:v>100.87074</c:v>
                </c:pt>
                <c:pt idx="22">
                  <c:v>100.95822</c:v>
                </c:pt>
                <c:pt idx="23">
                  <c:v>100.91688000000001</c:v>
                </c:pt>
                <c:pt idx="24">
                  <c:v>100.89879000000001</c:v>
                </c:pt>
                <c:pt idx="25">
                  <c:v>100.95735000000001</c:v>
                </c:pt>
                <c:pt idx="26">
                  <c:v>100.90040999999999</c:v>
                </c:pt>
                <c:pt idx="27">
                  <c:v>100.95865000000001</c:v>
                </c:pt>
                <c:pt idx="28">
                  <c:v>100.98584</c:v>
                </c:pt>
                <c:pt idx="29">
                  <c:v>101.01545</c:v>
                </c:pt>
                <c:pt idx="30">
                  <c:v>101.05895</c:v>
                </c:pt>
                <c:pt idx="31">
                  <c:v>101.02889999999999</c:v>
                </c:pt>
                <c:pt idx="32">
                  <c:v>101.05906</c:v>
                </c:pt>
                <c:pt idx="33">
                  <c:v>101.09779</c:v>
                </c:pt>
                <c:pt idx="34">
                  <c:v>101.07844</c:v>
                </c:pt>
                <c:pt idx="35">
                  <c:v>101.05916000000001</c:v>
                </c:pt>
                <c:pt idx="36">
                  <c:v>101.10373</c:v>
                </c:pt>
                <c:pt idx="37">
                  <c:v>101.11226000000001</c:v>
                </c:pt>
                <c:pt idx="38">
                  <c:v>101.11691999999999</c:v>
                </c:pt>
                <c:pt idx="39">
                  <c:v>101.11315999999999</c:v>
                </c:pt>
                <c:pt idx="40">
                  <c:v>101.14288999999999</c:v>
                </c:pt>
                <c:pt idx="41">
                  <c:v>101.10719</c:v>
                </c:pt>
                <c:pt idx="42">
                  <c:v>101.11543</c:v>
                </c:pt>
                <c:pt idx="43">
                  <c:v>101.13077</c:v>
                </c:pt>
                <c:pt idx="44">
                  <c:v>101.17923999999999</c:v>
                </c:pt>
                <c:pt idx="45">
                  <c:v>101.17672</c:v>
                </c:pt>
                <c:pt idx="46">
                  <c:v>101.15237</c:v>
                </c:pt>
                <c:pt idx="47">
                  <c:v>101.16287</c:v>
                </c:pt>
                <c:pt idx="48">
                  <c:v>101.17646999999999</c:v>
                </c:pt>
                <c:pt idx="49">
                  <c:v>101.19614</c:v>
                </c:pt>
                <c:pt idx="50">
                  <c:v>101.19198</c:v>
                </c:pt>
                <c:pt idx="51">
                  <c:v>101.26581</c:v>
                </c:pt>
                <c:pt idx="52">
                  <c:v>101.26</c:v>
                </c:pt>
                <c:pt idx="53">
                  <c:v>101.28464</c:v>
                </c:pt>
                <c:pt idx="54">
                  <c:v>101.19710000000001</c:v>
                </c:pt>
                <c:pt idx="55">
                  <c:v>101.25033999999999</c:v>
                </c:pt>
                <c:pt idx="56">
                  <c:v>101.25291</c:v>
                </c:pt>
                <c:pt idx="57">
                  <c:v>101.27949</c:v>
                </c:pt>
                <c:pt idx="58">
                  <c:v>101.27151000000001</c:v>
                </c:pt>
                <c:pt idx="59">
                  <c:v>101.29259999999999</c:v>
                </c:pt>
                <c:pt idx="60">
                  <c:v>101.29982</c:v>
                </c:pt>
                <c:pt idx="61">
                  <c:v>101.33705999999999</c:v>
                </c:pt>
                <c:pt idx="62">
                  <c:v>101.29192</c:v>
                </c:pt>
                <c:pt idx="63">
                  <c:v>101.298</c:v>
                </c:pt>
                <c:pt idx="64">
                  <c:v>101.28243999999999</c:v>
                </c:pt>
                <c:pt idx="65">
                  <c:v>101.32207</c:v>
                </c:pt>
                <c:pt idx="66">
                  <c:v>101.29883</c:v>
                </c:pt>
                <c:pt idx="67">
                  <c:v>101.36127</c:v>
                </c:pt>
                <c:pt idx="68">
                  <c:v>101.27500000000001</c:v>
                </c:pt>
                <c:pt idx="69">
                  <c:v>101.33365000000001</c:v>
                </c:pt>
                <c:pt idx="70">
                  <c:v>101.35729000000001</c:v>
                </c:pt>
                <c:pt idx="71">
                  <c:v>101.33459000000001</c:v>
                </c:pt>
                <c:pt idx="72">
                  <c:v>101.33606999999999</c:v>
                </c:pt>
                <c:pt idx="73">
                  <c:v>101.35709</c:v>
                </c:pt>
                <c:pt idx="74">
                  <c:v>101.34797</c:v>
                </c:pt>
                <c:pt idx="75">
                  <c:v>101.32550000000001</c:v>
                </c:pt>
                <c:pt idx="76">
                  <c:v>101.38177</c:v>
                </c:pt>
                <c:pt idx="77">
                  <c:v>101.38422</c:v>
                </c:pt>
                <c:pt idx="78">
                  <c:v>101.3257</c:v>
                </c:pt>
                <c:pt idx="79">
                  <c:v>101.35817</c:v>
                </c:pt>
                <c:pt idx="80">
                  <c:v>101.30692999999999</c:v>
                </c:pt>
                <c:pt idx="81">
                  <c:v>101.39828</c:v>
                </c:pt>
                <c:pt idx="82">
                  <c:v>101.37486</c:v>
                </c:pt>
                <c:pt idx="83">
                  <c:v>101.37419</c:v>
                </c:pt>
                <c:pt idx="84">
                  <c:v>101.37908</c:v>
                </c:pt>
                <c:pt idx="85">
                  <c:v>101.37725999999999</c:v>
                </c:pt>
                <c:pt idx="86">
                  <c:v>101.37676</c:v>
                </c:pt>
                <c:pt idx="87">
                  <c:v>101.36514</c:v>
                </c:pt>
                <c:pt idx="88">
                  <c:v>101.35441</c:v>
                </c:pt>
                <c:pt idx="89">
                  <c:v>101.34854</c:v>
                </c:pt>
                <c:pt idx="90">
                  <c:v>101.39086</c:v>
                </c:pt>
                <c:pt idx="91">
                  <c:v>101.38642</c:v>
                </c:pt>
                <c:pt idx="92">
                  <c:v>101.36753</c:v>
                </c:pt>
                <c:pt idx="93">
                  <c:v>101.37860999999999</c:v>
                </c:pt>
                <c:pt idx="94">
                  <c:v>101.43153</c:v>
                </c:pt>
                <c:pt idx="95">
                  <c:v>101.36048</c:v>
                </c:pt>
                <c:pt idx="96">
                  <c:v>101.38303000000001</c:v>
                </c:pt>
                <c:pt idx="97">
                  <c:v>101.39789</c:v>
                </c:pt>
                <c:pt idx="98">
                  <c:v>101.4118</c:v>
                </c:pt>
                <c:pt idx="99">
                  <c:v>101.40011</c:v>
                </c:pt>
                <c:pt idx="100">
                  <c:v>101.38536000000001</c:v>
                </c:pt>
                <c:pt idx="101">
                  <c:v>101.43295000000001</c:v>
                </c:pt>
                <c:pt idx="102">
                  <c:v>101.39163000000001</c:v>
                </c:pt>
                <c:pt idx="103">
                  <c:v>101.41964</c:v>
                </c:pt>
                <c:pt idx="104">
                  <c:v>101.40718</c:v>
                </c:pt>
                <c:pt idx="105">
                  <c:v>101.4089</c:v>
                </c:pt>
                <c:pt idx="106">
                  <c:v>101.3995</c:v>
                </c:pt>
                <c:pt idx="107">
                  <c:v>101.38545999999999</c:v>
                </c:pt>
                <c:pt idx="108">
                  <c:v>101.38627</c:v>
                </c:pt>
                <c:pt idx="109">
                  <c:v>101.40085000000001</c:v>
                </c:pt>
                <c:pt idx="110">
                  <c:v>101.3914</c:v>
                </c:pt>
                <c:pt idx="111">
                  <c:v>101.41228</c:v>
                </c:pt>
                <c:pt idx="112">
                  <c:v>101.44731</c:v>
                </c:pt>
                <c:pt idx="113">
                  <c:v>101.41235999999999</c:v>
                </c:pt>
                <c:pt idx="114">
                  <c:v>101.40848</c:v>
                </c:pt>
                <c:pt idx="115">
                  <c:v>101.40509</c:v>
                </c:pt>
                <c:pt idx="116">
                  <c:v>101.39839000000001</c:v>
                </c:pt>
                <c:pt idx="117">
                  <c:v>101.40170000000001</c:v>
                </c:pt>
                <c:pt idx="118">
                  <c:v>101.3952</c:v>
                </c:pt>
                <c:pt idx="119">
                  <c:v>101.38332</c:v>
                </c:pt>
                <c:pt idx="120">
                  <c:v>101.38879</c:v>
                </c:pt>
                <c:pt idx="121">
                  <c:v>101.40613999999999</c:v>
                </c:pt>
                <c:pt idx="122">
                  <c:v>101.37891999999999</c:v>
                </c:pt>
                <c:pt idx="123">
                  <c:v>101.40183999999999</c:v>
                </c:pt>
                <c:pt idx="124">
                  <c:v>101.40809</c:v>
                </c:pt>
                <c:pt idx="125">
                  <c:v>101.40667999999999</c:v>
                </c:pt>
                <c:pt idx="126">
                  <c:v>101.36197</c:v>
                </c:pt>
                <c:pt idx="127">
                  <c:v>101.38157</c:v>
                </c:pt>
                <c:pt idx="128">
                  <c:v>101.34106</c:v>
                </c:pt>
                <c:pt idx="129">
                  <c:v>101.35675000000001</c:v>
                </c:pt>
                <c:pt idx="130">
                  <c:v>101.38284</c:v>
                </c:pt>
                <c:pt idx="131">
                  <c:v>101.38153</c:v>
                </c:pt>
                <c:pt idx="132">
                  <c:v>101.33631</c:v>
                </c:pt>
                <c:pt idx="133">
                  <c:v>101.36527</c:v>
                </c:pt>
                <c:pt idx="134">
                  <c:v>101.35979</c:v>
                </c:pt>
                <c:pt idx="135">
                  <c:v>101.33993</c:v>
                </c:pt>
                <c:pt idx="136">
                  <c:v>101.34895</c:v>
                </c:pt>
                <c:pt idx="137">
                  <c:v>101.35523000000001</c:v>
                </c:pt>
                <c:pt idx="138">
                  <c:v>101.34002</c:v>
                </c:pt>
                <c:pt idx="139">
                  <c:v>101.34004</c:v>
                </c:pt>
                <c:pt idx="140">
                  <c:v>101.32494</c:v>
                </c:pt>
                <c:pt idx="141">
                  <c:v>101.31815</c:v>
                </c:pt>
                <c:pt idx="142">
                  <c:v>101.32428</c:v>
                </c:pt>
                <c:pt idx="143">
                  <c:v>101.32492000000001</c:v>
                </c:pt>
                <c:pt idx="144">
                  <c:v>101.2936</c:v>
                </c:pt>
                <c:pt idx="145">
                  <c:v>101.26174</c:v>
                </c:pt>
                <c:pt idx="146">
                  <c:v>101.33830999999999</c:v>
                </c:pt>
                <c:pt idx="147">
                  <c:v>101.28914</c:v>
                </c:pt>
                <c:pt idx="148">
                  <c:v>101.29258</c:v>
                </c:pt>
                <c:pt idx="149">
                  <c:v>101.30443</c:v>
                </c:pt>
                <c:pt idx="150">
                  <c:v>101.29074</c:v>
                </c:pt>
                <c:pt idx="151">
                  <c:v>101.21552</c:v>
                </c:pt>
                <c:pt idx="152">
                  <c:v>101.324</c:v>
                </c:pt>
                <c:pt idx="153">
                  <c:v>101.31337000000001</c:v>
                </c:pt>
                <c:pt idx="154">
                  <c:v>101.34813</c:v>
                </c:pt>
                <c:pt idx="155">
                  <c:v>101.27965</c:v>
                </c:pt>
                <c:pt idx="156">
                  <c:v>101.27296</c:v>
                </c:pt>
                <c:pt idx="157">
                  <c:v>101.31424</c:v>
                </c:pt>
                <c:pt idx="158">
                  <c:v>101.28764</c:v>
                </c:pt>
                <c:pt idx="159">
                  <c:v>101.28238999999999</c:v>
                </c:pt>
                <c:pt idx="160">
                  <c:v>101.25660000000001</c:v>
                </c:pt>
                <c:pt idx="161">
                  <c:v>101.24616999999999</c:v>
                </c:pt>
                <c:pt idx="162">
                  <c:v>101.2731</c:v>
                </c:pt>
                <c:pt idx="163">
                  <c:v>101.25578</c:v>
                </c:pt>
                <c:pt idx="164">
                  <c:v>101.24003999999999</c:v>
                </c:pt>
                <c:pt idx="165">
                  <c:v>101.23936999999999</c:v>
                </c:pt>
                <c:pt idx="166">
                  <c:v>101.24909</c:v>
                </c:pt>
                <c:pt idx="167">
                  <c:v>101.2243</c:v>
                </c:pt>
                <c:pt idx="168">
                  <c:v>101.22056000000001</c:v>
                </c:pt>
                <c:pt idx="169">
                  <c:v>101.26375</c:v>
                </c:pt>
                <c:pt idx="170">
                  <c:v>101.24245999999999</c:v>
                </c:pt>
                <c:pt idx="171">
                  <c:v>101.26797000000001</c:v>
                </c:pt>
                <c:pt idx="172">
                  <c:v>101.22789</c:v>
                </c:pt>
                <c:pt idx="173">
                  <c:v>101.23992</c:v>
                </c:pt>
                <c:pt idx="174">
                  <c:v>101.25203</c:v>
                </c:pt>
                <c:pt idx="175">
                  <c:v>101.19821</c:v>
                </c:pt>
                <c:pt idx="176">
                  <c:v>101.23672999999999</c:v>
                </c:pt>
                <c:pt idx="177">
                  <c:v>101.22873</c:v>
                </c:pt>
                <c:pt idx="178">
                  <c:v>101.21831</c:v>
                </c:pt>
                <c:pt idx="179">
                  <c:v>101.22757</c:v>
                </c:pt>
                <c:pt idx="180">
                  <c:v>101.23164</c:v>
                </c:pt>
                <c:pt idx="181">
                  <c:v>101.18795</c:v>
                </c:pt>
                <c:pt idx="182">
                  <c:v>101.12083</c:v>
                </c:pt>
                <c:pt idx="183">
                  <c:v>101.20348</c:v>
                </c:pt>
                <c:pt idx="184">
                  <c:v>101.18795</c:v>
                </c:pt>
                <c:pt idx="185">
                  <c:v>101.21772</c:v>
                </c:pt>
                <c:pt idx="186">
                  <c:v>101.18037</c:v>
                </c:pt>
                <c:pt idx="187">
                  <c:v>101.21594</c:v>
                </c:pt>
                <c:pt idx="188">
                  <c:v>101.25885</c:v>
                </c:pt>
                <c:pt idx="189">
                  <c:v>101.19830999999999</c:v>
                </c:pt>
                <c:pt idx="190">
                  <c:v>101.20893</c:v>
                </c:pt>
                <c:pt idx="191">
                  <c:v>101.19316000000001</c:v>
                </c:pt>
                <c:pt idx="192">
                  <c:v>101.19041</c:v>
                </c:pt>
                <c:pt idx="193">
                  <c:v>101.21378</c:v>
                </c:pt>
                <c:pt idx="194">
                  <c:v>101.21120999999999</c:v>
                </c:pt>
                <c:pt idx="195">
                  <c:v>101.17440999999999</c:v>
                </c:pt>
                <c:pt idx="196">
                  <c:v>101.18847</c:v>
                </c:pt>
                <c:pt idx="197">
                  <c:v>101.19287</c:v>
                </c:pt>
                <c:pt idx="198">
                  <c:v>101.17561000000001</c:v>
                </c:pt>
                <c:pt idx="199">
                  <c:v>101.1888</c:v>
                </c:pt>
                <c:pt idx="200">
                  <c:v>101.17968</c:v>
                </c:pt>
                <c:pt idx="201">
                  <c:v>101.21673</c:v>
                </c:pt>
                <c:pt idx="202">
                  <c:v>101.18559</c:v>
                </c:pt>
                <c:pt idx="203">
                  <c:v>101.18347</c:v>
                </c:pt>
                <c:pt idx="204">
                  <c:v>101.17574999999999</c:v>
                </c:pt>
                <c:pt idx="205">
                  <c:v>101.18949000000001</c:v>
                </c:pt>
                <c:pt idx="206">
                  <c:v>101.17377</c:v>
                </c:pt>
                <c:pt idx="207">
                  <c:v>101.1859</c:v>
                </c:pt>
                <c:pt idx="208">
                  <c:v>101.17896</c:v>
                </c:pt>
                <c:pt idx="209">
                  <c:v>101.16989</c:v>
                </c:pt>
                <c:pt idx="210">
                  <c:v>101.15922</c:v>
                </c:pt>
                <c:pt idx="211">
                  <c:v>101.1677</c:v>
                </c:pt>
                <c:pt idx="212">
                  <c:v>101.15156</c:v>
                </c:pt>
                <c:pt idx="213">
                  <c:v>101.14721</c:v>
                </c:pt>
                <c:pt idx="214">
                  <c:v>101.13070999999999</c:v>
                </c:pt>
                <c:pt idx="215">
                  <c:v>101.11099</c:v>
                </c:pt>
                <c:pt idx="216">
                  <c:v>101.08177999999999</c:v>
                </c:pt>
                <c:pt idx="217">
                  <c:v>101.14394</c:v>
                </c:pt>
                <c:pt idx="218">
                  <c:v>101.14385</c:v>
                </c:pt>
                <c:pt idx="219">
                  <c:v>101.11945</c:v>
                </c:pt>
                <c:pt idx="220">
                  <c:v>101.1092</c:v>
                </c:pt>
                <c:pt idx="221">
                  <c:v>101.14530999999999</c:v>
                </c:pt>
                <c:pt idx="222">
                  <c:v>101.13606</c:v>
                </c:pt>
                <c:pt idx="223">
                  <c:v>101.13395</c:v>
                </c:pt>
                <c:pt idx="224">
                  <c:v>101.12523</c:v>
                </c:pt>
                <c:pt idx="225">
                  <c:v>101.14286</c:v>
                </c:pt>
                <c:pt idx="226">
                  <c:v>101.12715</c:v>
                </c:pt>
                <c:pt idx="227">
                  <c:v>101.1225</c:v>
                </c:pt>
                <c:pt idx="228">
                  <c:v>101.12824000000001</c:v>
                </c:pt>
                <c:pt idx="229">
                  <c:v>101.15273999999999</c:v>
                </c:pt>
                <c:pt idx="230">
                  <c:v>101.12214</c:v>
                </c:pt>
                <c:pt idx="231">
                  <c:v>101.0771</c:v>
                </c:pt>
                <c:pt idx="232">
                  <c:v>101.11888999999999</c:v>
                </c:pt>
                <c:pt idx="233">
                  <c:v>101.07693</c:v>
                </c:pt>
                <c:pt idx="234">
                  <c:v>101.11268</c:v>
                </c:pt>
                <c:pt idx="235">
                  <c:v>101.11064</c:v>
                </c:pt>
                <c:pt idx="236">
                  <c:v>101.09616</c:v>
                </c:pt>
                <c:pt idx="237">
                  <c:v>101.11140999999999</c:v>
                </c:pt>
                <c:pt idx="238">
                  <c:v>101.08116</c:v>
                </c:pt>
                <c:pt idx="239">
                  <c:v>101.12439999999999</c:v>
                </c:pt>
                <c:pt idx="240">
                  <c:v>101.0868</c:v>
                </c:pt>
                <c:pt idx="241">
                  <c:v>101.10590999999999</c:v>
                </c:pt>
                <c:pt idx="242">
                  <c:v>101.03153999999999</c:v>
                </c:pt>
                <c:pt idx="243">
                  <c:v>101.07632</c:v>
                </c:pt>
                <c:pt idx="244">
                  <c:v>101.07745</c:v>
                </c:pt>
                <c:pt idx="245">
                  <c:v>101.0658</c:v>
                </c:pt>
                <c:pt idx="246">
                  <c:v>101.11093</c:v>
                </c:pt>
                <c:pt idx="247">
                  <c:v>101.05172</c:v>
                </c:pt>
                <c:pt idx="248">
                  <c:v>101.05936</c:v>
                </c:pt>
                <c:pt idx="249">
                  <c:v>101.04844</c:v>
                </c:pt>
                <c:pt idx="250">
                  <c:v>101.04944</c:v>
                </c:pt>
                <c:pt idx="251">
                  <c:v>101.06622</c:v>
                </c:pt>
                <c:pt idx="252">
                  <c:v>101.07933</c:v>
                </c:pt>
                <c:pt idx="253">
                  <c:v>101.11654</c:v>
                </c:pt>
                <c:pt idx="254">
                  <c:v>101.05177999999999</c:v>
                </c:pt>
                <c:pt idx="255">
                  <c:v>101.02046</c:v>
                </c:pt>
                <c:pt idx="256">
                  <c:v>101.08013</c:v>
                </c:pt>
                <c:pt idx="257">
                  <c:v>101.04161000000001</c:v>
                </c:pt>
                <c:pt idx="258">
                  <c:v>101.07364</c:v>
                </c:pt>
                <c:pt idx="259">
                  <c:v>101.05991</c:v>
                </c:pt>
                <c:pt idx="260">
                  <c:v>101.0442</c:v>
                </c:pt>
                <c:pt idx="261">
                  <c:v>101.04837000000001</c:v>
                </c:pt>
                <c:pt idx="262">
                  <c:v>101.09302</c:v>
                </c:pt>
                <c:pt idx="263">
                  <c:v>101.05574</c:v>
                </c:pt>
                <c:pt idx="264">
                  <c:v>101.05481</c:v>
                </c:pt>
                <c:pt idx="265">
                  <c:v>101.03851</c:v>
                </c:pt>
                <c:pt idx="266">
                  <c:v>101.08745999999999</c:v>
                </c:pt>
                <c:pt idx="267">
                  <c:v>101.07343</c:v>
                </c:pt>
                <c:pt idx="268">
                  <c:v>101.04004</c:v>
                </c:pt>
                <c:pt idx="269">
                  <c:v>101.03973999999999</c:v>
                </c:pt>
                <c:pt idx="270">
                  <c:v>101.08566999999999</c:v>
                </c:pt>
                <c:pt idx="271">
                  <c:v>101.06735999999999</c:v>
                </c:pt>
                <c:pt idx="272">
                  <c:v>101.02068</c:v>
                </c:pt>
                <c:pt idx="273">
                  <c:v>101.05387999999999</c:v>
                </c:pt>
                <c:pt idx="274">
                  <c:v>101.04022000000001</c:v>
                </c:pt>
                <c:pt idx="275">
                  <c:v>101.06563</c:v>
                </c:pt>
                <c:pt idx="276">
                  <c:v>101.04015</c:v>
                </c:pt>
                <c:pt idx="277">
                  <c:v>101.0408</c:v>
                </c:pt>
                <c:pt idx="278">
                  <c:v>101.02567000000001</c:v>
                </c:pt>
                <c:pt idx="279">
                  <c:v>101.03506</c:v>
                </c:pt>
                <c:pt idx="280">
                  <c:v>101.05027</c:v>
                </c:pt>
                <c:pt idx="281">
                  <c:v>101.03102</c:v>
                </c:pt>
                <c:pt idx="282">
                  <c:v>101.05831000000001</c:v>
                </c:pt>
                <c:pt idx="283">
                  <c:v>101.06168</c:v>
                </c:pt>
                <c:pt idx="284">
                  <c:v>101.04871</c:v>
                </c:pt>
                <c:pt idx="285">
                  <c:v>101.0194</c:v>
                </c:pt>
                <c:pt idx="286">
                  <c:v>101.08202</c:v>
                </c:pt>
                <c:pt idx="287">
                  <c:v>101.03422999999999</c:v>
                </c:pt>
                <c:pt idx="288">
                  <c:v>101.02553999999999</c:v>
                </c:pt>
                <c:pt idx="289">
                  <c:v>101.03601999999999</c:v>
                </c:pt>
                <c:pt idx="290">
                  <c:v>101.04192</c:v>
                </c:pt>
                <c:pt idx="291">
                  <c:v>101.01615</c:v>
                </c:pt>
                <c:pt idx="292">
                  <c:v>101.01961</c:v>
                </c:pt>
                <c:pt idx="293">
                  <c:v>101.02269</c:v>
                </c:pt>
                <c:pt idx="294">
                  <c:v>101.03391999999999</c:v>
                </c:pt>
                <c:pt idx="295">
                  <c:v>100.94409</c:v>
                </c:pt>
                <c:pt idx="296">
                  <c:v>101.02506</c:v>
                </c:pt>
                <c:pt idx="297">
                  <c:v>101.07937</c:v>
                </c:pt>
                <c:pt idx="298">
                  <c:v>101.02464000000001</c:v>
                </c:pt>
                <c:pt idx="299">
                  <c:v>101.01792999999999</c:v>
                </c:pt>
                <c:pt idx="300">
                  <c:v>101.01808</c:v>
                </c:pt>
                <c:pt idx="301">
                  <c:v>101.01702</c:v>
                </c:pt>
                <c:pt idx="302">
                  <c:v>101.02363</c:v>
                </c:pt>
                <c:pt idx="303">
                  <c:v>101.02152</c:v>
                </c:pt>
                <c:pt idx="304">
                  <c:v>100.973</c:v>
                </c:pt>
                <c:pt idx="305">
                  <c:v>101.0419</c:v>
                </c:pt>
                <c:pt idx="306">
                  <c:v>101.01913</c:v>
                </c:pt>
                <c:pt idx="307">
                  <c:v>101.02692</c:v>
                </c:pt>
                <c:pt idx="308">
                  <c:v>101.03858</c:v>
                </c:pt>
                <c:pt idx="309">
                  <c:v>101.0391</c:v>
                </c:pt>
                <c:pt idx="310">
                  <c:v>101.01787</c:v>
                </c:pt>
                <c:pt idx="311">
                  <c:v>101.01815000000001</c:v>
                </c:pt>
                <c:pt idx="312">
                  <c:v>101.02987</c:v>
                </c:pt>
                <c:pt idx="313">
                  <c:v>100.92075</c:v>
                </c:pt>
                <c:pt idx="314">
                  <c:v>101.02415000000001</c:v>
                </c:pt>
                <c:pt idx="315">
                  <c:v>100.99189</c:v>
                </c:pt>
                <c:pt idx="316">
                  <c:v>100.95349</c:v>
                </c:pt>
                <c:pt idx="317">
                  <c:v>101.02606</c:v>
                </c:pt>
                <c:pt idx="318">
                  <c:v>101.03091000000001</c:v>
                </c:pt>
                <c:pt idx="319">
                  <c:v>100.99149</c:v>
                </c:pt>
                <c:pt idx="320">
                  <c:v>101.02325</c:v>
                </c:pt>
                <c:pt idx="321">
                  <c:v>101.04378</c:v>
                </c:pt>
                <c:pt idx="322">
                  <c:v>101.0478</c:v>
                </c:pt>
                <c:pt idx="323">
                  <c:v>101.06532</c:v>
                </c:pt>
                <c:pt idx="324">
                  <c:v>101.02042</c:v>
                </c:pt>
                <c:pt idx="325">
                  <c:v>101.03525999999999</c:v>
                </c:pt>
                <c:pt idx="326">
                  <c:v>100.98551999999999</c:v>
                </c:pt>
                <c:pt idx="327">
                  <c:v>101.05158</c:v>
                </c:pt>
                <c:pt idx="328">
                  <c:v>101.05292</c:v>
                </c:pt>
                <c:pt idx="329">
                  <c:v>101.03737</c:v>
                </c:pt>
                <c:pt idx="330">
                  <c:v>101.05195999999999</c:v>
                </c:pt>
                <c:pt idx="331">
                  <c:v>101.07783000000001</c:v>
                </c:pt>
                <c:pt idx="332">
                  <c:v>101.05213999999999</c:v>
                </c:pt>
                <c:pt idx="333">
                  <c:v>101.04867</c:v>
                </c:pt>
                <c:pt idx="334">
                  <c:v>101.06068999999999</c:v>
                </c:pt>
                <c:pt idx="335">
                  <c:v>101.06162999999999</c:v>
                </c:pt>
                <c:pt idx="336">
                  <c:v>101.07597</c:v>
                </c:pt>
                <c:pt idx="337">
                  <c:v>101.07566</c:v>
                </c:pt>
                <c:pt idx="338">
                  <c:v>100.96087</c:v>
                </c:pt>
                <c:pt idx="339">
                  <c:v>101.05087999999999</c:v>
                </c:pt>
                <c:pt idx="340">
                  <c:v>101.05714</c:v>
                </c:pt>
                <c:pt idx="341">
                  <c:v>101.0515</c:v>
                </c:pt>
                <c:pt idx="342">
                  <c:v>100.98452999999999</c:v>
                </c:pt>
                <c:pt idx="343">
                  <c:v>101.03307</c:v>
                </c:pt>
                <c:pt idx="344">
                  <c:v>101.06762000000001</c:v>
                </c:pt>
                <c:pt idx="345">
                  <c:v>100.98119</c:v>
                </c:pt>
                <c:pt idx="346">
                  <c:v>101.05799</c:v>
                </c:pt>
                <c:pt idx="347">
                  <c:v>101.03227</c:v>
                </c:pt>
                <c:pt idx="348">
                  <c:v>101.04788000000001</c:v>
                </c:pt>
                <c:pt idx="349">
                  <c:v>101.05287</c:v>
                </c:pt>
                <c:pt idx="350">
                  <c:v>101.04429</c:v>
                </c:pt>
                <c:pt idx="351">
                  <c:v>101.01268</c:v>
                </c:pt>
                <c:pt idx="352">
                  <c:v>101.05161</c:v>
                </c:pt>
                <c:pt idx="353">
                  <c:v>101.04555000000001</c:v>
                </c:pt>
                <c:pt idx="354">
                  <c:v>100.99572999999999</c:v>
                </c:pt>
                <c:pt idx="355">
                  <c:v>101.04343</c:v>
                </c:pt>
                <c:pt idx="356">
                  <c:v>101.03579999999999</c:v>
                </c:pt>
                <c:pt idx="357">
                  <c:v>101.04477</c:v>
                </c:pt>
                <c:pt idx="358">
                  <c:v>101.02027</c:v>
                </c:pt>
                <c:pt idx="359">
                  <c:v>100.98115</c:v>
                </c:pt>
                <c:pt idx="360">
                  <c:v>101.05007999999999</c:v>
                </c:pt>
                <c:pt idx="361">
                  <c:v>101.03233</c:v>
                </c:pt>
                <c:pt idx="362">
                  <c:v>101.04915</c:v>
                </c:pt>
                <c:pt idx="363">
                  <c:v>101.05956</c:v>
                </c:pt>
                <c:pt idx="364">
                  <c:v>101.04657</c:v>
                </c:pt>
                <c:pt idx="365">
                  <c:v>101.02198</c:v>
                </c:pt>
                <c:pt idx="366">
                  <c:v>101.0228</c:v>
                </c:pt>
                <c:pt idx="367">
                  <c:v>101.03053</c:v>
                </c:pt>
                <c:pt idx="368">
                  <c:v>101.03607</c:v>
                </c:pt>
                <c:pt idx="369">
                  <c:v>100.99131</c:v>
                </c:pt>
                <c:pt idx="370">
                  <c:v>101.04374</c:v>
                </c:pt>
                <c:pt idx="371">
                  <c:v>101.01503</c:v>
                </c:pt>
                <c:pt idx="372">
                  <c:v>101.02314</c:v>
                </c:pt>
                <c:pt idx="373">
                  <c:v>101.06063</c:v>
                </c:pt>
                <c:pt idx="374">
                  <c:v>101.00579</c:v>
                </c:pt>
                <c:pt idx="375">
                  <c:v>101.02958</c:v>
                </c:pt>
                <c:pt idx="376">
                  <c:v>100.96438000000001</c:v>
                </c:pt>
                <c:pt idx="377">
                  <c:v>100.99691</c:v>
                </c:pt>
                <c:pt idx="378">
                  <c:v>101.01492999999999</c:v>
                </c:pt>
                <c:pt idx="379">
                  <c:v>100.97618</c:v>
                </c:pt>
                <c:pt idx="380">
                  <c:v>100.99256</c:v>
                </c:pt>
                <c:pt idx="381">
                  <c:v>100.99930999999999</c:v>
                </c:pt>
                <c:pt idx="382">
                  <c:v>101.00909</c:v>
                </c:pt>
                <c:pt idx="383">
                  <c:v>101.02338</c:v>
                </c:pt>
                <c:pt idx="384">
                  <c:v>100.97906</c:v>
                </c:pt>
                <c:pt idx="385">
                  <c:v>100.99751000000001</c:v>
                </c:pt>
                <c:pt idx="386">
                  <c:v>100.97821999999999</c:v>
                </c:pt>
                <c:pt idx="387">
                  <c:v>100.96465000000001</c:v>
                </c:pt>
                <c:pt idx="388">
                  <c:v>100.99731</c:v>
                </c:pt>
                <c:pt idx="389">
                  <c:v>100.96366</c:v>
                </c:pt>
                <c:pt idx="390">
                  <c:v>101.00078999999999</c:v>
                </c:pt>
                <c:pt idx="391">
                  <c:v>100.98421</c:v>
                </c:pt>
                <c:pt idx="392">
                  <c:v>100.99755</c:v>
                </c:pt>
                <c:pt idx="393">
                  <c:v>101.02503</c:v>
                </c:pt>
                <c:pt idx="394">
                  <c:v>100.97881</c:v>
                </c:pt>
                <c:pt idx="395">
                  <c:v>101.02257</c:v>
                </c:pt>
                <c:pt idx="396">
                  <c:v>100.97906</c:v>
                </c:pt>
                <c:pt idx="397">
                  <c:v>100.99943999999999</c:v>
                </c:pt>
                <c:pt idx="398">
                  <c:v>101.00574</c:v>
                </c:pt>
                <c:pt idx="399">
                  <c:v>100.99048999999999</c:v>
                </c:pt>
                <c:pt idx="400">
                  <c:v>101.02905</c:v>
                </c:pt>
                <c:pt idx="401">
                  <c:v>100.97315999999999</c:v>
                </c:pt>
                <c:pt idx="402">
                  <c:v>101.02030000000001</c:v>
                </c:pt>
                <c:pt idx="403">
                  <c:v>101.01815999999999</c:v>
                </c:pt>
                <c:pt idx="404">
                  <c:v>101.03653</c:v>
                </c:pt>
                <c:pt idx="405">
                  <c:v>101.01501</c:v>
                </c:pt>
                <c:pt idx="406">
                  <c:v>101.07554</c:v>
                </c:pt>
                <c:pt idx="407">
                  <c:v>101.02887</c:v>
                </c:pt>
                <c:pt idx="408">
                  <c:v>101.04076999999999</c:v>
                </c:pt>
                <c:pt idx="409">
                  <c:v>101.0616</c:v>
                </c:pt>
                <c:pt idx="410">
                  <c:v>101.05045</c:v>
                </c:pt>
                <c:pt idx="411">
                  <c:v>101.00018</c:v>
                </c:pt>
                <c:pt idx="412">
                  <c:v>101.08355</c:v>
                </c:pt>
                <c:pt idx="413">
                  <c:v>101.03918</c:v>
                </c:pt>
                <c:pt idx="414">
                  <c:v>101.02356999999999</c:v>
                </c:pt>
                <c:pt idx="415">
                  <c:v>101.078</c:v>
                </c:pt>
                <c:pt idx="416">
                  <c:v>101.05092</c:v>
                </c:pt>
                <c:pt idx="417">
                  <c:v>101.04013</c:v>
                </c:pt>
                <c:pt idx="418">
                  <c:v>101.06032999999999</c:v>
                </c:pt>
                <c:pt idx="419">
                  <c:v>101.02195</c:v>
                </c:pt>
                <c:pt idx="420">
                  <c:v>101.0617</c:v>
                </c:pt>
                <c:pt idx="421">
                  <c:v>101.05131</c:v>
                </c:pt>
                <c:pt idx="422">
                  <c:v>101.03104</c:v>
                </c:pt>
                <c:pt idx="423">
                  <c:v>101.01900000000001</c:v>
                </c:pt>
                <c:pt idx="424">
                  <c:v>101.03791</c:v>
                </c:pt>
                <c:pt idx="425">
                  <c:v>101.01259</c:v>
                </c:pt>
                <c:pt idx="426">
                  <c:v>101.04343</c:v>
                </c:pt>
                <c:pt idx="427">
                  <c:v>101.02321000000001</c:v>
                </c:pt>
                <c:pt idx="428">
                  <c:v>101.03272</c:v>
                </c:pt>
                <c:pt idx="429">
                  <c:v>101.03655000000001</c:v>
                </c:pt>
                <c:pt idx="430">
                  <c:v>101.08002</c:v>
                </c:pt>
                <c:pt idx="431">
                  <c:v>101.03774</c:v>
                </c:pt>
                <c:pt idx="432">
                  <c:v>101.03180999999999</c:v>
                </c:pt>
                <c:pt idx="433">
                  <c:v>101.02955</c:v>
                </c:pt>
                <c:pt idx="434">
                  <c:v>101.01306</c:v>
                </c:pt>
                <c:pt idx="435">
                  <c:v>100.99396</c:v>
                </c:pt>
                <c:pt idx="436">
                  <c:v>101.05177</c:v>
                </c:pt>
                <c:pt idx="437">
                  <c:v>100.99603999999999</c:v>
                </c:pt>
                <c:pt idx="438">
                  <c:v>100.95224999999999</c:v>
                </c:pt>
                <c:pt idx="439">
                  <c:v>101.00073</c:v>
                </c:pt>
                <c:pt idx="440">
                  <c:v>101.01192999999999</c:v>
                </c:pt>
                <c:pt idx="441">
                  <c:v>100.99624</c:v>
                </c:pt>
                <c:pt idx="442">
                  <c:v>101.00931</c:v>
                </c:pt>
                <c:pt idx="443">
                  <c:v>100.99003999999999</c:v>
                </c:pt>
                <c:pt idx="444">
                  <c:v>100.92652</c:v>
                </c:pt>
                <c:pt idx="445">
                  <c:v>100.99809</c:v>
                </c:pt>
                <c:pt idx="446">
                  <c:v>100.99084999999999</c:v>
                </c:pt>
                <c:pt idx="447">
                  <c:v>100.98952</c:v>
                </c:pt>
                <c:pt idx="448">
                  <c:v>101.00711</c:v>
                </c:pt>
                <c:pt idx="449">
                  <c:v>100.98922</c:v>
                </c:pt>
                <c:pt idx="450">
                  <c:v>100.97946</c:v>
                </c:pt>
                <c:pt idx="451">
                  <c:v>100.98318</c:v>
                </c:pt>
                <c:pt idx="452">
                  <c:v>100.95238999999999</c:v>
                </c:pt>
                <c:pt idx="453">
                  <c:v>100.95683</c:v>
                </c:pt>
                <c:pt idx="454">
                  <c:v>100.98366</c:v>
                </c:pt>
                <c:pt idx="455">
                  <c:v>100.94901</c:v>
                </c:pt>
                <c:pt idx="456">
                  <c:v>100.94886</c:v>
                </c:pt>
                <c:pt idx="457">
                  <c:v>100.98117999999999</c:v>
                </c:pt>
                <c:pt idx="458">
                  <c:v>100.96074</c:v>
                </c:pt>
                <c:pt idx="459">
                  <c:v>101.00071</c:v>
                </c:pt>
                <c:pt idx="460">
                  <c:v>100.93948</c:v>
                </c:pt>
                <c:pt idx="461">
                  <c:v>100.9748</c:v>
                </c:pt>
                <c:pt idx="462">
                  <c:v>100.95466</c:v>
                </c:pt>
                <c:pt idx="463">
                  <c:v>100.93796999999999</c:v>
                </c:pt>
                <c:pt idx="464">
                  <c:v>100.92968999999999</c:v>
                </c:pt>
                <c:pt idx="465">
                  <c:v>100.93541</c:v>
                </c:pt>
                <c:pt idx="466">
                  <c:v>100.9408</c:v>
                </c:pt>
                <c:pt idx="467">
                  <c:v>100.95765</c:v>
                </c:pt>
                <c:pt idx="468">
                  <c:v>100.9336</c:v>
                </c:pt>
                <c:pt idx="469">
                  <c:v>100.94190999999999</c:v>
                </c:pt>
                <c:pt idx="470">
                  <c:v>100.91055</c:v>
                </c:pt>
                <c:pt idx="471">
                  <c:v>100.94280000000001</c:v>
                </c:pt>
                <c:pt idx="472">
                  <c:v>100.86612</c:v>
                </c:pt>
                <c:pt idx="473">
                  <c:v>100.88983</c:v>
                </c:pt>
                <c:pt idx="474">
                  <c:v>100.87365</c:v>
                </c:pt>
                <c:pt idx="475">
                  <c:v>100.93277</c:v>
                </c:pt>
                <c:pt idx="476">
                  <c:v>100.91924</c:v>
                </c:pt>
                <c:pt idx="477">
                  <c:v>100.92318</c:v>
                </c:pt>
                <c:pt idx="478">
                  <c:v>100.92225000000001</c:v>
                </c:pt>
                <c:pt idx="479">
                  <c:v>100.93102999999999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03-F348-9AFE-9A60A91FC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567264"/>
        <c:axId val="2043588847"/>
      </c:scatterChart>
      <c:valAx>
        <c:axId val="268567264"/>
        <c:scaling>
          <c:orientation val="minMax"/>
          <c:max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[Min]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43588847"/>
        <c:crosses val="autoZero"/>
        <c:crossBetween val="midCat"/>
      </c:valAx>
      <c:valAx>
        <c:axId val="204358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Corrected</a:t>
                </a:r>
                <a:r>
                  <a:rPr lang="en-GB" baseline="0"/>
                  <a:t> Mass%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8567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time, 200C, 20% O2, 4H Hold (Odin)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BRF500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Data, BRF500 20% O2'!$C$4:$C$483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BRF500 20% O2'!$E$4:$E$483</c:f>
              <c:numCache>
                <c:formatCode>0.00000</c:formatCode>
                <c:ptCount val="480"/>
                <c:pt idx="0">
                  <c:v>100</c:v>
                </c:pt>
                <c:pt idx="1">
                  <c:v>100.06681</c:v>
                </c:pt>
                <c:pt idx="2">
                  <c:v>100.16997000000001</c:v>
                </c:pt>
                <c:pt idx="3">
                  <c:v>100.22764000000001</c:v>
                </c:pt>
                <c:pt idx="4">
                  <c:v>100.29214</c:v>
                </c:pt>
                <c:pt idx="5">
                  <c:v>100.33388000000001</c:v>
                </c:pt>
                <c:pt idx="6">
                  <c:v>100.4194</c:v>
                </c:pt>
                <c:pt idx="7">
                  <c:v>100.38337</c:v>
                </c:pt>
                <c:pt idx="8">
                  <c:v>100.41186</c:v>
                </c:pt>
                <c:pt idx="9">
                  <c:v>100.33768000000001</c:v>
                </c:pt>
                <c:pt idx="10">
                  <c:v>100.37334</c:v>
                </c:pt>
                <c:pt idx="11">
                  <c:v>100.30545000000001</c:v>
                </c:pt>
                <c:pt idx="12">
                  <c:v>100.34782</c:v>
                </c:pt>
                <c:pt idx="13">
                  <c:v>100.40491</c:v>
                </c:pt>
                <c:pt idx="14">
                  <c:v>100.42739</c:v>
                </c:pt>
                <c:pt idx="15">
                  <c:v>100.44671</c:v>
                </c:pt>
                <c:pt idx="16">
                  <c:v>100.49976000000001</c:v>
                </c:pt>
                <c:pt idx="17">
                  <c:v>100.49378</c:v>
                </c:pt>
                <c:pt idx="18">
                  <c:v>100.42574</c:v>
                </c:pt>
                <c:pt idx="19">
                  <c:v>100.47537</c:v>
                </c:pt>
                <c:pt idx="20">
                  <c:v>100.46375</c:v>
                </c:pt>
                <c:pt idx="21">
                  <c:v>100.54795</c:v>
                </c:pt>
                <c:pt idx="22">
                  <c:v>100.57029</c:v>
                </c:pt>
                <c:pt idx="23">
                  <c:v>100.61155000000001</c:v>
                </c:pt>
                <c:pt idx="24">
                  <c:v>100.39765</c:v>
                </c:pt>
                <c:pt idx="25">
                  <c:v>100.52231</c:v>
                </c:pt>
                <c:pt idx="26">
                  <c:v>100.54252</c:v>
                </c:pt>
                <c:pt idx="27">
                  <c:v>100.51053</c:v>
                </c:pt>
                <c:pt idx="28">
                  <c:v>100.50194</c:v>
                </c:pt>
                <c:pt idx="29">
                  <c:v>100.60481</c:v>
                </c:pt>
                <c:pt idx="30">
                  <c:v>100.53123000000001</c:v>
                </c:pt>
                <c:pt idx="31">
                  <c:v>100.66367</c:v>
                </c:pt>
                <c:pt idx="32">
                  <c:v>100.51486</c:v>
                </c:pt>
                <c:pt idx="33">
                  <c:v>100.60980000000001</c:v>
                </c:pt>
                <c:pt idx="34">
                  <c:v>100.52312000000001</c:v>
                </c:pt>
                <c:pt idx="35">
                  <c:v>100.39808000000001</c:v>
                </c:pt>
                <c:pt idx="36">
                  <c:v>100.55818000000001</c:v>
                </c:pt>
                <c:pt idx="37">
                  <c:v>100.5761</c:v>
                </c:pt>
                <c:pt idx="38">
                  <c:v>100.55018</c:v>
                </c:pt>
                <c:pt idx="39">
                  <c:v>100.41071000000001</c:v>
                </c:pt>
                <c:pt idx="40">
                  <c:v>100.52768</c:v>
                </c:pt>
                <c:pt idx="41">
                  <c:v>100.60888</c:v>
                </c:pt>
                <c:pt idx="42">
                  <c:v>100.55548</c:v>
                </c:pt>
                <c:pt idx="43">
                  <c:v>100.50557000000001</c:v>
                </c:pt>
                <c:pt idx="44">
                  <c:v>100.44946</c:v>
                </c:pt>
                <c:pt idx="45">
                  <c:v>100.60174000000001</c:v>
                </c:pt>
                <c:pt idx="46">
                  <c:v>100.60725000000001</c:v>
                </c:pt>
                <c:pt idx="47">
                  <c:v>100.49603</c:v>
                </c:pt>
                <c:pt idx="48">
                  <c:v>100.49091</c:v>
                </c:pt>
                <c:pt idx="49">
                  <c:v>100.54350000000001</c:v>
                </c:pt>
                <c:pt idx="50">
                  <c:v>100.66264</c:v>
                </c:pt>
                <c:pt idx="51">
                  <c:v>100.58319</c:v>
                </c:pt>
                <c:pt idx="52">
                  <c:v>100.51963000000001</c:v>
                </c:pt>
                <c:pt idx="53">
                  <c:v>100.57980000000001</c:v>
                </c:pt>
                <c:pt idx="54">
                  <c:v>100.57996</c:v>
                </c:pt>
                <c:pt idx="55">
                  <c:v>100.58041</c:v>
                </c:pt>
                <c:pt idx="56">
                  <c:v>100.46592</c:v>
                </c:pt>
                <c:pt idx="57">
                  <c:v>100.56808000000001</c:v>
                </c:pt>
                <c:pt idx="58">
                  <c:v>100.46189</c:v>
                </c:pt>
                <c:pt idx="59">
                  <c:v>100.58813000000001</c:v>
                </c:pt>
                <c:pt idx="60">
                  <c:v>100.62061</c:v>
                </c:pt>
                <c:pt idx="61">
                  <c:v>100.49223000000001</c:v>
                </c:pt>
                <c:pt idx="62">
                  <c:v>100.54409</c:v>
                </c:pt>
                <c:pt idx="63">
                  <c:v>100.48455</c:v>
                </c:pt>
                <c:pt idx="64">
                  <c:v>100.51820000000001</c:v>
                </c:pt>
                <c:pt idx="65">
                  <c:v>100.60001</c:v>
                </c:pt>
                <c:pt idx="66">
                  <c:v>100.53530000000001</c:v>
                </c:pt>
                <c:pt idx="67">
                  <c:v>100.59257000000001</c:v>
                </c:pt>
                <c:pt idx="68">
                  <c:v>100.55301</c:v>
                </c:pt>
                <c:pt idx="69">
                  <c:v>100.58338000000001</c:v>
                </c:pt>
                <c:pt idx="70">
                  <c:v>100.57871</c:v>
                </c:pt>
                <c:pt idx="71">
                  <c:v>100.50227</c:v>
                </c:pt>
                <c:pt idx="72">
                  <c:v>100.56386000000001</c:v>
                </c:pt>
                <c:pt idx="73">
                  <c:v>100.46318000000001</c:v>
                </c:pt>
                <c:pt idx="74">
                  <c:v>100.47158</c:v>
                </c:pt>
                <c:pt idx="75">
                  <c:v>100.53791</c:v>
                </c:pt>
                <c:pt idx="76">
                  <c:v>100.54278000000001</c:v>
                </c:pt>
                <c:pt idx="77">
                  <c:v>100.72150000000001</c:v>
                </c:pt>
                <c:pt idx="78">
                  <c:v>100.52222</c:v>
                </c:pt>
                <c:pt idx="79">
                  <c:v>100.58399</c:v>
                </c:pt>
                <c:pt idx="80">
                  <c:v>100.64235000000001</c:v>
                </c:pt>
                <c:pt idx="81">
                  <c:v>100.65574000000001</c:v>
                </c:pt>
                <c:pt idx="82">
                  <c:v>100.59582</c:v>
                </c:pt>
                <c:pt idx="83">
                  <c:v>100.58852</c:v>
                </c:pt>
                <c:pt idx="84">
                  <c:v>100.55383</c:v>
                </c:pt>
                <c:pt idx="85">
                  <c:v>100.50918</c:v>
                </c:pt>
                <c:pt idx="86">
                  <c:v>100.64914</c:v>
                </c:pt>
                <c:pt idx="87">
                  <c:v>100.38751000000001</c:v>
                </c:pt>
                <c:pt idx="88">
                  <c:v>100.65445</c:v>
                </c:pt>
                <c:pt idx="89">
                  <c:v>100.61277</c:v>
                </c:pt>
                <c:pt idx="90">
                  <c:v>100.55309</c:v>
                </c:pt>
                <c:pt idx="91">
                  <c:v>100.62589</c:v>
                </c:pt>
                <c:pt idx="92">
                  <c:v>100.55120000000001</c:v>
                </c:pt>
                <c:pt idx="93">
                  <c:v>100.63637</c:v>
                </c:pt>
                <c:pt idx="94">
                  <c:v>100.61745000000001</c:v>
                </c:pt>
                <c:pt idx="95">
                  <c:v>100.51452</c:v>
                </c:pt>
                <c:pt idx="96">
                  <c:v>100.57857</c:v>
                </c:pt>
                <c:pt idx="97">
                  <c:v>100.44474</c:v>
                </c:pt>
                <c:pt idx="98">
                  <c:v>100.62576</c:v>
                </c:pt>
                <c:pt idx="99">
                  <c:v>100.57512</c:v>
                </c:pt>
                <c:pt idx="100">
                  <c:v>100.68105</c:v>
                </c:pt>
                <c:pt idx="101">
                  <c:v>100.49431</c:v>
                </c:pt>
                <c:pt idx="102">
                  <c:v>100.55913</c:v>
                </c:pt>
                <c:pt idx="103">
                  <c:v>100.58358</c:v>
                </c:pt>
                <c:pt idx="104">
                  <c:v>100.49348000000001</c:v>
                </c:pt>
                <c:pt idx="105">
                  <c:v>100.69518000000001</c:v>
                </c:pt>
                <c:pt idx="106">
                  <c:v>100.70140000000001</c:v>
                </c:pt>
                <c:pt idx="107">
                  <c:v>100.47325000000001</c:v>
                </c:pt>
                <c:pt idx="108">
                  <c:v>100.61504000000001</c:v>
                </c:pt>
                <c:pt idx="109">
                  <c:v>100.54336000000001</c:v>
                </c:pt>
                <c:pt idx="110">
                  <c:v>100.55937</c:v>
                </c:pt>
                <c:pt idx="111">
                  <c:v>100.53865</c:v>
                </c:pt>
                <c:pt idx="112">
                  <c:v>100.54748000000001</c:v>
                </c:pt>
                <c:pt idx="113">
                  <c:v>100.59745000000001</c:v>
                </c:pt>
                <c:pt idx="114">
                  <c:v>100.5793</c:v>
                </c:pt>
                <c:pt idx="115">
                  <c:v>100.72454</c:v>
                </c:pt>
                <c:pt idx="116">
                  <c:v>100.53150000000001</c:v>
                </c:pt>
                <c:pt idx="117">
                  <c:v>100.66458</c:v>
                </c:pt>
                <c:pt idx="118">
                  <c:v>100.57576</c:v>
                </c:pt>
                <c:pt idx="119">
                  <c:v>100.56157</c:v>
                </c:pt>
                <c:pt idx="120">
                  <c:v>100.49764</c:v>
                </c:pt>
                <c:pt idx="121">
                  <c:v>100.56734</c:v>
                </c:pt>
                <c:pt idx="122">
                  <c:v>100.62566</c:v>
                </c:pt>
                <c:pt idx="123">
                  <c:v>100.56979</c:v>
                </c:pt>
                <c:pt idx="124">
                  <c:v>100.62836</c:v>
                </c:pt>
                <c:pt idx="125">
                  <c:v>100.44244</c:v>
                </c:pt>
                <c:pt idx="126">
                  <c:v>100.58291</c:v>
                </c:pt>
                <c:pt idx="127">
                  <c:v>100.54239</c:v>
                </c:pt>
                <c:pt idx="128">
                  <c:v>100.56816000000001</c:v>
                </c:pt>
                <c:pt idx="129">
                  <c:v>100.48942</c:v>
                </c:pt>
                <c:pt idx="130">
                  <c:v>100.4538</c:v>
                </c:pt>
                <c:pt idx="131">
                  <c:v>100.65984</c:v>
                </c:pt>
                <c:pt idx="132">
                  <c:v>100.63522</c:v>
                </c:pt>
                <c:pt idx="133">
                  <c:v>100.36716</c:v>
                </c:pt>
                <c:pt idx="134">
                  <c:v>100.59273</c:v>
                </c:pt>
                <c:pt idx="135">
                  <c:v>100.47928</c:v>
                </c:pt>
                <c:pt idx="136">
                  <c:v>100.61076</c:v>
                </c:pt>
                <c:pt idx="137">
                  <c:v>100.51748000000001</c:v>
                </c:pt>
                <c:pt idx="138">
                  <c:v>100.56656</c:v>
                </c:pt>
                <c:pt idx="139">
                  <c:v>100.46027000000001</c:v>
                </c:pt>
                <c:pt idx="140">
                  <c:v>100.64697</c:v>
                </c:pt>
                <c:pt idx="141">
                  <c:v>100.51211000000001</c:v>
                </c:pt>
                <c:pt idx="142">
                  <c:v>100.39101000000001</c:v>
                </c:pt>
                <c:pt idx="143">
                  <c:v>100.59112</c:v>
                </c:pt>
                <c:pt idx="144">
                  <c:v>100.54507</c:v>
                </c:pt>
                <c:pt idx="145">
                  <c:v>100.47673</c:v>
                </c:pt>
                <c:pt idx="146">
                  <c:v>100.6069</c:v>
                </c:pt>
                <c:pt idx="147">
                  <c:v>100.66022</c:v>
                </c:pt>
                <c:pt idx="148">
                  <c:v>100.60417</c:v>
                </c:pt>
                <c:pt idx="149">
                  <c:v>100.49504</c:v>
                </c:pt>
                <c:pt idx="150">
                  <c:v>100.47493</c:v>
                </c:pt>
                <c:pt idx="151">
                  <c:v>100.49755</c:v>
                </c:pt>
                <c:pt idx="152">
                  <c:v>100.63169000000001</c:v>
                </c:pt>
                <c:pt idx="153">
                  <c:v>100.48184000000001</c:v>
                </c:pt>
                <c:pt idx="154">
                  <c:v>100.40043</c:v>
                </c:pt>
                <c:pt idx="155">
                  <c:v>100.40616</c:v>
                </c:pt>
                <c:pt idx="156">
                  <c:v>100.59603</c:v>
                </c:pt>
                <c:pt idx="157">
                  <c:v>100.52423</c:v>
                </c:pt>
                <c:pt idx="158">
                  <c:v>100.54278000000001</c:v>
                </c:pt>
                <c:pt idx="159">
                  <c:v>100.64627</c:v>
                </c:pt>
                <c:pt idx="160">
                  <c:v>100.44465</c:v>
                </c:pt>
                <c:pt idx="161">
                  <c:v>100.50564</c:v>
                </c:pt>
                <c:pt idx="162">
                  <c:v>100.43309000000001</c:v>
                </c:pt>
                <c:pt idx="163">
                  <c:v>100.40255000000001</c:v>
                </c:pt>
                <c:pt idx="164">
                  <c:v>100.5201</c:v>
                </c:pt>
                <c:pt idx="165">
                  <c:v>100.51816000000001</c:v>
                </c:pt>
                <c:pt idx="166">
                  <c:v>100.45291</c:v>
                </c:pt>
                <c:pt idx="167">
                  <c:v>100.60416000000001</c:v>
                </c:pt>
                <c:pt idx="168">
                  <c:v>100.38164</c:v>
                </c:pt>
                <c:pt idx="169">
                  <c:v>100.47229</c:v>
                </c:pt>
                <c:pt idx="170">
                  <c:v>100.35154</c:v>
                </c:pt>
                <c:pt idx="171">
                  <c:v>100.48311</c:v>
                </c:pt>
                <c:pt idx="172">
                  <c:v>100.57799</c:v>
                </c:pt>
                <c:pt idx="173">
                  <c:v>100.46983</c:v>
                </c:pt>
                <c:pt idx="174">
                  <c:v>100.47908</c:v>
                </c:pt>
                <c:pt idx="175">
                  <c:v>100.45615000000001</c:v>
                </c:pt>
                <c:pt idx="176">
                  <c:v>100.52670000000001</c:v>
                </c:pt>
                <c:pt idx="177">
                  <c:v>100.5138</c:v>
                </c:pt>
                <c:pt idx="178">
                  <c:v>100.54263</c:v>
                </c:pt>
                <c:pt idx="179">
                  <c:v>100.56824</c:v>
                </c:pt>
                <c:pt idx="180">
                  <c:v>100.45938</c:v>
                </c:pt>
                <c:pt idx="181">
                  <c:v>100.4658</c:v>
                </c:pt>
                <c:pt idx="182">
                  <c:v>100.45614</c:v>
                </c:pt>
                <c:pt idx="183">
                  <c:v>100.51932000000001</c:v>
                </c:pt>
                <c:pt idx="184">
                  <c:v>100.47942</c:v>
                </c:pt>
                <c:pt idx="185">
                  <c:v>100.54402</c:v>
                </c:pt>
                <c:pt idx="186">
                  <c:v>100.50985</c:v>
                </c:pt>
                <c:pt idx="187">
                  <c:v>100.43825</c:v>
                </c:pt>
                <c:pt idx="188">
                  <c:v>100.40329</c:v>
                </c:pt>
                <c:pt idx="189">
                  <c:v>100.52324</c:v>
                </c:pt>
                <c:pt idx="190">
                  <c:v>100.43056</c:v>
                </c:pt>
                <c:pt idx="191">
                  <c:v>100.45546</c:v>
                </c:pt>
                <c:pt idx="192">
                  <c:v>100.56844</c:v>
                </c:pt>
                <c:pt idx="193">
                  <c:v>100.48029</c:v>
                </c:pt>
                <c:pt idx="194">
                  <c:v>100.62211000000001</c:v>
                </c:pt>
                <c:pt idx="195">
                  <c:v>100.55093000000001</c:v>
                </c:pt>
                <c:pt idx="196">
                  <c:v>100.50284000000001</c:v>
                </c:pt>
                <c:pt idx="197">
                  <c:v>100.61373</c:v>
                </c:pt>
                <c:pt idx="198">
                  <c:v>100.38757</c:v>
                </c:pt>
                <c:pt idx="199">
                  <c:v>100.49489</c:v>
                </c:pt>
                <c:pt idx="200">
                  <c:v>100.43788000000001</c:v>
                </c:pt>
                <c:pt idx="201">
                  <c:v>100.49923</c:v>
                </c:pt>
                <c:pt idx="202">
                  <c:v>100.36457</c:v>
                </c:pt>
                <c:pt idx="203">
                  <c:v>100.45402</c:v>
                </c:pt>
                <c:pt idx="204">
                  <c:v>100.52738000000001</c:v>
                </c:pt>
                <c:pt idx="205">
                  <c:v>100.36449</c:v>
                </c:pt>
                <c:pt idx="206">
                  <c:v>100.69348000000001</c:v>
                </c:pt>
                <c:pt idx="207">
                  <c:v>100.36734</c:v>
                </c:pt>
                <c:pt idx="208">
                  <c:v>100.40639</c:v>
                </c:pt>
                <c:pt idx="209">
                  <c:v>100.47968</c:v>
                </c:pt>
                <c:pt idx="210">
                  <c:v>100.51058</c:v>
                </c:pt>
                <c:pt idx="211">
                  <c:v>100.37933</c:v>
                </c:pt>
                <c:pt idx="212">
                  <c:v>100.48064000000001</c:v>
                </c:pt>
                <c:pt idx="213">
                  <c:v>100.46551000000001</c:v>
                </c:pt>
                <c:pt idx="214">
                  <c:v>100.44077</c:v>
                </c:pt>
                <c:pt idx="215">
                  <c:v>100.39751</c:v>
                </c:pt>
                <c:pt idx="216">
                  <c:v>100.54108000000001</c:v>
                </c:pt>
                <c:pt idx="217">
                  <c:v>100.51037000000001</c:v>
                </c:pt>
                <c:pt idx="218">
                  <c:v>100.53464</c:v>
                </c:pt>
                <c:pt idx="219">
                  <c:v>100.29846000000001</c:v>
                </c:pt>
                <c:pt idx="220">
                  <c:v>100.43851000000001</c:v>
                </c:pt>
                <c:pt idx="221">
                  <c:v>100.45736000000001</c:v>
                </c:pt>
                <c:pt idx="222">
                  <c:v>100.46279</c:v>
                </c:pt>
                <c:pt idx="223">
                  <c:v>100.48388</c:v>
                </c:pt>
                <c:pt idx="224">
                  <c:v>100.66531000000001</c:v>
                </c:pt>
                <c:pt idx="225">
                  <c:v>100.38854000000001</c:v>
                </c:pt>
                <c:pt idx="226">
                  <c:v>100.40311</c:v>
                </c:pt>
                <c:pt idx="227">
                  <c:v>100.51401</c:v>
                </c:pt>
                <c:pt idx="228">
                  <c:v>100.50618</c:v>
                </c:pt>
                <c:pt idx="229">
                  <c:v>100.56012</c:v>
                </c:pt>
                <c:pt idx="230">
                  <c:v>100.3797</c:v>
                </c:pt>
                <c:pt idx="231">
                  <c:v>100.57519000000001</c:v>
                </c:pt>
                <c:pt idx="232">
                  <c:v>100.4385</c:v>
                </c:pt>
                <c:pt idx="233">
                  <c:v>100.38640000000001</c:v>
                </c:pt>
                <c:pt idx="234">
                  <c:v>100.54789</c:v>
                </c:pt>
                <c:pt idx="235">
                  <c:v>100.51969</c:v>
                </c:pt>
                <c:pt idx="236">
                  <c:v>100.43589</c:v>
                </c:pt>
                <c:pt idx="237">
                  <c:v>100.62893</c:v>
                </c:pt>
                <c:pt idx="238">
                  <c:v>100.4042</c:v>
                </c:pt>
                <c:pt idx="239">
                  <c:v>100.50486000000001</c:v>
                </c:pt>
                <c:pt idx="240">
                  <c:v>100.55898000000001</c:v>
                </c:pt>
                <c:pt idx="241">
                  <c:v>100.48192</c:v>
                </c:pt>
                <c:pt idx="242">
                  <c:v>100.43246000000001</c:v>
                </c:pt>
                <c:pt idx="243">
                  <c:v>100.36868</c:v>
                </c:pt>
                <c:pt idx="244">
                  <c:v>100.30331</c:v>
                </c:pt>
                <c:pt idx="245">
                  <c:v>100.65574000000001</c:v>
                </c:pt>
                <c:pt idx="246">
                  <c:v>100.21812</c:v>
                </c:pt>
                <c:pt idx="247">
                  <c:v>100.42917</c:v>
                </c:pt>
                <c:pt idx="248">
                  <c:v>100.499</c:v>
                </c:pt>
                <c:pt idx="249">
                  <c:v>100.44316000000001</c:v>
                </c:pt>
                <c:pt idx="250">
                  <c:v>100.48140000000001</c:v>
                </c:pt>
                <c:pt idx="251">
                  <c:v>100.40179000000001</c:v>
                </c:pt>
                <c:pt idx="252">
                  <c:v>100.35067000000001</c:v>
                </c:pt>
                <c:pt idx="253">
                  <c:v>100.3124</c:v>
                </c:pt>
                <c:pt idx="254">
                  <c:v>100.46752000000001</c:v>
                </c:pt>
                <c:pt idx="255">
                  <c:v>100.20956</c:v>
                </c:pt>
                <c:pt idx="256">
                  <c:v>100.39373000000001</c:v>
                </c:pt>
                <c:pt idx="257">
                  <c:v>100.50393</c:v>
                </c:pt>
                <c:pt idx="258">
                  <c:v>100.16665</c:v>
                </c:pt>
                <c:pt idx="259">
                  <c:v>100.30354</c:v>
                </c:pt>
                <c:pt idx="260">
                  <c:v>100.50039</c:v>
                </c:pt>
                <c:pt idx="261">
                  <c:v>100.43282000000001</c:v>
                </c:pt>
                <c:pt idx="262">
                  <c:v>100.29359000000001</c:v>
                </c:pt>
                <c:pt idx="263">
                  <c:v>100.22236000000001</c:v>
                </c:pt>
                <c:pt idx="264">
                  <c:v>100.45916</c:v>
                </c:pt>
                <c:pt idx="265">
                  <c:v>100.51944</c:v>
                </c:pt>
                <c:pt idx="266">
                  <c:v>100.46767</c:v>
                </c:pt>
                <c:pt idx="267">
                  <c:v>100.44129000000001</c:v>
                </c:pt>
                <c:pt idx="268">
                  <c:v>100.37982000000001</c:v>
                </c:pt>
                <c:pt idx="269">
                  <c:v>100.32979</c:v>
                </c:pt>
                <c:pt idx="270">
                  <c:v>100.36644</c:v>
                </c:pt>
                <c:pt idx="271">
                  <c:v>100.53377</c:v>
                </c:pt>
                <c:pt idx="272">
                  <c:v>100.46730000000001</c:v>
                </c:pt>
                <c:pt idx="273">
                  <c:v>100.34690000000001</c:v>
                </c:pt>
                <c:pt idx="274">
                  <c:v>100.43289</c:v>
                </c:pt>
                <c:pt idx="275">
                  <c:v>100.21912</c:v>
                </c:pt>
                <c:pt idx="276">
                  <c:v>100.32721000000001</c:v>
                </c:pt>
                <c:pt idx="277">
                  <c:v>100.52572000000001</c:v>
                </c:pt>
                <c:pt idx="278">
                  <c:v>100.39754000000001</c:v>
                </c:pt>
                <c:pt idx="279">
                  <c:v>100.3793</c:v>
                </c:pt>
                <c:pt idx="280">
                  <c:v>100.5605</c:v>
                </c:pt>
                <c:pt idx="281">
                  <c:v>100.23116</c:v>
                </c:pt>
                <c:pt idx="282">
                  <c:v>100.31403</c:v>
                </c:pt>
                <c:pt idx="283">
                  <c:v>100.38208</c:v>
                </c:pt>
                <c:pt idx="284">
                  <c:v>100.43632000000001</c:v>
                </c:pt>
                <c:pt idx="285">
                  <c:v>100.46683</c:v>
                </c:pt>
                <c:pt idx="286">
                  <c:v>100.38296</c:v>
                </c:pt>
                <c:pt idx="287">
                  <c:v>100.38704</c:v>
                </c:pt>
                <c:pt idx="288">
                  <c:v>100.37350000000001</c:v>
                </c:pt>
                <c:pt idx="289">
                  <c:v>100.50437000000001</c:v>
                </c:pt>
                <c:pt idx="290">
                  <c:v>100.31036</c:v>
                </c:pt>
                <c:pt idx="291">
                  <c:v>100.39638000000001</c:v>
                </c:pt>
                <c:pt idx="292">
                  <c:v>100.32815000000001</c:v>
                </c:pt>
                <c:pt idx="293">
                  <c:v>100.49621</c:v>
                </c:pt>
                <c:pt idx="294">
                  <c:v>100.29781</c:v>
                </c:pt>
                <c:pt idx="295">
                  <c:v>100.23285</c:v>
                </c:pt>
                <c:pt idx="296">
                  <c:v>100.27207</c:v>
                </c:pt>
                <c:pt idx="297">
                  <c:v>100.48345</c:v>
                </c:pt>
                <c:pt idx="298">
                  <c:v>100.40738</c:v>
                </c:pt>
                <c:pt idx="299">
                  <c:v>100.42728</c:v>
                </c:pt>
                <c:pt idx="300">
                  <c:v>100.34283000000001</c:v>
                </c:pt>
                <c:pt idx="301">
                  <c:v>100.3338</c:v>
                </c:pt>
                <c:pt idx="302">
                  <c:v>100.39555</c:v>
                </c:pt>
                <c:pt idx="303">
                  <c:v>100.43979</c:v>
                </c:pt>
                <c:pt idx="304">
                  <c:v>100.34689</c:v>
                </c:pt>
                <c:pt idx="305">
                  <c:v>100.47750000000001</c:v>
                </c:pt>
                <c:pt idx="306">
                  <c:v>100.40762000000001</c:v>
                </c:pt>
                <c:pt idx="307">
                  <c:v>100.40041000000001</c:v>
                </c:pt>
                <c:pt idx="308">
                  <c:v>100.33219</c:v>
                </c:pt>
                <c:pt idx="309">
                  <c:v>100.31416</c:v>
                </c:pt>
                <c:pt idx="310">
                  <c:v>100.40299</c:v>
                </c:pt>
                <c:pt idx="311">
                  <c:v>100.35864000000001</c:v>
                </c:pt>
                <c:pt idx="312">
                  <c:v>100.54464</c:v>
                </c:pt>
                <c:pt idx="313">
                  <c:v>100.38290000000001</c:v>
                </c:pt>
                <c:pt idx="314">
                  <c:v>100.36129</c:v>
                </c:pt>
                <c:pt idx="315">
                  <c:v>100.29698</c:v>
                </c:pt>
                <c:pt idx="316">
                  <c:v>100.39029000000001</c:v>
                </c:pt>
                <c:pt idx="317">
                  <c:v>100.42422000000001</c:v>
                </c:pt>
                <c:pt idx="318">
                  <c:v>100.38329</c:v>
                </c:pt>
                <c:pt idx="319">
                  <c:v>100.26979</c:v>
                </c:pt>
                <c:pt idx="320">
                  <c:v>100.41598</c:v>
                </c:pt>
                <c:pt idx="321">
                  <c:v>100.31187</c:v>
                </c:pt>
                <c:pt idx="322">
                  <c:v>100.31753</c:v>
                </c:pt>
                <c:pt idx="323">
                  <c:v>100.38525</c:v>
                </c:pt>
                <c:pt idx="324">
                  <c:v>100.27123</c:v>
                </c:pt>
                <c:pt idx="325">
                  <c:v>100.47301</c:v>
                </c:pt>
                <c:pt idx="326">
                  <c:v>100.40214</c:v>
                </c:pt>
                <c:pt idx="327">
                  <c:v>100.33455000000001</c:v>
                </c:pt>
                <c:pt idx="328">
                  <c:v>100.26178</c:v>
                </c:pt>
                <c:pt idx="329">
                  <c:v>100.42142</c:v>
                </c:pt>
                <c:pt idx="330">
                  <c:v>100.34414</c:v>
                </c:pt>
                <c:pt idx="331">
                  <c:v>100.28999</c:v>
                </c:pt>
                <c:pt idx="332">
                  <c:v>100.32455</c:v>
                </c:pt>
                <c:pt idx="333">
                  <c:v>100.34485000000001</c:v>
                </c:pt>
                <c:pt idx="334">
                  <c:v>100.31476000000001</c:v>
                </c:pt>
                <c:pt idx="335">
                  <c:v>100.29925</c:v>
                </c:pt>
                <c:pt idx="336">
                  <c:v>100.29465</c:v>
                </c:pt>
                <c:pt idx="337">
                  <c:v>100.32358000000001</c:v>
                </c:pt>
                <c:pt idx="338">
                  <c:v>100.34392</c:v>
                </c:pt>
                <c:pt idx="339">
                  <c:v>100.31695000000001</c:v>
                </c:pt>
                <c:pt idx="340">
                  <c:v>100.33355</c:v>
                </c:pt>
                <c:pt idx="341">
                  <c:v>100.4528</c:v>
                </c:pt>
                <c:pt idx="342">
                  <c:v>100.3723</c:v>
                </c:pt>
                <c:pt idx="343">
                  <c:v>100.39009</c:v>
                </c:pt>
                <c:pt idx="344">
                  <c:v>100.32788000000001</c:v>
                </c:pt>
                <c:pt idx="345">
                  <c:v>100.35776</c:v>
                </c:pt>
                <c:pt idx="346">
                  <c:v>100.36954</c:v>
                </c:pt>
                <c:pt idx="347">
                  <c:v>100.194</c:v>
                </c:pt>
                <c:pt idx="348">
                  <c:v>100.35146</c:v>
                </c:pt>
                <c:pt idx="349">
                  <c:v>100.24000000000001</c:v>
                </c:pt>
                <c:pt idx="350">
                  <c:v>100.32147000000001</c:v>
                </c:pt>
                <c:pt idx="351">
                  <c:v>100.34831</c:v>
                </c:pt>
                <c:pt idx="352">
                  <c:v>100.33435</c:v>
                </c:pt>
                <c:pt idx="353">
                  <c:v>100.39929000000001</c:v>
                </c:pt>
                <c:pt idx="354">
                  <c:v>100.38307</c:v>
                </c:pt>
                <c:pt idx="355">
                  <c:v>100.4072</c:v>
                </c:pt>
                <c:pt idx="356">
                  <c:v>100.28899</c:v>
                </c:pt>
                <c:pt idx="357">
                  <c:v>100.36231000000001</c:v>
                </c:pt>
                <c:pt idx="358">
                  <c:v>100.21259000000001</c:v>
                </c:pt>
                <c:pt idx="359">
                  <c:v>100.33862000000001</c:v>
                </c:pt>
                <c:pt idx="360">
                  <c:v>100.38792000000001</c:v>
                </c:pt>
                <c:pt idx="361">
                  <c:v>100.44463</c:v>
                </c:pt>
                <c:pt idx="362">
                  <c:v>100.29424</c:v>
                </c:pt>
                <c:pt idx="363">
                  <c:v>100.22508000000001</c:v>
                </c:pt>
                <c:pt idx="364">
                  <c:v>100.33349</c:v>
                </c:pt>
                <c:pt idx="365">
                  <c:v>100.31027</c:v>
                </c:pt>
                <c:pt idx="366">
                  <c:v>100.20786</c:v>
                </c:pt>
                <c:pt idx="367">
                  <c:v>100.35665</c:v>
                </c:pt>
                <c:pt idx="368">
                  <c:v>100.31732000000001</c:v>
                </c:pt>
                <c:pt idx="369">
                  <c:v>100.18377</c:v>
                </c:pt>
                <c:pt idx="370">
                  <c:v>100.35317000000001</c:v>
                </c:pt>
                <c:pt idx="371">
                  <c:v>100.26532</c:v>
                </c:pt>
                <c:pt idx="372">
                  <c:v>100.29</c:v>
                </c:pt>
                <c:pt idx="373">
                  <c:v>100.32054000000001</c:v>
                </c:pt>
                <c:pt idx="374">
                  <c:v>100.31978000000001</c:v>
                </c:pt>
                <c:pt idx="375">
                  <c:v>100.34163000000001</c:v>
                </c:pt>
                <c:pt idx="376">
                  <c:v>100.15946</c:v>
                </c:pt>
                <c:pt idx="377">
                  <c:v>100.22286</c:v>
                </c:pt>
                <c:pt idx="378">
                  <c:v>100.22873</c:v>
                </c:pt>
                <c:pt idx="379">
                  <c:v>100.27558000000001</c:v>
                </c:pt>
                <c:pt idx="380">
                  <c:v>100.21306</c:v>
                </c:pt>
                <c:pt idx="381">
                  <c:v>100.18153000000001</c:v>
                </c:pt>
                <c:pt idx="382">
                  <c:v>100.248</c:v>
                </c:pt>
                <c:pt idx="383">
                  <c:v>100.33858000000001</c:v>
                </c:pt>
                <c:pt idx="384">
                  <c:v>100.33298000000001</c:v>
                </c:pt>
                <c:pt idx="385">
                  <c:v>100.16367</c:v>
                </c:pt>
                <c:pt idx="386">
                  <c:v>100.18153000000001</c:v>
                </c:pt>
                <c:pt idx="387">
                  <c:v>100.23445</c:v>
                </c:pt>
                <c:pt idx="388">
                  <c:v>100.24117</c:v>
                </c:pt>
                <c:pt idx="389">
                  <c:v>100.36631</c:v>
                </c:pt>
                <c:pt idx="390">
                  <c:v>100.41331</c:v>
                </c:pt>
                <c:pt idx="391">
                  <c:v>100.34639</c:v>
                </c:pt>
                <c:pt idx="392">
                  <c:v>100.31792</c:v>
                </c:pt>
                <c:pt idx="393">
                  <c:v>100.30709</c:v>
                </c:pt>
                <c:pt idx="394">
                  <c:v>100.28268</c:v>
                </c:pt>
                <c:pt idx="395">
                  <c:v>100.30269</c:v>
                </c:pt>
                <c:pt idx="396">
                  <c:v>100.26805</c:v>
                </c:pt>
                <c:pt idx="397">
                  <c:v>100.39634000000001</c:v>
                </c:pt>
                <c:pt idx="398">
                  <c:v>100.22206</c:v>
                </c:pt>
                <c:pt idx="399">
                  <c:v>100.21294</c:v>
                </c:pt>
                <c:pt idx="400">
                  <c:v>100.38097</c:v>
                </c:pt>
                <c:pt idx="401">
                  <c:v>100.33681</c:v>
                </c:pt>
                <c:pt idx="402">
                  <c:v>100.30291</c:v>
                </c:pt>
                <c:pt idx="403">
                  <c:v>100.38955</c:v>
                </c:pt>
                <c:pt idx="404">
                  <c:v>100.24327</c:v>
                </c:pt>
                <c:pt idx="405">
                  <c:v>100.34014000000001</c:v>
                </c:pt>
                <c:pt idx="406">
                  <c:v>100.41269</c:v>
                </c:pt>
                <c:pt idx="407">
                  <c:v>100.19872000000001</c:v>
                </c:pt>
                <c:pt idx="408">
                  <c:v>100.36601</c:v>
                </c:pt>
                <c:pt idx="409">
                  <c:v>100.28336</c:v>
                </c:pt>
                <c:pt idx="410">
                  <c:v>100.31292000000001</c:v>
                </c:pt>
                <c:pt idx="411">
                  <c:v>100.28646000000001</c:v>
                </c:pt>
                <c:pt idx="412">
                  <c:v>100.24205000000001</c:v>
                </c:pt>
                <c:pt idx="413">
                  <c:v>100.28558</c:v>
                </c:pt>
                <c:pt idx="414">
                  <c:v>100.3074</c:v>
                </c:pt>
                <c:pt idx="415">
                  <c:v>100.13482</c:v>
                </c:pt>
                <c:pt idx="416">
                  <c:v>100.29952</c:v>
                </c:pt>
                <c:pt idx="417">
                  <c:v>100.19931</c:v>
                </c:pt>
                <c:pt idx="418">
                  <c:v>100.21589</c:v>
                </c:pt>
                <c:pt idx="419">
                  <c:v>100.38202</c:v>
                </c:pt>
                <c:pt idx="420">
                  <c:v>100.20959000000001</c:v>
                </c:pt>
                <c:pt idx="421">
                  <c:v>100.23554</c:v>
                </c:pt>
                <c:pt idx="422">
                  <c:v>100.38181</c:v>
                </c:pt>
                <c:pt idx="423">
                  <c:v>100.31786</c:v>
                </c:pt>
                <c:pt idx="424">
                  <c:v>100.30248</c:v>
                </c:pt>
                <c:pt idx="425">
                  <c:v>100.13253</c:v>
                </c:pt>
                <c:pt idx="426">
                  <c:v>100.47294000000001</c:v>
                </c:pt>
                <c:pt idx="427">
                  <c:v>100.16449</c:v>
                </c:pt>
                <c:pt idx="428">
                  <c:v>100.33683000000001</c:v>
                </c:pt>
                <c:pt idx="429">
                  <c:v>100.35244</c:v>
                </c:pt>
                <c:pt idx="430">
                  <c:v>100.30864</c:v>
                </c:pt>
                <c:pt idx="431">
                  <c:v>100.20314</c:v>
                </c:pt>
                <c:pt idx="432">
                  <c:v>100.28057</c:v>
                </c:pt>
                <c:pt idx="433">
                  <c:v>100.26413000000001</c:v>
                </c:pt>
                <c:pt idx="434">
                  <c:v>100.32967000000001</c:v>
                </c:pt>
                <c:pt idx="435">
                  <c:v>100.16301</c:v>
                </c:pt>
                <c:pt idx="436">
                  <c:v>100.1957</c:v>
                </c:pt>
                <c:pt idx="437">
                  <c:v>100.13377</c:v>
                </c:pt>
                <c:pt idx="438">
                  <c:v>100.20361</c:v>
                </c:pt>
                <c:pt idx="439">
                  <c:v>100.21098000000001</c:v>
                </c:pt>
                <c:pt idx="440">
                  <c:v>100.19888</c:v>
                </c:pt>
                <c:pt idx="441">
                  <c:v>100.08826000000001</c:v>
                </c:pt>
                <c:pt idx="442">
                  <c:v>100.31699</c:v>
                </c:pt>
                <c:pt idx="443">
                  <c:v>100.26206000000001</c:v>
                </c:pt>
                <c:pt idx="444">
                  <c:v>100.13884</c:v>
                </c:pt>
                <c:pt idx="445">
                  <c:v>100.31658</c:v>
                </c:pt>
                <c:pt idx="446">
                  <c:v>100.24378</c:v>
                </c:pt>
                <c:pt idx="447">
                  <c:v>100.32759</c:v>
                </c:pt>
                <c:pt idx="448">
                  <c:v>100.26942</c:v>
                </c:pt>
                <c:pt idx="449">
                  <c:v>100.19634000000001</c:v>
                </c:pt>
                <c:pt idx="450">
                  <c:v>100.19985</c:v>
                </c:pt>
                <c:pt idx="451">
                  <c:v>100.23329</c:v>
                </c:pt>
                <c:pt idx="452">
                  <c:v>100.26749000000001</c:v>
                </c:pt>
                <c:pt idx="453">
                  <c:v>100.21202</c:v>
                </c:pt>
                <c:pt idx="454">
                  <c:v>100.17441000000001</c:v>
                </c:pt>
                <c:pt idx="455">
                  <c:v>100.22449</c:v>
                </c:pt>
                <c:pt idx="456">
                  <c:v>100.22741000000001</c:v>
                </c:pt>
                <c:pt idx="457">
                  <c:v>100.23089</c:v>
                </c:pt>
                <c:pt idx="458">
                  <c:v>100.27168</c:v>
                </c:pt>
                <c:pt idx="459">
                  <c:v>100.14204000000001</c:v>
                </c:pt>
                <c:pt idx="460">
                  <c:v>100.08704</c:v>
                </c:pt>
                <c:pt idx="461">
                  <c:v>100.31439</c:v>
                </c:pt>
                <c:pt idx="462">
                  <c:v>100.28474</c:v>
                </c:pt>
                <c:pt idx="463">
                  <c:v>100.14688</c:v>
                </c:pt>
                <c:pt idx="464">
                  <c:v>100.25938000000001</c:v>
                </c:pt>
                <c:pt idx="465">
                  <c:v>100.16923</c:v>
                </c:pt>
                <c:pt idx="466">
                  <c:v>100.32661</c:v>
                </c:pt>
                <c:pt idx="467">
                  <c:v>100.26478</c:v>
                </c:pt>
                <c:pt idx="468">
                  <c:v>100.23893</c:v>
                </c:pt>
                <c:pt idx="469">
                  <c:v>100.20222</c:v>
                </c:pt>
                <c:pt idx="470">
                  <c:v>100.16643000000001</c:v>
                </c:pt>
                <c:pt idx="471">
                  <c:v>100.24812</c:v>
                </c:pt>
                <c:pt idx="472">
                  <c:v>100.10836</c:v>
                </c:pt>
                <c:pt idx="473">
                  <c:v>100.23269000000001</c:v>
                </c:pt>
                <c:pt idx="474">
                  <c:v>100.26657</c:v>
                </c:pt>
                <c:pt idx="475">
                  <c:v>100.12412</c:v>
                </c:pt>
                <c:pt idx="476">
                  <c:v>100.16244</c:v>
                </c:pt>
                <c:pt idx="477">
                  <c:v>100.23099000000001</c:v>
                </c:pt>
                <c:pt idx="478">
                  <c:v>100.22302000000001</c:v>
                </c:pt>
                <c:pt idx="479">
                  <c:v>100.24234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8-8341-823D-E8FCDAE99ECD}"/>
            </c:ext>
          </c:extLst>
        </c:ser>
        <c:ser>
          <c:idx val="1"/>
          <c:order val="1"/>
          <c:tx>
            <c:v>WS500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Data, WS500 20% O2'!$C$6:$C$485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WS500 20% O2'!$E$6:$E$485</c:f>
              <c:numCache>
                <c:formatCode>0.00000</c:formatCode>
                <c:ptCount val="480"/>
                <c:pt idx="0">
                  <c:v>100</c:v>
                </c:pt>
                <c:pt idx="1">
                  <c:v>100.03172000000001</c:v>
                </c:pt>
                <c:pt idx="2">
                  <c:v>100.04184000000001</c:v>
                </c:pt>
                <c:pt idx="3">
                  <c:v>100.19915</c:v>
                </c:pt>
                <c:pt idx="4">
                  <c:v>100.09467000000001</c:v>
                </c:pt>
                <c:pt idx="5">
                  <c:v>100.12066</c:v>
                </c:pt>
                <c:pt idx="6">
                  <c:v>100.23494000000001</c:v>
                </c:pt>
                <c:pt idx="7">
                  <c:v>100.2791</c:v>
                </c:pt>
                <c:pt idx="8">
                  <c:v>100.24029</c:v>
                </c:pt>
                <c:pt idx="9">
                  <c:v>100.20551</c:v>
                </c:pt>
                <c:pt idx="10">
                  <c:v>100.26908</c:v>
                </c:pt>
                <c:pt idx="11">
                  <c:v>100.31247</c:v>
                </c:pt>
                <c:pt idx="12">
                  <c:v>100.19421</c:v>
                </c:pt>
                <c:pt idx="13">
                  <c:v>100.28624000000001</c:v>
                </c:pt>
                <c:pt idx="14">
                  <c:v>100.22457</c:v>
                </c:pt>
                <c:pt idx="15">
                  <c:v>100.33408</c:v>
                </c:pt>
                <c:pt idx="16">
                  <c:v>100.34079</c:v>
                </c:pt>
                <c:pt idx="17">
                  <c:v>100.33755000000001</c:v>
                </c:pt>
                <c:pt idx="18">
                  <c:v>100.32693</c:v>
                </c:pt>
                <c:pt idx="19">
                  <c:v>100.33762</c:v>
                </c:pt>
                <c:pt idx="20">
                  <c:v>100.33181</c:v>
                </c:pt>
                <c:pt idx="21">
                  <c:v>100.40267</c:v>
                </c:pt>
                <c:pt idx="22">
                  <c:v>100.2637</c:v>
                </c:pt>
                <c:pt idx="23">
                  <c:v>100.44404</c:v>
                </c:pt>
                <c:pt idx="24">
                  <c:v>100.18281</c:v>
                </c:pt>
                <c:pt idx="25">
                  <c:v>100.29837000000001</c:v>
                </c:pt>
                <c:pt idx="26">
                  <c:v>100.33928</c:v>
                </c:pt>
                <c:pt idx="27">
                  <c:v>100.25647000000001</c:v>
                </c:pt>
                <c:pt idx="28">
                  <c:v>100.40868</c:v>
                </c:pt>
                <c:pt idx="29">
                  <c:v>100.40621</c:v>
                </c:pt>
                <c:pt idx="30">
                  <c:v>100.33359</c:v>
                </c:pt>
                <c:pt idx="31">
                  <c:v>100.38001</c:v>
                </c:pt>
                <c:pt idx="32">
                  <c:v>100.32680000000001</c:v>
                </c:pt>
                <c:pt idx="33">
                  <c:v>100.39293000000001</c:v>
                </c:pt>
                <c:pt idx="34">
                  <c:v>100.45935</c:v>
                </c:pt>
                <c:pt idx="35">
                  <c:v>100.26047</c:v>
                </c:pt>
                <c:pt idx="36">
                  <c:v>100.45203000000001</c:v>
                </c:pt>
                <c:pt idx="37">
                  <c:v>100.41848</c:v>
                </c:pt>
                <c:pt idx="38">
                  <c:v>100.48711</c:v>
                </c:pt>
                <c:pt idx="39">
                  <c:v>100.28686</c:v>
                </c:pt>
                <c:pt idx="40">
                  <c:v>100.35572000000001</c:v>
                </c:pt>
                <c:pt idx="41">
                  <c:v>100.44974000000001</c:v>
                </c:pt>
                <c:pt idx="42">
                  <c:v>100.47788</c:v>
                </c:pt>
                <c:pt idx="43">
                  <c:v>100.43181</c:v>
                </c:pt>
                <c:pt idx="44">
                  <c:v>100.38755</c:v>
                </c:pt>
                <c:pt idx="45">
                  <c:v>100.40261000000001</c:v>
                </c:pt>
                <c:pt idx="46">
                  <c:v>100.46068000000001</c:v>
                </c:pt>
                <c:pt idx="47">
                  <c:v>100.43592000000001</c:v>
                </c:pt>
                <c:pt idx="48">
                  <c:v>100.49239</c:v>
                </c:pt>
                <c:pt idx="49">
                  <c:v>100.43394000000001</c:v>
                </c:pt>
                <c:pt idx="50">
                  <c:v>100.57204</c:v>
                </c:pt>
                <c:pt idx="51">
                  <c:v>100.50594000000001</c:v>
                </c:pt>
                <c:pt idx="52">
                  <c:v>100.36167</c:v>
                </c:pt>
                <c:pt idx="53">
                  <c:v>100.42023</c:v>
                </c:pt>
                <c:pt idx="54">
                  <c:v>100.51443</c:v>
                </c:pt>
                <c:pt idx="55">
                  <c:v>100.48796</c:v>
                </c:pt>
                <c:pt idx="56">
                  <c:v>100.38415000000001</c:v>
                </c:pt>
                <c:pt idx="57">
                  <c:v>100.49972000000001</c:v>
                </c:pt>
                <c:pt idx="58">
                  <c:v>100.4114</c:v>
                </c:pt>
                <c:pt idx="59">
                  <c:v>100.3574</c:v>
                </c:pt>
                <c:pt idx="60">
                  <c:v>100.48338</c:v>
                </c:pt>
                <c:pt idx="61">
                  <c:v>100.41146000000001</c:v>
                </c:pt>
                <c:pt idx="62">
                  <c:v>100.49262</c:v>
                </c:pt>
                <c:pt idx="63">
                  <c:v>100.40865000000001</c:v>
                </c:pt>
                <c:pt idx="64">
                  <c:v>100.41376000000001</c:v>
                </c:pt>
                <c:pt idx="65">
                  <c:v>100.46982</c:v>
                </c:pt>
                <c:pt idx="66">
                  <c:v>100.48718000000001</c:v>
                </c:pt>
                <c:pt idx="67">
                  <c:v>100.50925000000001</c:v>
                </c:pt>
                <c:pt idx="68">
                  <c:v>100.46106</c:v>
                </c:pt>
                <c:pt idx="69">
                  <c:v>100.42517000000001</c:v>
                </c:pt>
                <c:pt idx="70">
                  <c:v>100.48615000000001</c:v>
                </c:pt>
                <c:pt idx="71">
                  <c:v>100.41851</c:v>
                </c:pt>
                <c:pt idx="72">
                  <c:v>100.44817</c:v>
                </c:pt>
                <c:pt idx="73">
                  <c:v>100.4841</c:v>
                </c:pt>
                <c:pt idx="74">
                  <c:v>100.39385</c:v>
                </c:pt>
                <c:pt idx="75">
                  <c:v>100.43299</c:v>
                </c:pt>
                <c:pt idx="76">
                  <c:v>100.47718</c:v>
                </c:pt>
                <c:pt idx="77">
                  <c:v>100.61068</c:v>
                </c:pt>
                <c:pt idx="78">
                  <c:v>100.38151000000001</c:v>
                </c:pt>
                <c:pt idx="79">
                  <c:v>100.45755</c:v>
                </c:pt>
                <c:pt idx="80">
                  <c:v>100.52491000000001</c:v>
                </c:pt>
                <c:pt idx="81">
                  <c:v>100.55646</c:v>
                </c:pt>
                <c:pt idx="82">
                  <c:v>100.42881</c:v>
                </c:pt>
                <c:pt idx="83">
                  <c:v>100.41311</c:v>
                </c:pt>
                <c:pt idx="84">
                  <c:v>100.49844</c:v>
                </c:pt>
                <c:pt idx="85">
                  <c:v>100.45884000000001</c:v>
                </c:pt>
                <c:pt idx="86">
                  <c:v>100.65048</c:v>
                </c:pt>
                <c:pt idx="87">
                  <c:v>100.36817000000001</c:v>
                </c:pt>
                <c:pt idx="88">
                  <c:v>100.5707</c:v>
                </c:pt>
                <c:pt idx="89">
                  <c:v>100.67797</c:v>
                </c:pt>
                <c:pt idx="90">
                  <c:v>100.52845000000001</c:v>
                </c:pt>
                <c:pt idx="91">
                  <c:v>100.54496</c:v>
                </c:pt>
                <c:pt idx="92">
                  <c:v>100.57719</c:v>
                </c:pt>
                <c:pt idx="93">
                  <c:v>100.59536</c:v>
                </c:pt>
                <c:pt idx="94">
                  <c:v>100.61778000000001</c:v>
                </c:pt>
                <c:pt idx="95">
                  <c:v>100.4473</c:v>
                </c:pt>
                <c:pt idx="96">
                  <c:v>100.54042</c:v>
                </c:pt>
                <c:pt idx="97">
                  <c:v>100.39508000000001</c:v>
                </c:pt>
                <c:pt idx="98">
                  <c:v>100.63024</c:v>
                </c:pt>
                <c:pt idx="99">
                  <c:v>100.62472000000001</c:v>
                </c:pt>
                <c:pt idx="100">
                  <c:v>100.76759</c:v>
                </c:pt>
                <c:pt idx="101">
                  <c:v>100.47234</c:v>
                </c:pt>
                <c:pt idx="102">
                  <c:v>100.60062000000001</c:v>
                </c:pt>
                <c:pt idx="103">
                  <c:v>100.50375000000001</c:v>
                </c:pt>
                <c:pt idx="104">
                  <c:v>100.40863</c:v>
                </c:pt>
                <c:pt idx="105">
                  <c:v>100.66474000000001</c:v>
                </c:pt>
                <c:pt idx="106">
                  <c:v>100.71592</c:v>
                </c:pt>
                <c:pt idx="107">
                  <c:v>100.501</c:v>
                </c:pt>
                <c:pt idx="108">
                  <c:v>100.50948000000001</c:v>
                </c:pt>
                <c:pt idx="109">
                  <c:v>100.54154</c:v>
                </c:pt>
                <c:pt idx="110">
                  <c:v>100.55581000000001</c:v>
                </c:pt>
                <c:pt idx="111">
                  <c:v>100.51458000000001</c:v>
                </c:pt>
                <c:pt idx="112">
                  <c:v>100.48650000000001</c:v>
                </c:pt>
                <c:pt idx="113">
                  <c:v>100.62078000000001</c:v>
                </c:pt>
                <c:pt idx="114">
                  <c:v>100.52747000000001</c:v>
                </c:pt>
                <c:pt idx="115">
                  <c:v>100.70202</c:v>
                </c:pt>
                <c:pt idx="116">
                  <c:v>100.49212</c:v>
                </c:pt>
                <c:pt idx="117">
                  <c:v>100.64805</c:v>
                </c:pt>
                <c:pt idx="118">
                  <c:v>100.44911</c:v>
                </c:pt>
                <c:pt idx="119">
                  <c:v>100.5973</c:v>
                </c:pt>
                <c:pt idx="120">
                  <c:v>100.51632000000001</c:v>
                </c:pt>
                <c:pt idx="121">
                  <c:v>100.71126000000001</c:v>
                </c:pt>
                <c:pt idx="122">
                  <c:v>100.52703000000001</c:v>
                </c:pt>
                <c:pt idx="123">
                  <c:v>100.57413000000001</c:v>
                </c:pt>
                <c:pt idx="124">
                  <c:v>100.64728000000001</c:v>
                </c:pt>
                <c:pt idx="125">
                  <c:v>100.51175000000001</c:v>
                </c:pt>
                <c:pt idx="126">
                  <c:v>100.59497</c:v>
                </c:pt>
                <c:pt idx="127">
                  <c:v>100.62721000000001</c:v>
                </c:pt>
                <c:pt idx="128">
                  <c:v>100.56059</c:v>
                </c:pt>
                <c:pt idx="129">
                  <c:v>100.56364000000001</c:v>
                </c:pt>
                <c:pt idx="130">
                  <c:v>100.52652</c:v>
                </c:pt>
                <c:pt idx="131">
                  <c:v>100.69584</c:v>
                </c:pt>
                <c:pt idx="132">
                  <c:v>100.60052</c:v>
                </c:pt>
                <c:pt idx="133">
                  <c:v>100.36054</c:v>
                </c:pt>
                <c:pt idx="134">
                  <c:v>100.56932</c:v>
                </c:pt>
                <c:pt idx="135">
                  <c:v>100.57628</c:v>
                </c:pt>
                <c:pt idx="136">
                  <c:v>100.62266000000001</c:v>
                </c:pt>
                <c:pt idx="137">
                  <c:v>100.6383</c:v>
                </c:pt>
                <c:pt idx="138">
                  <c:v>100.42829</c:v>
                </c:pt>
                <c:pt idx="139">
                  <c:v>100.60803</c:v>
                </c:pt>
                <c:pt idx="140">
                  <c:v>100.64826000000001</c:v>
                </c:pt>
                <c:pt idx="141">
                  <c:v>100.65549</c:v>
                </c:pt>
                <c:pt idx="142">
                  <c:v>100.58409</c:v>
                </c:pt>
                <c:pt idx="143">
                  <c:v>100.62871</c:v>
                </c:pt>
                <c:pt idx="144">
                  <c:v>100.59619000000001</c:v>
                </c:pt>
                <c:pt idx="145">
                  <c:v>100.62244</c:v>
                </c:pt>
                <c:pt idx="146">
                  <c:v>100.62403</c:v>
                </c:pt>
                <c:pt idx="147">
                  <c:v>100.76638</c:v>
                </c:pt>
                <c:pt idx="148">
                  <c:v>100.67127000000001</c:v>
                </c:pt>
                <c:pt idx="149">
                  <c:v>100.67028000000001</c:v>
                </c:pt>
                <c:pt idx="150">
                  <c:v>100.64686</c:v>
                </c:pt>
                <c:pt idx="151">
                  <c:v>100.52031000000001</c:v>
                </c:pt>
                <c:pt idx="152">
                  <c:v>100.64717</c:v>
                </c:pt>
                <c:pt idx="153">
                  <c:v>100.62523</c:v>
                </c:pt>
                <c:pt idx="154">
                  <c:v>100.51051000000001</c:v>
                </c:pt>
                <c:pt idx="155">
                  <c:v>100.5017</c:v>
                </c:pt>
                <c:pt idx="156">
                  <c:v>100.73364000000001</c:v>
                </c:pt>
                <c:pt idx="157">
                  <c:v>100.63947</c:v>
                </c:pt>
                <c:pt idx="158">
                  <c:v>100.60523000000001</c:v>
                </c:pt>
                <c:pt idx="159">
                  <c:v>100.6511</c:v>
                </c:pt>
                <c:pt idx="160">
                  <c:v>100.58967</c:v>
                </c:pt>
                <c:pt idx="161">
                  <c:v>100.5592</c:v>
                </c:pt>
                <c:pt idx="162">
                  <c:v>100.60683</c:v>
                </c:pt>
                <c:pt idx="163">
                  <c:v>100.50449</c:v>
                </c:pt>
                <c:pt idx="164">
                  <c:v>100.6619</c:v>
                </c:pt>
                <c:pt idx="165">
                  <c:v>100.65305000000001</c:v>
                </c:pt>
                <c:pt idx="166">
                  <c:v>100.51390000000001</c:v>
                </c:pt>
                <c:pt idx="167">
                  <c:v>100.70316</c:v>
                </c:pt>
                <c:pt idx="168">
                  <c:v>100.49873000000001</c:v>
                </c:pt>
                <c:pt idx="169">
                  <c:v>100.65430000000001</c:v>
                </c:pt>
                <c:pt idx="170">
                  <c:v>100.44697000000001</c:v>
                </c:pt>
                <c:pt idx="171">
                  <c:v>100.63196000000001</c:v>
                </c:pt>
                <c:pt idx="172">
                  <c:v>100.64699</c:v>
                </c:pt>
                <c:pt idx="173">
                  <c:v>100.50637</c:v>
                </c:pt>
                <c:pt idx="174">
                  <c:v>100.65025</c:v>
                </c:pt>
                <c:pt idx="175">
                  <c:v>100.51149000000001</c:v>
                </c:pt>
                <c:pt idx="176">
                  <c:v>100.6704</c:v>
                </c:pt>
                <c:pt idx="177">
                  <c:v>100.61042</c:v>
                </c:pt>
                <c:pt idx="178">
                  <c:v>100.64774</c:v>
                </c:pt>
                <c:pt idx="179">
                  <c:v>100.69330000000001</c:v>
                </c:pt>
                <c:pt idx="180">
                  <c:v>100.64639000000001</c:v>
                </c:pt>
                <c:pt idx="181">
                  <c:v>100.66236000000001</c:v>
                </c:pt>
                <c:pt idx="182">
                  <c:v>100.58445</c:v>
                </c:pt>
                <c:pt idx="183">
                  <c:v>100.74356</c:v>
                </c:pt>
                <c:pt idx="184">
                  <c:v>100.65897000000001</c:v>
                </c:pt>
                <c:pt idx="185">
                  <c:v>100.69165000000001</c:v>
                </c:pt>
                <c:pt idx="186">
                  <c:v>100.70583000000001</c:v>
                </c:pt>
                <c:pt idx="187">
                  <c:v>100.6366</c:v>
                </c:pt>
                <c:pt idx="188">
                  <c:v>100.54991</c:v>
                </c:pt>
                <c:pt idx="189">
                  <c:v>100.66503</c:v>
                </c:pt>
                <c:pt idx="190">
                  <c:v>100.60837000000001</c:v>
                </c:pt>
                <c:pt idx="191">
                  <c:v>100.64303000000001</c:v>
                </c:pt>
                <c:pt idx="192">
                  <c:v>100.72953</c:v>
                </c:pt>
                <c:pt idx="193">
                  <c:v>100.6512</c:v>
                </c:pt>
                <c:pt idx="194">
                  <c:v>100.77404</c:v>
                </c:pt>
                <c:pt idx="195">
                  <c:v>100.62452</c:v>
                </c:pt>
                <c:pt idx="196">
                  <c:v>100.71175000000001</c:v>
                </c:pt>
                <c:pt idx="197">
                  <c:v>100.78281</c:v>
                </c:pt>
                <c:pt idx="198">
                  <c:v>100.57846000000001</c:v>
                </c:pt>
                <c:pt idx="199">
                  <c:v>100.70692000000001</c:v>
                </c:pt>
                <c:pt idx="200">
                  <c:v>100.5377</c:v>
                </c:pt>
                <c:pt idx="201">
                  <c:v>100.65507000000001</c:v>
                </c:pt>
                <c:pt idx="202">
                  <c:v>100.64188</c:v>
                </c:pt>
                <c:pt idx="203">
                  <c:v>100.58575</c:v>
                </c:pt>
                <c:pt idx="204">
                  <c:v>100.68805</c:v>
                </c:pt>
                <c:pt idx="205">
                  <c:v>100.53972</c:v>
                </c:pt>
                <c:pt idx="206">
                  <c:v>100.97486000000001</c:v>
                </c:pt>
                <c:pt idx="207">
                  <c:v>100.58103</c:v>
                </c:pt>
                <c:pt idx="208">
                  <c:v>100.62808</c:v>
                </c:pt>
                <c:pt idx="209">
                  <c:v>100.68667000000001</c:v>
                </c:pt>
                <c:pt idx="210">
                  <c:v>100.75466</c:v>
                </c:pt>
                <c:pt idx="211">
                  <c:v>100.61053</c:v>
                </c:pt>
                <c:pt idx="212">
                  <c:v>100.59448</c:v>
                </c:pt>
                <c:pt idx="213">
                  <c:v>100.64809000000001</c:v>
                </c:pt>
                <c:pt idx="214">
                  <c:v>100.72051</c:v>
                </c:pt>
                <c:pt idx="215">
                  <c:v>100.63996</c:v>
                </c:pt>
                <c:pt idx="216">
                  <c:v>100.72976</c:v>
                </c:pt>
                <c:pt idx="217">
                  <c:v>100.79608</c:v>
                </c:pt>
                <c:pt idx="218">
                  <c:v>100.68361</c:v>
                </c:pt>
                <c:pt idx="219">
                  <c:v>100.62519</c:v>
                </c:pt>
                <c:pt idx="220">
                  <c:v>100.57719</c:v>
                </c:pt>
                <c:pt idx="221">
                  <c:v>100.68831</c:v>
                </c:pt>
                <c:pt idx="222">
                  <c:v>100.69623</c:v>
                </c:pt>
                <c:pt idx="223">
                  <c:v>100.73149000000001</c:v>
                </c:pt>
                <c:pt idx="224">
                  <c:v>100.97613</c:v>
                </c:pt>
                <c:pt idx="225">
                  <c:v>100.51412000000001</c:v>
                </c:pt>
                <c:pt idx="226">
                  <c:v>100.59229000000001</c:v>
                </c:pt>
                <c:pt idx="227">
                  <c:v>100.65963000000001</c:v>
                </c:pt>
                <c:pt idx="228">
                  <c:v>100.77254000000001</c:v>
                </c:pt>
                <c:pt idx="229">
                  <c:v>100.75203</c:v>
                </c:pt>
                <c:pt idx="230">
                  <c:v>100.56541</c:v>
                </c:pt>
                <c:pt idx="231">
                  <c:v>100.72632</c:v>
                </c:pt>
                <c:pt idx="232">
                  <c:v>100.69374000000001</c:v>
                </c:pt>
                <c:pt idx="233">
                  <c:v>100.65809</c:v>
                </c:pt>
                <c:pt idx="234">
                  <c:v>100.6388</c:v>
                </c:pt>
                <c:pt idx="235">
                  <c:v>100.79123</c:v>
                </c:pt>
                <c:pt idx="236">
                  <c:v>100.75133000000001</c:v>
                </c:pt>
                <c:pt idx="237">
                  <c:v>100.83922</c:v>
                </c:pt>
                <c:pt idx="238">
                  <c:v>100.67709000000001</c:v>
                </c:pt>
                <c:pt idx="239">
                  <c:v>100.75339000000001</c:v>
                </c:pt>
                <c:pt idx="240">
                  <c:v>100.71762000000001</c:v>
                </c:pt>
                <c:pt idx="241">
                  <c:v>100.73195</c:v>
                </c:pt>
                <c:pt idx="242">
                  <c:v>100.68096</c:v>
                </c:pt>
                <c:pt idx="243">
                  <c:v>100.77911</c:v>
                </c:pt>
                <c:pt idx="244">
                  <c:v>100.58801</c:v>
                </c:pt>
                <c:pt idx="245">
                  <c:v>100.85389000000001</c:v>
                </c:pt>
                <c:pt idx="246">
                  <c:v>100.49768</c:v>
                </c:pt>
                <c:pt idx="247">
                  <c:v>100.62513</c:v>
                </c:pt>
                <c:pt idx="248">
                  <c:v>100.748</c:v>
                </c:pt>
                <c:pt idx="249">
                  <c:v>100.68995000000001</c:v>
                </c:pt>
                <c:pt idx="250">
                  <c:v>100.72142000000001</c:v>
                </c:pt>
                <c:pt idx="251">
                  <c:v>100.74718</c:v>
                </c:pt>
                <c:pt idx="252">
                  <c:v>100.69359</c:v>
                </c:pt>
                <c:pt idx="253">
                  <c:v>100.59226000000001</c:v>
                </c:pt>
                <c:pt idx="254">
                  <c:v>100.77488000000001</c:v>
                </c:pt>
                <c:pt idx="255">
                  <c:v>100.4978</c:v>
                </c:pt>
                <c:pt idx="256">
                  <c:v>100.58739</c:v>
                </c:pt>
                <c:pt idx="257">
                  <c:v>100.79951</c:v>
                </c:pt>
                <c:pt idx="258">
                  <c:v>100.5286</c:v>
                </c:pt>
                <c:pt idx="259">
                  <c:v>100.63352</c:v>
                </c:pt>
                <c:pt idx="260">
                  <c:v>100.7299</c:v>
                </c:pt>
                <c:pt idx="261">
                  <c:v>100.82488000000001</c:v>
                </c:pt>
                <c:pt idx="262">
                  <c:v>100.53507</c:v>
                </c:pt>
                <c:pt idx="263">
                  <c:v>100.568</c:v>
                </c:pt>
                <c:pt idx="264">
                  <c:v>100.7831</c:v>
                </c:pt>
                <c:pt idx="265">
                  <c:v>100.78292</c:v>
                </c:pt>
                <c:pt idx="266">
                  <c:v>100.80145</c:v>
                </c:pt>
                <c:pt idx="267">
                  <c:v>100.82151</c:v>
                </c:pt>
                <c:pt idx="268">
                  <c:v>100.77456000000001</c:v>
                </c:pt>
                <c:pt idx="269">
                  <c:v>100.70443</c:v>
                </c:pt>
                <c:pt idx="270">
                  <c:v>100.70237</c:v>
                </c:pt>
                <c:pt idx="271">
                  <c:v>100.84015000000001</c:v>
                </c:pt>
                <c:pt idx="272">
                  <c:v>100.72349</c:v>
                </c:pt>
                <c:pt idx="273">
                  <c:v>100.65602</c:v>
                </c:pt>
                <c:pt idx="274">
                  <c:v>100.80203</c:v>
                </c:pt>
                <c:pt idx="275">
                  <c:v>100.60018000000001</c:v>
                </c:pt>
                <c:pt idx="276">
                  <c:v>100.66688000000001</c:v>
                </c:pt>
                <c:pt idx="277">
                  <c:v>100.83024</c:v>
                </c:pt>
                <c:pt idx="278">
                  <c:v>100.67056000000001</c:v>
                </c:pt>
                <c:pt idx="279">
                  <c:v>100.64154000000001</c:v>
                </c:pt>
                <c:pt idx="280">
                  <c:v>100.82384</c:v>
                </c:pt>
                <c:pt idx="281">
                  <c:v>100.55954</c:v>
                </c:pt>
                <c:pt idx="282">
                  <c:v>100.72193</c:v>
                </c:pt>
                <c:pt idx="283">
                  <c:v>100.68977000000001</c:v>
                </c:pt>
                <c:pt idx="284">
                  <c:v>100.72034000000001</c:v>
                </c:pt>
                <c:pt idx="285">
                  <c:v>100.81397</c:v>
                </c:pt>
                <c:pt idx="286">
                  <c:v>100.69563000000001</c:v>
                </c:pt>
                <c:pt idx="287">
                  <c:v>100.75939000000001</c:v>
                </c:pt>
                <c:pt idx="288">
                  <c:v>100.65059000000001</c:v>
                </c:pt>
                <c:pt idx="289">
                  <c:v>100.80356</c:v>
                </c:pt>
                <c:pt idx="290">
                  <c:v>100.68142</c:v>
                </c:pt>
                <c:pt idx="291">
                  <c:v>100.80816</c:v>
                </c:pt>
                <c:pt idx="292">
                  <c:v>100.67395</c:v>
                </c:pt>
                <c:pt idx="293">
                  <c:v>100.77925</c:v>
                </c:pt>
                <c:pt idx="294">
                  <c:v>100.73174</c:v>
                </c:pt>
                <c:pt idx="295">
                  <c:v>100.64530000000001</c:v>
                </c:pt>
                <c:pt idx="296">
                  <c:v>100.61157</c:v>
                </c:pt>
                <c:pt idx="297">
                  <c:v>100.78446000000001</c:v>
                </c:pt>
                <c:pt idx="298">
                  <c:v>100.83326000000001</c:v>
                </c:pt>
                <c:pt idx="299">
                  <c:v>100.78223</c:v>
                </c:pt>
                <c:pt idx="300">
                  <c:v>100.72007000000001</c:v>
                </c:pt>
                <c:pt idx="301">
                  <c:v>100.71643</c:v>
                </c:pt>
                <c:pt idx="302">
                  <c:v>100.71373</c:v>
                </c:pt>
                <c:pt idx="303">
                  <c:v>100.81881</c:v>
                </c:pt>
                <c:pt idx="304">
                  <c:v>100.75887</c:v>
                </c:pt>
                <c:pt idx="305">
                  <c:v>100.76045000000001</c:v>
                </c:pt>
                <c:pt idx="306">
                  <c:v>100.82615</c:v>
                </c:pt>
                <c:pt idx="307">
                  <c:v>100.69944000000001</c:v>
                </c:pt>
                <c:pt idx="308">
                  <c:v>100.71434000000001</c:v>
                </c:pt>
                <c:pt idx="309">
                  <c:v>100.74967000000001</c:v>
                </c:pt>
                <c:pt idx="310">
                  <c:v>100.76656</c:v>
                </c:pt>
                <c:pt idx="311">
                  <c:v>100.70074000000001</c:v>
                </c:pt>
                <c:pt idx="312">
                  <c:v>100.90286</c:v>
                </c:pt>
                <c:pt idx="313">
                  <c:v>100.70312</c:v>
                </c:pt>
                <c:pt idx="314">
                  <c:v>100.71107000000001</c:v>
                </c:pt>
                <c:pt idx="315">
                  <c:v>100.61681</c:v>
                </c:pt>
                <c:pt idx="316">
                  <c:v>100.74949000000001</c:v>
                </c:pt>
                <c:pt idx="317">
                  <c:v>100.78917</c:v>
                </c:pt>
                <c:pt idx="318">
                  <c:v>100.77428</c:v>
                </c:pt>
                <c:pt idx="319">
                  <c:v>100.64386</c:v>
                </c:pt>
                <c:pt idx="320">
                  <c:v>100.72134</c:v>
                </c:pt>
                <c:pt idx="321">
                  <c:v>100.74134000000001</c:v>
                </c:pt>
                <c:pt idx="322">
                  <c:v>100.70434</c:v>
                </c:pt>
                <c:pt idx="323">
                  <c:v>100.75002000000001</c:v>
                </c:pt>
                <c:pt idx="324">
                  <c:v>100.73135000000001</c:v>
                </c:pt>
                <c:pt idx="325">
                  <c:v>100.82958000000001</c:v>
                </c:pt>
                <c:pt idx="326">
                  <c:v>100.74642</c:v>
                </c:pt>
                <c:pt idx="327">
                  <c:v>100.70931</c:v>
                </c:pt>
                <c:pt idx="328">
                  <c:v>100.64192</c:v>
                </c:pt>
                <c:pt idx="329">
                  <c:v>100.78292</c:v>
                </c:pt>
                <c:pt idx="330">
                  <c:v>100.78193</c:v>
                </c:pt>
                <c:pt idx="331">
                  <c:v>100.73384</c:v>
                </c:pt>
                <c:pt idx="332">
                  <c:v>100.72131</c:v>
                </c:pt>
                <c:pt idx="333">
                  <c:v>100.73717000000001</c:v>
                </c:pt>
                <c:pt idx="334">
                  <c:v>100.73096000000001</c:v>
                </c:pt>
                <c:pt idx="335">
                  <c:v>100.72841000000001</c:v>
                </c:pt>
                <c:pt idx="336">
                  <c:v>100.76692</c:v>
                </c:pt>
                <c:pt idx="337">
                  <c:v>100.73253</c:v>
                </c:pt>
                <c:pt idx="338">
                  <c:v>100.73522</c:v>
                </c:pt>
                <c:pt idx="339">
                  <c:v>100.74788000000001</c:v>
                </c:pt>
                <c:pt idx="340">
                  <c:v>100.72157</c:v>
                </c:pt>
                <c:pt idx="341">
                  <c:v>100.79226</c:v>
                </c:pt>
                <c:pt idx="342">
                  <c:v>100.76537</c:v>
                </c:pt>
                <c:pt idx="343">
                  <c:v>100.82078</c:v>
                </c:pt>
                <c:pt idx="344">
                  <c:v>100.71038</c:v>
                </c:pt>
                <c:pt idx="345">
                  <c:v>100.78687000000001</c:v>
                </c:pt>
                <c:pt idx="346">
                  <c:v>100.771</c:v>
                </c:pt>
                <c:pt idx="347">
                  <c:v>100.64223</c:v>
                </c:pt>
                <c:pt idx="348">
                  <c:v>100.81801</c:v>
                </c:pt>
                <c:pt idx="349">
                  <c:v>100.75207</c:v>
                </c:pt>
                <c:pt idx="350">
                  <c:v>100.77183000000001</c:v>
                </c:pt>
                <c:pt idx="351">
                  <c:v>100.79951</c:v>
                </c:pt>
                <c:pt idx="352">
                  <c:v>100.77075000000001</c:v>
                </c:pt>
                <c:pt idx="353">
                  <c:v>100.81134</c:v>
                </c:pt>
                <c:pt idx="354">
                  <c:v>100.89686</c:v>
                </c:pt>
                <c:pt idx="355">
                  <c:v>100.8143</c:v>
                </c:pt>
                <c:pt idx="356">
                  <c:v>100.74611</c:v>
                </c:pt>
                <c:pt idx="357">
                  <c:v>100.83635000000001</c:v>
                </c:pt>
                <c:pt idx="358">
                  <c:v>100.66402000000001</c:v>
                </c:pt>
                <c:pt idx="359">
                  <c:v>100.69945</c:v>
                </c:pt>
                <c:pt idx="360">
                  <c:v>100.89368</c:v>
                </c:pt>
                <c:pt idx="361">
                  <c:v>100.82031000000001</c:v>
                </c:pt>
                <c:pt idx="362">
                  <c:v>100.79474</c:v>
                </c:pt>
                <c:pt idx="363">
                  <c:v>100.69957000000001</c:v>
                </c:pt>
                <c:pt idx="364">
                  <c:v>100.82357</c:v>
                </c:pt>
                <c:pt idx="365">
                  <c:v>100.77878</c:v>
                </c:pt>
                <c:pt idx="366">
                  <c:v>100.67215</c:v>
                </c:pt>
                <c:pt idx="367">
                  <c:v>100.80069</c:v>
                </c:pt>
                <c:pt idx="368">
                  <c:v>100.76931</c:v>
                </c:pt>
                <c:pt idx="369">
                  <c:v>100.72208000000001</c:v>
                </c:pt>
                <c:pt idx="370">
                  <c:v>100.79643</c:v>
                </c:pt>
                <c:pt idx="371">
                  <c:v>100.77393000000001</c:v>
                </c:pt>
                <c:pt idx="372">
                  <c:v>100.72593000000001</c:v>
                </c:pt>
                <c:pt idx="373">
                  <c:v>100.73299</c:v>
                </c:pt>
                <c:pt idx="374">
                  <c:v>100.78879000000001</c:v>
                </c:pt>
                <c:pt idx="375">
                  <c:v>100.86025000000001</c:v>
                </c:pt>
                <c:pt idx="376">
                  <c:v>100.72790000000001</c:v>
                </c:pt>
                <c:pt idx="377">
                  <c:v>100.69242</c:v>
                </c:pt>
                <c:pt idx="378">
                  <c:v>100.77038</c:v>
                </c:pt>
                <c:pt idx="379">
                  <c:v>100.76491</c:v>
                </c:pt>
                <c:pt idx="380">
                  <c:v>100.77291000000001</c:v>
                </c:pt>
                <c:pt idx="381">
                  <c:v>100.71005000000001</c:v>
                </c:pt>
                <c:pt idx="382">
                  <c:v>100.72920000000001</c:v>
                </c:pt>
                <c:pt idx="383">
                  <c:v>100.83923</c:v>
                </c:pt>
                <c:pt idx="384">
                  <c:v>100.8837</c:v>
                </c:pt>
                <c:pt idx="385">
                  <c:v>100.69264</c:v>
                </c:pt>
                <c:pt idx="386">
                  <c:v>100.66479000000001</c:v>
                </c:pt>
                <c:pt idx="387">
                  <c:v>100.77652</c:v>
                </c:pt>
                <c:pt idx="388">
                  <c:v>100.71797000000001</c:v>
                </c:pt>
                <c:pt idx="389">
                  <c:v>100.86886</c:v>
                </c:pt>
                <c:pt idx="390">
                  <c:v>100.83895</c:v>
                </c:pt>
                <c:pt idx="391">
                  <c:v>100.78324000000001</c:v>
                </c:pt>
                <c:pt idx="392">
                  <c:v>100.85612</c:v>
                </c:pt>
                <c:pt idx="393">
                  <c:v>100.81048</c:v>
                </c:pt>
                <c:pt idx="394">
                  <c:v>100.86673</c:v>
                </c:pt>
                <c:pt idx="395">
                  <c:v>100.76153000000001</c:v>
                </c:pt>
                <c:pt idx="396">
                  <c:v>100.77315</c:v>
                </c:pt>
                <c:pt idx="397">
                  <c:v>100.86766</c:v>
                </c:pt>
                <c:pt idx="398">
                  <c:v>100.75251</c:v>
                </c:pt>
                <c:pt idx="399">
                  <c:v>100.75851</c:v>
                </c:pt>
                <c:pt idx="400">
                  <c:v>100.88623</c:v>
                </c:pt>
                <c:pt idx="401">
                  <c:v>100.85791</c:v>
                </c:pt>
                <c:pt idx="402">
                  <c:v>100.82010000000001</c:v>
                </c:pt>
                <c:pt idx="403">
                  <c:v>100.82115</c:v>
                </c:pt>
                <c:pt idx="404">
                  <c:v>100.81008</c:v>
                </c:pt>
                <c:pt idx="405">
                  <c:v>100.88118</c:v>
                </c:pt>
                <c:pt idx="406">
                  <c:v>100.87851000000001</c:v>
                </c:pt>
                <c:pt idx="407">
                  <c:v>100.73608</c:v>
                </c:pt>
                <c:pt idx="408">
                  <c:v>100.91789</c:v>
                </c:pt>
                <c:pt idx="409">
                  <c:v>100.74877000000001</c:v>
                </c:pt>
                <c:pt idx="410">
                  <c:v>100.8373</c:v>
                </c:pt>
                <c:pt idx="411">
                  <c:v>100.79661</c:v>
                </c:pt>
                <c:pt idx="412">
                  <c:v>100.77991</c:v>
                </c:pt>
                <c:pt idx="413">
                  <c:v>100.82297</c:v>
                </c:pt>
                <c:pt idx="414">
                  <c:v>100.91376000000001</c:v>
                </c:pt>
                <c:pt idx="415">
                  <c:v>100.67675</c:v>
                </c:pt>
                <c:pt idx="416">
                  <c:v>100.83984000000001</c:v>
                </c:pt>
                <c:pt idx="417">
                  <c:v>100.81489000000001</c:v>
                </c:pt>
                <c:pt idx="418">
                  <c:v>100.78576000000001</c:v>
                </c:pt>
                <c:pt idx="419">
                  <c:v>100.91273000000001</c:v>
                </c:pt>
                <c:pt idx="420">
                  <c:v>100.75733000000001</c:v>
                </c:pt>
                <c:pt idx="421">
                  <c:v>100.77722</c:v>
                </c:pt>
                <c:pt idx="422">
                  <c:v>100.88868000000001</c:v>
                </c:pt>
                <c:pt idx="423">
                  <c:v>100.88246000000001</c:v>
                </c:pt>
                <c:pt idx="424">
                  <c:v>100.82018000000001</c:v>
                </c:pt>
                <c:pt idx="425">
                  <c:v>100.67454000000001</c:v>
                </c:pt>
                <c:pt idx="426">
                  <c:v>101.02659</c:v>
                </c:pt>
                <c:pt idx="427">
                  <c:v>100.65945000000001</c:v>
                </c:pt>
                <c:pt idx="428">
                  <c:v>100.83357000000001</c:v>
                </c:pt>
                <c:pt idx="429">
                  <c:v>100.80590000000001</c:v>
                </c:pt>
                <c:pt idx="430">
                  <c:v>100.77613000000001</c:v>
                </c:pt>
                <c:pt idx="431">
                  <c:v>100.78673000000001</c:v>
                </c:pt>
                <c:pt idx="432">
                  <c:v>100.82651</c:v>
                </c:pt>
                <c:pt idx="433">
                  <c:v>100.72435</c:v>
                </c:pt>
                <c:pt idx="434">
                  <c:v>100.8703</c:v>
                </c:pt>
                <c:pt idx="435">
                  <c:v>100.73743</c:v>
                </c:pt>
                <c:pt idx="436">
                  <c:v>100.76092</c:v>
                </c:pt>
                <c:pt idx="437">
                  <c:v>100.75710000000001</c:v>
                </c:pt>
                <c:pt idx="438">
                  <c:v>100.78258000000001</c:v>
                </c:pt>
                <c:pt idx="439">
                  <c:v>100.71203</c:v>
                </c:pt>
                <c:pt idx="440">
                  <c:v>100.75937</c:v>
                </c:pt>
                <c:pt idx="441">
                  <c:v>100.64652000000001</c:v>
                </c:pt>
                <c:pt idx="442">
                  <c:v>100.8784</c:v>
                </c:pt>
                <c:pt idx="443">
                  <c:v>100.87573</c:v>
                </c:pt>
                <c:pt idx="444">
                  <c:v>100.79687</c:v>
                </c:pt>
                <c:pt idx="445">
                  <c:v>100.89472000000001</c:v>
                </c:pt>
                <c:pt idx="446">
                  <c:v>100.8006</c:v>
                </c:pt>
                <c:pt idx="447">
                  <c:v>100.88843</c:v>
                </c:pt>
                <c:pt idx="448">
                  <c:v>100.86539</c:v>
                </c:pt>
                <c:pt idx="449">
                  <c:v>100.81981</c:v>
                </c:pt>
                <c:pt idx="450">
                  <c:v>100.75801</c:v>
                </c:pt>
                <c:pt idx="451">
                  <c:v>100.82029</c:v>
                </c:pt>
                <c:pt idx="452">
                  <c:v>100.97443</c:v>
                </c:pt>
                <c:pt idx="453">
                  <c:v>100.73805</c:v>
                </c:pt>
                <c:pt idx="454">
                  <c:v>100.7915</c:v>
                </c:pt>
                <c:pt idx="455">
                  <c:v>100.89513000000001</c:v>
                </c:pt>
                <c:pt idx="456">
                  <c:v>100.76502000000001</c:v>
                </c:pt>
                <c:pt idx="457">
                  <c:v>100.82238000000001</c:v>
                </c:pt>
                <c:pt idx="458">
                  <c:v>100.89245000000001</c:v>
                </c:pt>
                <c:pt idx="459">
                  <c:v>100.67273</c:v>
                </c:pt>
                <c:pt idx="460">
                  <c:v>100.70329000000001</c:v>
                </c:pt>
                <c:pt idx="461">
                  <c:v>100.91982</c:v>
                </c:pt>
                <c:pt idx="462">
                  <c:v>100.88118</c:v>
                </c:pt>
                <c:pt idx="463">
                  <c:v>100.71808</c:v>
                </c:pt>
                <c:pt idx="464">
                  <c:v>100.8623</c:v>
                </c:pt>
                <c:pt idx="465">
                  <c:v>100.73347</c:v>
                </c:pt>
                <c:pt idx="466">
                  <c:v>100.94880000000001</c:v>
                </c:pt>
                <c:pt idx="467">
                  <c:v>100.81087000000001</c:v>
                </c:pt>
                <c:pt idx="468">
                  <c:v>100.81463000000001</c:v>
                </c:pt>
                <c:pt idx="469">
                  <c:v>100.79335</c:v>
                </c:pt>
                <c:pt idx="470">
                  <c:v>100.75203</c:v>
                </c:pt>
                <c:pt idx="471">
                  <c:v>100.91798</c:v>
                </c:pt>
                <c:pt idx="472">
                  <c:v>100.81096000000001</c:v>
                </c:pt>
                <c:pt idx="473">
                  <c:v>100.80637</c:v>
                </c:pt>
                <c:pt idx="474">
                  <c:v>100.79715</c:v>
                </c:pt>
                <c:pt idx="475">
                  <c:v>100.75617</c:v>
                </c:pt>
                <c:pt idx="476">
                  <c:v>100.84072</c:v>
                </c:pt>
                <c:pt idx="477">
                  <c:v>100.84706</c:v>
                </c:pt>
                <c:pt idx="478">
                  <c:v>100.87058</c:v>
                </c:pt>
                <c:pt idx="479">
                  <c:v>100.88166000000001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C8-8341-823D-E8FCDAE99ECD}"/>
            </c:ext>
          </c:extLst>
        </c:ser>
        <c:ser>
          <c:idx val="2"/>
          <c:order val="2"/>
          <c:tx>
            <c:v>PW500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Data, PW500, 20% O2'!$B$6:$B$485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PW500, 20% O2'!$D$6:$D$485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100.18495</c:v>
                </c:pt>
                <c:pt idx="2">
                  <c:v>100.19595</c:v>
                </c:pt>
                <c:pt idx="3">
                  <c:v>100.37056</c:v>
                </c:pt>
                <c:pt idx="4">
                  <c:v>100.35561999999999</c:v>
                </c:pt>
                <c:pt idx="5">
                  <c:v>100.4589</c:v>
                </c:pt>
                <c:pt idx="6">
                  <c:v>100.66239999999999</c:v>
                </c:pt>
                <c:pt idx="7">
                  <c:v>100.58972</c:v>
                </c:pt>
                <c:pt idx="8">
                  <c:v>100.58633999999999</c:v>
                </c:pt>
                <c:pt idx="9">
                  <c:v>100.64837999999999</c:v>
                </c:pt>
                <c:pt idx="10">
                  <c:v>100.62115</c:v>
                </c:pt>
                <c:pt idx="11">
                  <c:v>100.77732999999999</c:v>
                </c:pt>
                <c:pt idx="12">
                  <c:v>100.62324</c:v>
                </c:pt>
                <c:pt idx="13">
                  <c:v>100.73827999999999</c:v>
                </c:pt>
                <c:pt idx="14">
                  <c:v>100.72526999999999</c:v>
                </c:pt>
                <c:pt idx="15">
                  <c:v>100.84724999999999</c:v>
                </c:pt>
                <c:pt idx="16">
                  <c:v>100.81872999999999</c:v>
                </c:pt>
                <c:pt idx="17">
                  <c:v>100.72851</c:v>
                </c:pt>
                <c:pt idx="18">
                  <c:v>100.83111</c:v>
                </c:pt>
                <c:pt idx="19">
                  <c:v>100.87173</c:v>
                </c:pt>
                <c:pt idx="20">
                  <c:v>100.83255</c:v>
                </c:pt>
                <c:pt idx="21">
                  <c:v>100.96584</c:v>
                </c:pt>
                <c:pt idx="22">
                  <c:v>100.82809999999999</c:v>
                </c:pt>
                <c:pt idx="23">
                  <c:v>100.94185999999999</c:v>
                </c:pt>
                <c:pt idx="24">
                  <c:v>100.78925</c:v>
                </c:pt>
                <c:pt idx="25">
                  <c:v>100.8386</c:v>
                </c:pt>
                <c:pt idx="26">
                  <c:v>100.96754</c:v>
                </c:pt>
                <c:pt idx="27">
                  <c:v>100.85795999999999</c:v>
                </c:pt>
                <c:pt idx="28">
                  <c:v>100.97089</c:v>
                </c:pt>
                <c:pt idx="29">
                  <c:v>101.09585999999999</c:v>
                </c:pt>
                <c:pt idx="30">
                  <c:v>101.01747999999999</c:v>
                </c:pt>
                <c:pt idx="31">
                  <c:v>101.00287</c:v>
                </c:pt>
                <c:pt idx="32">
                  <c:v>100.94718999999999</c:v>
                </c:pt>
                <c:pt idx="33">
                  <c:v>101.17025</c:v>
                </c:pt>
                <c:pt idx="34">
                  <c:v>101.09792999999999</c:v>
                </c:pt>
                <c:pt idx="35">
                  <c:v>100.93467</c:v>
                </c:pt>
                <c:pt idx="36">
                  <c:v>101.02614</c:v>
                </c:pt>
                <c:pt idx="37">
                  <c:v>101.02946</c:v>
                </c:pt>
                <c:pt idx="38">
                  <c:v>101.06309999999999</c:v>
                </c:pt>
                <c:pt idx="39">
                  <c:v>100.99969999999999</c:v>
                </c:pt>
                <c:pt idx="40">
                  <c:v>101.05739</c:v>
                </c:pt>
                <c:pt idx="41">
                  <c:v>101.14308</c:v>
                </c:pt>
                <c:pt idx="42">
                  <c:v>101.14465999999999</c:v>
                </c:pt>
                <c:pt idx="43">
                  <c:v>101.18450999999999</c:v>
                </c:pt>
                <c:pt idx="44">
                  <c:v>101.05413999999999</c:v>
                </c:pt>
                <c:pt idx="45">
                  <c:v>101.16359999999999</c:v>
                </c:pt>
                <c:pt idx="46">
                  <c:v>101.1818</c:v>
                </c:pt>
                <c:pt idx="47">
                  <c:v>101.14164</c:v>
                </c:pt>
                <c:pt idx="48">
                  <c:v>101.20295</c:v>
                </c:pt>
                <c:pt idx="49">
                  <c:v>101.16905</c:v>
                </c:pt>
                <c:pt idx="50">
                  <c:v>101.23381999999999</c:v>
                </c:pt>
                <c:pt idx="51">
                  <c:v>101.19014999999999</c:v>
                </c:pt>
                <c:pt idx="52">
                  <c:v>101.13575</c:v>
                </c:pt>
                <c:pt idx="53">
                  <c:v>101.23281</c:v>
                </c:pt>
                <c:pt idx="54">
                  <c:v>101.25520999999999</c:v>
                </c:pt>
                <c:pt idx="55">
                  <c:v>101.24602</c:v>
                </c:pt>
                <c:pt idx="56">
                  <c:v>101.16337</c:v>
                </c:pt>
                <c:pt idx="57">
                  <c:v>101.24589999999999</c:v>
                </c:pt>
                <c:pt idx="58">
                  <c:v>101.12394999999999</c:v>
                </c:pt>
                <c:pt idx="59">
                  <c:v>101.22297999999999</c:v>
                </c:pt>
                <c:pt idx="60">
                  <c:v>101.28941999999999</c:v>
                </c:pt>
                <c:pt idx="61">
                  <c:v>101.252</c:v>
                </c:pt>
                <c:pt idx="62">
                  <c:v>101.27119999999999</c:v>
                </c:pt>
                <c:pt idx="63">
                  <c:v>101.21605</c:v>
                </c:pt>
                <c:pt idx="64">
                  <c:v>101.33853999999999</c:v>
                </c:pt>
                <c:pt idx="65">
                  <c:v>101.22556</c:v>
                </c:pt>
                <c:pt idx="66">
                  <c:v>101.31353999999999</c:v>
                </c:pt>
                <c:pt idx="67">
                  <c:v>101.33475</c:v>
                </c:pt>
                <c:pt idx="68">
                  <c:v>101.37452999999999</c:v>
                </c:pt>
                <c:pt idx="69">
                  <c:v>101.28285</c:v>
                </c:pt>
                <c:pt idx="70">
                  <c:v>101.38583</c:v>
                </c:pt>
                <c:pt idx="71">
                  <c:v>101.25391999999999</c:v>
                </c:pt>
                <c:pt idx="72">
                  <c:v>101.32996</c:v>
                </c:pt>
                <c:pt idx="73">
                  <c:v>101.29683999999999</c:v>
                </c:pt>
                <c:pt idx="74">
                  <c:v>101.31191</c:v>
                </c:pt>
                <c:pt idx="75">
                  <c:v>101.36639</c:v>
                </c:pt>
                <c:pt idx="76">
                  <c:v>101.42186</c:v>
                </c:pt>
                <c:pt idx="77">
                  <c:v>101.50273999999999</c:v>
                </c:pt>
                <c:pt idx="78">
                  <c:v>101.24023</c:v>
                </c:pt>
                <c:pt idx="79">
                  <c:v>101.36273</c:v>
                </c:pt>
                <c:pt idx="80">
                  <c:v>101.36982999999999</c:v>
                </c:pt>
                <c:pt idx="81">
                  <c:v>101.48054999999999</c:v>
                </c:pt>
                <c:pt idx="82">
                  <c:v>101.37702999999999</c:v>
                </c:pt>
                <c:pt idx="83">
                  <c:v>101.37276</c:v>
                </c:pt>
                <c:pt idx="84">
                  <c:v>101.35897</c:v>
                </c:pt>
                <c:pt idx="85">
                  <c:v>101.39331</c:v>
                </c:pt>
                <c:pt idx="86">
                  <c:v>101.54611999999999</c:v>
                </c:pt>
                <c:pt idx="87">
                  <c:v>101.31515999999999</c:v>
                </c:pt>
                <c:pt idx="88">
                  <c:v>101.47884999999999</c:v>
                </c:pt>
                <c:pt idx="89">
                  <c:v>101.57934999999999</c:v>
                </c:pt>
                <c:pt idx="90">
                  <c:v>101.37625</c:v>
                </c:pt>
                <c:pt idx="91">
                  <c:v>101.45348</c:v>
                </c:pt>
                <c:pt idx="92">
                  <c:v>101.46168999999999</c:v>
                </c:pt>
                <c:pt idx="93">
                  <c:v>101.48679</c:v>
                </c:pt>
                <c:pt idx="94">
                  <c:v>101.51083999999999</c:v>
                </c:pt>
                <c:pt idx="95">
                  <c:v>101.42157999999999</c:v>
                </c:pt>
                <c:pt idx="96">
                  <c:v>101.51965</c:v>
                </c:pt>
                <c:pt idx="97">
                  <c:v>101.41579999999999</c:v>
                </c:pt>
                <c:pt idx="98">
                  <c:v>101.65522999999999</c:v>
                </c:pt>
                <c:pt idx="99">
                  <c:v>101.5744</c:v>
                </c:pt>
                <c:pt idx="100">
                  <c:v>101.63025999999999</c:v>
                </c:pt>
                <c:pt idx="101">
                  <c:v>101.50991999999999</c:v>
                </c:pt>
                <c:pt idx="102">
                  <c:v>101.52885999999999</c:v>
                </c:pt>
                <c:pt idx="103">
                  <c:v>101.45824999999999</c:v>
                </c:pt>
                <c:pt idx="104">
                  <c:v>101.35921999999999</c:v>
                </c:pt>
                <c:pt idx="105">
                  <c:v>101.56080999999999</c:v>
                </c:pt>
                <c:pt idx="106">
                  <c:v>101.65673</c:v>
                </c:pt>
                <c:pt idx="107">
                  <c:v>101.48657</c:v>
                </c:pt>
                <c:pt idx="108">
                  <c:v>101.46189</c:v>
                </c:pt>
                <c:pt idx="109">
                  <c:v>101.48554999999999</c:v>
                </c:pt>
                <c:pt idx="110">
                  <c:v>101.61266999999999</c:v>
                </c:pt>
                <c:pt idx="111">
                  <c:v>101.53582999999999</c:v>
                </c:pt>
                <c:pt idx="112">
                  <c:v>101.50789999999999</c:v>
                </c:pt>
                <c:pt idx="113">
                  <c:v>101.57634999999999</c:v>
                </c:pt>
                <c:pt idx="114">
                  <c:v>101.48577999999999</c:v>
                </c:pt>
                <c:pt idx="115">
                  <c:v>101.66717999999999</c:v>
                </c:pt>
                <c:pt idx="116">
                  <c:v>101.59887999999999</c:v>
                </c:pt>
                <c:pt idx="117">
                  <c:v>101.69982999999999</c:v>
                </c:pt>
                <c:pt idx="118">
                  <c:v>101.57171</c:v>
                </c:pt>
                <c:pt idx="119">
                  <c:v>101.69517999999999</c:v>
                </c:pt>
                <c:pt idx="120">
                  <c:v>101.62040999999999</c:v>
                </c:pt>
                <c:pt idx="121">
                  <c:v>101.65259999999999</c:v>
                </c:pt>
                <c:pt idx="122">
                  <c:v>101.63991999999999</c:v>
                </c:pt>
                <c:pt idx="123">
                  <c:v>101.71144</c:v>
                </c:pt>
                <c:pt idx="124">
                  <c:v>101.66708</c:v>
                </c:pt>
                <c:pt idx="125">
                  <c:v>101.60055</c:v>
                </c:pt>
                <c:pt idx="126">
                  <c:v>101.58454999999999</c:v>
                </c:pt>
                <c:pt idx="127">
                  <c:v>101.58990999999999</c:v>
                </c:pt>
                <c:pt idx="128">
                  <c:v>101.75107999999999</c:v>
                </c:pt>
                <c:pt idx="129">
                  <c:v>101.59926999999999</c:v>
                </c:pt>
                <c:pt idx="130">
                  <c:v>101.66880999999999</c:v>
                </c:pt>
                <c:pt idx="131">
                  <c:v>101.74011</c:v>
                </c:pt>
                <c:pt idx="132">
                  <c:v>101.69389</c:v>
                </c:pt>
                <c:pt idx="133">
                  <c:v>101.41937</c:v>
                </c:pt>
                <c:pt idx="134">
                  <c:v>101.65638</c:v>
                </c:pt>
                <c:pt idx="135">
                  <c:v>101.63521999999999</c:v>
                </c:pt>
                <c:pt idx="136">
                  <c:v>101.71803999999999</c:v>
                </c:pt>
                <c:pt idx="137">
                  <c:v>101.71714999999999</c:v>
                </c:pt>
                <c:pt idx="138">
                  <c:v>101.59472</c:v>
                </c:pt>
                <c:pt idx="139">
                  <c:v>101.62483999999999</c:v>
                </c:pt>
                <c:pt idx="140">
                  <c:v>101.72864999999999</c:v>
                </c:pt>
                <c:pt idx="141">
                  <c:v>101.75709999999999</c:v>
                </c:pt>
                <c:pt idx="142">
                  <c:v>101.59017</c:v>
                </c:pt>
                <c:pt idx="143">
                  <c:v>101.69562999999999</c:v>
                </c:pt>
                <c:pt idx="144">
                  <c:v>101.69977</c:v>
                </c:pt>
                <c:pt idx="145">
                  <c:v>101.70441</c:v>
                </c:pt>
                <c:pt idx="146">
                  <c:v>101.74338999999999</c:v>
                </c:pt>
                <c:pt idx="147">
                  <c:v>101.88307999999999</c:v>
                </c:pt>
                <c:pt idx="148">
                  <c:v>101.75604</c:v>
                </c:pt>
                <c:pt idx="149">
                  <c:v>101.73738</c:v>
                </c:pt>
                <c:pt idx="150">
                  <c:v>101.79003999999999</c:v>
                </c:pt>
                <c:pt idx="151">
                  <c:v>101.63660999999999</c:v>
                </c:pt>
                <c:pt idx="152">
                  <c:v>101.80700999999999</c:v>
                </c:pt>
                <c:pt idx="153">
                  <c:v>101.72011999999999</c:v>
                </c:pt>
                <c:pt idx="154">
                  <c:v>101.75242</c:v>
                </c:pt>
                <c:pt idx="155">
                  <c:v>101.61436999999999</c:v>
                </c:pt>
                <c:pt idx="156">
                  <c:v>101.78690999999999</c:v>
                </c:pt>
                <c:pt idx="157">
                  <c:v>101.72699999999999</c:v>
                </c:pt>
                <c:pt idx="158">
                  <c:v>101.72999</c:v>
                </c:pt>
                <c:pt idx="159">
                  <c:v>101.81419</c:v>
                </c:pt>
                <c:pt idx="160">
                  <c:v>101.65683999999999</c:v>
                </c:pt>
                <c:pt idx="161">
                  <c:v>101.75301999999999</c:v>
                </c:pt>
                <c:pt idx="162">
                  <c:v>101.77336</c:v>
                </c:pt>
                <c:pt idx="163">
                  <c:v>101.76073</c:v>
                </c:pt>
                <c:pt idx="164">
                  <c:v>101.88068</c:v>
                </c:pt>
                <c:pt idx="165">
                  <c:v>101.77789999999999</c:v>
                </c:pt>
                <c:pt idx="166">
                  <c:v>101.77082999999999</c:v>
                </c:pt>
                <c:pt idx="167">
                  <c:v>101.90328</c:v>
                </c:pt>
                <c:pt idx="168">
                  <c:v>101.71181999999999</c:v>
                </c:pt>
                <c:pt idx="169">
                  <c:v>101.84650999999999</c:v>
                </c:pt>
                <c:pt idx="170">
                  <c:v>101.73239</c:v>
                </c:pt>
                <c:pt idx="171">
                  <c:v>101.76564999999999</c:v>
                </c:pt>
                <c:pt idx="172">
                  <c:v>101.80851</c:v>
                </c:pt>
                <c:pt idx="173">
                  <c:v>101.74938999999999</c:v>
                </c:pt>
                <c:pt idx="174">
                  <c:v>101.90586999999999</c:v>
                </c:pt>
                <c:pt idx="175">
                  <c:v>101.81608999999999</c:v>
                </c:pt>
                <c:pt idx="176">
                  <c:v>101.81537</c:v>
                </c:pt>
                <c:pt idx="177">
                  <c:v>101.86357</c:v>
                </c:pt>
                <c:pt idx="178">
                  <c:v>101.87752999999999</c:v>
                </c:pt>
                <c:pt idx="179">
                  <c:v>101.81895</c:v>
                </c:pt>
                <c:pt idx="180">
                  <c:v>101.90607</c:v>
                </c:pt>
                <c:pt idx="181">
                  <c:v>101.84639999999999</c:v>
                </c:pt>
                <c:pt idx="182">
                  <c:v>101.86815</c:v>
                </c:pt>
                <c:pt idx="183">
                  <c:v>101.95523999999999</c:v>
                </c:pt>
                <c:pt idx="184">
                  <c:v>101.88674999999999</c:v>
                </c:pt>
                <c:pt idx="185">
                  <c:v>101.86069999999999</c:v>
                </c:pt>
                <c:pt idx="186">
                  <c:v>101.86904</c:v>
                </c:pt>
                <c:pt idx="187">
                  <c:v>101.89518</c:v>
                </c:pt>
                <c:pt idx="188">
                  <c:v>101.80123999999999</c:v>
                </c:pt>
                <c:pt idx="189">
                  <c:v>101.86416</c:v>
                </c:pt>
                <c:pt idx="190">
                  <c:v>101.81822</c:v>
                </c:pt>
                <c:pt idx="191">
                  <c:v>101.93289999999999</c:v>
                </c:pt>
                <c:pt idx="192">
                  <c:v>101.95114</c:v>
                </c:pt>
                <c:pt idx="193">
                  <c:v>101.91574999999999</c:v>
                </c:pt>
                <c:pt idx="194">
                  <c:v>102.03524</c:v>
                </c:pt>
                <c:pt idx="195">
                  <c:v>101.86006999999999</c:v>
                </c:pt>
                <c:pt idx="196">
                  <c:v>101.98596999999999</c:v>
                </c:pt>
                <c:pt idx="197">
                  <c:v>101.96961999999999</c:v>
                </c:pt>
                <c:pt idx="198">
                  <c:v>101.84487</c:v>
                </c:pt>
                <c:pt idx="199">
                  <c:v>101.9384</c:v>
                </c:pt>
                <c:pt idx="200">
                  <c:v>101.78831</c:v>
                </c:pt>
                <c:pt idx="201">
                  <c:v>101.91785999999999</c:v>
                </c:pt>
                <c:pt idx="202">
                  <c:v>101.86623999999999</c:v>
                </c:pt>
                <c:pt idx="203">
                  <c:v>101.82172999999999</c:v>
                </c:pt>
                <c:pt idx="204">
                  <c:v>102.00950999999999</c:v>
                </c:pt>
                <c:pt idx="205">
                  <c:v>101.94683999999999</c:v>
                </c:pt>
                <c:pt idx="206">
                  <c:v>102.14618999999999</c:v>
                </c:pt>
                <c:pt idx="207">
                  <c:v>101.80019999999999</c:v>
                </c:pt>
                <c:pt idx="208">
                  <c:v>101.90967999999999</c:v>
                </c:pt>
                <c:pt idx="209">
                  <c:v>102.09487</c:v>
                </c:pt>
                <c:pt idx="210">
                  <c:v>101.96019</c:v>
                </c:pt>
                <c:pt idx="211">
                  <c:v>101.90827</c:v>
                </c:pt>
                <c:pt idx="212">
                  <c:v>101.91173999999999</c:v>
                </c:pt>
                <c:pt idx="213">
                  <c:v>101.96026999999999</c:v>
                </c:pt>
                <c:pt idx="214">
                  <c:v>102.04803</c:v>
                </c:pt>
                <c:pt idx="215">
                  <c:v>102.03569999999999</c:v>
                </c:pt>
                <c:pt idx="216">
                  <c:v>101.99816</c:v>
                </c:pt>
                <c:pt idx="217">
                  <c:v>102.05747</c:v>
                </c:pt>
                <c:pt idx="218">
                  <c:v>101.97541</c:v>
                </c:pt>
                <c:pt idx="219">
                  <c:v>101.92631999999999</c:v>
                </c:pt>
                <c:pt idx="220">
                  <c:v>102.09527</c:v>
                </c:pt>
                <c:pt idx="221">
                  <c:v>102.01639999999999</c:v>
                </c:pt>
                <c:pt idx="222">
                  <c:v>102.0431</c:v>
                </c:pt>
                <c:pt idx="223">
                  <c:v>102.03894</c:v>
                </c:pt>
                <c:pt idx="224">
                  <c:v>102.26580999999999</c:v>
                </c:pt>
                <c:pt idx="225">
                  <c:v>101.84197999999999</c:v>
                </c:pt>
                <c:pt idx="226">
                  <c:v>101.98262</c:v>
                </c:pt>
                <c:pt idx="227">
                  <c:v>102.01317999999999</c:v>
                </c:pt>
                <c:pt idx="228">
                  <c:v>102.13714999999999</c:v>
                </c:pt>
                <c:pt idx="229">
                  <c:v>102.21109999999999</c:v>
                </c:pt>
                <c:pt idx="230">
                  <c:v>101.95765</c:v>
                </c:pt>
                <c:pt idx="231">
                  <c:v>101.99848</c:v>
                </c:pt>
                <c:pt idx="232">
                  <c:v>102.0324</c:v>
                </c:pt>
                <c:pt idx="233">
                  <c:v>102.10186999999999</c:v>
                </c:pt>
                <c:pt idx="234">
                  <c:v>101.88315</c:v>
                </c:pt>
                <c:pt idx="235">
                  <c:v>102.17375</c:v>
                </c:pt>
                <c:pt idx="236">
                  <c:v>102.20407</c:v>
                </c:pt>
                <c:pt idx="237">
                  <c:v>102.29823999999999</c:v>
                </c:pt>
                <c:pt idx="238">
                  <c:v>102.02412</c:v>
                </c:pt>
                <c:pt idx="239">
                  <c:v>102.21467</c:v>
                </c:pt>
                <c:pt idx="240">
                  <c:v>102.19305999999999</c:v>
                </c:pt>
                <c:pt idx="241">
                  <c:v>102.08958</c:v>
                </c:pt>
                <c:pt idx="242">
                  <c:v>102.04912999999999</c:v>
                </c:pt>
                <c:pt idx="243">
                  <c:v>102.10661999999999</c:v>
                </c:pt>
                <c:pt idx="244">
                  <c:v>102.06255</c:v>
                </c:pt>
                <c:pt idx="245">
                  <c:v>102.22068</c:v>
                </c:pt>
                <c:pt idx="246">
                  <c:v>101.94062</c:v>
                </c:pt>
                <c:pt idx="247">
                  <c:v>102.06067999999999</c:v>
                </c:pt>
                <c:pt idx="248">
                  <c:v>102.21069999999999</c:v>
                </c:pt>
                <c:pt idx="249">
                  <c:v>102.16955</c:v>
                </c:pt>
                <c:pt idx="250">
                  <c:v>102.14973999999999</c:v>
                </c:pt>
                <c:pt idx="251">
                  <c:v>102.21379999999999</c:v>
                </c:pt>
                <c:pt idx="252">
                  <c:v>102.11626</c:v>
                </c:pt>
                <c:pt idx="253">
                  <c:v>102.02979999999999</c:v>
                </c:pt>
                <c:pt idx="254">
                  <c:v>102.2281</c:v>
                </c:pt>
                <c:pt idx="255">
                  <c:v>102.00184999999999</c:v>
                </c:pt>
                <c:pt idx="256">
                  <c:v>101.94426</c:v>
                </c:pt>
                <c:pt idx="257">
                  <c:v>102.16325999999999</c:v>
                </c:pt>
                <c:pt idx="258">
                  <c:v>101.95832</c:v>
                </c:pt>
                <c:pt idx="259">
                  <c:v>102.04631999999999</c:v>
                </c:pt>
                <c:pt idx="260">
                  <c:v>102.25339</c:v>
                </c:pt>
                <c:pt idx="261">
                  <c:v>102.20005999999999</c:v>
                </c:pt>
                <c:pt idx="262">
                  <c:v>101.95802999999999</c:v>
                </c:pt>
                <c:pt idx="263">
                  <c:v>101.92784999999999</c:v>
                </c:pt>
                <c:pt idx="264">
                  <c:v>102.23236999999999</c:v>
                </c:pt>
                <c:pt idx="265">
                  <c:v>102.13952999999999</c:v>
                </c:pt>
                <c:pt idx="266">
                  <c:v>102.26867</c:v>
                </c:pt>
                <c:pt idx="267">
                  <c:v>102.28023999999999</c:v>
                </c:pt>
                <c:pt idx="268">
                  <c:v>102.16558999999999</c:v>
                </c:pt>
                <c:pt idx="269">
                  <c:v>102.12943999999999</c:v>
                </c:pt>
                <c:pt idx="270">
                  <c:v>102.22888999999999</c:v>
                </c:pt>
                <c:pt idx="271">
                  <c:v>102.27959</c:v>
                </c:pt>
                <c:pt idx="272">
                  <c:v>102.13499999999999</c:v>
                </c:pt>
                <c:pt idx="273">
                  <c:v>102.14766999999999</c:v>
                </c:pt>
                <c:pt idx="274">
                  <c:v>102.18022999999999</c:v>
                </c:pt>
                <c:pt idx="275">
                  <c:v>101.96122</c:v>
                </c:pt>
                <c:pt idx="276">
                  <c:v>102.15397999999999</c:v>
                </c:pt>
                <c:pt idx="277">
                  <c:v>102.26694999999999</c:v>
                </c:pt>
                <c:pt idx="278">
                  <c:v>102.07451999999999</c:v>
                </c:pt>
                <c:pt idx="279">
                  <c:v>102.03688</c:v>
                </c:pt>
                <c:pt idx="280">
                  <c:v>102.2289</c:v>
                </c:pt>
                <c:pt idx="281">
                  <c:v>101.98563</c:v>
                </c:pt>
                <c:pt idx="282">
                  <c:v>102.09876999999999</c:v>
                </c:pt>
                <c:pt idx="283">
                  <c:v>102.08959</c:v>
                </c:pt>
                <c:pt idx="284">
                  <c:v>102.18159999999999</c:v>
                </c:pt>
                <c:pt idx="285">
                  <c:v>102.2568</c:v>
                </c:pt>
                <c:pt idx="286">
                  <c:v>102.12015</c:v>
                </c:pt>
                <c:pt idx="287">
                  <c:v>102.31913999999999</c:v>
                </c:pt>
                <c:pt idx="288">
                  <c:v>102.09465</c:v>
                </c:pt>
                <c:pt idx="289">
                  <c:v>102.34193999999999</c:v>
                </c:pt>
                <c:pt idx="290">
                  <c:v>102.17277999999999</c:v>
                </c:pt>
                <c:pt idx="291">
                  <c:v>102.34061</c:v>
                </c:pt>
                <c:pt idx="292">
                  <c:v>102.21544999999999</c:v>
                </c:pt>
                <c:pt idx="293">
                  <c:v>102.33228</c:v>
                </c:pt>
                <c:pt idx="294">
                  <c:v>102.23572</c:v>
                </c:pt>
                <c:pt idx="295">
                  <c:v>102.21489</c:v>
                </c:pt>
                <c:pt idx="296">
                  <c:v>102.08566999999999</c:v>
                </c:pt>
                <c:pt idx="297">
                  <c:v>102.31219</c:v>
                </c:pt>
                <c:pt idx="298">
                  <c:v>102.31816999999999</c:v>
                </c:pt>
                <c:pt idx="299">
                  <c:v>102.33771</c:v>
                </c:pt>
                <c:pt idx="300">
                  <c:v>102.21212</c:v>
                </c:pt>
                <c:pt idx="301">
                  <c:v>102.19444</c:v>
                </c:pt>
                <c:pt idx="302">
                  <c:v>102.19426</c:v>
                </c:pt>
                <c:pt idx="303">
                  <c:v>102.3519</c:v>
                </c:pt>
                <c:pt idx="304">
                  <c:v>102.34922999999999</c:v>
                </c:pt>
                <c:pt idx="305">
                  <c:v>102.34326999999999</c:v>
                </c:pt>
                <c:pt idx="306">
                  <c:v>102.29243</c:v>
                </c:pt>
                <c:pt idx="307">
                  <c:v>102.32726</c:v>
                </c:pt>
                <c:pt idx="308">
                  <c:v>102.31824999999999</c:v>
                </c:pt>
                <c:pt idx="309">
                  <c:v>102.2774</c:v>
                </c:pt>
                <c:pt idx="310">
                  <c:v>102.29429999999999</c:v>
                </c:pt>
                <c:pt idx="311">
                  <c:v>102.22470999999999</c:v>
                </c:pt>
                <c:pt idx="312">
                  <c:v>102.43692</c:v>
                </c:pt>
                <c:pt idx="313">
                  <c:v>102.26707999999999</c:v>
                </c:pt>
                <c:pt idx="314">
                  <c:v>102.24973</c:v>
                </c:pt>
                <c:pt idx="315">
                  <c:v>102.19113</c:v>
                </c:pt>
                <c:pt idx="316">
                  <c:v>102.31518</c:v>
                </c:pt>
                <c:pt idx="317">
                  <c:v>102.42749999999999</c:v>
                </c:pt>
                <c:pt idx="318">
                  <c:v>102.36170999999999</c:v>
                </c:pt>
                <c:pt idx="319">
                  <c:v>102.19113</c:v>
                </c:pt>
                <c:pt idx="320">
                  <c:v>102.25346999999999</c:v>
                </c:pt>
                <c:pt idx="321">
                  <c:v>102.3552</c:v>
                </c:pt>
                <c:pt idx="322">
                  <c:v>102.23369</c:v>
                </c:pt>
                <c:pt idx="323">
                  <c:v>102.27161</c:v>
                </c:pt>
                <c:pt idx="324">
                  <c:v>102.23258999999999</c:v>
                </c:pt>
                <c:pt idx="325">
                  <c:v>102.34887999999999</c:v>
                </c:pt>
                <c:pt idx="326">
                  <c:v>102.30884999999999</c:v>
                </c:pt>
                <c:pt idx="327">
                  <c:v>102.28845</c:v>
                </c:pt>
                <c:pt idx="328">
                  <c:v>102.22341</c:v>
                </c:pt>
                <c:pt idx="329">
                  <c:v>102.33951999999999</c:v>
                </c:pt>
                <c:pt idx="330">
                  <c:v>102.38061999999999</c:v>
                </c:pt>
                <c:pt idx="331">
                  <c:v>102.29867</c:v>
                </c:pt>
                <c:pt idx="332">
                  <c:v>102.29701999999999</c:v>
                </c:pt>
                <c:pt idx="333">
                  <c:v>102.36075</c:v>
                </c:pt>
                <c:pt idx="334">
                  <c:v>102.34165</c:v>
                </c:pt>
                <c:pt idx="335">
                  <c:v>102.23800999999999</c:v>
                </c:pt>
                <c:pt idx="336">
                  <c:v>102.35511</c:v>
                </c:pt>
                <c:pt idx="337">
                  <c:v>102.34044999999999</c:v>
                </c:pt>
                <c:pt idx="338">
                  <c:v>102.30224</c:v>
                </c:pt>
                <c:pt idx="339">
                  <c:v>102.28095999999999</c:v>
                </c:pt>
                <c:pt idx="340">
                  <c:v>102.38598999999999</c:v>
                </c:pt>
                <c:pt idx="341">
                  <c:v>102.35916999999999</c:v>
                </c:pt>
                <c:pt idx="342">
                  <c:v>102.34088</c:v>
                </c:pt>
                <c:pt idx="343">
                  <c:v>102.28506999999999</c:v>
                </c:pt>
                <c:pt idx="344">
                  <c:v>102.31505999999999</c:v>
                </c:pt>
                <c:pt idx="345">
                  <c:v>102.31746</c:v>
                </c:pt>
                <c:pt idx="346">
                  <c:v>102.32637</c:v>
                </c:pt>
                <c:pt idx="347">
                  <c:v>102.19602999999999</c:v>
                </c:pt>
                <c:pt idx="348">
                  <c:v>102.31864999999999</c:v>
                </c:pt>
                <c:pt idx="349">
                  <c:v>102.30422</c:v>
                </c:pt>
                <c:pt idx="350">
                  <c:v>102.31514</c:v>
                </c:pt>
                <c:pt idx="351">
                  <c:v>102.33958</c:v>
                </c:pt>
                <c:pt idx="352">
                  <c:v>102.37370999999999</c:v>
                </c:pt>
                <c:pt idx="353">
                  <c:v>102.33833</c:v>
                </c:pt>
                <c:pt idx="354">
                  <c:v>102.47781999999999</c:v>
                </c:pt>
                <c:pt idx="355">
                  <c:v>102.43468</c:v>
                </c:pt>
                <c:pt idx="356">
                  <c:v>102.32953999999999</c:v>
                </c:pt>
                <c:pt idx="357">
                  <c:v>102.40589</c:v>
                </c:pt>
                <c:pt idx="358">
                  <c:v>102.25685999999999</c:v>
                </c:pt>
                <c:pt idx="359">
                  <c:v>102.34665</c:v>
                </c:pt>
                <c:pt idx="360">
                  <c:v>102.54594999999999</c:v>
                </c:pt>
                <c:pt idx="361">
                  <c:v>102.45595</c:v>
                </c:pt>
                <c:pt idx="362">
                  <c:v>102.46147999999999</c:v>
                </c:pt>
                <c:pt idx="363">
                  <c:v>102.41551</c:v>
                </c:pt>
                <c:pt idx="364">
                  <c:v>102.43146</c:v>
                </c:pt>
                <c:pt idx="365">
                  <c:v>102.4494</c:v>
                </c:pt>
                <c:pt idx="366">
                  <c:v>102.36103</c:v>
                </c:pt>
                <c:pt idx="367">
                  <c:v>102.41753</c:v>
                </c:pt>
                <c:pt idx="368">
                  <c:v>102.43185</c:v>
                </c:pt>
                <c:pt idx="369">
                  <c:v>102.45398999999999</c:v>
                </c:pt>
                <c:pt idx="370">
                  <c:v>102.49339999999999</c:v>
                </c:pt>
                <c:pt idx="371">
                  <c:v>102.48594999999999</c:v>
                </c:pt>
                <c:pt idx="372">
                  <c:v>102.32969</c:v>
                </c:pt>
                <c:pt idx="373">
                  <c:v>102.38772999999999</c:v>
                </c:pt>
                <c:pt idx="374">
                  <c:v>102.44283</c:v>
                </c:pt>
                <c:pt idx="375">
                  <c:v>102.43375999999999</c:v>
                </c:pt>
                <c:pt idx="376">
                  <c:v>102.43912999999999</c:v>
                </c:pt>
                <c:pt idx="377">
                  <c:v>102.44346999999999</c:v>
                </c:pt>
                <c:pt idx="378">
                  <c:v>102.48408999999999</c:v>
                </c:pt>
                <c:pt idx="379">
                  <c:v>102.43295999999999</c:v>
                </c:pt>
                <c:pt idx="380">
                  <c:v>102.46727</c:v>
                </c:pt>
                <c:pt idx="381">
                  <c:v>102.40653999999999</c:v>
                </c:pt>
                <c:pt idx="382">
                  <c:v>102.39600999999999</c:v>
                </c:pt>
                <c:pt idx="383">
                  <c:v>102.53591</c:v>
                </c:pt>
                <c:pt idx="384">
                  <c:v>102.58125</c:v>
                </c:pt>
                <c:pt idx="385">
                  <c:v>102.39932999999999</c:v>
                </c:pt>
                <c:pt idx="386">
                  <c:v>102.3526</c:v>
                </c:pt>
                <c:pt idx="387">
                  <c:v>102.50457</c:v>
                </c:pt>
                <c:pt idx="388">
                  <c:v>102.36345</c:v>
                </c:pt>
                <c:pt idx="389">
                  <c:v>102.54446999999999</c:v>
                </c:pt>
                <c:pt idx="390">
                  <c:v>102.4773</c:v>
                </c:pt>
                <c:pt idx="391">
                  <c:v>102.46418</c:v>
                </c:pt>
                <c:pt idx="392">
                  <c:v>102.54419999999999</c:v>
                </c:pt>
                <c:pt idx="393">
                  <c:v>102.45178999999999</c:v>
                </c:pt>
                <c:pt idx="394">
                  <c:v>102.5591</c:v>
                </c:pt>
                <c:pt idx="395">
                  <c:v>102.4383</c:v>
                </c:pt>
                <c:pt idx="396">
                  <c:v>102.43536999999999</c:v>
                </c:pt>
                <c:pt idx="397">
                  <c:v>102.53259</c:v>
                </c:pt>
                <c:pt idx="398">
                  <c:v>102.42522</c:v>
                </c:pt>
                <c:pt idx="399">
                  <c:v>102.46521</c:v>
                </c:pt>
                <c:pt idx="400">
                  <c:v>102.60826999999999</c:v>
                </c:pt>
                <c:pt idx="401">
                  <c:v>102.52422999999999</c:v>
                </c:pt>
                <c:pt idx="402">
                  <c:v>102.44963999999999</c:v>
                </c:pt>
                <c:pt idx="403">
                  <c:v>102.53537</c:v>
                </c:pt>
                <c:pt idx="404">
                  <c:v>102.47972</c:v>
                </c:pt>
                <c:pt idx="405">
                  <c:v>102.54182999999999</c:v>
                </c:pt>
                <c:pt idx="406">
                  <c:v>102.50774</c:v>
                </c:pt>
                <c:pt idx="407">
                  <c:v>102.42842999999999</c:v>
                </c:pt>
                <c:pt idx="408">
                  <c:v>102.55871999999999</c:v>
                </c:pt>
                <c:pt idx="409">
                  <c:v>102.49552</c:v>
                </c:pt>
                <c:pt idx="410">
                  <c:v>102.53595999999999</c:v>
                </c:pt>
                <c:pt idx="411">
                  <c:v>102.51016</c:v>
                </c:pt>
                <c:pt idx="412">
                  <c:v>102.50100999999999</c:v>
                </c:pt>
                <c:pt idx="413">
                  <c:v>102.55779</c:v>
                </c:pt>
                <c:pt idx="414">
                  <c:v>102.65349999999999</c:v>
                </c:pt>
                <c:pt idx="415">
                  <c:v>102.37025</c:v>
                </c:pt>
                <c:pt idx="416">
                  <c:v>102.59478</c:v>
                </c:pt>
                <c:pt idx="417">
                  <c:v>102.52347999999999</c:v>
                </c:pt>
                <c:pt idx="418">
                  <c:v>102.45411999999999</c:v>
                </c:pt>
                <c:pt idx="419">
                  <c:v>102.63726</c:v>
                </c:pt>
                <c:pt idx="420">
                  <c:v>102.55011999999999</c:v>
                </c:pt>
                <c:pt idx="421">
                  <c:v>102.52279999999999</c:v>
                </c:pt>
                <c:pt idx="422">
                  <c:v>102.63359</c:v>
                </c:pt>
                <c:pt idx="423">
                  <c:v>102.61071</c:v>
                </c:pt>
                <c:pt idx="424">
                  <c:v>102.48823999999999</c:v>
                </c:pt>
                <c:pt idx="425">
                  <c:v>102.39909</c:v>
                </c:pt>
                <c:pt idx="426">
                  <c:v>102.7307</c:v>
                </c:pt>
                <c:pt idx="427">
                  <c:v>102.42667999999999</c:v>
                </c:pt>
                <c:pt idx="428">
                  <c:v>102.55201</c:v>
                </c:pt>
                <c:pt idx="429">
                  <c:v>102.49557999999999</c:v>
                </c:pt>
                <c:pt idx="430">
                  <c:v>102.50161</c:v>
                </c:pt>
                <c:pt idx="431">
                  <c:v>102.48302</c:v>
                </c:pt>
                <c:pt idx="432">
                  <c:v>102.56723</c:v>
                </c:pt>
                <c:pt idx="433">
                  <c:v>102.47694</c:v>
                </c:pt>
                <c:pt idx="434">
                  <c:v>102.56567</c:v>
                </c:pt>
                <c:pt idx="435">
                  <c:v>102.48258</c:v>
                </c:pt>
                <c:pt idx="436">
                  <c:v>102.51897</c:v>
                </c:pt>
                <c:pt idx="437">
                  <c:v>102.50041999999999</c:v>
                </c:pt>
                <c:pt idx="438">
                  <c:v>102.48718</c:v>
                </c:pt>
                <c:pt idx="439">
                  <c:v>102.45428</c:v>
                </c:pt>
                <c:pt idx="440">
                  <c:v>102.52488</c:v>
                </c:pt>
                <c:pt idx="441">
                  <c:v>102.39313</c:v>
                </c:pt>
                <c:pt idx="442">
                  <c:v>102.66973</c:v>
                </c:pt>
                <c:pt idx="443">
                  <c:v>102.61730999999999</c:v>
                </c:pt>
                <c:pt idx="444">
                  <c:v>102.48063999999999</c:v>
                </c:pt>
                <c:pt idx="445">
                  <c:v>102.61506999999999</c:v>
                </c:pt>
                <c:pt idx="446">
                  <c:v>102.50762999999999</c:v>
                </c:pt>
                <c:pt idx="447">
                  <c:v>102.59935</c:v>
                </c:pt>
                <c:pt idx="448">
                  <c:v>102.64408999999999</c:v>
                </c:pt>
                <c:pt idx="449">
                  <c:v>102.62532999999999</c:v>
                </c:pt>
                <c:pt idx="450">
                  <c:v>102.49561</c:v>
                </c:pt>
                <c:pt idx="451">
                  <c:v>102.74418999999999</c:v>
                </c:pt>
                <c:pt idx="452">
                  <c:v>102.68265</c:v>
                </c:pt>
                <c:pt idx="453">
                  <c:v>102.48114</c:v>
                </c:pt>
                <c:pt idx="454">
                  <c:v>102.54835999999999</c:v>
                </c:pt>
                <c:pt idx="455">
                  <c:v>102.65268999999999</c:v>
                </c:pt>
                <c:pt idx="456">
                  <c:v>102.55515</c:v>
                </c:pt>
                <c:pt idx="457">
                  <c:v>102.63759999999999</c:v>
                </c:pt>
                <c:pt idx="458">
                  <c:v>102.62845999999999</c:v>
                </c:pt>
                <c:pt idx="459">
                  <c:v>102.59353999999999</c:v>
                </c:pt>
                <c:pt idx="460">
                  <c:v>102.60441999999999</c:v>
                </c:pt>
                <c:pt idx="461">
                  <c:v>102.79222999999999</c:v>
                </c:pt>
                <c:pt idx="462">
                  <c:v>102.75009999999999</c:v>
                </c:pt>
                <c:pt idx="463">
                  <c:v>102.53429999999999</c:v>
                </c:pt>
                <c:pt idx="464">
                  <c:v>102.63660999999999</c:v>
                </c:pt>
                <c:pt idx="465">
                  <c:v>102.57279</c:v>
                </c:pt>
                <c:pt idx="466">
                  <c:v>102.67804</c:v>
                </c:pt>
                <c:pt idx="467">
                  <c:v>102.67667999999999</c:v>
                </c:pt>
                <c:pt idx="468">
                  <c:v>102.61112999999999</c:v>
                </c:pt>
                <c:pt idx="469">
                  <c:v>102.65669</c:v>
                </c:pt>
                <c:pt idx="470">
                  <c:v>102.51655</c:v>
                </c:pt>
                <c:pt idx="471">
                  <c:v>102.71691999999999</c:v>
                </c:pt>
                <c:pt idx="472">
                  <c:v>102.6951</c:v>
                </c:pt>
                <c:pt idx="473">
                  <c:v>102.64636999999999</c:v>
                </c:pt>
                <c:pt idx="474">
                  <c:v>102.60668</c:v>
                </c:pt>
                <c:pt idx="475">
                  <c:v>102.61681</c:v>
                </c:pt>
                <c:pt idx="476">
                  <c:v>102.66135999999999</c:v>
                </c:pt>
                <c:pt idx="477">
                  <c:v>102.64567</c:v>
                </c:pt>
                <c:pt idx="478">
                  <c:v>102.68127</c:v>
                </c:pt>
                <c:pt idx="479">
                  <c:v>102.73218999999999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C8-8341-823D-E8FCDAE99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239055"/>
        <c:axId val="1623779327"/>
      </c:scatterChart>
      <c:valAx>
        <c:axId val="1536239055"/>
        <c:scaling>
          <c:orientation val="minMax"/>
          <c:max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[min]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23779327"/>
        <c:crosses val="autoZero"/>
        <c:crossBetween val="midCat"/>
      </c:valAx>
      <c:valAx>
        <c:axId val="16237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623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 (Odin)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BRF500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Data, BRF500 20% O2'!$AE$4:$AE$1203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Data, BRF500 20% O2'!$AG$4:$AG$1203</c:f>
              <c:numCache>
                <c:formatCode>0.00000</c:formatCode>
                <c:ptCount val="1200"/>
                <c:pt idx="0">
                  <c:v>100</c:v>
                </c:pt>
                <c:pt idx="1">
                  <c:v>100.16745999999999</c:v>
                </c:pt>
                <c:pt idx="2">
                  <c:v>100.38521999999999</c:v>
                </c:pt>
                <c:pt idx="3">
                  <c:v>100.45992</c:v>
                </c:pt>
                <c:pt idx="4">
                  <c:v>100.41613</c:v>
                </c:pt>
                <c:pt idx="5">
                  <c:v>100.52878</c:v>
                </c:pt>
                <c:pt idx="6">
                  <c:v>100.37039999999999</c:v>
                </c:pt>
                <c:pt idx="7">
                  <c:v>100.40330999999999</c:v>
                </c:pt>
                <c:pt idx="8">
                  <c:v>100.51648</c:v>
                </c:pt>
                <c:pt idx="9">
                  <c:v>100.39946999999999</c:v>
                </c:pt>
                <c:pt idx="10">
                  <c:v>100.43297</c:v>
                </c:pt>
                <c:pt idx="11">
                  <c:v>100.41251</c:v>
                </c:pt>
                <c:pt idx="12">
                  <c:v>100.34058999999999</c:v>
                </c:pt>
                <c:pt idx="13">
                  <c:v>100.47059</c:v>
                </c:pt>
                <c:pt idx="14">
                  <c:v>100.33069999999999</c:v>
                </c:pt>
                <c:pt idx="15">
                  <c:v>100.37652</c:v>
                </c:pt>
                <c:pt idx="16">
                  <c:v>100.37814</c:v>
                </c:pt>
                <c:pt idx="17">
                  <c:v>100.29899999999999</c:v>
                </c:pt>
                <c:pt idx="18">
                  <c:v>100.38423999999999</c:v>
                </c:pt>
                <c:pt idx="19">
                  <c:v>100.34398</c:v>
                </c:pt>
                <c:pt idx="20">
                  <c:v>100.25300999999999</c:v>
                </c:pt>
                <c:pt idx="21">
                  <c:v>100.31518</c:v>
                </c:pt>
                <c:pt idx="22">
                  <c:v>100.28075</c:v>
                </c:pt>
                <c:pt idx="23">
                  <c:v>100.31251999999999</c:v>
                </c:pt>
                <c:pt idx="24">
                  <c:v>100.14219</c:v>
                </c:pt>
                <c:pt idx="25">
                  <c:v>100.22987999999999</c:v>
                </c:pt>
                <c:pt idx="26">
                  <c:v>100.18235</c:v>
                </c:pt>
                <c:pt idx="27">
                  <c:v>100.18432</c:v>
                </c:pt>
                <c:pt idx="28">
                  <c:v>100.22439999999999</c:v>
                </c:pt>
                <c:pt idx="29">
                  <c:v>100.15835</c:v>
                </c:pt>
                <c:pt idx="30">
                  <c:v>100.21445</c:v>
                </c:pt>
                <c:pt idx="31">
                  <c:v>100.13041</c:v>
                </c:pt>
                <c:pt idx="32">
                  <c:v>100.13019</c:v>
                </c:pt>
                <c:pt idx="33">
                  <c:v>100.14869</c:v>
                </c:pt>
                <c:pt idx="34">
                  <c:v>100.08756</c:v>
                </c:pt>
                <c:pt idx="35">
                  <c:v>100.09724</c:v>
                </c:pt>
                <c:pt idx="36">
                  <c:v>100.15094999999999</c:v>
                </c:pt>
                <c:pt idx="37">
                  <c:v>100.05494999999999</c:v>
                </c:pt>
                <c:pt idx="38">
                  <c:v>100.07965999999999</c:v>
                </c:pt>
                <c:pt idx="39">
                  <c:v>100.00578999999999</c:v>
                </c:pt>
                <c:pt idx="40">
                  <c:v>100.05875999999999</c:v>
                </c:pt>
                <c:pt idx="41">
                  <c:v>99.904929999999993</c:v>
                </c:pt>
                <c:pt idx="42">
                  <c:v>100.00327</c:v>
                </c:pt>
                <c:pt idx="43">
                  <c:v>99.852969999999999</c:v>
                </c:pt>
                <c:pt idx="44">
                  <c:v>99.951679999999996</c:v>
                </c:pt>
                <c:pt idx="45">
                  <c:v>99.929829999999995</c:v>
                </c:pt>
                <c:pt idx="46">
                  <c:v>99.93513999999999</c:v>
                </c:pt>
                <c:pt idx="47">
                  <c:v>99.915599999999998</c:v>
                </c:pt>
                <c:pt idx="48">
                  <c:v>99.890039999999999</c:v>
                </c:pt>
                <c:pt idx="49">
                  <c:v>99.796909999999997</c:v>
                </c:pt>
                <c:pt idx="50">
                  <c:v>99.754390000000001</c:v>
                </c:pt>
                <c:pt idx="51">
                  <c:v>99.765229999999988</c:v>
                </c:pt>
                <c:pt idx="52">
                  <c:v>99.738609999999994</c:v>
                </c:pt>
                <c:pt idx="53">
                  <c:v>99.806439999999995</c:v>
                </c:pt>
                <c:pt idx="54">
                  <c:v>99.745559999999998</c:v>
                </c:pt>
                <c:pt idx="55">
                  <c:v>99.677430000000001</c:v>
                </c:pt>
                <c:pt idx="56">
                  <c:v>99.727679999999992</c:v>
                </c:pt>
                <c:pt idx="57">
                  <c:v>99.729459999999989</c:v>
                </c:pt>
                <c:pt idx="58">
                  <c:v>99.673289999999994</c:v>
                </c:pt>
                <c:pt idx="59">
                  <c:v>99.601209999999995</c:v>
                </c:pt>
                <c:pt idx="60">
                  <c:v>99.599489999999989</c:v>
                </c:pt>
                <c:pt idx="61">
                  <c:v>99.632959999999997</c:v>
                </c:pt>
                <c:pt idx="62">
                  <c:v>99.604949999999988</c:v>
                </c:pt>
                <c:pt idx="63">
                  <c:v>99.620599999999996</c:v>
                </c:pt>
                <c:pt idx="64">
                  <c:v>99.587399999999988</c:v>
                </c:pt>
                <c:pt idx="65">
                  <c:v>99.590059999999994</c:v>
                </c:pt>
                <c:pt idx="66">
                  <c:v>99.60857</c:v>
                </c:pt>
                <c:pt idx="67">
                  <c:v>99.565439999999995</c:v>
                </c:pt>
                <c:pt idx="68">
                  <c:v>99.519799999999989</c:v>
                </c:pt>
                <c:pt idx="69">
                  <c:v>99.513959999999997</c:v>
                </c:pt>
                <c:pt idx="70">
                  <c:v>99.587639999999993</c:v>
                </c:pt>
                <c:pt idx="71">
                  <c:v>99.534999999999997</c:v>
                </c:pt>
                <c:pt idx="72">
                  <c:v>99.473609999999994</c:v>
                </c:pt>
                <c:pt idx="73">
                  <c:v>99.516829999999999</c:v>
                </c:pt>
                <c:pt idx="74">
                  <c:v>99.473119999999994</c:v>
                </c:pt>
                <c:pt idx="75">
                  <c:v>99.51867</c:v>
                </c:pt>
                <c:pt idx="76">
                  <c:v>99.271979999999999</c:v>
                </c:pt>
                <c:pt idx="77">
                  <c:v>99.306489999999997</c:v>
                </c:pt>
                <c:pt idx="78">
                  <c:v>99.389799999999994</c:v>
                </c:pt>
                <c:pt idx="79">
                  <c:v>99.30552999999999</c:v>
                </c:pt>
                <c:pt idx="80">
                  <c:v>99.252319999999997</c:v>
                </c:pt>
                <c:pt idx="81">
                  <c:v>99.378969999999995</c:v>
                </c:pt>
                <c:pt idx="82">
                  <c:v>99.295349999999999</c:v>
                </c:pt>
                <c:pt idx="83">
                  <c:v>99.307459999999992</c:v>
                </c:pt>
                <c:pt idx="84">
                  <c:v>99.194849999999988</c:v>
                </c:pt>
                <c:pt idx="85">
                  <c:v>99.214649999999992</c:v>
                </c:pt>
                <c:pt idx="86">
                  <c:v>99.257459999999995</c:v>
                </c:pt>
                <c:pt idx="87">
                  <c:v>99.200419999999994</c:v>
                </c:pt>
                <c:pt idx="88">
                  <c:v>99.23411999999999</c:v>
                </c:pt>
                <c:pt idx="89">
                  <c:v>99.128189999999989</c:v>
                </c:pt>
                <c:pt idx="90">
                  <c:v>99.1738</c:v>
                </c:pt>
                <c:pt idx="91">
                  <c:v>99.163889999999995</c:v>
                </c:pt>
                <c:pt idx="92">
                  <c:v>99.19395999999999</c:v>
                </c:pt>
                <c:pt idx="93">
                  <c:v>99.123459999999994</c:v>
                </c:pt>
                <c:pt idx="94">
                  <c:v>99.203579999999988</c:v>
                </c:pt>
                <c:pt idx="95">
                  <c:v>99.110489999999999</c:v>
                </c:pt>
                <c:pt idx="96">
                  <c:v>99.069629999999989</c:v>
                </c:pt>
                <c:pt idx="97">
                  <c:v>99.125589999999988</c:v>
                </c:pt>
                <c:pt idx="98">
                  <c:v>99.014379999999989</c:v>
                </c:pt>
                <c:pt idx="99">
                  <c:v>98.996919999999989</c:v>
                </c:pt>
                <c:pt idx="100">
                  <c:v>98.979479999999995</c:v>
                </c:pt>
                <c:pt idx="101">
                  <c:v>99.028309999999991</c:v>
                </c:pt>
                <c:pt idx="102">
                  <c:v>98.941029999999998</c:v>
                </c:pt>
                <c:pt idx="103">
                  <c:v>99.015499999999989</c:v>
                </c:pt>
                <c:pt idx="104">
                  <c:v>99.048779999999994</c:v>
                </c:pt>
                <c:pt idx="105">
                  <c:v>99.016329999999996</c:v>
                </c:pt>
                <c:pt idx="106">
                  <c:v>98.906559999999999</c:v>
                </c:pt>
                <c:pt idx="107">
                  <c:v>98.930689999999998</c:v>
                </c:pt>
                <c:pt idx="108">
                  <c:v>98.893389999999997</c:v>
                </c:pt>
                <c:pt idx="109">
                  <c:v>98.871729999999999</c:v>
                </c:pt>
                <c:pt idx="110">
                  <c:v>98.887929999999997</c:v>
                </c:pt>
                <c:pt idx="111">
                  <c:v>98.891959999999997</c:v>
                </c:pt>
                <c:pt idx="112">
                  <c:v>98.746159999999989</c:v>
                </c:pt>
                <c:pt idx="113">
                  <c:v>98.836649999999992</c:v>
                </c:pt>
                <c:pt idx="114">
                  <c:v>98.783499999999989</c:v>
                </c:pt>
                <c:pt idx="115">
                  <c:v>98.758369999999999</c:v>
                </c:pt>
                <c:pt idx="116">
                  <c:v>98.741679999999988</c:v>
                </c:pt>
                <c:pt idx="117">
                  <c:v>98.758510000000001</c:v>
                </c:pt>
                <c:pt idx="118">
                  <c:v>98.812999999999988</c:v>
                </c:pt>
                <c:pt idx="119">
                  <c:v>98.698430000000002</c:v>
                </c:pt>
                <c:pt idx="120">
                  <c:v>98.79392</c:v>
                </c:pt>
                <c:pt idx="121">
                  <c:v>98.792389999999997</c:v>
                </c:pt>
                <c:pt idx="122">
                  <c:v>98.611729999999994</c:v>
                </c:pt>
                <c:pt idx="123">
                  <c:v>98.658209999999997</c:v>
                </c:pt>
                <c:pt idx="124">
                  <c:v>98.674899999999994</c:v>
                </c:pt>
                <c:pt idx="125">
                  <c:v>98.590219999999988</c:v>
                </c:pt>
                <c:pt idx="126">
                  <c:v>98.628919999999994</c:v>
                </c:pt>
                <c:pt idx="127">
                  <c:v>98.638589999999994</c:v>
                </c:pt>
                <c:pt idx="128">
                  <c:v>98.660619999999994</c:v>
                </c:pt>
                <c:pt idx="129">
                  <c:v>98.594110000000001</c:v>
                </c:pt>
                <c:pt idx="130">
                  <c:v>98.58435999999999</c:v>
                </c:pt>
                <c:pt idx="131">
                  <c:v>98.533249999999995</c:v>
                </c:pt>
                <c:pt idx="132">
                  <c:v>98.563859999999991</c:v>
                </c:pt>
                <c:pt idx="133">
                  <c:v>98.575400000000002</c:v>
                </c:pt>
                <c:pt idx="134">
                  <c:v>98.48536</c:v>
                </c:pt>
                <c:pt idx="135">
                  <c:v>98.460209999999989</c:v>
                </c:pt>
                <c:pt idx="136">
                  <c:v>98.468509999999995</c:v>
                </c:pt>
                <c:pt idx="137">
                  <c:v>98.431029999999993</c:v>
                </c:pt>
                <c:pt idx="138">
                  <c:v>98.475259999999992</c:v>
                </c:pt>
                <c:pt idx="139">
                  <c:v>98.454899999999995</c:v>
                </c:pt>
                <c:pt idx="140">
                  <c:v>98.45675</c:v>
                </c:pt>
                <c:pt idx="141">
                  <c:v>98.482019999999991</c:v>
                </c:pt>
                <c:pt idx="142">
                  <c:v>98.362629999999996</c:v>
                </c:pt>
                <c:pt idx="143">
                  <c:v>98.397289999999998</c:v>
                </c:pt>
                <c:pt idx="144">
                  <c:v>98.385930000000002</c:v>
                </c:pt>
                <c:pt idx="145">
                  <c:v>98.368159999999989</c:v>
                </c:pt>
                <c:pt idx="146">
                  <c:v>98.37827999999999</c:v>
                </c:pt>
                <c:pt idx="147">
                  <c:v>98.245519999999999</c:v>
                </c:pt>
                <c:pt idx="148">
                  <c:v>98.258289999999988</c:v>
                </c:pt>
                <c:pt idx="149">
                  <c:v>98.35029999999999</c:v>
                </c:pt>
                <c:pt idx="150">
                  <c:v>98.331109999999995</c:v>
                </c:pt>
                <c:pt idx="151">
                  <c:v>98.277109999999993</c:v>
                </c:pt>
                <c:pt idx="152">
                  <c:v>98.22824</c:v>
                </c:pt>
                <c:pt idx="153">
                  <c:v>98.231279999999998</c:v>
                </c:pt>
                <c:pt idx="154">
                  <c:v>98.219849999999994</c:v>
                </c:pt>
                <c:pt idx="155">
                  <c:v>98.166359999999997</c:v>
                </c:pt>
                <c:pt idx="156">
                  <c:v>98.238829999999993</c:v>
                </c:pt>
                <c:pt idx="157">
                  <c:v>98.151929999999993</c:v>
                </c:pt>
                <c:pt idx="158">
                  <c:v>98.157139999999998</c:v>
                </c:pt>
                <c:pt idx="159">
                  <c:v>98.127399999999994</c:v>
                </c:pt>
                <c:pt idx="160">
                  <c:v>98.118719999999996</c:v>
                </c:pt>
                <c:pt idx="161">
                  <c:v>98.067639999999997</c:v>
                </c:pt>
                <c:pt idx="162">
                  <c:v>98.144970000000001</c:v>
                </c:pt>
                <c:pt idx="163">
                  <c:v>97.965170000000001</c:v>
                </c:pt>
                <c:pt idx="164">
                  <c:v>98.10848</c:v>
                </c:pt>
                <c:pt idx="165">
                  <c:v>98.170249999999996</c:v>
                </c:pt>
                <c:pt idx="166">
                  <c:v>98.016509999999997</c:v>
                </c:pt>
                <c:pt idx="167">
                  <c:v>98.060379999999995</c:v>
                </c:pt>
                <c:pt idx="168">
                  <c:v>98.016499999999994</c:v>
                </c:pt>
                <c:pt idx="169">
                  <c:v>97.963119999999989</c:v>
                </c:pt>
                <c:pt idx="170">
                  <c:v>97.993889999999993</c:v>
                </c:pt>
                <c:pt idx="171">
                  <c:v>98.024709999999999</c:v>
                </c:pt>
                <c:pt idx="172">
                  <c:v>97.982219999999998</c:v>
                </c:pt>
                <c:pt idx="173">
                  <c:v>97.977649999999997</c:v>
                </c:pt>
                <c:pt idx="174">
                  <c:v>97.970050000000001</c:v>
                </c:pt>
                <c:pt idx="175">
                  <c:v>97.932699999999997</c:v>
                </c:pt>
                <c:pt idx="176">
                  <c:v>97.871889999999993</c:v>
                </c:pt>
                <c:pt idx="177">
                  <c:v>97.912319999999994</c:v>
                </c:pt>
                <c:pt idx="178">
                  <c:v>97.842119999999994</c:v>
                </c:pt>
                <c:pt idx="179">
                  <c:v>97.88646</c:v>
                </c:pt>
                <c:pt idx="180">
                  <c:v>97.92962</c:v>
                </c:pt>
                <c:pt idx="181">
                  <c:v>97.786459999999991</c:v>
                </c:pt>
                <c:pt idx="182">
                  <c:v>97.802869999999999</c:v>
                </c:pt>
                <c:pt idx="183">
                  <c:v>97.780760000000001</c:v>
                </c:pt>
                <c:pt idx="184">
                  <c:v>97.856039999999993</c:v>
                </c:pt>
                <c:pt idx="185">
                  <c:v>97.805889999999991</c:v>
                </c:pt>
                <c:pt idx="186">
                  <c:v>97.724469999999997</c:v>
                </c:pt>
                <c:pt idx="187">
                  <c:v>97.718989999999991</c:v>
                </c:pt>
                <c:pt idx="188">
                  <c:v>97.716650000000001</c:v>
                </c:pt>
                <c:pt idx="189">
                  <c:v>97.74602999999999</c:v>
                </c:pt>
                <c:pt idx="190">
                  <c:v>97.69135</c:v>
                </c:pt>
                <c:pt idx="191">
                  <c:v>97.680070000000001</c:v>
                </c:pt>
                <c:pt idx="192">
                  <c:v>97.544599999999988</c:v>
                </c:pt>
                <c:pt idx="193">
                  <c:v>97.627529999999993</c:v>
                </c:pt>
                <c:pt idx="194">
                  <c:v>97.701629999999994</c:v>
                </c:pt>
                <c:pt idx="195">
                  <c:v>97.56765</c:v>
                </c:pt>
                <c:pt idx="196">
                  <c:v>97.531169999999989</c:v>
                </c:pt>
                <c:pt idx="197">
                  <c:v>97.659749999999988</c:v>
                </c:pt>
                <c:pt idx="198">
                  <c:v>97.580339999999993</c:v>
                </c:pt>
                <c:pt idx="199">
                  <c:v>97.571280000000002</c:v>
                </c:pt>
                <c:pt idx="200">
                  <c:v>97.341359999999995</c:v>
                </c:pt>
                <c:pt idx="201">
                  <c:v>97.58050999999999</c:v>
                </c:pt>
                <c:pt idx="202">
                  <c:v>97.54343999999999</c:v>
                </c:pt>
                <c:pt idx="203">
                  <c:v>97.532910000000001</c:v>
                </c:pt>
                <c:pt idx="204">
                  <c:v>97.49996999999999</c:v>
                </c:pt>
                <c:pt idx="205">
                  <c:v>97.5364</c:v>
                </c:pt>
                <c:pt idx="206">
                  <c:v>97.388229999999993</c:v>
                </c:pt>
                <c:pt idx="207">
                  <c:v>97.420819999999992</c:v>
                </c:pt>
                <c:pt idx="208">
                  <c:v>97.42192</c:v>
                </c:pt>
                <c:pt idx="209">
                  <c:v>97.407399999999996</c:v>
                </c:pt>
                <c:pt idx="210">
                  <c:v>97.473549999999989</c:v>
                </c:pt>
                <c:pt idx="211">
                  <c:v>97.395600000000002</c:v>
                </c:pt>
                <c:pt idx="212">
                  <c:v>97.416069999999991</c:v>
                </c:pt>
                <c:pt idx="213">
                  <c:v>97.349019999999996</c:v>
                </c:pt>
                <c:pt idx="214">
                  <c:v>97.416029999999992</c:v>
                </c:pt>
                <c:pt idx="215">
                  <c:v>97.299229999999994</c:v>
                </c:pt>
                <c:pt idx="216">
                  <c:v>97.246829999999989</c:v>
                </c:pt>
                <c:pt idx="217">
                  <c:v>97.38136999999999</c:v>
                </c:pt>
                <c:pt idx="218">
                  <c:v>97.270219999999995</c:v>
                </c:pt>
                <c:pt idx="219">
                  <c:v>97.242149999999995</c:v>
                </c:pt>
                <c:pt idx="220">
                  <c:v>97.269449999999992</c:v>
                </c:pt>
                <c:pt idx="221">
                  <c:v>97.198299999999989</c:v>
                </c:pt>
                <c:pt idx="222">
                  <c:v>97.204219999999992</c:v>
                </c:pt>
                <c:pt idx="223">
                  <c:v>97.327159999999992</c:v>
                </c:pt>
                <c:pt idx="224">
                  <c:v>97.225009999999997</c:v>
                </c:pt>
                <c:pt idx="225">
                  <c:v>97.196709999999996</c:v>
                </c:pt>
                <c:pt idx="226">
                  <c:v>97.272769999999994</c:v>
                </c:pt>
                <c:pt idx="227">
                  <c:v>97.13946</c:v>
                </c:pt>
                <c:pt idx="228">
                  <c:v>97.038419999999988</c:v>
                </c:pt>
                <c:pt idx="229">
                  <c:v>97.213679999999997</c:v>
                </c:pt>
                <c:pt idx="230">
                  <c:v>97.147289999999998</c:v>
                </c:pt>
                <c:pt idx="231">
                  <c:v>97.134529999999998</c:v>
                </c:pt>
                <c:pt idx="232">
                  <c:v>97.131540000000001</c:v>
                </c:pt>
                <c:pt idx="233">
                  <c:v>97.066400000000002</c:v>
                </c:pt>
                <c:pt idx="234">
                  <c:v>97.069980000000001</c:v>
                </c:pt>
                <c:pt idx="235">
                  <c:v>97.09662999999999</c:v>
                </c:pt>
                <c:pt idx="236">
                  <c:v>97.078969999999998</c:v>
                </c:pt>
                <c:pt idx="237">
                  <c:v>97.017089999999996</c:v>
                </c:pt>
                <c:pt idx="238">
                  <c:v>97.07047</c:v>
                </c:pt>
                <c:pt idx="239">
                  <c:v>97.00197</c:v>
                </c:pt>
                <c:pt idx="240">
                  <c:v>97.017569999999992</c:v>
                </c:pt>
                <c:pt idx="241">
                  <c:v>96.997119999999995</c:v>
                </c:pt>
                <c:pt idx="242">
                  <c:v>96.940669999999997</c:v>
                </c:pt>
                <c:pt idx="243">
                  <c:v>96.951499999999996</c:v>
                </c:pt>
                <c:pt idx="244">
                  <c:v>96.93889999999999</c:v>
                </c:pt>
                <c:pt idx="245">
                  <c:v>96.86954999999999</c:v>
                </c:pt>
                <c:pt idx="246">
                  <c:v>97.015339999999995</c:v>
                </c:pt>
                <c:pt idx="247">
                  <c:v>96.898619999999994</c:v>
                </c:pt>
                <c:pt idx="248">
                  <c:v>96.86999999999999</c:v>
                </c:pt>
                <c:pt idx="249">
                  <c:v>96.863669999999999</c:v>
                </c:pt>
                <c:pt idx="250">
                  <c:v>96.909300000000002</c:v>
                </c:pt>
                <c:pt idx="251">
                  <c:v>96.827719999999999</c:v>
                </c:pt>
                <c:pt idx="252">
                  <c:v>96.83829999999999</c:v>
                </c:pt>
                <c:pt idx="253">
                  <c:v>96.914829999999995</c:v>
                </c:pt>
                <c:pt idx="254">
                  <c:v>96.78586</c:v>
                </c:pt>
                <c:pt idx="255">
                  <c:v>96.74951999999999</c:v>
                </c:pt>
                <c:pt idx="256">
                  <c:v>96.725579999999994</c:v>
                </c:pt>
                <c:pt idx="257">
                  <c:v>96.754619999999989</c:v>
                </c:pt>
                <c:pt idx="258">
                  <c:v>96.694849999999988</c:v>
                </c:pt>
                <c:pt idx="259">
                  <c:v>96.779049999999998</c:v>
                </c:pt>
                <c:pt idx="260">
                  <c:v>96.711789999999993</c:v>
                </c:pt>
                <c:pt idx="261">
                  <c:v>96.700839999999999</c:v>
                </c:pt>
                <c:pt idx="262">
                  <c:v>96.70841999999999</c:v>
                </c:pt>
                <c:pt idx="263">
                  <c:v>96.635019999999997</c:v>
                </c:pt>
                <c:pt idx="264">
                  <c:v>96.623419999999996</c:v>
                </c:pt>
                <c:pt idx="265">
                  <c:v>96.580879999999993</c:v>
                </c:pt>
                <c:pt idx="266">
                  <c:v>96.620279999999994</c:v>
                </c:pt>
                <c:pt idx="267">
                  <c:v>96.637469999999993</c:v>
                </c:pt>
                <c:pt idx="268">
                  <c:v>96.604569999999995</c:v>
                </c:pt>
                <c:pt idx="269">
                  <c:v>96.529889999999995</c:v>
                </c:pt>
                <c:pt idx="270">
                  <c:v>96.59662999999999</c:v>
                </c:pt>
                <c:pt idx="271">
                  <c:v>96.619489999999999</c:v>
                </c:pt>
                <c:pt idx="272">
                  <c:v>96.632059999999996</c:v>
                </c:pt>
                <c:pt idx="273">
                  <c:v>96.54867999999999</c:v>
                </c:pt>
                <c:pt idx="274">
                  <c:v>96.543169999999989</c:v>
                </c:pt>
                <c:pt idx="275">
                  <c:v>96.548369999999991</c:v>
                </c:pt>
                <c:pt idx="276">
                  <c:v>96.496569999999991</c:v>
                </c:pt>
                <c:pt idx="277">
                  <c:v>96.419519999999991</c:v>
                </c:pt>
                <c:pt idx="278">
                  <c:v>96.46150999999999</c:v>
                </c:pt>
                <c:pt idx="279">
                  <c:v>96.53403999999999</c:v>
                </c:pt>
                <c:pt idx="280">
                  <c:v>96.409509999999997</c:v>
                </c:pt>
                <c:pt idx="281">
                  <c:v>96.505420000000001</c:v>
                </c:pt>
                <c:pt idx="282">
                  <c:v>96.424939999999992</c:v>
                </c:pt>
                <c:pt idx="283">
                  <c:v>96.431069999999991</c:v>
                </c:pt>
                <c:pt idx="284">
                  <c:v>96.433139999999995</c:v>
                </c:pt>
                <c:pt idx="285">
                  <c:v>96.413449999999997</c:v>
                </c:pt>
                <c:pt idx="286">
                  <c:v>96.32535</c:v>
                </c:pt>
                <c:pt idx="287">
                  <c:v>96.419150000000002</c:v>
                </c:pt>
                <c:pt idx="288">
                  <c:v>96.343789999999998</c:v>
                </c:pt>
                <c:pt idx="289">
                  <c:v>96.348709999999997</c:v>
                </c:pt>
                <c:pt idx="290">
                  <c:v>96.301259999999999</c:v>
                </c:pt>
                <c:pt idx="291">
                  <c:v>96.283169999999998</c:v>
                </c:pt>
                <c:pt idx="292">
                  <c:v>96.338129999999992</c:v>
                </c:pt>
                <c:pt idx="293">
                  <c:v>96.316459999999992</c:v>
                </c:pt>
                <c:pt idx="294">
                  <c:v>96.350819999999999</c:v>
                </c:pt>
                <c:pt idx="295">
                  <c:v>96.270979999999994</c:v>
                </c:pt>
                <c:pt idx="296">
                  <c:v>96.247050000000002</c:v>
                </c:pt>
                <c:pt idx="297">
                  <c:v>96.348159999999993</c:v>
                </c:pt>
                <c:pt idx="298">
                  <c:v>96.224609999999998</c:v>
                </c:pt>
                <c:pt idx="299">
                  <c:v>96.23872999999999</c:v>
                </c:pt>
                <c:pt idx="300">
                  <c:v>96.174269999999993</c:v>
                </c:pt>
                <c:pt idx="301">
                  <c:v>96.073489999999993</c:v>
                </c:pt>
                <c:pt idx="302">
                  <c:v>96.145119999999991</c:v>
                </c:pt>
                <c:pt idx="303">
                  <c:v>96.063279999999992</c:v>
                </c:pt>
                <c:pt idx="304">
                  <c:v>96.165520000000001</c:v>
                </c:pt>
                <c:pt idx="305">
                  <c:v>96.107320000000001</c:v>
                </c:pt>
                <c:pt idx="306">
                  <c:v>96.137319999999988</c:v>
                </c:pt>
                <c:pt idx="307">
                  <c:v>96.058299999999988</c:v>
                </c:pt>
                <c:pt idx="308">
                  <c:v>96.010639999999995</c:v>
                </c:pt>
                <c:pt idx="309">
                  <c:v>96.034399999999991</c:v>
                </c:pt>
                <c:pt idx="310">
                  <c:v>96.110529999999997</c:v>
                </c:pt>
                <c:pt idx="311">
                  <c:v>96.04097999999999</c:v>
                </c:pt>
                <c:pt idx="312">
                  <c:v>96.024760000000001</c:v>
                </c:pt>
                <c:pt idx="313">
                  <c:v>96.001469999999998</c:v>
                </c:pt>
                <c:pt idx="314">
                  <c:v>96.076309999999992</c:v>
                </c:pt>
                <c:pt idx="315">
                  <c:v>96.003189999999989</c:v>
                </c:pt>
                <c:pt idx="316">
                  <c:v>95.933129999999991</c:v>
                </c:pt>
                <c:pt idx="317">
                  <c:v>96.001589999999993</c:v>
                </c:pt>
                <c:pt idx="318">
                  <c:v>95.932220000000001</c:v>
                </c:pt>
                <c:pt idx="319">
                  <c:v>95.841290000000001</c:v>
                </c:pt>
                <c:pt idx="320">
                  <c:v>95.927589999999995</c:v>
                </c:pt>
                <c:pt idx="321">
                  <c:v>95.951009999999997</c:v>
                </c:pt>
                <c:pt idx="322">
                  <c:v>95.93477</c:v>
                </c:pt>
                <c:pt idx="323">
                  <c:v>95.887999999999991</c:v>
                </c:pt>
                <c:pt idx="324">
                  <c:v>95.90849</c:v>
                </c:pt>
                <c:pt idx="325">
                  <c:v>95.806049999999999</c:v>
                </c:pt>
                <c:pt idx="326">
                  <c:v>95.922199999999989</c:v>
                </c:pt>
                <c:pt idx="327">
                  <c:v>95.799309999999991</c:v>
                </c:pt>
                <c:pt idx="328">
                  <c:v>95.849059999999994</c:v>
                </c:pt>
                <c:pt idx="329">
                  <c:v>95.76142999999999</c:v>
                </c:pt>
                <c:pt idx="330">
                  <c:v>95.785269999999997</c:v>
                </c:pt>
                <c:pt idx="331">
                  <c:v>95.756929999999997</c:v>
                </c:pt>
                <c:pt idx="332">
                  <c:v>95.892189999999999</c:v>
                </c:pt>
                <c:pt idx="333">
                  <c:v>95.806079999999994</c:v>
                </c:pt>
                <c:pt idx="334">
                  <c:v>95.7684</c:v>
                </c:pt>
                <c:pt idx="335">
                  <c:v>95.706149999999994</c:v>
                </c:pt>
                <c:pt idx="336">
                  <c:v>95.637169999999998</c:v>
                </c:pt>
                <c:pt idx="337">
                  <c:v>95.655019999999993</c:v>
                </c:pt>
                <c:pt idx="338">
                  <c:v>95.733739999999997</c:v>
                </c:pt>
                <c:pt idx="339">
                  <c:v>95.708089999999999</c:v>
                </c:pt>
                <c:pt idx="340">
                  <c:v>95.739629999999991</c:v>
                </c:pt>
                <c:pt idx="341">
                  <c:v>95.684559999999991</c:v>
                </c:pt>
                <c:pt idx="342">
                  <c:v>95.631649999999993</c:v>
                </c:pt>
                <c:pt idx="343">
                  <c:v>95.703869999999995</c:v>
                </c:pt>
                <c:pt idx="344">
                  <c:v>95.601839999999996</c:v>
                </c:pt>
                <c:pt idx="345">
                  <c:v>95.667529999999999</c:v>
                </c:pt>
                <c:pt idx="346">
                  <c:v>95.60705999999999</c:v>
                </c:pt>
                <c:pt idx="347">
                  <c:v>95.580399999999997</c:v>
                </c:pt>
                <c:pt idx="348">
                  <c:v>95.490529999999993</c:v>
                </c:pt>
                <c:pt idx="349">
                  <c:v>95.528359999999992</c:v>
                </c:pt>
                <c:pt idx="350">
                  <c:v>95.553319999999999</c:v>
                </c:pt>
                <c:pt idx="351">
                  <c:v>95.496069999999989</c:v>
                </c:pt>
                <c:pt idx="352">
                  <c:v>95.624479999999991</c:v>
                </c:pt>
                <c:pt idx="353">
                  <c:v>95.481629999999996</c:v>
                </c:pt>
                <c:pt idx="354">
                  <c:v>95.511479999999992</c:v>
                </c:pt>
                <c:pt idx="355">
                  <c:v>95.596329999999995</c:v>
                </c:pt>
                <c:pt idx="356">
                  <c:v>95.458539999999999</c:v>
                </c:pt>
                <c:pt idx="357">
                  <c:v>95.427799999999991</c:v>
                </c:pt>
                <c:pt idx="358">
                  <c:v>95.444449999999989</c:v>
                </c:pt>
                <c:pt idx="359">
                  <c:v>95.409199999999998</c:v>
                </c:pt>
                <c:pt idx="360">
                  <c:v>95.391719999999992</c:v>
                </c:pt>
                <c:pt idx="361">
                  <c:v>95.439229999999995</c:v>
                </c:pt>
                <c:pt idx="362">
                  <c:v>95.44001999999999</c:v>
                </c:pt>
                <c:pt idx="363">
                  <c:v>95.261979999999994</c:v>
                </c:pt>
                <c:pt idx="364">
                  <c:v>95.278390000000002</c:v>
                </c:pt>
                <c:pt idx="365">
                  <c:v>95.285289999999989</c:v>
                </c:pt>
                <c:pt idx="366">
                  <c:v>95.32795999999999</c:v>
                </c:pt>
                <c:pt idx="367">
                  <c:v>95.21047999999999</c:v>
                </c:pt>
                <c:pt idx="368">
                  <c:v>95.337479999999999</c:v>
                </c:pt>
                <c:pt idx="369">
                  <c:v>95.436149999999998</c:v>
                </c:pt>
                <c:pt idx="370">
                  <c:v>95.343279999999993</c:v>
                </c:pt>
                <c:pt idx="371">
                  <c:v>95.378599999999992</c:v>
                </c:pt>
                <c:pt idx="372">
                  <c:v>95.197569999999999</c:v>
                </c:pt>
                <c:pt idx="373">
                  <c:v>95.258799999999994</c:v>
                </c:pt>
                <c:pt idx="374">
                  <c:v>95.278009999999995</c:v>
                </c:pt>
                <c:pt idx="375">
                  <c:v>95.204650000000001</c:v>
                </c:pt>
                <c:pt idx="376">
                  <c:v>95.12124</c:v>
                </c:pt>
                <c:pt idx="377">
                  <c:v>95.242249999999999</c:v>
                </c:pt>
                <c:pt idx="378">
                  <c:v>95.127169999999992</c:v>
                </c:pt>
                <c:pt idx="379">
                  <c:v>95.139129999999994</c:v>
                </c:pt>
                <c:pt idx="380">
                  <c:v>95.17577</c:v>
                </c:pt>
                <c:pt idx="381">
                  <c:v>95.146090000000001</c:v>
                </c:pt>
                <c:pt idx="382">
                  <c:v>95.11627</c:v>
                </c:pt>
                <c:pt idx="383">
                  <c:v>95.126989999999992</c:v>
                </c:pt>
                <c:pt idx="384">
                  <c:v>95.031849999999991</c:v>
                </c:pt>
                <c:pt idx="385">
                  <c:v>95.096289999999996</c:v>
                </c:pt>
                <c:pt idx="386">
                  <c:v>95.06143999999999</c:v>
                </c:pt>
                <c:pt idx="387">
                  <c:v>95.040109999999999</c:v>
                </c:pt>
                <c:pt idx="388">
                  <c:v>95.146829999999994</c:v>
                </c:pt>
                <c:pt idx="389">
                  <c:v>95.000309999999999</c:v>
                </c:pt>
                <c:pt idx="390">
                  <c:v>95.072669999999988</c:v>
                </c:pt>
                <c:pt idx="391">
                  <c:v>95.092489999999998</c:v>
                </c:pt>
                <c:pt idx="392">
                  <c:v>94.983319999999992</c:v>
                </c:pt>
                <c:pt idx="393">
                  <c:v>95.01733999999999</c:v>
                </c:pt>
                <c:pt idx="394">
                  <c:v>94.879779999999997</c:v>
                </c:pt>
                <c:pt idx="395">
                  <c:v>94.999319999999997</c:v>
                </c:pt>
                <c:pt idx="396">
                  <c:v>94.91167999999999</c:v>
                </c:pt>
                <c:pt idx="397">
                  <c:v>94.918169999999989</c:v>
                </c:pt>
                <c:pt idx="398">
                  <c:v>95.05064999999999</c:v>
                </c:pt>
                <c:pt idx="399">
                  <c:v>94.95989999999999</c:v>
                </c:pt>
                <c:pt idx="400">
                  <c:v>94.988219999999998</c:v>
                </c:pt>
                <c:pt idx="401">
                  <c:v>94.954369999999997</c:v>
                </c:pt>
                <c:pt idx="402">
                  <c:v>94.957539999999995</c:v>
                </c:pt>
                <c:pt idx="403">
                  <c:v>94.923400000000001</c:v>
                </c:pt>
                <c:pt idx="404">
                  <c:v>94.776319999999998</c:v>
                </c:pt>
                <c:pt idx="405">
                  <c:v>94.874439999999993</c:v>
                </c:pt>
                <c:pt idx="406">
                  <c:v>95.00179</c:v>
                </c:pt>
                <c:pt idx="407">
                  <c:v>94.709309999999988</c:v>
                </c:pt>
                <c:pt idx="408">
                  <c:v>94.859819999999999</c:v>
                </c:pt>
                <c:pt idx="409">
                  <c:v>94.792619999999999</c:v>
                </c:pt>
                <c:pt idx="410">
                  <c:v>94.874449999999996</c:v>
                </c:pt>
                <c:pt idx="411">
                  <c:v>94.770349999999993</c:v>
                </c:pt>
                <c:pt idx="412">
                  <c:v>94.91391999999999</c:v>
                </c:pt>
                <c:pt idx="413">
                  <c:v>94.621290000000002</c:v>
                </c:pt>
                <c:pt idx="414">
                  <c:v>94.780249999999995</c:v>
                </c:pt>
                <c:pt idx="415">
                  <c:v>94.6952</c:v>
                </c:pt>
                <c:pt idx="416">
                  <c:v>94.80149999999999</c:v>
                </c:pt>
                <c:pt idx="417">
                  <c:v>94.643609999999995</c:v>
                </c:pt>
                <c:pt idx="418">
                  <c:v>94.758889999999994</c:v>
                </c:pt>
                <c:pt idx="419">
                  <c:v>94.540239999999997</c:v>
                </c:pt>
                <c:pt idx="420">
                  <c:v>94.696839999999995</c:v>
                </c:pt>
                <c:pt idx="421">
                  <c:v>94.68835</c:v>
                </c:pt>
                <c:pt idx="422">
                  <c:v>94.647289999999998</c:v>
                </c:pt>
                <c:pt idx="423">
                  <c:v>94.574370000000002</c:v>
                </c:pt>
                <c:pt idx="424">
                  <c:v>94.536909999999992</c:v>
                </c:pt>
                <c:pt idx="425">
                  <c:v>94.556449999999998</c:v>
                </c:pt>
                <c:pt idx="426">
                  <c:v>94.629729999999995</c:v>
                </c:pt>
                <c:pt idx="427">
                  <c:v>94.536409999999989</c:v>
                </c:pt>
                <c:pt idx="428">
                  <c:v>94.50269999999999</c:v>
                </c:pt>
                <c:pt idx="429">
                  <c:v>94.606960000000001</c:v>
                </c:pt>
                <c:pt idx="430">
                  <c:v>94.623260000000002</c:v>
                </c:pt>
                <c:pt idx="431">
                  <c:v>94.530929999999998</c:v>
                </c:pt>
                <c:pt idx="432">
                  <c:v>94.509839999999997</c:v>
                </c:pt>
                <c:pt idx="433">
                  <c:v>94.521339999999995</c:v>
                </c:pt>
                <c:pt idx="434">
                  <c:v>94.478269999999995</c:v>
                </c:pt>
                <c:pt idx="435">
                  <c:v>94.57486999999999</c:v>
                </c:pt>
                <c:pt idx="436">
                  <c:v>94.50112</c:v>
                </c:pt>
                <c:pt idx="437">
                  <c:v>94.43168</c:v>
                </c:pt>
                <c:pt idx="438">
                  <c:v>94.480629999999991</c:v>
                </c:pt>
                <c:pt idx="439">
                  <c:v>94.490979999999993</c:v>
                </c:pt>
                <c:pt idx="440">
                  <c:v>94.479109999999991</c:v>
                </c:pt>
                <c:pt idx="441">
                  <c:v>94.401179999999997</c:v>
                </c:pt>
                <c:pt idx="442">
                  <c:v>94.417349999999999</c:v>
                </c:pt>
                <c:pt idx="443">
                  <c:v>94.423869999999994</c:v>
                </c:pt>
                <c:pt idx="444">
                  <c:v>94.360320000000002</c:v>
                </c:pt>
                <c:pt idx="445">
                  <c:v>94.424039999999991</c:v>
                </c:pt>
                <c:pt idx="446">
                  <c:v>94.360759999999999</c:v>
                </c:pt>
                <c:pt idx="447">
                  <c:v>94.434069999999991</c:v>
                </c:pt>
                <c:pt idx="448">
                  <c:v>94.289670000000001</c:v>
                </c:pt>
                <c:pt idx="449">
                  <c:v>94.415229999999994</c:v>
                </c:pt>
                <c:pt idx="450">
                  <c:v>94.195539999999994</c:v>
                </c:pt>
                <c:pt idx="451">
                  <c:v>94.325579999999988</c:v>
                </c:pt>
                <c:pt idx="452">
                  <c:v>94.208979999999997</c:v>
                </c:pt>
                <c:pt idx="453">
                  <c:v>94.309309999999996</c:v>
                </c:pt>
                <c:pt idx="454">
                  <c:v>94.272409999999994</c:v>
                </c:pt>
                <c:pt idx="455">
                  <c:v>94.282789999999991</c:v>
                </c:pt>
                <c:pt idx="456">
                  <c:v>94.207579999999993</c:v>
                </c:pt>
                <c:pt idx="457">
                  <c:v>94.202100000000002</c:v>
                </c:pt>
                <c:pt idx="458">
                  <c:v>94.211639999999989</c:v>
                </c:pt>
                <c:pt idx="459">
                  <c:v>94.14497999999999</c:v>
                </c:pt>
                <c:pt idx="460">
                  <c:v>94.180119999999988</c:v>
                </c:pt>
                <c:pt idx="461">
                  <c:v>94.213009999999997</c:v>
                </c:pt>
                <c:pt idx="462">
                  <c:v>94.086369999999988</c:v>
                </c:pt>
                <c:pt idx="463">
                  <c:v>94.126309999999989</c:v>
                </c:pt>
                <c:pt idx="464">
                  <c:v>94.191040000000001</c:v>
                </c:pt>
                <c:pt idx="465">
                  <c:v>94.114359999999991</c:v>
                </c:pt>
                <c:pt idx="466">
                  <c:v>94.12115</c:v>
                </c:pt>
                <c:pt idx="467">
                  <c:v>94.019349999999989</c:v>
                </c:pt>
                <c:pt idx="468">
                  <c:v>94.132639999999995</c:v>
                </c:pt>
                <c:pt idx="469">
                  <c:v>94.137900000000002</c:v>
                </c:pt>
                <c:pt idx="470">
                  <c:v>94.173119999999997</c:v>
                </c:pt>
                <c:pt idx="471">
                  <c:v>94.01343</c:v>
                </c:pt>
                <c:pt idx="472">
                  <c:v>94.035979999999995</c:v>
                </c:pt>
                <c:pt idx="473">
                  <c:v>94.101639999999989</c:v>
                </c:pt>
                <c:pt idx="474">
                  <c:v>93.913379999999989</c:v>
                </c:pt>
                <c:pt idx="475">
                  <c:v>93.991859999999988</c:v>
                </c:pt>
                <c:pt idx="476">
                  <c:v>93.966279999999998</c:v>
                </c:pt>
                <c:pt idx="477">
                  <c:v>94.021329999999992</c:v>
                </c:pt>
                <c:pt idx="478">
                  <c:v>93.982889999999998</c:v>
                </c:pt>
                <c:pt idx="479">
                  <c:v>94.05077</c:v>
                </c:pt>
                <c:pt idx="480">
                  <c:v>93.975819999999999</c:v>
                </c:pt>
                <c:pt idx="481">
                  <c:v>93.960119999999989</c:v>
                </c:pt>
                <c:pt idx="482">
                  <c:v>93.941339999999997</c:v>
                </c:pt>
                <c:pt idx="483">
                  <c:v>93.956429999999997</c:v>
                </c:pt>
                <c:pt idx="484">
                  <c:v>93.997450000000001</c:v>
                </c:pt>
                <c:pt idx="485">
                  <c:v>93.884959999999992</c:v>
                </c:pt>
                <c:pt idx="486">
                  <c:v>93.988829999999993</c:v>
                </c:pt>
                <c:pt idx="487">
                  <c:v>93.820399999999992</c:v>
                </c:pt>
                <c:pt idx="488">
                  <c:v>93.839010000000002</c:v>
                </c:pt>
                <c:pt idx="489">
                  <c:v>93.809640000000002</c:v>
                </c:pt>
                <c:pt idx="490">
                  <c:v>93.815849999999998</c:v>
                </c:pt>
                <c:pt idx="491">
                  <c:v>93.874799999999993</c:v>
                </c:pt>
                <c:pt idx="492">
                  <c:v>93.789279999999991</c:v>
                </c:pt>
                <c:pt idx="493">
                  <c:v>93.833299999999994</c:v>
                </c:pt>
                <c:pt idx="494">
                  <c:v>93.82692999999999</c:v>
                </c:pt>
                <c:pt idx="495">
                  <c:v>93.867979999999989</c:v>
                </c:pt>
                <c:pt idx="496">
                  <c:v>93.829609999999988</c:v>
                </c:pt>
                <c:pt idx="497">
                  <c:v>93.885249999999999</c:v>
                </c:pt>
                <c:pt idx="498">
                  <c:v>93.829740000000001</c:v>
                </c:pt>
                <c:pt idx="499">
                  <c:v>93.675809999999998</c:v>
                </c:pt>
                <c:pt idx="500">
                  <c:v>93.73151</c:v>
                </c:pt>
                <c:pt idx="501">
                  <c:v>93.687730000000002</c:v>
                </c:pt>
                <c:pt idx="502">
                  <c:v>93.626559999999998</c:v>
                </c:pt>
                <c:pt idx="503">
                  <c:v>93.694019999999995</c:v>
                </c:pt>
                <c:pt idx="504">
                  <c:v>93.688629999999989</c:v>
                </c:pt>
                <c:pt idx="505">
                  <c:v>93.576629999999994</c:v>
                </c:pt>
                <c:pt idx="506">
                  <c:v>93.742829999999998</c:v>
                </c:pt>
                <c:pt idx="507">
                  <c:v>93.626179999999991</c:v>
                </c:pt>
                <c:pt idx="508">
                  <c:v>93.700509999999994</c:v>
                </c:pt>
                <c:pt idx="509">
                  <c:v>93.598799999999997</c:v>
                </c:pt>
                <c:pt idx="510">
                  <c:v>93.615169999999992</c:v>
                </c:pt>
                <c:pt idx="511">
                  <c:v>93.559359999999998</c:v>
                </c:pt>
                <c:pt idx="512">
                  <c:v>93.78385999999999</c:v>
                </c:pt>
                <c:pt idx="513">
                  <c:v>93.537210000000002</c:v>
                </c:pt>
                <c:pt idx="514">
                  <c:v>93.607459999999989</c:v>
                </c:pt>
                <c:pt idx="515">
                  <c:v>93.509609999999995</c:v>
                </c:pt>
                <c:pt idx="516">
                  <c:v>93.476339999999993</c:v>
                </c:pt>
                <c:pt idx="517">
                  <c:v>93.533549999999991</c:v>
                </c:pt>
                <c:pt idx="518">
                  <c:v>93.497889999999998</c:v>
                </c:pt>
                <c:pt idx="519">
                  <c:v>93.563009999999991</c:v>
                </c:pt>
                <c:pt idx="520">
                  <c:v>93.494859999999989</c:v>
                </c:pt>
                <c:pt idx="521">
                  <c:v>93.533389999999997</c:v>
                </c:pt>
                <c:pt idx="522">
                  <c:v>93.524469999999994</c:v>
                </c:pt>
                <c:pt idx="523">
                  <c:v>93.455749999999995</c:v>
                </c:pt>
                <c:pt idx="524">
                  <c:v>93.412649999999999</c:v>
                </c:pt>
                <c:pt idx="525">
                  <c:v>93.438109999999995</c:v>
                </c:pt>
                <c:pt idx="526">
                  <c:v>93.393599999999992</c:v>
                </c:pt>
                <c:pt idx="527">
                  <c:v>93.452709999999996</c:v>
                </c:pt>
                <c:pt idx="528">
                  <c:v>93.399079999999998</c:v>
                </c:pt>
                <c:pt idx="529">
                  <c:v>93.403949999999995</c:v>
                </c:pt>
                <c:pt idx="530">
                  <c:v>93.344699999999989</c:v>
                </c:pt>
                <c:pt idx="531">
                  <c:v>93.343649999999997</c:v>
                </c:pt>
                <c:pt idx="532">
                  <c:v>93.460219999999993</c:v>
                </c:pt>
                <c:pt idx="533">
                  <c:v>93.248039999999989</c:v>
                </c:pt>
                <c:pt idx="534">
                  <c:v>93.313490000000002</c:v>
                </c:pt>
                <c:pt idx="535">
                  <c:v>93.313429999999997</c:v>
                </c:pt>
                <c:pt idx="536">
                  <c:v>93.277239999999992</c:v>
                </c:pt>
                <c:pt idx="537">
                  <c:v>93.270929999999993</c:v>
                </c:pt>
                <c:pt idx="538">
                  <c:v>93.156469999999999</c:v>
                </c:pt>
                <c:pt idx="539">
                  <c:v>93.209119999999999</c:v>
                </c:pt>
                <c:pt idx="540">
                  <c:v>93.235969999999995</c:v>
                </c:pt>
                <c:pt idx="541">
                  <c:v>93.167369999999991</c:v>
                </c:pt>
                <c:pt idx="542">
                  <c:v>93.210789999999989</c:v>
                </c:pt>
                <c:pt idx="543">
                  <c:v>93.24857999999999</c:v>
                </c:pt>
                <c:pt idx="544">
                  <c:v>93.286549999999991</c:v>
                </c:pt>
                <c:pt idx="545">
                  <c:v>93.299109999999999</c:v>
                </c:pt>
                <c:pt idx="546">
                  <c:v>93.146969999999996</c:v>
                </c:pt>
                <c:pt idx="547">
                  <c:v>93.248979999999989</c:v>
                </c:pt>
                <c:pt idx="548">
                  <c:v>93.178399999999996</c:v>
                </c:pt>
                <c:pt idx="549">
                  <c:v>93.186879999999988</c:v>
                </c:pt>
                <c:pt idx="550">
                  <c:v>93.208159999999992</c:v>
                </c:pt>
                <c:pt idx="551">
                  <c:v>93.12818</c:v>
                </c:pt>
                <c:pt idx="552">
                  <c:v>93.36985</c:v>
                </c:pt>
                <c:pt idx="553">
                  <c:v>93.171099999999996</c:v>
                </c:pt>
                <c:pt idx="554">
                  <c:v>93.101979999999998</c:v>
                </c:pt>
                <c:pt idx="555">
                  <c:v>93.095079999999996</c:v>
                </c:pt>
                <c:pt idx="556">
                  <c:v>93.033919999999995</c:v>
                </c:pt>
                <c:pt idx="557">
                  <c:v>93.104089999999999</c:v>
                </c:pt>
                <c:pt idx="558">
                  <c:v>93.049379999999999</c:v>
                </c:pt>
                <c:pt idx="559">
                  <c:v>93.055389999999989</c:v>
                </c:pt>
                <c:pt idx="560">
                  <c:v>92.973410000000001</c:v>
                </c:pt>
                <c:pt idx="561">
                  <c:v>92.913959999999989</c:v>
                </c:pt>
                <c:pt idx="562">
                  <c:v>93.012429999999995</c:v>
                </c:pt>
                <c:pt idx="563">
                  <c:v>93.058700000000002</c:v>
                </c:pt>
                <c:pt idx="564">
                  <c:v>92.911389999999997</c:v>
                </c:pt>
                <c:pt idx="565">
                  <c:v>92.909179999999992</c:v>
                </c:pt>
                <c:pt idx="566">
                  <c:v>92.887049999999988</c:v>
                </c:pt>
                <c:pt idx="567">
                  <c:v>92.996960000000001</c:v>
                </c:pt>
                <c:pt idx="568">
                  <c:v>92.890949999999989</c:v>
                </c:pt>
                <c:pt idx="569">
                  <c:v>92.82213999999999</c:v>
                </c:pt>
                <c:pt idx="570">
                  <c:v>92.94404999999999</c:v>
                </c:pt>
                <c:pt idx="571">
                  <c:v>92.913730000000001</c:v>
                </c:pt>
                <c:pt idx="572">
                  <c:v>93.00085</c:v>
                </c:pt>
                <c:pt idx="573">
                  <c:v>92.869019999999992</c:v>
                </c:pt>
                <c:pt idx="574">
                  <c:v>92.862309999999994</c:v>
                </c:pt>
                <c:pt idx="575">
                  <c:v>92.960929999999991</c:v>
                </c:pt>
                <c:pt idx="576">
                  <c:v>92.880229999999997</c:v>
                </c:pt>
                <c:pt idx="577">
                  <c:v>92.820679999999996</c:v>
                </c:pt>
                <c:pt idx="578">
                  <c:v>92.87827999999999</c:v>
                </c:pt>
                <c:pt idx="579">
                  <c:v>92.820909999999998</c:v>
                </c:pt>
                <c:pt idx="580">
                  <c:v>92.870189999999994</c:v>
                </c:pt>
                <c:pt idx="581">
                  <c:v>92.766239999999996</c:v>
                </c:pt>
                <c:pt idx="582">
                  <c:v>92.889289999999988</c:v>
                </c:pt>
                <c:pt idx="583">
                  <c:v>92.771409999999989</c:v>
                </c:pt>
                <c:pt idx="584">
                  <c:v>92.843969999999999</c:v>
                </c:pt>
                <c:pt idx="585">
                  <c:v>92.899199999999993</c:v>
                </c:pt>
                <c:pt idx="586">
                  <c:v>92.64555</c:v>
                </c:pt>
                <c:pt idx="587">
                  <c:v>92.753409999999988</c:v>
                </c:pt>
                <c:pt idx="588">
                  <c:v>92.723929999999996</c:v>
                </c:pt>
                <c:pt idx="589">
                  <c:v>92.69435</c:v>
                </c:pt>
                <c:pt idx="590">
                  <c:v>92.72202999999999</c:v>
                </c:pt>
                <c:pt idx="591">
                  <c:v>92.682509999999994</c:v>
                </c:pt>
                <c:pt idx="592">
                  <c:v>92.71208</c:v>
                </c:pt>
                <c:pt idx="593">
                  <c:v>92.713429999999988</c:v>
                </c:pt>
                <c:pt idx="594">
                  <c:v>92.672789999999992</c:v>
                </c:pt>
                <c:pt idx="595">
                  <c:v>92.697429999999997</c:v>
                </c:pt>
                <c:pt idx="596">
                  <c:v>92.602149999999995</c:v>
                </c:pt>
                <c:pt idx="597">
                  <c:v>92.651089999999996</c:v>
                </c:pt>
                <c:pt idx="598">
                  <c:v>92.703489999999988</c:v>
                </c:pt>
                <c:pt idx="599">
                  <c:v>92.570449999999994</c:v>
                </c:pt>
                <c:pt idx="600">
                  <c:v>92.673509999999993</c:v>
                </c:pt>
                <c:pt idx="601">
                  <c:v>92.556999999999988</c:v>
                </c:pt>
                <c:pt idx="602">
                  <c:v>92.551310000000001</c:v>
                </c:pt>
                <c:pt idx="603">
                  <c:v>92.567229999999995</c:v>
                </c:pt>
                <c:pt idx="604">
                  <c:v>92.511669999999995</c:v>
                </c:pt>
                <c:pt idx="605">
                  <c:v>92.603269999999995</c:v>
                </c:pt>
                <c:pt idx="606">
                  <c:v>92.490349999999992</c:v>
                </c:pt>
                <c:pt idx="607">
                  <c:v>92.529839999999993</c:v>
                </c:pt>
                <c:pt idx="608">
                  <c:v>92.45850999999999</c:v>
                </c:pt>
                <c:pt idx="609">
                  <c:v>92.509379999999993</c:v>
                </c:pt>
                <c:pt idx="610">
                  <c:v>92.52597999999999</c:v>
                </c:pt>
                <c:pt idx="611">
                  <c:v>92.583579999999998</c:v>
                </c:pt>
                <c:pt idx="612">
                  <c:v>92.503069999999994</c:v>
                </c:pt>
                <c:pt idx="613">
                  <c:v>92.544370000000001</c:v>
                </c:pt>
                <c:pt idx="614">
                  <c:v>92.488679999999988</c:v>
                </c:pt>
                <c:pt idx="615">
                  <c:v>92.520179999999996</c:v>
                </c:pt>
                <c:pt idx="616">
                  <c:v>92.433719999999994</c:v>
                </c:pt>
                <c:pt idx="617">
                  <c:v>92.452280000000002</c:v>
                </c:pt>
                <c:pt idx="618">
                  <c:v>92.331440000000001</c:v>
                </c:pt>
                <c:pt idx="619">
                  <c:v>92.310019999999994</c:v>
                </c:pt>
                <c:pt idx="620">
                  <c:v>92.397379999999998</c:v>
                </c:pt>
                <c:pt idx="621">
                  <c:v>92.404619999999994</c:v>
                </c:pt>
                <c:pt idx="622">
                  <c:v>92.290899999999993</c:v>
                </c:pt>
                <c:pt idx="623">
                  <c:v>92.32508</c:v>
                </c:pt>
                <c:pt idx="624">
                  <c:v>92.343589999999992</c:v>
                </c:pt>
                <c:pt idx="625">
                  <c:v>92.294029999999992</c:v>
                </c:pt>
                <c:pt idx="626">
                  <c:v>92.322199999999995</c:v>
                </c:pt>
                <c:pt idx="627">
                  <c:v>92.198070000000001</c:v>
                </c:pt>
                <c:pt idx="628">
                  <c:v>92.350619999999992</c:v>
                </c:pt>
                <c:pt idx="629">
                  <c:v>92.376069999999999</c:v>
                </c:pt>
                <c:pt idx="630">
                  <c:v>92.314700000000002</c:v>
                </c:pt>
                <c:pt idx="631">
                  <c:v>92.237449999999995</c:v>
                </c:pt>
                <c:pt idx="632">
                  <c:v>92.23178999999999</c:v>
                </c:pt>
                <c:pt idx="633">
                  <c:v>92.215609999999998</c:v>
                </c:pt>
                <c:pt idx="634">
                  <c:v>92.269139999999993</c:v>
                </c:pt>
                <c:pt idx="635">
                  <c:v>92.228549999999998</c:v>
                </c:pt>
                <c:pt idx="636">
                  <c:v>92.301549999999992</c:v>
                </c:pt>
                <c:pt idx="637">
                  <c:v>92.149999999999991</c:v>
                </c:pt>
                <c:pt idx="638">
                  <c:v>92.25009</c:v>
                </c:pt>
                <c:pt idx="639">
                  <c:v>92.195479999999989</c:v>
                </c:pt>
                <c:pt idx="640">
                  <c:v>92.166150000000002</c:v>
                </c:pt>
                <c:pt idx="641">
                  <c:v>92.248129999999989</c:v>
                </c:pt>
                <c:pt idx="642">
                  <c:v>92.194829999999996</c:v>
                </c:pt>
                <c:pt idx="643">
                  <c:v>92.035669999999996</c:v>
                </c:pt>
                <c:pt idx="644">
                  <c:v>91.964410000000001</c:v>
                </c:pt>
                <c:pt idx="645">
                  <c:v>92.060419999999993</c:v>
                </c:pt>
                <c:pt idx="646">
                  <c:v>92.131889999999999</c:v>
                </c:pt>
                <c:pt idx="647">
                  <c:v>92.067819999999998</c:v>
                </c:pt>
                <c:pt idx="648">
                  <c:v>92.052610000000001</c:v>
                </c:pt>
                <c:pt idx="649">
                  <c:v>91.961439999999996</c:v>
                </c:pt>
                <c:pt idx="650">
                  <c:v>92.077259999999995</c:v>
                </c:pt>
                <c:pt idx="651">
                  <c:v>92.117049999999992</c:v>
                </c:pt>
                <c:pt idx="652">
                  <c:v>91.977229999999992</c:v>
                </c:pt>
                <c:pt idx="653">
                  <c:v>92.055199999999999</c:v>
                </c:pt>
                <c:pt idx="654">
                  <c:v>91.94583999999999</c:v>
                </c:pt>
                <c:pt idx="655">
                  <c:v>91.969169999999991</c:v>
                </c:pt>
                <c:pt idx="656">
                  <c:v>92.033349999999999</c:v>
                </c:pt>
                <c:pt idx="657">
                  <c:v>92.0214</c:v>
                </c:pt>
                <c:pt idx="658">
                  <c:v>91.954939999999993</c:v>
                </c:pt>
                <c:pt idx="659">
                  <c:v>92.001819999999995</c:v>
                </c:pt>
                <c:pt idx="660">
                  <c:v>92.019089999999991</c:v>
                </c:pt>
                <c:pt idx="661">
                  <c:v>91.812479999999994</c:v>
                </c:pt>
                <c:pt idx="662">
                  <c:v>91.828310000000002</c:v>
                </c:pt>
                <c:pt idx="663">
                  <c:v>91.969560000000001</c:v>
                </c:pt>
                <c:pt idx="664">
                  <c:v>91.805329999999998</c:v>
                </c:pt>
                <c:pt idx="665">
                  <c:v>91.919359999999998</c:v>
                </c:pt>
                <c:pt idx="666">
                  <c:v>91.777419999999992</c:v>
                </c:pt>
                <c:pt idx="667">
                  <c:v>91.764889999999994</c:v>
                </c:pt>
                <c:pt idx="668">
                  <c:v>91.810299999999998</c:v>
                </c:pt>
                <c:pt idx="669">
                  <c:v>91.742149999999995</c:v>
                </c:pt>
                <c:pt idx="670">
                  <c:v>91.79777</c:v>
                </c:pt>
                <c:pt idx="671">
                  <c:v>91.869499999999988</c:v>
                </c:pt>
                <c:pt idx="672">
                  <c:v>91.91494999999999</c:v>
                </c:pt>
                <c:pt idx="673">
                  <c:v>91.834649999999996</c:v>
                </c:pt>
                <c:pt idx="674">
                  <c:v>91.775089999999992</c:v>
                </c:pt>
                <c:pt idx="675">
                  <c:v>91.780809999999988</c:v>
                </c:pt>
                <c:pt idx="676">
                  <c:v>91.887829999999994</c:v>
                </c:pt>
                <c:pt idx="677">
                  <c:v>91.71087</c:v>
                </c:pt>
                <c:pt idx="678">
                  <c:v>91.750050000000002</c:v>
                </c:pt>
                <c:pt idx="679">
                  <c:v>91.56841</c:v>
                </c:pt>
                <c:pt idx="680">
                  <c:v>91.687659999999994</c:v>
                </c:pt>
                <c:pt idx="681">
                  <c:v>91.701369999999997</c:v>
                </c:pt>
                <c:pt idx="682">
                  <c:v>91.602639999999994</c:v>
                </c:pt>
                <c:pt idx="683">
                  <c:v>91.72954</c:v>
                </c:pt>
                <c:pt idx="684">
                  <c:v>91.676189999999991</c:v>
                </c:pt>
                <c:pt idx="685">
                  <c:v>91.686389999999989</c:v>
                </c:pt>
                <c:pt idx="686">
                  <c:v>91.668449999999993</c:v>
                </c:pt>
                <c:pt idx="687">
                  <c:v>91.612470000000002</c:v>
                </c:pt>
                <c:pt idx="688">
                  <c:v>91.567889999999991</c:v>
                </c:pt>
                <c:pt idx="689">
                  <c:v>91.555979999999991</c:v>
                </c:pt>
                <c:pt idx="690">
                  <c:v>91.567049999999995</c:v>
                </c:pt>
                <c:pt idx="691">
                  <c:v>91.665989999999994</c:v>
                </c:pt>
                <c:pt idx="692">
                  <c:v>91.704129999999992</c:v>
                </c:pt>
                <c:pt idx="693">
                  <c:v>91.688379999999995</c:v>
                </c:pt>
                <c:pt idx="694">
                  <c:v>91.524529999999999</c:v>
                </c:pt>
                <c:pt idx="695">
                  <c:v>91.634699999999995</c:v>
                </c:pt>
                <c:pt idx="696">
                  <c:v>91.495039999999989</c:v>
                </c:pt>
                <c:pt idx="697">
                  <c:v>91.61466999999999</c:v>
                </c:pt>
                <c:pt idx="698">
                  <c:v>91.57692999999999</c:v>
                </c:pt>
                <c:pt idx="699">
                  <c:v>91.610859999999988</c:v>
                </c:pt>
                <c:pt idx="700">
                  <c:v>91.5732</c:v>
                </c:pt>
                <c:pt idx="701">
                  <c:v>91.478829999999988</c:v>
                </c:pt>
                <c:pt idx="702">
                  <c:v>91.506739999999994</c:v>
                </c:pt>
                <c:pt idx="703">
                  <c:v>91.386089999999996</c:v>
                </c:pt>
                <c:pt idx="704">
                  <c:v>91.513279999999995</c:v>
                </c:pt>
                <c:pt idx="705">
                  <c:v>91.430769999999995</c:v>
                </c:pt>
                <c:pt idx="706">
                  <c:v>91.454599999999999</c:v>
                </c:pt>
                <c:pt idx="707">
                  <c:v>91.520659999999992</c:v>
                </c:pt>
                <c:pt idx="708">
                  <c:v>91.380989999999997</c:v>
                </c:pt>
                <c:pt idx="709">
                  <c:v>91.286000000000001</c:v>
                </c:pt>
                <c:pt idx="710">
                  <c:v>91.398399999999995</c:v>
                </c:pt>
                <c:pt idx="711">
                  <c:v>91.344560000000001</c:v>
                </c:pt>
                <c:pt idx="712">
                  <c:v>91.352099999999993</c:v>
                </c:pt>
                <c:pt idx="713">
                  <c:v>91.409669999999991</c:v>
                </c:pt>
                <c:pt idx="714">
                  <c:v>91.387619999999998</c:v>
                </c:pt>
                <c:pt idx="715">
                  <c:v>91.24866999999999</c:v>
                </c:pt>
                <c:pt idx="716">
                  <c:v>91.311389999999989</c:v>
                </c:pt>
                <c:pt idx="717">
                  <c:v>91.424889999999991</c:v>
                </c:pt>
                <c:pt idx="718">
                  <c:v>91.324239999999989</c:v>
                </c:pt>
                <c:pt idx="719">
                  <c:v>91.350639999999999</c:v>
                </c:pt>
                <c:pt idx="720">
                  <c:v>91.252589999999998</c:v>
                </c:pt>
                <c:pt idx="721">
                  <c:v>91.354729999999989</c:v>
                </c:pt>
                <c:pt idx="722">
                  <c:v>91.34420999999999</c:v>
                </c:pt>
                <c:pt idx="723">
                  <c:v>91.278359999999992</c:v>
                </c:pt>
                <c:pt idx="724">
                  <c:v>91.31716999999999</c:v>
                </c:pt>
                <c:pt idx="725">
                  <c:v>91.281099999999995</c:v>
                </c:pt>
                <c:pt idx="726">
                  <c:v>91.304469999999995</c:v>
                </c:pt>
                <c:pt idx="727">
                  <c:v>91.205619999999996</c:v>
                </c:pt>
                <c:pt idx="728">
                  <c:v>91.260639999999995</c:v>
                </c:pt>
                <c:pt idx="729">
                  <c:v>91.033809999999988</c:v>
                </c:pt>
                <c:pt idx="730">
                  <c:v>91.144449999999992</c:v>
                </c:pt>
                <c:pt idx="731">
                  <c:v>91.176509999999993</c:v>
                </c:pt>
                <c:pt idx="732">
                  <c:v>91.159689999999998</c:v>
                </c:pt>
                <c:pt idx="733">
                  <c:v>91.14403999999999</c:v>
                </c:pt>
                <c:pt idx="734">
                  <c:v>91.089349999999996</c:v>
                </c:pt>
                <c:pt idx="735">
                  <c:v>91.187059999999988</c:v>
                </c:pt>
                <c:pt idx="736">
                  <c:v>91.17277</c:v>
                </c:pt>
                <c:pt idx="737">
                  <c:v>91.185130000000001</c:v>
                </c:pt>
                <c:pt idx="738">
                  <c:v>91.143069999999994</c:v>
                </c:pt>
                <c:pt idx="739">
                  <c:v>91.067119999999989</c:v>
                </c:pt>
                <c:pt idx="740">
                  <c:v>91.152360000000002</c:v>
                </c:pt>
                <c:pt idx="741">
                  <c:v>91.071659999999994</c:v>
                </c:pt>
                <c:pt idx="742">
                  <c:v>91.134799999999998</c:v>
                </c:pt>
                <c:pt idx="743">
                  <c:v>91.01549</c:v>
                </c:pt>
                <c:pt idx="744">
                  <c:v>91.11793999999999</c:v>
                </c:pt>
                <c:pt idx="745">
                  <c:v>91.08883999999999</c:v>
                </c:pt>
                <c:pt idx="746">
                  <c:v>91.04365</c:v>
                </c:pt>
                <c:pt idx="747">
                  <c:v>90.96647999999999</c:v>
                </c:pt>
                <c:pt idx="748">
                  <c:v>90.911760000000001</c:v>
                </c:pt>
                <c:pt idx="749">
                  <c:v>91.02834</c:v>
                </c:pt>
                <c:pt idx="750">
                  <c:v>91.020879999999991</c:v>
                </c:pt>
                <c:pt idx="751">
                  <c:v>90.875029999999995</c:v>
                </c:pt>
                <c:pt idx="752">
                  <c:v>90.940329999999989</c:v>
                </c:pt>
                <c:pt idx="753">
                  <c:v>90.920729999999992</c:v>
                </c:pt>
                <c:pt idx="754">
                  <c:v>91.144259999999989</c:v>
                </c:pt>
                <c:pt idx="755">
                  <c:v>90.912049999999994</c:v>
                </c:pt>
                <c:pt idx="756">
                  <c:v>90.845879999999994</c:v>
                </c:pt>
                <c:pt idx="757">
                  <c:v>90.987349999999992</c:v>
                </c:pt>
                <c:pt idx="758">
                  <c:v>90.84554</c:v>
                </c:pt>
                <c:pt idx="759">
                  <c:v>90.959440000000001</c:v>
                </c:pt>
                <c:pt idx="760">
                  <c:v>90.980629999999991</c:v>
                </c:pt>
                <c:pt idx="761">
                  <c:v>90.798779999999994</c:v>
                </c:pt>
                <c:pt idx="762">
                  <c:v>90.873919999999998</c:v>
                </c:pt>
                <c:pt idx="763">
                  <c:v>90.892859999999999</c:v>
                </c:pt>
                <c:pt idx="764">
                  <c:v>90.764259999999993</c:v>
                </c:pt>
                <c:pt idx="765">
                  <c:v>90.837049999999991</c:v>
                </c:pt>
                <c:pt idx="766">
                  <c:v>90.823499999999996</c:v>
                </c:pt>
                <c:pt idx="767">
                  <c:v>90.80346999999999</c:v>
                </c:pt>
                <c:pt idx="768">
                  <c:v>90.655090000000001</c:v>
                </c:pt>
                <c:pt idx="769">
                  <c:v>90.769849999999991</c:v>
                </c:pt>
                <c:pt idx="770">
                  <c:v>90.689700000000002</c:v>
                </c:pt>
                <c:pt idx="771">
                  <c:v>90.785319999999999</c:v>
                </c:pt>
                <c:pt idx="772">
                  <c:v>90.78586</c:v>
                </c:pt>
                <c:pt idx="773">
                  <c:v>90.774169999999998</c:v>
                </c:pt>
                <c:pt idx="774">
                  <c:v>90.72444999999999</c:v>
                </c:pt>
                <c:pt idx="775">
                  <c:v>90.673429999999996</c:v>
                </c:pt>
                <c:pt idx="776">
                  <c:v>90.816009999999991</c:v>
                </c:pt>
                <c:pt idx="777">
                  <c:v>90.613050000000001</c:v>
                </c:pt>
                <c:pt idx="778">
                  <c:v>90.671599999999998</c:v>
                </c:pt>
                <c:pt idx="779">
                  <c:v>90.675460000000001</c:v>
                </c:pt>
                <c:pt idx="780">
                  <c:v>90.76249</c:v>
                </c:pt>
                <c:pt idx="781">
                  <c:v>90.565989999999999</c:v>
                </c:pt>
                <c:pt idx="782">
                  <c:v>90.66583</c:v>
                </c:pt>
                <c:pt idx="783">
                  <c:v>90.523359999999997</c:v>
                </c:pt>
                <c:pt idx="784">
                  <c:v>90.646909999999991</c:v>
                </c:pt>
                <c:pt idx="785">
                  <c:v>90.653019999999998</c:v>
                </c:pt>
                <c:pt idx="786">
                  <c:v>90.653819999999996</c:v>
                </c:pt>
                <c:pt idx="787">
                  <c:v>90.638559999999998</c:v>
                </c:pt>
                <c:pt idx="788">
                  <c:v>90.573709999999991</c:v>
                </c:pt>
                <c:pt idx="789">
                  <c:v>90.761619999999994</c:v>
                </c:pt>
                <c:pt idx="790">
                  <c:v>90.629179999999991</c:v>
                </c:pt>
                <c:pt idx="791">
                  <c:v>90.625019999999992</c:v>
                </c:pt>
                <c:pt idx="792">
                  <c:v>90.423269999999988</c:v>
                </c:pt>
                <c:pt idx="793">
                  <c:v>90.43258999999999</c:v>
                </c:pt>
                <c:pt idx="794">
                  <c:v>90.481290000000001</c:v>
                </c:pt>
                <c:pt idx="795">
                  <c:v>90.520519999999991</c:v>
                </c:pt>
                <c:pt idx="796">
                  <c:v>90.58489999999999</c:v>
                </c:pt>
                <c:pt idx="797">
                  <c:v>90.498660000000001</c:v>
                </c:pt>
                <c:pt idx="798">
                  <c:v>90.548259999999999</c:v>
                </c:pt>
                <c:pt idx="799">
                  <c:v>90.497779999999992</c:v>
                </c:pt>
                <c:pt idx="800">
                  <c:v>90.39555</c:v>
                </c:pt>
                <c:pt idx="801">
                  <c:v>90.538820000000001</c:v>
                </c:pt>
                <c:pt idx="802">
                  <c:v>90.427379999999999</c:v>
                </c:pt>
                <c:pt idx="803">
                  <c:v>90.488619999999997</c:v>
                </c:pt>
                <c:pt idx="804">
                  <c:v>90.467590000000001</c:v>
                </c:pt>
                <c:pt idx="805">
                  <c:v>90.402479999999997</c:v>
                </c:pt>
                <c:pt idx="806">
                  <c:v>90.319549999999992</c:v>
                </c:pt>
                <c:pt idx="807">
                  <c:v>90.467500000000001</c:v>
                </c:pt>
                <c:pt idx="808">
                  <c:v>90.27046</c:v>
                </c:pt>
                <c:pt idx="809">
                  <c:v>90.373379999999997</c:v>
                </c:pt>
                <c:pt idx="810">
                  <c:v>90.325149999999994</c:v>
                </c:pt>
                <c:pt idx="811">
                  <c:v>90.36614999999999</c:v>
                </c:pt>
                <c:pt idx="812">
                  <c:v>90.408169999999998</c:v>
                </c:pt>
                <c:pt idx="813">
                  <c:v>90.265079999999998</c:v>
                </c:pt>
                <c:pt idx="814">
                  <c:v>90.226799999999997</c:v>
                </c:pt>
                <c:pt idx="815">
                  <c:v>90.349789999999999</c:v>
                </c:pt>
                <c:pt idx="816">
                  <c:v>90.301869999999994</c:v>
                </c:pt>
                <c:pt idx="817">
                  <c:v>90.195899999999995</c:v>
                </c:pt>
                <c:pt idx="818">
                  <c:v>90.175269999999998</c:v>
                </c:pt>
                <c:pt idx="819">
                  <c:v>90.256979999999999</c:v>
                </c:pt>
                <c:pt idx="820">
                  <c:v>90.259239999999991</c:v>
                </c:pt>
                <c:pt idx="821">
                  <c:v>90.172579999999996</c:v>
                </c:pt>
                <c:pt idx="822">
                  <c:v>90.173259999999999</c:v>
                </c:pt>
                <c:pt idx="823">
                  <c:v>90.262649999999994</c:v>
                </c:pt>
                <c:pt idx="824">
                  <c:v>90.263210000000001</c:v>
                </c:pt>
                <c:pt idx="825">
                  <c:v>90.190079999999995</c:v>
                </c:pt>
                <c:pt idx="826">
                  <c:v>90.213149999999999</c:v>
                </c:pt>
                <c:pt idx="827">
                  <c:v>90.166370000000001</c:v>
                </c:pt>
                <c:pt idx="828">
                  <c:v>90.095749999999995</c:v>
                </c:pt>
                <c:pt idx="829">
                  <c:v>90.084350000000001</c:v>
                </c:pt>
                <c:pt idx="830">
                  <c:v>90.107339999999994</c:v>
                </c:pt>
                <c:pt idx="831">
                  <c:v>90.103960000000001</c:v>
                </c:pt>
                <c:pt idx="832">
                  <c:v>90.116419999999991</c:v>
                </c:pt>
                <c:pt idx="833">
                  <c:v>90.068849999999998</c:v>
                </c:pt>
                <c:pt idx="834">
                  <c:v>90.148409999999998</c:v>
                </c:pt>
                <c:pt idx="835">
                  <c:v>90.120419999999996</c:v>
                </c:pt>
                <c:pt idx="836">
                  <c:v>90.156099999999995</c:v>
                </c:pt>
                <c:pt idx="837">
                  <c:v>90.118690000000001</c:v>
                </c:pt>
                <c:pt idx="838">
                  <c:v>90.043989999999994</c:v>
                </c:pt>
                <c:pt idx="839">
                  <c:v>90.015819999999991</c:v>
                </c:pt>
                <c:pt idx="840">
                  <c:v>90.006059999999991</c:v>
                </c:pt>
                <c:pt idx="841">
                  <c:v>89.89394999999999</c:v>
                </c:pt>
                <c:pt idx="842">
                  <c:v>90.165779999999998</c:v>
                </c:pt>
                <c:pt idx="843">
                  <c:v>89.873099999999994</c:v>
                </c:pt>
                <c:pt idx="844">
                  <c:v>90.013949999999994</c:v>
                </c:pt>
                <c:pt idx="845">
                  <c:v>90.004709999999989</c:v>
                </c:pt>
                <c:pt idx="846">
                  <c:v>89.886420000000001</c:v>
                </c:pt>
                <c:pt idx="847">
                  <c:v>90.065699999999993</c:v>
                </c:pt>
                <c:pt idx="848">
                  <c:v>89.901749999999993</c:v>
                </c:pt>
                <c:pt idx="849">
                  <c:v>90.00551999999999</c:v>
                </c:pt>
                <c:pt idx="850">
                  <c:v>89.891139999999993</c:v>
                </c:pt>
                <c:pt idx="851">
                  <c:v>89.903790000000001</c:v>
                </c:pt>
                <c:pt idx="852">
                  <c:v>89.860079999999996</c:v>
                </c:pt>
                <c:pt idx="853">
                  <c:v>89.910659999999993</c:v>
                </c:pt>
                <c:pt idx="854">
                  <c:v>89.837980000000002</c:v>
                </c:pt>
                <c:pt idx="855">
                  <c:v>89.886679999999998</c:v>
                </c:pt>
                <c:pt idx="856">
                  <c:v>89.736379999999997</c:v>
                </c:pt>
                <c:pt idx="857">
                  <c:v>89.838359999999994</c:v>
                </c:pt>
                <c:pt idx="858">
                  <c:v>89.825800000000001</c:v>
                </c:pt>
                <c:pt idx="859">
                  <c:v>89.81210999999999</c:v>
                </c:pt>
                <c:pt idx="860">
                  <c:v>89.78085999999999</c:v>
                </c:pt>
                <c:pt idx="861">
                  <c:v>89.83395999999999</c:v>
                </c:pt>
                <c:pt idx="862">
                  <c:v>89.931449999999998</c:v>
                </c:pt>
                <c:pt idx="863">
                  <c:v>89.84648</c:v>
                </c:pt>
                <c:pt idx="864">
                  <c:v>89.834029999999998</c:v>
                </c:pt>
                <c:pt idx="865">
                  <c:v>89.840199999999996</c:v>
                </c:pt>
                <c:pt idx="866">
                  <c:v>89.799769999999995</c:v>
                </c:pt>
                <c:pt idx="867">
                  <c:v>89.799790000000002</c:v>
                </c:pt>
                <c:pt idx="868">
                  <c:v>89.765159999999995</c:v>
                </c:pt>
                <c:pt idx="869">
                  <c:v>89.72757</c:v>
                </c:pt>
                <c:pt idx="870">
                  <c:v>89.698529999999991</c:v>
                </c:pt>
                <c:pt idx="871">
                  <c:v>89.776399999999995</c:v>
                </c:pt>
                <c:pt idx="872">
                  <c:v>89.768879999999996</c:v>
                </c:pt>
                <c:pt idx="873">
                  <c:v>89.69144</c:v>
                </c:pt>
                <c:pt idx="874">
                  <c:v>89.79343999999999</c:v>
                </c:pt>
                <c:pt idx="875">
                  <c:v>89.630849999999995</c:v>
                </c:pt>
                <c:pt idx="876">
                  <c:v>89.74942999999999</c:v>
                </c:pt>
                <c:pt idx="877">
                  <c:v>89.584710000000001</c:v>
                </c:pt>
                <c:pt idx="878">
                  <c:v>89.634079999999997</c:v>
                </c:pt>
                <c:pt idx="879">
                  <c:v>89.562299999999993</c:v>
                </c:pt>
                <c:pt idx="880">
                  <c:v>89.653120000000001</c:v>
                </c:pt>
                <c:pt idx="881">
                  <c:v>89.571370000000002</c:v>
                </c:pt>
                <c:pt idx="882">
                  <c:v>89.544659999999993</c:v>
                </c:pt>
                <c:pt idx="883">
                  <c:v>89.51343</c:v>
                </c:pt>
                <c:pt idx="884">
                  <c:v>89.566629999999989</c:v>
                </c:pt>
                <c:pt idx="885">
                  <c:v>89.629369999999994</c:v>
                </c:pt>
                <c:pt idx="886">
                  <c:v>89.729099999999988</c:v>
                </c:pt>
                <c:pt idx="887">
                  <c:v>89.629369999999994</c:v>
                </c:pt>
                <c:pt idx="888">
                  <c:v>89.398309999999995</c:v>
                </c:pt>
                <c:pt idx="889">
                  <c:v>89.542739999999995</c:v>
                </c:pt>
                <c:pt idx="890">
                  <c:v>89.543129999999991</c:v>
                </c:pt>
                <c:pt idx="891">
                  <c:v>89.470019999999991</c:v>
                </c:pt>
                <c:pt idx="892">
                  <c:v>89.55816999999999</c:v>
                </c:pt>
                <c:pt idx="893">
                  <c:v>89.497839999999997</c:v>
                </c:pt>
                <c:pt idx="894">
                  <c:v>89.444859999999991</c:v>
                </c:pt>
                <c:pt idx="895">
                  <c:v>89.502510000000001</c:v>
                </c:pt>
                <c:pt idx="896">
                  <c:v>89.429209999999998</c:v>
                </c:pt>
                <c:pt idx="897">
                  <c:v>89.424329999999998</c:v>
                </c:pt>
                <c:pt idx="898">
                  <c:v>89.409759999999991</c:v>
                </c:pt>
                <c:pt idx="899">
                  <c:v>89.456229999999991</c:v>
                </c:pt>
                <c:pt idx="900">
                  <c:v>89.478560000000002</c:v>
                </c:pt>
                <c:pt idx="901">
                  <c:v>89.487560000000002</c:v>
                </c:pt>
                <c:pt idx="902">
                  <c:v>89.384139999999988</c:v>
                </c:pt>
                <c:pt idx="903">
                  <c:v>89.439759999999993</c:v>
                </c:pt>
                <c:pt idx="904">
                  <c:v>89.412819999999996</c:v>
                </c:pt>
                <c:pt idx="905">
                  <c:v>89.365989999999996</c:v>
                </c:pt>
                <c:pt idx="906">
                  <c:v>89.42689</c:v>
                </c:pt>
                <c:pt idx="907">
                  <c:v>89.327919999999992</c:v>
                </c:pt>
                <c:pt idx="908">
                  <c:v>89.314589999999995</c:v>
                </c:pt>
                <c:pt idx="909">
                  <c:v>89.300339999999991</c:v>
                </c:pt>
                <c:pt idx="910">
                  <c:v>89.357399999999998</c:v>
                </c:pt>
                <c:pt idx="911">
                  <c:v>89.369169999999997</c:v>
                </c:pt>
                <c:pt idx="912">
                  <c:v>89.283719999999988</c:v>
                </c:pt>
                <c:pt idx="913">
                  <c:v>89.360009999999988</c:v>
                </c:pt>
                <c:pt idx="914">
                  <c:v>89.295090000000002</c:v>
                </c:pt>
                <c:pt idx="915">
                  <c:v>89.336929999999995</c:v>
                </c:pt>
                <c:pt idx="916">
                  <c:v>89.187599999999989</c:v>
                </c:pt>
                <c:pt idx="917">
                  <c:v>89.300799999999995</c:v>
                </c:pt>
                <c:pt idx="918">
                  <c:v>89.177669999999992</c:v>
                </c:pt>
                <c:pt idx="919">
                  <c:v>89.273240000000001</c:v>
                </c:pt>
                <c:pt idx="920">
                  <c:v>89.35615</c:v>
                </c:pt>
                <c:pt idx="921">
                  <c:v>89.306039999999996</c:v>
                </c:pt>
                <c:pt idx="922">
                  <c:v>89.123959999999997</c:v>
                </c:pt>
                <c:pt idx="923">
                  <c:v>89.272660000000002</c:v>
                </c:pt>
                <c:pt idx="924">
                  <c:v>89.240489999999994</c:v>
                </c:pt>
                <c:pt idx="925">
                  <c:v>89.288089999999997</c:v>
                </c:pt>
                <c:pt idx="926">
                  <c:v>89.258569999999992</c:v>
                </c:pt>
                <c:pt idx="927">
                  <c:v>89.162189999999995</c:v>
                </c:pt>
                <c:pt idx="928">
                  <c:v>89.22117999999999</c:v>
                </c:pt>
                <c:pt idx="929">
                  <c:v>89.290089999999992</c:v>
                </c:pt>
                <c:pt idx="930">
                  <c:v>89.293449999999993</c:v>
                </c:pt>
                <c:pt idx="931">
                  <c:v>89.213769999999997</c:v>
                </c:pt>
                <c:pt idx="932">
                  <c:v>89.114679999999993</c:v>
                </c:pt>
                <c:pt idx="933">
                  <c:v>89.15952999999999</c:v>
                </c:pt>
                <c:pt idx="934">
                  <c:v>89.048899999999989</c:v>
                </c:pt>
                <c:pt idx="935">
                  <c:v>89.070689999999999</c:v>
                </c:pt>
                <c:pt idx="936">
                  <c:v>89.020150000000001</c:v>
                </c:pt>
                <c:pt idx="937">
                  <c:v>89.032889999999995</c:v>
                </c:pt>
                <c:pt idx="938">
                  <c:v>89.074219999999997</c:v>
                </c:pt>
                <c:pt idx="939">
                  <c:v>88.947620000000001</c:v>
                </c:pt>
                <c:pt idx="940">
                  <c:v>89.091200000000001</c:v>
                </c:pt>
                <c:pt idx="941">
                  <c:v>88.998699999999999</c:v>
                </c:pt>
                <c:pt idx="942">
                  <c:v>89.052509999999998</c:v>
                </c:pt>
                <c:pt idx="943">
                  <c:v>89.112089999999995</c:v>
                </c:pt>
                <c:pt idx="944">
                  <c:v>89.01961</c:v>
                </c:pt>
                <c:pt idx="945">
                  <c:v>88.915689999999998</c:v>
                </c:pt>
                <c:pt idx="946">
                  <c:v>89.061879999999988</c:v>
                </c:pt>
                <c:pt idx="947">
                  <c:v>88.940770000000001</c:v>
                </c:pt>
                <c:pt idx="948">
                  <c:v>88.898579999999995</c:v>
                </c:pt>
                <c:pt idx="949">
                  <c:v>88.877279999999999</c:v>
                </c:pt>
                <c:pt idx="950">
                  <c:v>89.054179999999988</c:v>
                </c:pt>
                <c:pt idx="951">
                  <c:v>88.922599999999989</c:v>
                </c:pt>
                <c:pt idx="952">
                  <c:v>88.944369999999992</c:v>
                </c:pt>
                <c:pt idx="953">
                  <c:v>88.902699999999996</c:v>
                </c:pt>
                <c:pt idx="954">
                  <c:v>88.898769999999999</c:v>
                </c:pt>
                <c:pt idx="955">
                  <c:v>88.837179999999989</c:v>
                </c:pt>
                <c:pt idx="956">
                  <c:v>88.848410000000001</c:v>
                </c:pt>
                <c:pt idx="957">
                  <c:v>88.776769999999999</c:v>
                </c:pt>
                <c:pt idx="958">
                  <c:v>88.832809999999995</c:v>
                </c:pt>
                <c:pt idx="959">
                  <c:v>88.941509999999994</c:v>
                </c:pt>
                <c:pt idx="960">
                  <c:v>88.912719999999993</c:v>
                </c:pt>
                <c:pt idx="961">
                  <c:v>88.835349999999991</c:v>
                </c:pt>
                <c:pt idx="962">
                  <c:v>88.83238999999999</c:v>
                </c:pt>
                <c:pt idx="963">
                  <c:v>88.900529999999989</c:v>
                </c:pt>
                <c:pt idx="964">
                  <c:v>88.843379999999996</c:v>
                </c:pt>
                <c:pt idx="965">
                  <c:v>88.843279999999993</c:v>
                </c:pt>
                <c:pt idx="966">
                  <c:v>88.700569999999999</c:v>
                </c:pt>
                <c:pt idx="967">
                  <c:v>88.838329999999999</c:v>
                </c:pt>
                <c:pt idx="968">
                  <c:v>88.761749999999992</c:v>
                </c:pt>
                <c:pt idx="969">
                  <c:v>88.790649999999999</c:v>
                </c:pt>
                <c:pt idx="970">
                  <c:v>88.77</c:v>
                </c:pt>
                <c:pt idx="971">
                  <c:v>88.74378999999999</c:v>
                </c:pt>
                <c:pt idx="972">
                  <c:v>88.74481999999999</c:v>
                </c:pt>
                <c:pt idx="973">
                  <c:v>88.674019999999999</c:v>
                </c:pt>
                <c:pt idx="974">
                  <c:v>88.782499999999999</c:v>
                </c:pt>
                <c:pt idx="975">
                  <c:v>88.614039999999989</c:v>
                </c:pt>
                <c:pt idx="976">
                  <c:v>88.746749999999992</c:v>
                </c:pt>
                <c:pt idx="977">
                  <c:v>88.682809999999989</c:v>
                </c:pt>
                <c:pt idx="978">
                  <c:v>88.644759999999991</c:v>
                </c:pt>
                <c:pt idx="979">
                  <c:v>88.581220000000002</c:v>
                </c:pt>
                <c:pt idx="980">
                  <c:v>88.605739999999997</c:v>
                </c:pt>
                <c:pt idx="981">
                  <c:v>88.805869999999999</c:v>
                </c:pt>
                <c:pt idx="982">
                  <c:v>88.563449999999989</c:v>
                </c:pt>
                <c:pt idx="983">
                  <c:v>88.653049999999993</c:v>
                </c:pt>
                <c:pt idx="984">
                  <c:v>88.565939999999998</c:v>
                </c:pt>
                <c:pt idx="985">
                  <c:v>88.58453999999999</c:v>
                </c:pt>
                <c:pt idx="986">
                  <c:v>88.638419999999996</c:v>
                </c:pt>
                <c:pt idx="987">
                  <c:v>88.686669999999992</c:v>
                </c:pt>
                <c:pt idx="988">
                  <c:v>88.626269999999991</c:v>
                </c:pt>
                <c:pt idx="989">
                  <c:v>88.567509999999999</c:v>
                </c:pt>
                <c:pt idx="990">
                  <c:v>88.588859999999997</c:v>
                </c:pt>
                <c:pt idx="991">
                  <c:v>88.622159999999994</c:v>
                </c:pt>
                <c:pt idx="992">
                  <c:v>88.598299999999995</c:v>
                </c:pt>
                <c:pt idx="993">
                  <c:v>88.57495999999999</c:v>
                </c:pt>
                <c:pt idx="994">
                  <c:v>88.508459999999999</c:v>
                </c:pt>
                <c:pt idx="995">
                  <c:v>88.49691</c:v>
                </c:pt>
                <c:pt idx="996">
                  <c:v>88.53161999999999</c:v>
                </c:pt>
                <c:pt idx="997">
                  <c:v>88.488659999999996</c:v>
                </c:pt>
                <c:pt idx="998">
                  <c:v>88.45411</c:v>
                </c:pt>
                <c:pt idx="999">
                  <c:v>88.562749999999994</c:v>
                </c:pt>
                <c:pt idx="1000">
                  <c:v>88.540059999999997</c:v>
                </c:pt>
                <c:pt idx="1001">
                  <c:v>88.401569999999992</c:v>
                </c:pt>
                <c:pt idx="1002">
                  <c:v>88.500569999999996</c:v>
                </c:pt>
                <c:pt idx="1003">
                  <c:v>88.360579999999999</c:v>
                </c:pt>
                <c:pt idx="1004">
                  <c:v>88.530450000000002</c:v>
                </c:pt>
                <c:pt idx="1005">
                  <c:v>88.45089999999999</c:v>
                </c:pt>
                <c:pt idx="1006">
                  <c:v>88.395949999999999</c:v>
                </c:pt>
                <c:pt idx="1007">
                  <c:v>88.38082</c:v>
                </c:pt>
                <c:pt idx="1008">
                  <c:v>88.400869999999998</c:v>
                </c:pt>
                <c:pt idx="1009">
                  <c:v>88.374459999999999</c:v>
                </c:pt>
                <c:pt idx="1010">
                  <c:v>88.289819999999992</c:v>
                </c:pt>
                <c:pt idx="1011">
                  <c:v>88.318539999999999</c:v>
                </c:pt>
                <c:pt idx="1012">
                  <c:v>88.264579999999995</c:v>
                </c:pt>
                <c:pt idx="1013">
                  <c:v>88.387789999999995</c:v>
                </c:pt>
                <c:pt idx="1014">
                  <c:v>88.359539999999996</c:v>
                </c:pt>
                <c:pt idx="1015">
                  <c:v>88.372959999999992</c:v>
                </c:pt>
                <c:pt idx="1016">
                  <c:v>88.250349999999997</c:v>
                </c:pt>
                <c:pt idx="1017">
                  <c:v>88.369450000000001</c:v>
                </c:pt>
                <c:pt idx="1018">
                  <c:v>88.149450000000002</c:v>
                </c:pt>
                <c:pt idx="1019">
                  <c:v>88.239930000000001</c:v>
                </c:pt>
                <c:pt idx="1020">
                  <c:v>88.296509999999998</c:v>
                </c:pt>
                <c:pt idx="1021">
                  <c:v>88.139769999999999</c:v>
                </c:pt>
                <c:pt idx="1022">
                  <c:v>88.321349999999995</c:v>
                </c:pt>
                <c:pt idx="1023">
                  <c:v>88.302019999999999</c:v>
                </c:pt>
                <c:pt idx="1024">
                  <c:v>88.308329999999998</c:v>
                </c:pt>
                <c:pt idx="1025">
                  <c:v>88.250799999999998</c:v>
                </c:pt>
                <c:pt idx="1026">
                  <c:v>88.285910000000001</c:v>
                </c:pt>
                <c:pt idx="1027">
                  <c:v>88.15200999999999</c:v>
                </c:pt>
                <c:pt idx="1028">
                  <c:v>88.211919999999992</c:v>
                </c:pt>
                <c:pt idx="1029">
                  <c:v>88.288179999999997</c:v>
                </c:pt>
                <c:pt idx="1030">
                  <c:v>88.212899999999991</c:v>
                </c:pt>
                <c:pt idx="1031">
                  <c:v>88.15795</c:v>
                </c:pt>
                <c:pt idx="1032">
                  <c:v>88.15021999999999</c:v>
                </c:pt>
                <c:pt idx="1033">
                  <c:v>88.26303999999999</c:v>
                </c:pt>
                <c:pt idx="1034">
                  <c:v>88.093429999999998</c:v>
                </c:pt>
                <c:pt idx="1035">
                  <c:v>88.132080000000002</c:v>
                </c:pt>
                <c:pt idx="1036">
                  <c:v>88.104939999999999</c:v>
                </c:pt>
                <c:pt idx="1037">
                  <c:v>88.03797999999999</c:v>
                </c:pt>
                <c:pt idx="1038">
                  <c:v>88.177599999999998</c:v>
                </c:pt>
                <c:pt idx="1039">
                  <c:v>88.016390000000001</c:v>
                </c:pt>
                <c:pt idx="1040">
                  <c:v>87.991879999999995</c:v>
                </c:pt>
                <c:pt idx="1041">
                  <c:v>87.947369999999992</c:v>
                </c:pt>
                <c:pt idx="1042">
                  <c:v>88.102589999999992</c:v>
                </c:pt>
                <c:pt idx="1043">
                  <c:v>88.097699999999989</c:v>
                </c:pt>
                <c:pt idx="1044">
                  <c:v>87.89255</c:v>
                </c:pt>
                <c:pt idx="1045">
                  <c:v>88.096419999999995</c:v>
                </c:pt>
                <c:pt idx="1046">
                  <c:v>88.023769999999999</c:v>
                </c:pt>
                <c:pt idx="1047">
                  <c:v>88.052669999999992</c:v>
                </c:pt>
                <c:pt idx="1048">
                  <c:v>87.915769999999995</c:v>
                </c:pt>
                <c:pt idx="1049">
                  <c:v>88.03331</c:v>
                </c:pt>
                <c:pt idx="1050">
                  <c:v>88.075119999999998</c:v>
                </c:pt>
                <c:pt idx="1051">
                  <c:v>87.905659999999997</c:v>
                </c:pt>
                <c:pt idx="1052">
                  <c:v>87.890589999999989</c:v>
                </c:pt>
                <c:pt idx="1053">
                  <c:v>87.879689999999997</c:v>
                </c:pt>
                <c:pt idx="1054">
                  <c:v>87.924409999999995</c:v>
                </c:pt>
                <c:pt idx="1055">
                  <c:v>87.940709999999996</c:v>
                </c:pt>
                <c:pt idx="1056">
                  <c:v>87.850949999999997</c:v>
                </c:pt>
                <c:pt idx="1057">
                  <c:v>87.929119999999998</c:v>
                </c:pt>
                <c:pt idx="1058">
                  <c:v>87.962489999999988</c:v>
                </c:pt>
                <c:pt idx="1059">
                  <c:v>87.863209999999995</c:v>
                </c:pt>
                <c:pt idx="1060">
                  <c:v>87.920029999999997</c:v>
                </c:pt>
                <c:pt idx="1061">
                  <c:v>87.947089999999989</c:v>
                </c:pt>
                <c:pt idx="1062">
                  <c:v>87.926310000000001</c:v>
                </c:pt>
                <c:pt idx="1063">
                  <c:v>87.872519999999994</c:v>
                </c:pt>
                <c:pt idx="1064">
                  <c:v>87.697849999999988</c:v>
                </c:pt>
                <c:pt idx="1065">
                  <c:v>87.884709999999998</c:v>
                </c:pt>
                <c:pt idx="1066">
                  <c:v>87.830889999999997</c:v>
                </c:pt>
                <c:pt idx="1067">
                  <c:v>87.733379999999997</c:v>
                </c:pt>
                <c:pt idx="1068">
                  <c:v>87.802229999999994</c:v>
                </c:pt>
                <c:pt idx="1069">
                  <c:v>87.870049999999992</c:v>
                </c:pt>
                <c:pt idx="1070">
                  <c:v>87.743429999999989</c:v>
                </c:pt>
                <c:pt idx="1071">
                  <c:v>87.725219999999993</c:v>
                </c:pt>
                <c:pt idx="1072">
                  <c:v>87.74593999999999</c:v>
                </c:pt>
                <c:pt idx="1073">
                  <c:v>87.71132999999999</c:v>
                </c:pt>
                <c:pt idx="1074">
                  <c:v>87.743529999999993</c:v>
                </c:pt>
                <c:pt idx="1075">
                  <c:v>87.788669999999996</c:v>
                </c:pt>
                <c:pt idx="1076">
                  <c:v>87.8185</c:v>
                </c:pt>
                <c:pt idx="1077">
                  <c:v>87.826070000000001</c:v>
                </c:pt>
                <c:pt idx="1078">
                  <c:v>87.701619999999991</c:v>
                </c:pt>
                <c:pt idx="1079">
                  <c:v>87.624439999999993</c:v>
                </c:pt>
                <c:pt idx="1080">
                  <c:v>87.725369999999998</c:v>
                </c:pt>
                <c:pt idx="1081">
                  <c:v>87.711500000000001</c:v>
                </c:pt>
                <c:pt idx="1082">
                  <c:v>87.678359999999998</c:v>
                </c:pt>
                <c:pt idx="1083">
                  <c:v>87.558479999999989</c:v>
                </c:pt>
                <c:pt idx="1084">
                  <c:v>87.681759999999997</c:v>
                </c:pt>
                <c:pt idx="1085">
                  <c:v>87.734960000000001</c:v>
                </c:pt>
                <c:pt idx="1086">
                  <c:v>87.52982999999999</c:v>
                </c:pt>
                <c:pt idx="1087">
                  <c:v>87.777259999999998</c:v>
                </c:pt>
                <c:pt idx="1088">
                  <c:v>87.672389999999993</c:v>
                </c:pt>
                <c:pt idx="1089">
                  <c:v>87.637349999999998</c:v>
                </c:pt>
                <c:pt idx="1090">
                  <c:v>87.673179999999988</c:v>
                </c:pt>
                <c:pt idx="1091">
                  <c:v>87.639849999999996</c:v>
                </c:pt>
                <c:pt idx="1092">
                  <c:v>87.65034</c:v>
                </c:pt>
                <c:pt idx="1093">
                  <c:v>87.682609999999997</c:v>
                </c:pt>
                <c:pt idx="1094">
                  <c:v>87.570639999999997</c:v>
                </c:pt>
                <c:pt idx="1095">
                  <c:v>87.499069999999989</c:v>
                </c:pt>
                <c:pt idx="1096">
                  <c:v>87.655419999999992</c:v>
                </c:pt>
                <c:pt idx="1097">
                  <c:v>87.620959999999997</c:v>
                </c:pt>
                <c:pt idx="1098">
                  <c:v>87.56138</c:v>
                </c:pt>
                <c:pt idx="1099">
                  <c:v>87.555509999999998</c:v>
                </c:pt>
                <c:pt idx="1100">
                  <c:v>87.555139999999994</c:v>
                </c:pt>
                <c:pt idx="1101">
                  <c:v>87.422849999999997</c:v>
                </c:pt>
                <c:pt idx="1102">
                  <c:v>87.451149999999998</c:v>
                </c:pt>
                <c:pt idx="1103">
                  <c:v>87.53201</c:v>
                </c:pt>
                <c:pt idx="1104">
                  <c:v>87.357639999999989</c:v>
                </c:pt>
                <c:pt idx="1105">
                  <c:v>87.495779999999996</c:v>
                </c:pt>
                <c:pt idx="1106">
                  <c:v>87.434460000000001</c:v>
                </c:pt>
                <c:pt idx="1107">
                  <c:v>87.56626</c:v>
                </c:pt>
                <c:pt idx="1108">
                  <c:v>87.491959999999992</c:v>
                </c:pt>
                <c:pt idx="1109">
                  <c:v>87.481319999999997</c:v>
                </c:pt>
                <c:pt idx="1110">
                  <c:v>87.399439999999998</c:v>
                </c:pt>
                <c:pt idx="1111">
                  <c:v>87.410959999999989</c:v>
                </c:pt>
                <c:pt idx="1112">
                  <c:v>87.419609999999992</c:v>
                </c:pt>
                <c:pt idx="1113">
                  <c:v>87.421359999999993</c:v>
                </c:pt>
                <c:pt idx="1114">
                  <c:v>87.400089999999992</c:v>
                </c:pt>
                <c:pt idx="1115">
                  <c:v>87.414659999999998</c:v>
                </c:pt>
                <c:pt idx="1116">
                  <c:v>87.4529</c:v>
                </c:pt>
                <c:pt idx="1117">
                  <c:v>87.321519999999992</c:v>
                </c:pt>
                <c:pt idx="1118">
                  <c:v>87.314939999999993</c:v>
                </c:pt>
                <c:pt idx="1119">
                  <c:v>87.326909999999998</c:v>
                </c:pt>
                <c:pt idx="1120">
                  <c:v>87.305819999999997</c:v>
                </c:pt>
                <c:pt idx="1121">
                  <c:v>87.340530000000001</c:v>
                </c:pt>
                <c:pt idx="1122">
                  <c:v>87.317689999999999</c:v>
                </c:pt>
                <c:pt idx="1123">
                  <c:v>87.271270000000001</c:v>
                </c:pt>
                <c:pt idx="1124">
                  <c:v>87.278970000000001</c:v>
                </c:pt>
                <c:pt idx="1125">
                  <c:v>87.411229999999989</c:v>
                </c:pt>
                <c:pt idx="1126">
                  <c:v>87.277529999999999</c:v>
                </c:pt>
                <c:pt idx="1127">
                  <c:v>87.340199999999996</c:v>
                </c:pt>
                <c:pt idx="1128">
                  <c:v>87.193579999999997</c:v>
                </c:pt>
                <c:pt idx="1129">
                  <c:v>87.2714</c:v>
                </c:pt>
                <c:pt idx="1130">
                  <c:v>87.299970000000002</c:v>
                </c:pt>
                <c:pt idx="1131">
                  <c:v>87.17170999999999</c:v>
                </c:pt>
                <c:pt idx="1132">
                  <c:v>87.26921999999999</c:v>
                </c:pt>
                <c:pt idx="1133">
                  <c:v>87.305689999999998</c:v>
                </c:pt>
                <c:pt idx="1134">
                  <c:v>87.19229</c:v>
                </c:pt>
                <c:pt idx="1135">
                  <c:v>87.194549999999992</c:v>
                </c:pt>
                <c:pt idx="1136">
                  <c:v>87.173069999999996</c:v>
                </c:pt>
                <c:pt idx="1137">
                  <c:v>87.306209999999993</c:v>
                </c:pt>
                <c:pt idx="1138">
                  <c:v>87.112939999999995</c:v>
                </c:pt>
                <c:pt idx="1139">
                  <c:v>87.303190000000001</c:v>
                </c:pt>
                <c:pt idx="1140">
                  <c:v>87.167699999999996</c:v>
                </c:pt>
                <c:pt idx="1141">
                  <c:v>87.065079999999995</c:v>
                </c:pt>
                <c:pt idx="1142">
                  <c:v>87.139690000000002</c:v>
                </c:pt>
                <c:pt idx="1143">
                  <c:v>87.162259999999989</c:v>
                </c:pt>
                <c:pt idx="1144">
                  <c:v>87.073029999999989</c:v>
                </c:pt>
                <c:pt idx="1145">
                  <c:v>87.067969999999988</c:v>
                </c:pt>
                <c:pt idx="1146">
                  <c:v>87.053899999999999</c:v>
                </c:pt>
                <c:pt idx="1147">
                  <c:v>87.01021999999999</c:v>
                </c:pt>
                <c:pt idx="1148">
                  <c:v>87.06286999999999</c:v>
                </c:pt>
                <c:pt idx="1149">
                  <c:v>87.085899999999995</c:v>
                </c:pt>
                <c:pt idx="1150">
                  <c:v>86.972650000000002</c:v>
                </c:pt>
                <c:pt idx="1151">
                  <c:v>86.956710000000001</c:v>
                </c:pt>
                <c:pt idx="1152">
                  <c:v>86.99391</c:v>
                </c:pt>
                <c:pt idx="1153">
                  <c:v>87.082099999999997</c:v>
                </c:pt>
                <c:pt idx="1154">
                  <c:v>87.043189999999996</c:v>
                </c:pt>
                <c:pt idx="1155">
                  <c:v>87.004239999999996</c:v>
                </c:pt>
                <c:pt idx="1156">
                  <c:v>87.061089999999993</c:v>
                </c:pt>
                <c:pt idx="1157">
                  <c:v>86.944339999999997</c:v>
                </c:pt>
                <c:pt idx="1158">
                  <c:v>87.126149999999996</c:v>
                </c:pt>
                <c:pt idx="1159">
                  <c:v>86.961579999999998</c:v>
                </c:pt>
                <c:pt idx="1160">
                  <c:v>86.88561</c:v>
                </c:pt>
                <c:pt idx="1161">
                  <c:v>86.906559999999999</c:v>
                </c:pt>
                <c:pt idx="1162">
                  <c:v>86.927119999999988</c:v>
                </c:pt>
                <c:pt idx="1163">
                  <c:v>86.851649999999992</c:v>
                </c:pt>
                <c:pt idx="1164">
                  <c:v>86.896999999999991</c:v>
                </c:pt>
                <c:pt idx="1165">
                  <c:v>86.916509999999988</c:v>
                </c:pt>
                <c:pt idx="1166">
                  <c:v>86.965409999999991</c:v>
                </c:pt>
                <c:pt idx="1167">
                  <c:v>86.859529999999992</c:v>
                </c:pt>
                <c:pt idx="1168">
                  <c:v>86.957999999999998</c:v>
                </c:pt>
                <c:pt idx="1169">
                  <c:v>86.860439999999997</c:v>
                </c:pt>
                <c:pt idx="1170">
                  <c:v>86.947409999999991</c:v>
                </c:pt>
                <c:pt idx="1171">
                  <c:v>86.939369999999997</c:v>
                </c:pt>
                <c:pt idx="1172">
                  <c:v>86.903809999999993</c:v>
                </c:pt>
                <c:pt idx="1173">
                  <c:v>86.850819999999999</c:v>
                </c:pt>
                <c:pt idx="1174">
                  <c:v>86.749039999999994</c:v>
                </c:pt>
                <c:pt idx="1175">
                  <c:v>86.793389999999988</c:v>
                </c:pt>
                <c:pt idx="1176">
                  <c:v>86.669979999999995</c:v>
                </c:pt>
                <c:pt idx="1177">
                  <c:v>86.798090000000002</c:v>
                </c:pt>
                <c:pt idx="1178">
                  <c:v>86.694479999999999</c:v>
                </c:pt>
                <c:pt idx="1179">
                  <c:v>86.783229999999989</c:v>
                </c:pt>
                <c:pt idx="1180">
                  <c:v>86.829699999999988</c:v>
                </c:pt>
                <c:pt idx="1181">
                  <c:v>86.833359999999999</c:v>
                </c:pt>
                <c:pt idx="1182">
                  <c:v>86.806259999999995</c:v>
                </c:pt>
                <c:pt idx="1183">
                  <c:v>86.787880000000001</c:v>
                </c:pt>
                <c:pt idx="1184">
                  <c:v>86.70796</c:v>
                </c:pt>
                <c:pt idx="1185">
                  <c:v>86.667659999999998</c:v>
                </c:pt>
                <c:pt idx="1186">
                  <c:v>86.763899999999992</c:v>
                </c:pt>
                <c:pt idx="1187">
                  <c:v>86.64085</c:v>
                </c:pt>
                <c:pt idx="1188">
                  <c:v>86.67855999999999</c:v>
                </c:pt>
                <c:pt idx="1189">
                  <c:v>86.697310000000002</c:v>
                </c:pt>
                <c:pt idx="1190">
                  <c:v>86.590339999999998</c:v>
                </c:pt>
                <c:pt idx="1191">
                  <c:v>86.670259999999999</c:v>
                </c:pt>
                <c:pt idx="1192">
                  <c:v>86.637409999999988</c:v>
                </c:pt>
                <c:pt idx="1193">
                  <c:v>86.638919999999999</c:v>
                </c:pt>
                <c:pt idx="1194">
                  <c:v>86.629089999999991</c:v>
                </c:pt>
                <c:pt idx="1195">
                  <c:v>86.592169999999996</c:v>
                </c:pt>
                <c:pt idx="1196">
                  <c:v>86.624369999999999</c:v>
                </c:pt>
                <c:pt idx="1197">
                  <c:v>86.575559999999996</c:v>
                </c:pt>
                <c:pt idx="1198">
                  <c:v>86.574629999999999</c:v>
                </c:pt>
                <c:pt idx="1199">
                  <c:v>86.62379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8-014C-8402-517F26A407E7}"/>
            </c:ext>
          </c:extLst>
        </c:ser>
        <c:ser>
          <c:idx val="1"/>
          <c:order val="1"/>
          <c:tx>
            <c:v>WS500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Data, WS500 20% O2'!$AA$6:$AA$1205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Data, WS500 20% O2'!$AC$6:$AC$1205</c:f>
              <c:numCache>
                <c:formatCode>0.00000</c:formatCode>
                <c:ptCount val="1200"/>
                <c:pt idx="0">
                  <c:v>100</c:v>
                </c:pt>
                <c:pt idx="1">
                  <c:v>100.18836</c:v>
                </c:pt>
                <c:pt idx="2">
                  <c:v>100.41043000000001</c:v>
                </c:pt>
                <c:pt idx="3">
                  <c:v>100.56184</c:v>
                </c:pt>
                <c:pt idx="4">
                  <c:v>100.55094</c:v>
                </c:pt>
                <c:pt idx="5">
                  <c:v>100.7107</c:v>
                </c:pt>
                <c:pt idx="6">
                  <c:v>100.61785999999999</c:v>
                </c:pt>
                <c:pt idx="7">
                  <c:v>100.77485</c:v>
                </c:pt>
                <c:pt idx="8">
                  <c:v>100.77197</c:v>
                </c:pt>
                <c:pt idx="9">
                  <c:v>100.71981</c:v>
                </c:pt>
                <c:pt idx="10">
                  <c:v>100.81534000000001</c:v>
                </c:pt>
                <c:pt idx="11">
                  <c:v>100.79958999999999</c:v>
                </c:pt>
                <c:pt idx="12">
                  <c:v>100.70486</c:v>
                </c:pt>
                <c:pt idx="13">
                  <c:v>100.83274</c:v>
                </c:pt>
                <c:pt idx="14">
                  <c:v>100.74061999999999</c:v>
                </c:pt>
                <c:pt idx="15">
                  <c:v>100.85972</c:v>
                </c:pt>
                <c:pt idx="16">
                  <c:v>100.82080000000001</c:v>
                </c:pt>
                <c:pt idx="17">
                  <c:v>100.81372999999999</c:v>
                </c:pt>
                <c:pt idx="18">
                  <c:v>100.80262999999999</c:v>
                </c:pt>
                <c:pt idx="19">
                  <c:v>100.83888</c:v>
                </c:pt>
                <c:pt idx="20">
                  <c:v>100.88921000000001</c:v>
                </c:pt>
                <c:pt idx="21">
                  <c:v>100.82948999999999</c:v>
                </c:pt>
                <c:pt idx="22">
                  <c:v>100.89076</c:v>
                </c:pt>
                <c:pt idx="23">
                  <c:v>100.94273</c:v>
                </c:pt>
                <c:pt idx="24">
                  <c:v>100.94669999999999</c:v>
                </c:pt>
                <c:pt idx="25">
                  <c:v>100.89421</c:v>
                </c:pt>
                <c:pt idx="26">
                  <c:v>100.91074999999999</c:v>
                </c:pt>
                <c:pt idx="27">
                  <c:v>100.9182</c:v>
                </c:pt>
                <c:pt idx="28">
                  <c:v>100.86445000000001</c:v>
                </c:pt>
                <c:pt idx="29">
                  <c:v>100.93294</c:v>
                </c:pt>
                <c:pt idx="30">
                  <c:v>100.91677</c:v>
                </c:pt>
                <c:pt idx="31">
                  <c:v>100.89676</c:v>
                </c:pt>
                <c:pt idx="32">
                  <c:v>100.93682</c:v>
                </c:pt>
                <c:pt idx="33">
                  <c:v>100.91454</c:v>
                </c:pt>
                <c:pt idx="34">
                  <c:v>100.93568999999999</c:v>
                </c:pt>
                <c:pt idx="35">
                  <c:v>100.94271000000001</c:v>
                </c:pt>
                <c:pt idx="36">
                  <c:v>100.94076</c:v>
                </c:pt>
                <c:pt idx="37">
                  <c:v>100.92586</c:v>
                </c:pt>
                <c:pt idx="38">
                  <c:v>100.94913</c:v>
                </c:pt>
                <c:pt idx="39">
                  <c:v>100.99041</c:v>
                </c:pt>
                <c:pt idx="40">
                  <c:v>100.93612</c:v>
                </c:pt>
                <c:pt idx="41">
                  <c:v>100.96926999999999</c:v>
                </c:pt>
                <c:pt idx="42">
                  <c:v>100.94880000000001</c:v>
                </c:pt>
                <c:pt idx="43">
                  <c:v>100.91407</c:v>
                </c:pt>
                <c:pt idx="44">
                  <c:v>100.92456</c:v>
                </c:pt>
                <c:pt idx="45">
                  <c:v>100.94264</c:v>
                </c:pt>
                <c:pt idx="46">
                  <c:v>100.96653000000001</c:v>
                </c:pt>
                <c:pt idx="47">
                  <c:v>100.92792</c:v>
                </c:pt>
                <c:pt idx="48">
                  <c:v>100.95367</c:v>
                </c:pt>
                <c:pt idx="49">
                  <c:v>100.98333</c:v>
                </c:pt>
                <c:pt idx="50">
                  <c:v>100.92218</c:v>
                </c:pt>
                <c:pt idx="51">
                  <c:v>101.00435</c:v>
                </c:pt>
                <c:pt idx="52">
                  <c:v>100.9512</c:v>
                </c:pt>
                <c:pt idx="53">
                  <c:v>101.02567999999999</c:v>
                </c:pt>
                <c:pt idx="54">
                  <c:v>100.87228999999999</c:v>
                </c:pt>
                <c:pt idx="55">
                  <c:v>100.96096</c:v>
                </c:pt>
                <c:pt idx="56">
                  <c:v>101.07559000000001</c:v>
                </c:pt>
                <c:pt idx="57">
                  <c:v>100.96297</c:v>
                </c:pt>
                <c:pt idx="58">
                  <c:v>100.97431</c:v>
                </c:pt>
                <c:pt idx="59">
                  <c:v>100.82558</c:v>
                </c:pt>
                <c:pt idx="60">
                  <c:v>100.91683</c:v>
                </c:pt>
                <c:pt idx="61">
                  <c:v>100.96084</c:v>
                </c:pt>
                <c:pt idx="62">
                  <c:v>100.91158</c:v>
                </c:pt>
                <c:pt idx="63">
                  <c:v>100.88151999999999</c:v>
                </c:pt>
                <c:pt idx="64">
                  <c:v>100.95134</c:v>
                </c:pt>
                <c:pt idx="65">
                  <c:v>100.95529999999999</c:v>
                </c:pt>
                <c:pt idx="66">
                  <c:v>100.85235</c:v>
                </c:pt>
                <c:pt idx="67">
                  <c:v>100.92327</c:v>
                </c:pt>
                <c:pt idx="68">
                  <c:v>100.84560999999999</c:v>
                </c:pt>
                <c:pt idx="69">
                  <c:v>100.84844</c:v>
                </c:pt>
                <c:pt idx="70">
                  <c:v>100.91121</c:v>
                </c:pt>
                <c:pt idx="71">
                  <c:v>100.95287</c:v>
                </c:pt>
                <c:pt idx="72">
                  <c:v>100.8477</c:v>
                </c:pt>
                <c:pt idx="73">
                  <c:v>100.85458</c:v>
                </c:pt>
                <c:pt idx="74">
                  <c:v>100.91575</c:v>
                </c:pt>
                <c:pt idx="75">
                  <c:v>100.88818999999999</c:v>
                </c:pt>
                <c:pt idx="76">
                  <c:v>100.90043</c:v>
                </c:pt>
                <c:pt idx="77">
                  <c:v>100.75085</c:v>
                </c:pt>
                <c:pt idx="78">
                  <c:v>100.96935999999999</c:v>
                </c:pt>
                <c:pt idx="79">
                  <c:v>100.9064</c:v>
                </c:pt>
                <c:pt idx="80">
                  <c:v>100.81910999999999</c:v>
                </c:pt>
                <c:pt idx="81">
                  <c:v>100.92095</c:v>
                </c:pt>
                <c:pt idx="82">
                  <c:v>100.89946999999999</c:v>
                </c:pt>
                <c:pt idx="83">
                  <c:v>100.93684</c:v>
                </c:pt>
                <c:pt idx="84">
                  <c:v>100.78498</c:v>
                </c:pt>
                <c:pt idx="85">
                  <c:v>100.90391</c:v>
                </c:pt>
                <c:pt idx="86">
                  <c:v>100.96543</c:v>
                </c:pt>
                <c:pt idx="87">
                  <c:v>100.83256</c:v>
                </c:pt>
                <c:pt idx="88">
                  <c:v>100.77809999999999</c:v>
                </c:pt>
                <c:pt idx="89">
                  <c:v>100.84219</c:v>
                </c:pt>
                <c:pt idx="90">
                  <c:v>100.81475999999999</c:v>
                </c:pt>
                <c:pt idx="91">
                  <c:v>100.82877999999999</c:v>
                </c:pt>
                <c:pt idx="92">
                  <c:v>100.81681999999999</c:v>
                </c:pt>
                <c:pt idx="93">
                  <c:v>100.78107</c:v>
                </c:pt>
                <c:pt idx="94">
                  <c:v>100.81043</c:v>
                </c:pt>
                <c:pt idx="95">
                  <c:v>100.80847</c:v>
                </c:pt>
                <c:pt idx="96">
                  <c:v>100.76522</c:v>
                </c:pt>
                <c:pt idx="97">
                  <c:v>100.82374</c:v>
                </c:pt>
                <c:pt idx="98">
                  <c:v>100.80956</c:v>
                </c:pt>
                <c:pt idx="99">
                  <c:v>100.75682</c:v>
                </c:pt>
                <c:pt idx="100">
                  <c:v>100.84363999999999</c:v>
                </c:pt>
                <c:pt idx="101">
                  <c:v>100.86684</c:v>
                </c:pt>
                <c:pt idx="102">
                  <c:v>100.79223</c:v>
                </c:pt>
                <c:pt idx="103">
                  <c:v>100.80905</c:v>
                </c:pt>
                <c:pt idx="104">
                  <c:v>100.77737999999999</c:v>
                </c:pt>
                <c:pt idx="105">
                  <c:v>100.75542</c:v>
                </c:pt>
                <c:pt idx="106">
                  <c:v>100.77898999999999</c:v>
                </c:pt>
                <c:pt idx="107">
                  <c:v>100.71611</c:v>
                </c:pt>
                <c:pt idx="108">
                  <c:v>100.79929</c:v>
                </c:pt>
                <c:pt idx="109">
                  <c:v>100.67765</c:v>
                </c:pt>
                <c:pt idx="110">
                  <c:v>100.77988999999999</c:v>
                </c:pt>
                <c:pt idx="111">
                  <c:v>100.83778</c:v>
                </c:pt>
                <c:pt idx="112">
                  <c:v>100.8244</c:v>
                </c:pt>
                <c:pt idx="113">
                  <c:v>100.81479</c:v>
                </c:pt>
                <c:pt idx="114">
                  <c:v>100.70272</c:v>
                </c:pt>
                <c:pt idx="115">
                  <c:v>100.74051</c:v>
                </c:pt>
                <c:pt idx="116">
                  <c:v>100.69754999999999</c:v>
                </c:pt>
                <c:pt idx="117">
                  <c:v>100.67689</c:v>
                </c:pt>
                <c:pt idx="118">
                  <c:v>100.75901999999999</c:v>
                </c:pt>
                <c:pt idx="119">
                  <c:v>100.66015</c:v>
                </c:pt>
                <c:pt idx="120">
                  <c:v>100.75156</c:v>
                </c:pt>
                <c:pt idx="121">
                  <c:v>100.77524</c:v>
                </c:pt>
                <c:pt idx="122">
                  <c:v>100.75449999999999</c:v>
                </c:pt>
                <c:pt idx="123">
                  <c:v>100.73812</c:v>
                </c:pt>
                <c:pt idx="124">
                  <c:v>100.69179</c:v>
                </c:pt>
                <c:pt idx="125">
                  <c:v>100.75138</c:v>
                </c:pt>
                <c:pt idx="126">
                  <c:v>100.66287</c:v>
                </c:pt>
                <c:pt idx="127">
                  <c:v>100.69051999999999</c:v>
                </c:pt>
                <c:pt idx="128">
                  <c:v>100.72763</c:v>
                </c:pt>
                <c:pt idx="129">
                  <c:v>100.78522</c:v>
                </c:pt>
                <c:pt idx="130">
                  <c:v>100.74209999999999</c:v>
                </c:pt>
                <c:pt idx="131">
                  <c:v>100.69598000000001</c:v>
                </c:pt>
                <c:pt idx="132">
                  <c:v>100.68805</c:v>
                </c:pt>
                <c:pt idx="133">
                  <c:v>100.74760999999999</c:v>
                </c:pt>
                <c:pt idx="134">
                  <c:v>100.68781</c:v>
                </c:pt>
                <c:pt idx="135">
                  <c:v>100.65122</c:v>
                </c:pt>
                <c:pt idx="136">
                  <c:v>100.62773</c:v>
                </c:pt>
                <c:pt idx="137">
                  <c:v>100.59683</c:v>
                </c:pt>
                <c:pt idx="138">
                  <c:v>100.72967</c:v>
                </c:pt>
                <c:pt idx="139">
                  <c:v>100.63932</c:v>
                </c:pt>
                <c:pt idx="140">
                  <c:v>100.63043</c:v>
                </c:pt>
                <c:pt idx="141">
                  <c:v>100.71993000000001</c:v>
                </c:pt>
                <c:pt idx="142">
                  <c:v>100.63673</c:v>
                </c:pt>
                <c:pt idx="143">
                  <c:v>100.69614</c:v>
                </c:pt>
                <c:pt idx="144">
                  <c:v>100.63097999999999</c:v>
                </c:pt>
                <c:pt idx="145">
                  <c:v>100.60968</c:v>
                </c:pt>
                <c:pt idx="146">
                  <c:v>100.55779</c:v>
                </c:pt>
                <c:pt idx="147">
                  <c:v>100.65846000000001</c:v>
                </c:pt>
                <c:pt idx="148">
                  <c:v>100.64245</c:v>
                </c:pt>
                <c:pt idx="149">
                  <c:v>100.57002</c:v>
                </c:pt>
                <c:pt idx="150">
                  <c:v>100.63257</c:v>
                </c:pt>
                <c:pt idx="151">
                  <c:v>100.62886</c:v>
                </c:pt>
                <c:pt idx="152">
                  <c:v>100.5783</c:v>
                </c:pt>
                <c:pt idx="153">
                  <c:v>100.67295</c:v>
                </c:pt>
                <c:pt idx="154">
                  <c:v>100.56708</c:v>
                </c:pt>
                <c:pt idx="155">
                  <c:v>100.59146</c:v>
                </c:pt>
                <c:pt idx="156">
                  <c:v>100.58982999999999</c:v>
                </c:pt>
                <c:pt idx="157">
                  <c:v>100.54848</c:v>
                </c:pt>
                <c:pt idx="158">
                  <c:v>100.55234</c:v>
                </c:pt>
                <c:pt idx="159">
                  <c:v>100.52049</c:v>
                </c:pt>
                <c:pt idx="160">
                  <c:v>100.5121</c:v>
                </c:pt>
                <c:pt idx="161">
                  <c:v>100.59115</c:v>
                </c:pt>
                <c:pt idx="162">
                  <c:v>100.51767</c:v>
                </c:pt>
                <c:pt idx="163">
                  <c:v>100.49590999999999</c:v>
                </c:pt>
                <c:pt idx="164">
                  <c:v>100.46778999999999</c:v>
                </c:pt>
                <c:pt idx="165">
                  <c:v>100.53949</c:v>
                </c:pt>
                <c:pt idx="166">
                  <c:v>100.49263999999999</c:v>
                </c:pt>
                <c:pt idx="167">
                  <c:v>100.53993</c:v>
                </c:pt>
                <c:pt idx="168">
                  <c:v>100.54826</c:v>
                </c:pt>
                <c:pt idx="169">
                  <c:v>100.40201</c:v>
                </c:pt>
                <c:pt idx="170">
                  <c:v>100.44521</c:v>
                </c:pt>
                <c:pt idx="171">
                  <c:v>100.43921</c:v>
                </c:pt>
                <c:pt idx="172">
                  <c:v>100.47732999999999</c:v>
                </c:pt>
                <c:pt idx="173">
                  <c:v>100.52258999999999</c:v>
                </c:pt>
                <c:pt idx="174">
                  <c:v>100.4802</c:v>
                </c:pt>
                <c:pt idx="175">
                  <c:v>100.50024000000001</c:v>
                </c:pt>
                <c:pt idx="176">
                  <c:v>100.53398</c:v>
                </c:pt>
                <c:pt idx="177">
                  <c:v>100.45412</c:v>
                </c:pt>
                <c:pt idx="178">
                  <c:v>100.42679</c:v>
                </c:pt>
                <c:pt idx="179">
                  <c:v>100.43541999999999</c:v>
                </c:pt>
                <c:pt idx="180">
                  <c:v>100.41842</c:v>
                </c:pt>
                <c:pt idx="181">
                  <c:v>100.40429999999999</c:v>
                </c:pt>
                <c:pt idx="182">
                  <c:v>100.46426</c:v>
                </c:pt>
                <c:pt idx="183">
                  <c:v>100.29584</c:v>
                </c:pt>
                <c:pt idx="184">
                  <c:v>100.34600999999999</c:v>
                </c:pt>
                <c:pt idx="185">
                  <c:v>100.40427</c:v>
                </c:pt>
                <c:pt idx="186">
                  <c:v>100.401</c:v>
                </c:pt>
                <c:pt idx="187">
                  <c:v>100.43325</c:v>
                </c:pt>
                <c:pt idx="188">
                  <c:v>100.36066</c:v>
                </c:pt>
                <c:pt idx="189">
                  <c:v>100.43725999999999</c:v>
                </c:pt>
                <c:pt idx="190">
                  <c:v>100.36976</c:v>
                </c:pt>
                <c:pt idx="191">
                  <c:v>100.33105</c:v>
                </c:pt>
                <c:pt idx="192">
                  <c:v>100.31327</c:v>
                </c:pt>
                <c:pt idx="193">
                  <c:v>100.33175</c:v>
                </c:pt>
                <c:pt idx="194">
                  <c:v>100.43608</c:v>
                </c:pt>
                <c:pt idx="195">
                  <c:v>100.32146</c:v>
                </c:pt>
                <c:pt idx="196">
                  <c:v>100.34156</c:v>
                </c:pt>
                <c:pt idx="197">
                  <c:v>100.28673999999999</c:v>
                </c:pt>
                <c:pt idx="198">
                  <c:v>100.30381</c:v>
                </c:pt>
                <c:pt idx="199">
                  <c:v>100.27979000000001</c:v>
                </c:pt>
                <c:pt idx="200">
                  <c:v>100.23399000000001</c:v>
                </c:pt>
                <c:pt idx="201">
                  <c:v>100.33824</c:v>
                </c:pt>
                <c:pt idx="202">
                  <c:v>100.26364</c:v>
                </c:pt>
                <c:pt idx="203">
                  <c:v>100.28740999999999</c:v>
                </c:pt>
                <c:pt idx="204">
                  <c:v>100.28856999999999</c:v>
                </c:pt>
                <c:pt idx="205">
                  <c:v>100.34958</c:v>
                </c:pt>
                <c:pt idx="206">
                  <c:v>100.25811</c:v>
                </c:pt>
                <c:pt idx="207">
                  <c:v>100.27284</c:v>
                </c:pt>
                <c:pt idx="208">
                  <c:v>100.27651</c:v>
                </c:pt>
                <c:pt idx="209">
                  <c:v>100.26409</c:v>
                </c:pt>
                <c:pt idx="210">
                  <c:v>100.25949</c:v>
                </c:pt>
                <c:pt idx="211">
                  <c:v>100.30709</c:v>
                </c:pt>
                <c:pt idx="212">
                  <c:v>100.25842</c:v>
                </c:pt>
                <c:pt idx="213">
                  <c:v>100.25857999999999</c:v>
                </c:pt>
                <c:pt idx="214">
                  <c:v>100.28129</c:v>
                </c:pt>
                <c:pt idx="215">
                  <c:v>100.16449</c:v>
                </c:pt>
                <c:pt idx="216">
                  <c:v>100.14491</c:v>
                </c:pt>
                <c:pt idx="217">
                  <c:v>100.23596999999999</c:v>
                </c:pt>
                <c:pt idx="218">
                  <c:v>100.14449999999999</c:v>
                </c:pt>
                <c:pt idx="219">
                  <c:v>100.19399</c:v>
                </c:pt>
                <c:pt idx="220">
                  <c:v>100.19638999999999</c:v>
                </c:pt>
                <c:pt idx="221">
                  <c:v>100.20371</c:v>
                </c:pt>
                <c:pt idx="222">
                  <c:v>100.20732</c:v>
                </c:pt>
                <c:pt idx="223">
                  <c:v>100.15939</c:v>
                </c:pt>
                <c:pt idx="224">
                  <c:v>100.22239</c:v>
                </c:pt>
                <c:pt idx="225">
                  <c:v>100.18716999999999</c:v>
                </c:pt>
                <c:pt idx="226">
                  <c:v>100.13453</c:v>
                </c:pt>
                <c:pt idx="227">
                  <c:v>100.20075</c:v>
                </c:pt>
                <c:pt idx="228">
                  <c:v>100.15536</c:v>
                </c:pt>
                <c:pt idx="229">
                  <c:v>100.11691</c:v>
                </c:pt>
                <c:pt idx="230">
                  <c:v>100.10026999999999</c:v>
                </c:pt>
                <c:pt idx="231">
                  <c:v>100.08425</c:v>
                </c:pt>
                <c:pt idx="232">
                  <c:v>100.20050000000001</c:v>
                </c:pt>
                <c:pt idx="233">
                  <c:v>100.04388</c:v>
                </c:pt>
                <c:pt idx="234">
                  <c:v>100.15743000000001</c:v>
                </c:pt>
                <c:pt idx="235">
                  <c:v>100.0724</c:v>
                </c:pt>
                <c:pt idx="236">
                  <c:v>100.07841000000001</c:v>
                </c:pt>
                <c:pt idx="237">
                  <c:v>100.00509</c:v>
                </c:pt>
                <c:pt idx="238">
                  <c:v>100.1349</c:v>
                </c:pt>
                <c:pt idx="239">
                  <c:v>100.11866000000001</c:v>
                </c:pt>
                <c:pt idx="240">
                  <c:v>100.10359</c:v>
                </c:pt>
                <c:pt idx="241">
                  <c:v>100.02368</c:v>
                </c:pt>
                <c:pt idx="242">
                  <c:v>100.03919</c:v>
                </c:pt>
                <c:pt idx="243">
                  <c:v>100.0937</c:v>
                </c:pt>
                <c:pt idx="244">
                  <c:v>100.03223</c:v>
                </c:pt>
                <c:pt idx="245">
                  <c:v>99.989499999999992</c:v>
                </c:pt>
                <c:pt idx="246">
                  <c:v>100.03135</c:v>
                </c:pt>
                <c:pt idx="247">
                  <c:v>100.03265999999999</c:v>
                </c:pt>
                <c:pt idx="248">
                  <c:v>100.04590999999999</c:v>
                </c:pt>
                <c:pt idx="249">
                  <c:v>100.02289</c:v>
                </c:pt>
                <c:pt idx="250">
                  <c:v>99.992890000000003</c:v>
                </c:pt>
                <c:pt idx="251">
                  <c:v>99.946820000000002</c:v>
                </c:pt>
                <c:pt idx="252">
                  <c:v>100.0625</c:v>
                </c:pt>
                <c:pt idx="253">
                  <c:v>99.982079999999996</c:v>
                </c:pt>
                <c:pt idx="254">
                  <c:v>99.973939999999999</c:v>
                </c:pt>
                <c:pt idx="255">
                  <c:v>100.03693</c:v>
                </c:pt>
                <c:pt idx="256">
                  <c:v>100.00924999999999</c:v>
                </c:pt>
                <c:pt idx="257">
                  <c:v>99.928759999999997</c:v>
                </c:pt>
                <c:pt idx="258">
                  <c:v>99.900270000000006</c:v>
                </c:pt>
                <c:pt idx="259">
                  <c:v>99.920079999999999</c:v>
                </c:pt>
                <c:pt idx="260">
                  <c:v>100.01130999999999</c:v>
                </c:pt>
                <c:pt idx="261">
                  <c:v>100.04322000000001</c:v>
                </c:pt>
                <c:pt idx="262">
                  <c:v>99.87715</c:v>
                </c:pt>
                <c:pt idx="263">
                  <c:v>99.998249999999999</c:v>
                </c:pt>
                <c:pt idx="264">
                  <c:v>99.837949999999992</c:v>
                </c:pt>
                <c:pt idx="265">
                  <c:v>99.870139999999992</c:v>
                </c:pt>
                <c:pt idx="266">
                  <c:v>99.890339999999995</c:v>
                </c:pt>
                <c:pt idx="267">
                  <c:v>99.893799999999999</c:v>
                </c:pt>
                <c:pt idx="268">
                  <c:v>99.976410000000001</c:v>
                </c:pt>
                <c:pt idx="269">
                  <c:v>99.75703</c:v>
                </c:pt>
                <c:pt idx="270">
                  <c:v>99.858750000000001</c:v>
                </c:pt>
                <c:pt idx="271">
                  <c:v>99.839349999999996</c:v>
                </c:pt>
                <c:pt idx="272">
                  <c:v>99.888279999999995</c:v>
                </c:pt>
                <c:pt idx="273">
                  <c:v>99.765730000000005</c:v>
                </c:pt>
                <c:pt idx="274">
                  <c:v>99.885229999999993</c:v>
                </c:pt>
                <c:pt idx="275">
                  <c:v>99.830330000000004</c:v>
                </c:pt>
                <c:pt idx="276">
                  <c:v>99.823840000000004</c:v>
                </c:pt>
                <c:pt idx="277">
                  <c:v>99.799530000000004</c:v>
                </c:pt>
                <c:pt idx="278">
                  <c:v>99.900859999999994</c:v>
                </c:pt>
                <c:pt idx="279">
                  <c:v>99.848579999999998</c:v>
                </c:pt>
                <c:pt idx="280">
                  <c:v>99.85445</c:v>
                </c:pt>
                <c:pt idx="281">
                  <c:v>99.756929999999997</c:v>
                </c:pt>
                <c:pt idx="282">
                  <c:v>99.825639999999993</c:v>
                </c:pt>
                <c:pt idx="283">
                  <c:v>99.787599999999998</c:v>
                </c:pt>
                <c:pt idx="284">
                  <c:v>99.752420000000001</c:v>
                </c:pt>
                <c:pt idx="285">
                  <c:v>99.795990000000003</c:v>
                </c:pt>
                <c:pt idx="286">
                  <c:v>99.771429999999995</c:v>
                </c:pt>
                <c:pt idx="287">
                  <c:v>99.787880000000001</c:v>
                </c:pt>
                <c:pt idx="288">
                  <c:v>99.747289999999992</c:v>
                </c:pt>
                <c:pt idx="289">
                  <c:v>99.696849999999998</c:v>
                </c:pt>
                <c:pt idx="290">
                  <c:v>99.691739999999996</c:v>
                </c:pt>
                <c:pt idx="291">
                  <c:v>99.829849999999993</c:v>
                </c:pt>
                <c:pt idx="292">
                  <c:v>99.77028</c:v>
                </c:pt>
                <c:pt idx="293">
                  <c:v>99.680149999999998</c:v>
                </c:pt>
                <c:pt idx="294">
                  <c:v>99.84169</c:v>
                </c:pt>
                <c:pt idx="295">
                  <c:v>99.754459999999995</c:v>
                </c:pt>
                <c:pt idx="296">
                  <c:v>99.711500000000001</c:v>
                </c:pt>
                <c:pt idx="297">
                  <c:v>99.665689999999998</c:v>
                </c:pt>
                <c:pt idx="298">
                  <c:v>99.691019999999995</c:v>
                </c:pt>
                <c:pt idx="299">
                  <c:v>99.697010000000006</c:v>
                </c:pt>
                <c:pt idx="300">
                  <c:v>99.683170000000004</c:v>
                </c:pt>
                <c:pt idx="301">
                  <c:v>99.615849999999995</c:v>
                </c:pt>
                <c:pt idx="302">
                  <c:v>99.671800000000005</c:v>
                </c:pt>
                <c:pt idx="303">
                  <c:v>99.627660000000006</c:v>
                </c:pt>
                <c:pt idx="304">
                  <c:v>99.71105</c:v>
                </c:pt>
                <c:pt idx="305">
                  <c:v>99.669299999999993</c:v>
                </c:pt>
                <c:pt idx="306">
                  <c:v>99.681740000000005</c:v>
                </c:pt>
                <c:pt idx="307">
                  <c:v>99.639290000000003</c:v>
                </c:pt>
                <c:pt idx="308">
                  <c:v>99.573279999999997</c:v>
                </c:pt>
                <c:pt idx="309">
                  <c:v>99.543260000000004</c:v>
                </c:pt>
                <c:pt idx="310">
                  <c:v>99.698309999999992</c:v>
                </c:pt>
                <c:pt idx="311">
                  <c:v>99.585049999999995</c:v>
                </c:pt>
                <c:pt idx="312">
                  <c:v>99.618669999999995</c:v>
                </c:pt>
                <c:pt idx="313">
                  <c:v>99.606840000000005</c:v>
                </c:pt>
                <c:pt idx="314">
                  <c:v>99.556129999999996</c:v>
                </c:pt>
                <c:pt idx="315">
                  <c:v>99.580839999999995</c:v>
                </c:pt>
                <c:pt idx="316">
                  <c:v>99.577439999999996</c:v>
                </c:pt>
                <c:pt idx="317">
                  <c:v>99.53537</c:v>
                </c:pt>
                <c:pt idx="318">
                  <c:v>99.563519999999997</c:v>
                </c:pt>
                <c:pt idx="319">
                  <c:v>99.708100000000002</c:v>
                </c:pt>
                <c:pt idx="320">
                  <c:v>99.562089999999998</c:v>
                </c:pt>
                <c:pt idx="321">
                  <c:v>99.460759999999993</c:v>
                </c:pt>
                <c:pt idx="322">
                  <c:v>99.54468</c:v>
                </c:pt>
                <c:pt idx="323">
                  <c:v>99.47099</c:v>
                </c:pt>
                <c:pt idx="324">
                  <c:v>99.471559999999997</c:v>
                </c:pt>
                <c:pt idx="325">
                  <c:v>99.568219999999997</c:v>
                </c:pt>
                <c:pt idx="326">
                  <c:v>99.544479999999993</c:v>
                </c:pt>
                <c:pt idx="327">
                  <c:v>99.447869999999995</c:v>
                </c:pt>
                <c:pt idx="328">
                  <c:v>99.507779999999997</c:v>
                </c:pt>
                <c:pt idx="329">
                  <c:v>99.474429999999998</c:v>
                </c:pt>
                <c:pt idx="330">
                  <c:v>99.432760000000002</c:v>
                </c:pt>
                <c:pt idx="331">
                  <c:v>99.481520000000003</c:v>
                </c:pt>
                <c:pt idx="332">
                  <c:v>99.495750000000001</c:v>
                </c:pt>
                <c:pt idx="333">
                  <c:v>99.490939999999995</c:v>
                </c:pt>
                <c:pt idx="334">
                  <c:v>99.459310000000002</c:v>
                </c:pt>
                <c:pt idx="335">
                  <c:v>99.448989999999995</c:v>
                </c:pt>
                <c:pt idx="336">
                  <c:v>99.467259999999996</c:v>
                </c:pt>
                <c:pt idx="337">
                  <c:v>99.472200000000001</c:v>
                </c:pt>
                <c:pt idx="338">
                  <c:v>99.435050000000004</c:v>
                </c:pt>
                <c:pt idx="339">
                  <c:v>99.409049999999993</c:v>
                </c:pt>
                <c:pt idx="340">
                  <c:v>99.444159999999997</c:v>
                </c:pt>
                <c:pt idx="341">
                  <c:v>99.428830000000005</c:v>
                </c:pt>
                <c:pt idx="342">
                  <c:v>99.437359999999998</c:v>
                </c:pt>
                <c:pt idx="343">
                  <c:v>99.306950000000001</c:v>
                </c:pt>
                <c:pt idx="344">
                  <c:v>99.360979999999998</c:v>
                </c:pt>
                <c:pt idx="345">
                  <c:v>99.32499</c:v>
                </c:pt>
                <c:pt idx="346">
                  <c:v>99.382409999999993</c:v>
                </c:pt>
                <c:pt idx="347">
                  <c:v>99.371099999999998</c:v>
                </c:pt>
                <c:pt idx="348">
                  <c:v>99.340509999999995</c:v>
                </c:pt>
                <c:pt idx="349">
                  <c:v>99.348990000000001</c:v>
                </c:pt>
                <c:pt idx="350">
                  <c:v>99.331980000000001</c:v>
                </c:pt>
                <c:pt idx="351">
                  <c:v>99.352949999999993</c:v>
                </c:pt>
                <c:pt idx="352">
                  <c:v>99.289439999999999</c:v>
                </c:pt>
                <c:pt idx="353">
                  <c:v>99.348280000000003</c:v>
                </c:pt>
                <c:pt idx="354">
                  <c:v>99.368349999999992</c:v>
                </c:pt>
                <c:pt idx="355">
                  <c:v>99.336380000000005</c:v>
                </c:pt>
                <c:pt idx="356">
                  <c:v>99.222200000000001</c:v>
                </c:pt>
                <c:pt idx="357">
                  <c:v>99.230239999999995</c:v>
                </c:pt>
                <c:pt idx="358">
                  <c:v>99.274019999999993</c:v>
                </c:pt>
                <c:pt idx="359">
                  <c:v>99.184659999999994</c:v>
                </c:pt>
                <c:pt idx="360">
                  <c:v>99.232659999999996</c:v>
                </c:pt>
                <c:pt idx="361">
                  <c:v>99.232320000000001</c:v>
                </c:pt>
                <c:pt idx="362">
                  <c:v>99.218159999999997</c:v>
                </c:pt>
                <c:pt idx="363">
                  <c:v>99.109480000000005</c:v>
                </c:pt>
                <c:pt idx="364">
                  <c:v>99.237080000000006</c:v>
                </c:pt>
                <c:pt idx="365">
                  <c:v>99.146249999999995</c:v>
                </c:pt>
                <c:pt idx="366">
                  <c:v>99.202280000000002</c:v>
                </c:pt>
                <c:pt idx="367">
                  <c:v>99.191079999999999</c:v>
                </c:pt>
                <c:pt idx="368">
                  <c:v>99.286389999999997</c:v>
                </c:pt>
                <c:pt idx="369">
                  <c:v>99.209230000000005</c:v>
                </c:pt>
                <c:pt idx="370">
                  <c:v>99.153989999999993</c:v>
                </c:pt>
                <c:pt idx="371">
                  <c:v>99.279269999999997</c:v>
                </c:pt>
                <c:pt idx="372">
                  <c:v>99.104659999999996</c:v>
                </c:pt>
                <c:pt idx="373">
                  <c:v>99.16704</c:v>
                </c:pt>
                <c:pt idx="374">
                  <c:v>99.121949999999998</c:v>
                </c:pt>
                <c:pt idx="375">
                  <c:v>99.228790000000004</c:v>
                </c:pt>
                <c:pt idx="376">
                  <c:v>99.042090000000002</c:v>
                </c:pt>
                <c:pt idx="377">
                  <c:v>99.140439999999998</c:v>
                </c:pt>
                <c:pt idx="378">
                  <c:v>99.100390000000004</c:v>
                </c:pt>
                <c:pt idx="379">
                  <c:v>99.123130000000003</c:v>
                </c:pt>
                <c:pt idx="380">
                  <c:v>99.078459999999993</c:v>
                </c:pt>
                <c:pt idx="381">
                  <c:v>99.138599999999997</c:v>
                </c:pt>
                <c:pt idx="382">
                  <c:v>99.030910000000006</c:v>
                </c:pt>
                <c:pt idx="383">
                  <c:v>99.109899999999996</c:v>
                </c:pt>
                <c:pt idx="384">
                  <c:v>99.059349999999995</c:v>
                </c:pt>
                <c:pt idx="385">
                  <c:v>99.014129999999994</c:v>
                </c:pt>
                <c:pt idx="386">
                  <c:v>98.997349999999997</c:v>
                </c:pt>
                <c:pt idx="387">
                  <c:v>99.052939999999992</c:v>
                </c:pt>
                <c:pt idx="388">
                  <c:v>99.108329999999995</c:v>
                </c:pt>
                <c:pt idx="389">
                  <c:v>98.995339999999999</c:v>
                </c:pt>
                <c:pt idx="390">
                  <c:v>99.038619999999995</c:v>
                </c:pt>
                <c:pt idx="391">
                  <c:v>99.065820000000002</c:v>
                </c:pt>
                <c:pt idx="392">
                  <c:v>99.034189999999995</c:v>
                </c:pt>
                <c:pt idx="393">
                  <c:v>99.021240000000006</c:v>
                </c:pt>
                <c:pt idx="394">
                  <c:v>98.912059999999997</c:v>
                </c:pt>
                <c:pt idx="395">
                  <c:v>98.941119999999998</c:v>
                </c:pt>
                <c:pt idx="396">
                  <c:v>99.055890000000005</c:v>
                </c:pt>
                <c:pt idx="397">
                  <c:v>99.016009999999994</c:v>
                </c:pt>
                <c:pt idx="398">
                  <c:v>99.129199999999997</c:v>
                </c:pt>
                <c:pt idx="399">
                  <c:v>98.899659999999997</c:v>
                </c:pt>
                <c:pt idx="400">
                  <c:v>99.001300000000001</c:v>
                </c:pt>
                <c:pt idx="401">
                  <c:v>98.953059999999994</c:v>
                </c:pt>
                <c:pt idx="402">
                  <c:v>98.946569999999994</c:v>
                </c:pt>
                <c:pt idx="403">
                  <c:v>98.987409999999997</c:v>
                </c:pt>
                <c:pt idx="404">
                  <c:v>98.891739999999999</c:v>
                </c:pt>
                <c:pt idx="405">
                  <c:v>98.912649999999999</c:v>
                </c:pt>
                <c:pt idx="406">
                  <c:v>99.060890000000001</c:v>
                </c:pt>
                <c:pt idx="407">
                  <c:v>98.799179999999993</c:v>
                </c:pt>
                <c:pt idx="408">
                  <c:v>98.870810000000006</c:v>
                </c:pt>
                <c:pt idx="409">
                  <c:v>98.889960000000002</c:v>
                </c:pt>
                <c:pt idx="410">
                  <c:v>98.860749999999996</c:v>
                </c:pt>
                <c:pt idx="411">
                  <c:v>98.947149999999993</c:v>
                </c:pt>
                <c:pt idx="412">
                  <c:v>98.851730000000003</c:v>
                </c:pt>
                <c:pt idx="413">
                  <c:v>98.757419999999996</c:v>
                </c:pt>
                <c:pt idx="414">
                  <c:v>98.884320000000002</c:v>
                </c:pt>
                <c:pt idx="415">
                  <c:v>98.836910000000003</c:v>
                </c:pt>
                <c:pt idx="416">
                  <c:v>98.873530000000002</c:v>
                </c:pt>
                <c:pt idx="417">
                  <c:v>98.84769</c:v>
                </c:pt>
                <c:pt idx="418">
                  <c:v>98.858549999999994</c:v>
                </c:pt>
                <c:pt idx="419">
                  <c:v>98.775700000000001</c:v>
                </c:pt>
                <c:pt idx="420">
                  <c:v>98.887959999999993</c:v>
                </c:pt>
                <c:pt idx="421">
                  <c:v>98.864239999999995</c:v>
                </c:pt>
                <c:pt idx="422">
                  <c:v>98.761020000000002</c:v>
                </c:pt>
                <c:pt idx="423">
                  <c:v>98.765039999999999</c:v>
                </c:pt>
                <c:pt idx="424">
                  <c:v>98.752929999999992</c:v>
                </c:pt>
                <c:pt idx="425">
                  <c:v>98.742549999999994</c:v>
                </c:pt>
                <c:pt idx="426">
                  <c:v>98.765379999999993</c:v>
                </c:pt>
                <c:pt idx="427">
                  <c:v>98.766499999999994</c:v>
                </c:pt>
                <c:pt idx="428">
                  <c:v>98.763139999999993</c:v>
                </c:pt>
                <c:pt idx="429">
                  <c:v>98.888310000000004</c:v>
                </c:pt>
                <c:pt idx="430">
                  <c:v>98.874970000000005</c:v>
                </c:pt>
                <c:pt idx="431">
                  <c:v>98.740080000000006</c:v>
                </c:pt>
                <c:pt idx="432">
                  <c:v>98.806749999999994</c:v>
                </c:pt>
                <c:pt idx="433">
                  <c:v>98.691969999999998</c:v>
                </c:pt>
                <c:pt idx="434">
                  <c:v>98.720230000000001</c:v>
                </c:pt>
                <c:pt idx="435">
                  <c:v>98.782409999999999</c:v>
                </c:pt>
                <c:pt idx="436">
                  <c:v>98.752160000000003</c:v>
                </c:pt>
                <c:pt idx="437">
                  <c:v>98.650859999999994</c:v>
                </c:pt>
                <c:pt idx="438">
                  <c:v>98.662710000000004</c:v>
                </c:pt>
                <c:pt idx="439">
                  <c:v>98.719070000000002</c:v>
                </c:pt>
                <c:pt idx="440">
                  <c:v>98.711200000000005</c:v>
                </c:pt>
                <c:pt idx="441">
                  <c:v>98.737259999999992</c:v>
                </c:pt>
                <c:pt idx="442">
                  <c:v>98.570589999999996</c:v>
                </c:pt>
                <c:pt idx="443">
                  <c:v>98.685280000000006</c:v>
                </c:pt>
                <c:pt idx="444">
                  <c:v>98.670999999999992</c:v>
                </c:pt>
                <c:pt idx="445">
                  <c:v>98.678539999999998</c:v>
                </c:pt>
                <c:pt idx="446">
                  <c:v>98.580370000000002</c:v>
                </c:pt>
                <c:pt idx="447">
                  <c:v>98.668599999999998</c:v>
                </c:pt>
                <c:pt idx="448">
                  <c:v>98.650099999999995</c:v>
                </c:pt>
                <c:pt idx="449">
                  <c:v>98.720680000000002</c:v>
                </c:pt>
                <c:pt idx="450">
                  <c:v>98.578519999999997</c:v>
                </c:pt>
                <c:pt idx="451">
                  <c:v>98.694580000000002</c:v>
                </c:pt>
                <c:pt idx="452">
                  <c:v>98.614689999999996</c:v>
                </c:pt>
                <c:pt idx="453">
                  <c:v>98.642120000000006</c:v>
                </c:pt>
                <c:pt idx="454">
                  <c:v>98.567080000000004</c:v>
                </c:pt>
                <c:pt idx="455">
                  <c:v>98.557680000000005</c:v>
                </c:pt>
                <c:pt idx="456">
                  <c:v>98.619690000000006</c:v>
                </c:pt>
                <c:pt idx="457">
                  <c:v>98.569980000000001</c:v>
                </c:pt>
                <c:pt idx="458">
                  <c:v>98.562290000000004</c:v>
                </c:pt>
                <c:pt idx="459">
                  <c:v>98.501869999999997</c:v>
                </c:pt>
                <c:pt idx="460">
                  <c:v>98.461129999999997</c:v>
                </c:pt>
                <c:pt idx="461">
                  <c:v>98.622140000000002</c:v>
                </c:pt>
                <c:pt idx="462">
                  <c:v>98.488879999999995</c:v>
                </c:pt>
                <c:pt idx="463">
                  <c:v>98.470039999999997</c:v>
                </c:pt>
                <c:pt idx="464">
                  <c:v>98.496179999999995</c:v>
                </c:pt>
                <c:pt idx="465">
                  <c:v>98.516530000000003</c:v>
                </c:pt>
                <c:pt idx="466">
                  <c:v>98.554909999999992</c:v>
                </c:pt>
                <c:pt idx="467">
                  <c:v>98.410529999999994</c:v>
                </c:pt>
                <c:pt idx="468">
                  <c:v>98.444209999999998</c:v>
                </c:pt>
                <c:pt idx="469">
                  <c:v>98.390529999999998</c:v>
                </c:pt>
                <c:pt idx="470">
                  <c:v>98.52073</c:v>
                </c:pt>
                <c:pt idx="471">
                  <c:v>98.363510000000005</c:v>
                </c:pt>
                <c:pt idx="472">
                  <c:v>98.423329999999993</c:v>
                </c:pt>
                <c:pt idx="473">
                  <c:v>98.483549999999994</c:v>
                </c:pt>
                <c:pt idx="474">
                  <c:v>98.247739999999993</c:v>
                </c:pt>
                <c:pt idx="475">
                  <c:v>98.427199999999999</c:v>
                </c:pt>
                <c:pt idx="476">
                  <c:v>98.392430000000004</c:v>
                </c:pt>
                <c:pt idx="477">
                  <c:v>98.358289999999997</c:v>
                </c:pt>
                <c:pt idx="478">
                  <c:v>98.490809999999996</c:v>
                </c:pt>
                <c:pt idx="479">
                  <c:v>98.386520000000004</c:v>
                </c:pt>
                <c:pt idx="480">
                  <c:v>98.502269999999996</c:v>
                </c:pt>
                <c:pt idx="481">
                  <c:v>98.508759999999995</c:v>
                </c:pt>
                <c:pt idx="482">
                  <c:v>98.375399999999999</c:v>
                </c:pt>
                <c:pt idx="483">
                  <c:v>98.453819999999993</c:v>
                </c:pt>
                <c:pt idx="484">
                  <c:v>98.402349999999998</c:v>
                </c:pt>
                <c:pt idx="485">
                  <c:v>98.264560000000003</c:v>
                </c:pt>
                <c:pt idx="486">
                  <c:v>98.382570000000001</c:v>
                </c:pt>
                <c:pt idx="487">
                  <c:v>98.239990000000006</c:v>
                </c:pt>
                <c:pt idx="488">
                  <c:v>98.349429999999998</c:v>
                </c:pt>
                <c:pt idx="489">
                  <c:v>98.290189999999996</c:v>
                </c:pt>
                <c:pt idx="490">
                  <c:v>98.321150000000003</c:v>
                </c:pt>
                <c:pt idx="491">
                  <c:v>98.311440000000005</c:v>
                </c:pt>
                <c:pt idx="492">
                  <c:v>98.324749999999995</c:v>
                </c:pt>
                <c:pt idx="493">
                  <c:v>98.33484</c:v>
                </c:pt>
                <c:pt idx="494">
                  <c:v>98.259659999999997</c:v>
                </c:pt>
                <c:pt idx="495">
                  <c:v>98.356160000000003</c:v>
                </c:pt>
                <c:pt idx="496">
                  <c:v>98.301199999999994</c:v>
                </c:pt>
                <c:pt idx="497">
                  <c:v>98.379109999999997</c:v>
                </c:pt>
                <c:pt idx="498">
                  <c:v>98.273780000000002</c:v>
                </c:pt>
                <c:pt idx="499">
                  <c:v>98.268370000000004</c:v>
                </c:pt>
                <c:pt idx="500">
                  <c:v>98.28922</c:v>
                </c:pt>
                <c:pt idx="501">
                  <c:v>98.312989999999999</c:v>
                </c:pt>
                <c:pt idx="502">
                  <c:v>98.279929999999993</c:v>
                </c:pt>
                <c:pt idx="503">
                  <c:v>98.188400000000001</c:v>
                </c:pt>
                <c:pt idx="504">
                  <c:v>98.242779999999996</c:v>
                </c:pt>
                <c:pt idx="505">
                  <c:v>98.223649999999992</c:v>
                </c:pt>
                <c:pt idx="506">
                  <c:v>98.16431</c:v>
                </c:pt>
                <c:pt idx="507">
                  <c:v>98.129899999999992</c:v>
                </c:pt>
                <c:pt idx="508">
                  <c:v>98.263090000000005</c:v>
                </c:pt>
                <c:pt idx="509">
                  <c:v>98.17662</c:v>
                </c:pt>
                <c:pt idx="510">
                  <c:v>98.175089999999997</c:v>
                </c:pt>
                <c:pt idx="511">
                  <c:v>98.256289999999993</c:v>
                </c:pt>
                <c:pt idx="512">
                  <c:v>98.240679999999998</c:v>
                </c:pt>
                <c:pt idx="513">
                  <c:v>98.243120000000005</c:v>
                </c:pt>
                <c:pt idx="514">
                  <c:v>98.297110000000004</c:v>
                </c:pt>
                <c:pt idx="515">
                  <c:v>98.205740000000006</c:v>
                </c:pt>
                <c:pt idx="516">
                  <c:v>98.062060000000002</c:v>
                </c:pt>
                <c:pt idx="517">
                  <c:v>98.13937</c:v>
                </c:pt>
                <c:pt idx="518">
                  <c:v>98.10069</c:v>
                </c:pt>
                <c:pt idx="519">
                  <c:v>98.118799999999993</c:v>
                </c:pt>
                <c:pt idx="520">
                  <c:v>98.183350000000004</c:v>
                </c:pt>
                <c:pt idx="521">
                  <c:v>98.179109999999994</c:v>
                </c:pt>
                <c:pt idx="522">
                  <c:v>98.227829999999997</c:v>
                </c:pt>
                <c:pt idx="523">
                  <c:v>98.127409999999998</c:v>
                </c:pt>
                <c:pt idx="524">
                  <c:v>97.997960000000006</c:v>
                </c:pt>
                <c:pt idx="525">
                  <c:v>98.100899999999996</c:v>
                </c:pt>
                <c:pt idx="526">
                  <c:v>98.098339999999993</c:v>
                </c:pt>
                <c:pt idx="527">
                  <c:v>98.122810000000001</c:v>
                </c:pt>
                <c:pt idx="528">
                  <c:v>98.005679999999998</c:v>
                </c:pt>
                <c:pt idx="529">
                  <c:v>97.994169999999997</c:v>
                </c:pt>
                <c:pt idx="530">
                  <c:v>98.106639999999999</c:v>
                </c:pt>
                <c:pt idx="531">
                  <c:v>98.016099999999994</c:v>
                </c:pt>
                <c:pt idx="532">
                  <c:v>98.154730000000001</c:v>
                </c:pt>
                <c:pt idx="533">
                  <c:v>98.003230000000002</c:v>
                </c:pt>
                <c:pt idx="534">
                  <c:v>97.985209999999995</c:v>
                </c:pt>
                <c:pt idx="535">
                  <c:v>97.967029999999994</c:v>
                </c:pt>
                <c:pt idx="536">
                  <c:v>98.021429999999995</c:v>
                </c:pt>
                <c:pt idx="537">
                  <c:v>97.995710000000003</c:v>
                </c:pt>
                <c:pt idx="538">
                  <c:v>97.918509999999998</c:v>
                </c:pt>
                <c:pt idx="539">
                  <c:v>97.947580000000002</c:v>
                </c:pt>
                <c:pt idx="540">
                  <c:v>97.991110000000006</c:v>
                </c:pt>
                <c:pt idx="541">
                  <c:v>98.005510000000001</c:v>
                </c:pt>
                <c:pt idx="542">
                  <c:v>97.967280000000002</c:v>
                </c:pt>
                <c:pt idx="543">
                  <c:v>97.958460000000002</c:v>
                </c:pt>
                <c:pt idx="544">
                  <c:v>97.961089999999999</c:v>
                </c:pt>
                <c:pt idx="545">
                  <c:v>98.002650000000003</c:v>
                </c:pt>
                <c:pt idx="546">
                  <c:v>97.874269999999996</c:v>
                </c:pt>
                <c:pt idx="547">
                  <c:v>97.991619999999998</c:v>
                </c:pt>
                <c:pt idx="548">
                  <c:v>98.031629999999993</c:v>
                </c:pt>
                <c:pt idx="549">
                  <c:v>97.87115</c:v>
                </c:pt>
                <c:pt idx="550">
                  <c:v>97.933920000000001</c:v>
                </c:pt>
                <c:pt idx="551">
                  <c:v>97.910119999999992</c:v>
                </c:pt>
                <c:pt idx="552">
                  <c:v>98.154139999999998</c:v>
                </c:pt>
                <c:pt idx="553">
                  <c:v>97.923969999999997</c:v>
                </c:pt>
                <c:pt idx="554">
                  <c:v>97.928110000000004</c:v>
                </c:pt>
                <c:pt idx="555">
                  <c:v>97.916989999999998</c:v>
                </c:pt>
                <c:pt idx="556">
                  <c:v>97.901859999999999</c:v>
                </c:pt>
                <c:pt idx="557">
                  <c:v>97.884990000000002</c:v>
                </c:pt>
                <c:pt idx="558">
                  <c:v>97.991900000000001</c:v>
                </c:pt>
                <c:pt idx="559">
                  <c:v>97.931510000000003</c:v>
                </c:pt>
                <c:pt idx="560">
                  <c:v>97.797399999999996</c:v>
                </c:pt>
                <c:pt idx="561">
                  <c:v>97.741190000000003</c:v>
                </c:pt>
                <c:pt idx="562">
                  <c:v>97.885490000000004</c:v>
                </c:pt>
                <c:pt idx="563">
                  <c:v>97.885059999999996</c:v>
                </c:pt>
                <c:pt idx="564">
                  <c:v>97.724130000000002</c:v>
                </c:pt>
                <c:pt idx="565">
                  <c:v>97.782709999999994</c:v>
                </c:pt>
                <c:pt idx="566">
                  <c:v>97.792689999999993</c:v>
                </c:pt>
                <c:pt idx="567">
                  <c:v>97.830200000000005</c:v>
                </c:pt>
                <c:pt idx="568">
                  <c:v>97.778440000000003</c:v>
                </c:pt>
                <c:pt idx="569">
                  <c:v>97.754909999999995</c:v>
                </c:pt>
                <c:pt idx="570">
                  <c:v>97.770430000000005</c:v>
                </c:pt>
                <c:pt idx="571">
                  <c:v>97.789209999999997</c:v>
                </c:pt>
                <c:pt idx="572">
                  <c:v>97.797989999999999</c:v>
                </c:pt>
                <c:pt idx="573">
                  <c:v>97.852739999999997</c:v>
                </c:pt>
                <c:pt idx="574">
                  <c:v>97.79804</c:v>
                </c:pt>
                <c:pt idx="575">
                  <c:v>97.691879999999998</c:v>
                </c:pt>
                <c:pt idx="576">
                  <c:v>97.730699999999999</c:v>
                </c:pt>
                <c:pt idx="577">
                  <c:v>97.735110000000006</c:v>
                </c:pt>
                <c:pt idx="578">
                  <c:v>97.767020000000002</c:v>
                </c:pt>
                <c:pt idx="579">
                  <c:v>97.705339999999993</c:v>
                </c:pt>
                <c:pt idx="580">
                  <c:v>97.692459999999997</c:v>
                </c:pt>
                <c:pt idx="581">
                  <c:v>97.709410000000005</c:v>
                </c:pt>
                <c:pt idx="582">
                  <c:v>97.707139999999995</c:v>
                </c:pt>
                <c:pt idx="583">
                  <c:v>97.799059999999997</c:v>
                </c:pt>
                <c:pt idx="584">
                  <c:v>97.792609999999996</c:v>
                </c:pt>
                <c:pt idx="585">
                  <c:v>97.671379999999999</c:v>
                </c:pt>
                <c:pt idx="586">
                  <c:v>97.656199999999998</c:v>
                </c:pt>
                <c:pt idx="587">
                  <c:v>97.737700000000004</c:v>
                </c:pt>
                <c:pt idx="588">
                  <c:v>97.641220000000004</c:v>
                </c:pt>
                <c:pt idx="589">
                  <c:v>97.653369999999995</c:v>
                </c:pt>
                <c:pt idx="590">
                  <c:v>97.663780000000003</c:v>
                </c:pt>
                <c:pt idx="591">
                  <c:v>97.679180000000002</c:v>
                </c:pt>
                <c:pt idx="592">
                  <c:v>97.701279999999997</c:v>
                </c:pt>
                <c:pt idx="593">
                  <c:v>97.626710000000003</c:v>
                </c:pt>
                <c:pt idx="594">
                  <c:v>97.775099999999995</c:v>
                </c:pt>
                <c:pt idx="595">
                  <c:v>97.614570000000001</c:v>
                </c:pt>
                <c:pt idx="596">
                  <c:v>97.655469999999994</c:v>
                </c:pt>
                <c:pt idx="597">
                  <c:v>97.677289999999999</c:v>
                </c:pt>
                <c:pt idx="598">
                  <c:v>97.56814</c:v>
                </c:pt>
                <c:pt idx="599">
                  <c:v>97.618439999999993</c:v>
                </c:pt>
                <c:pt idx="600">
                  <c:v>97.687290000000004</c:v>
                </c:pt>
                <c:pt idx="601">
                  <c:v>97.556389999999993</c:v>
                </c:pt>
                <c:pt idx="602">
                  <c:v>97.541460000000001</c:v>
                </c:pt>
                <c:pt idx="603">
                  <c:v>97.606669999999994</c:v>
                </c:pt>
                <c:pt idx="604">
                  <c:v>97.615210000000005</c:v>
                </c:pt>
                <c:pt idx="605">
                  <c:v>97.532610000000005</c:v>
                </c:pt>
                <c:pt idx="606">
                  <c:v>97.501779999999997</c:v>
                </c:pt>
                <c:pt idx="607">
                  <c:v>97.483769999999993</c:v>
                </c:pt>
                <c:pt idx="608">
                  <c:v>97.541809999999998</c:v>
                </c:pt>
                <c:pt idx="609">
                  <c:v>97.554580000000001</c:v>
                </c:pt>
                <c:pt idx="610">
                  <c:v>97.544449999999998</c:v>
                </c:pt>
                <c:pt idx="611">
                  <c:v>97.577609999999993</c:v>
                </c:pt>
                <c:pt idx="612">
                  <c:v>97.612650000000002</c:v>
                </c:pt>
                <c:pt idx="613">
                  <c:v>97.556039999999996</c:v>
                </c:pt>
                <c:pt idx="614">
                  <c:v>97.583680000000001</c:v>
                </c:pt>
                <c:pt idx="615">
                  <c:v>97.573759999999993</c:v>
                </c:pt>
                <c:pt idx="616">
                  <c:v>97.478110000000001</c:v>
                </c:pt>
                <c:pt idx="617">
                  <c:v>97.535420000000002</c:v>
                </c:pt>
                <c:pt idx="618">
                  <c:v>97.512569999999997</c:v>
                </c:pt>
                <c:pt idx="619">
                  <c:v>97.434240000000003</c:v>
                </c:pt>
                <c:pt idx="620">
                  <c:v>97.481769999999997</c:v>
                </c:pt>
                <c:pt idx="621">
                  <c:v>97.444140000000004</c:v>
                </c:pt>
                <c:pt idx="622">
                  <c:v>97.439279999999997</c:v>
                </c:pt>
                <c:pt idx="623">
                  <c:v>97.376239999999996</c:v>
                </c:pt>
                <c:pt idx="624">
                  <c:v>97.571330000000003</c:v>
                </c:pt>
                <c:pt idx="625">
                  <c:v>97.465519999999998</c:v>
                </c:pt>
                <c:pt idx="626">
                  <c:v>97.340369999999993</c:v>
                </c:pt>
                <c:pt idx="627">
                  <c:v>97.347790000000003</c:v>
                </c:pt>
                <c:pt idx="628">
                  <c:v>97.457579999999993</c:v>
                </c:pt>
                <c:pt idx="629">
                  <c:v>97.437209999999993</c:v>
                </c:pt>
                <c:pt idx="630">
                  <c:v>97.406949999999995</c:v>
                </c:pt>
                <c:pt idx="631">
                  <c:v>97.398079999999993</c:v>
                </c:pt>
                <c:pt idx="632">
                  <c:v>97.39949</c:v>
                </c:pt>
                <c:pt idx="633">
                  <c:v>97.245220000000003</c:v>
                </c:pt>
                <c:pt idx="634">
                  <c:v>97.334580000000003</c:v>
                </c:pt>
                <c:pt idx="635">
                  <c:v>97.285349999999994</c:v>
                </c:pt>
                <c:pt idx="636">
                  <c:v>97.386250000000004</c:v>
                </c:pt>
                <c:pt idx="637">
                  <c:v>97.267539999999997</c:v>
                </c:pt>
                <c:pt idx="638">
                  <c:v>97.45008</c:v>
                </c:pt>
                <c:pt idx="639">
                  <c:v>97.321380000000005</c:v>
                </c:pt>
                <c:pt idx="640">
                  <c:v>97.340059999999994</c:v>
                </c:pt>
                <c:pt idx="641">
                  <c:v>97.353120000000004</c:v>
                </c:pt>
                <c:pt idx="642">
                  <c:v>97.398470000000003</c:v>
                </c:pt>
                <c:pt idx="643">
                  <c:v>97.299040000000005</c:v>
                </c:pt>
                <c:pt idx="644">
                  <c:v>97.329049999999995</c:v>
                </c:pt>
                <c:pt idx="645">
                  <c:v>97.166119999999992</c:v>
                </c:pt>
                <c:pt idx="646">
                  <c:v>97.321449999999999</c:v>
                </c:pt>
                <c:pt idx="647">
                  <c:v>97.31447</c:v>
                </c:pt>
                <c:pt idx="648">
                  <c:v>97.311800000000005</c:v>
                </c:pt>
                <c:pt idx="649">
                  <c:v>97.216999999999999</c:v>
                </c:pt>
                <c:pt idx="650">
                  <c:v>97.241680000000002</c:v>
                </c:pt>
                <c:pt idx="651">
                  <c:v>97.311059999999998</c:v>
                </c:pt>
                <c:pt idx="652">
                  <c:v>97.303110000000004</c:v>
                </c:pt>
                <c:pt idx="653">
                  <c:v>97.229339999999993</c:v>
                </c:pt>
                <c:pt idx="654">
                  <c:v>97.210700000000003</c:v>
                </c:pt>
                <c:pt idx="655">
                  <c:v>97.193899999999999</c:v>
                </c:pt>
                <c:pt idx="656">
                  <c:v>97.25488</c:v>
                </c:pt>
                <c:pt idx="657">
                  <c:v>97.27</c:v>
                </c:pt>
                <c:pt idx="658">
                  <c:v>97.321429999999992</c:v>
                </c:pt>
                <c:pt idx="659">
                  <c:v>97.251369999999994</c:v>
                </c:pt>
                <c:pt idx="660">
                  <c:v>97.149569999999997</c:v>
                </c:pt>
                <c:pt idx="661">
                  <c:v>97.128330000000005</c:v>
                </c:pt>
                <c:pt idx="662">
                  <c:v>97.150390000000002</c:v>
                </c:pt>
                <c:pt idx="663">
                  <c:v>97.253959999999992</c:v>
                </c:pt>
                <c:pt idx="664">
                  <c:v>97.24118</c:v>
                </c:pt>
                <c:pt idx="665">
                  <c:v>97.12003</c:v>
                </c:pt>
                <c:pt idx="666">
                  <c:v>97.108800000000002</c:v>
                </c:pt>
                <c:pt idx="667">
                  <c:v>97.127660000000006</c:v>
                </c:pt>
                <c:pt idx="668">
                  <c:v>97.055059999999997</c:v>
                </c:pt>
                <c:pt idx="669">
                  <c:v>97.127399999999994</c:v>
                </c:pt>
                <c:pt idx="670">
                  <c:v>97.149630000000002</c:v>
                </c:pt>
                <c:pt idx="671">
                  <c:v>97.175700000000006</c:v>
                </c:pt>
                <c:pt idx="672">
                  <c:v>97.104749999999996</c:v>
                </c:pt>
                <c:pt idx="673">
                  <c:v>97.15222</c:v>
                </c:pt>
                <c:pt idx="674">
                  <c:v>97.124589999999998</c:v>
                </c:pt>
                <c:pt idx="675">
                  <c:v>97.088899999999995</c:v>
                </c:pt>
                <c:pt idx="676">
                  <c:v>97.089020000000005</c:v>
                </c:pt>
                <c:pt idx="677">
                  <c:v>97.105350000000001</c:v>
                </c:pt>
                <c:pt idx="678">
                  <c:v>97.116410000000002</c:v>
                </c:pt>
                <c:pt idx="679">
                  <c:v>97.002700000000004</c:v>
                </c:pt>
                <c:pt idx="680">
                  <c:v>97.011529999999993</c:v>
                </c:pt>
                <c:pt idx="681">
                  <c:v>97.048000000000002</c:v>
                </c:pt>
                <c:pt idx="682">
                  <c:v>96.957359999999994</c:v>
                </c:pt>
                <c:pt idx="683">
                  <c:v>97.045109999999994</c:v>
                </c:pt>
                <c:pt idx="684">
                  <c:v>97.122820000000004</c:v>
                </c:pt>
                <c:pt idx="685">
                  <c:v>97.070620000000005</c:v>
                </c:pt>
                <c:pt idx="686">
                  <c:v>96.988529999999997</c:v>
                </c:pt>
                <c:pt idx="687">
                  <c:v>97.064800000000005</c:v>
                </c:pt>
                <c:pt idx="688">
                  <c:v>97.012109999999993</c:v>
                </c:pt>
                <c:pt idx="689">
                  <c:v>97.048900000000003</c:v>
                </c:pt>
                <c:pt idx="690">
                  <c:v>96.877769999999998</c:v>
                </c:pt>
                <c:pt idx="691">
                  <c:v>97.165559999999999</c:v>
                </c:pt>
                <c:pt idx="692">
                  <c:v>97.021209999999996</c:v>
                </c:pt>
                <c:pt idx="693">
                  <c:v>96.991429999999994</c:v>
                </c:pt>
                <c:pt idx="694">
                  <c:v>96.95926</c:v>
                </c:pt>
                <c:pt idx="695">
                  <c:v>96.932829999999996</c:v>
                </c:pt>
                <c:pt idx="696">
                  <c:v>96.899230000000003</c:v>
                </c:pt>
                <c:pt idx="697">
                  <c:v>97.058160000000001</c:v>
                </c:pt>
                <c:pt idx="698">
                  <c:v>97.002219999999994</c:v>
                </c:pt>
                <c:pt idx="699">
                  <c:v>96.949910000000003</c:v>
                </c:pt>
                <c:pt idx="700">
                  <c:v>96.998519999999999</c:v>
                </c:pt>
                <c:pt idx="701">
                  <c:v>96.933790000000002</c:v>
                </c:pt>
                <c:pt idx="702">
                  <c:v>96.944639999999993</c:v>
                </c:pt>
                <c:pt idx="703">
                  <c:v>96.85745</c:v>
                </c:pt>
                <c:pt idx="704">
                  <c:v>96.931650000000005</c:v>
                </c:pt>
                <c:pt idx="705">
                  <c:v>96.879040000000003</c:v>
                </c:pt>
                <c:pt idx="706">
                  <c:v>96.855530000000002</c:v>
                </c:pt>
                <c:pt idx="707">
                  <c:v>96.934070000000006</c:v>
                </c:pt>
                <c:pt idx="708">
                  <c:v>96.887119999999996</c:v>
                </c:pt>
                <c:pt idx="709">
                  <c:v>96.828029999999998</c:v>
                </c:pt>
                <c:pt idx="710">
                  <c:v>96.815839999999994</c:v>
                </c:pt>
                <c:pt idx="711">
                  <c:v>96.793800000000005</c:v>
                </c:pt>
                <c:pt idx="712">
                  <c:v>96.876609999999999</c:v>
                </c:pt>
                <c:pt idx="713">
                  <c:v>96.785449999999997</c:v>
                </c:pt>
                <c:pt idx="714">
                  <c:v>96.837419999999995</c:v>
                </c:pt>
                <c:pt idx="715">
                  <c:v>96.66319</c:v>
                </c:pt>
                <c:pt idx="716">
                  <c:v>96.901389999999992</c:v>
                </c:pt>
                <c:pt idx="717">
                  <c:v>96.905540000000002</c:v>
                </c:pt>
                <c:pt idx="718">
                  <c:v>96.879049999999992</c:v>
                </c:pt>
                <c:pt idx="719">
                  <c:v>96.866119999999995</c:v>
                </c:pt>
                <c:pt idx="720">
                  <c:v>96.811239999999998</c:v>
                </c:pt>
                <c:pt idx="721">
                  <c:v>96.810220000000001</c:v>
                </c:pt>
                <c:pt idx="722">
                  <c:v>96.815699999999993</c:v>
                </c:pt>
                <c:pt idx="723">
                  <c:v>96.81944</c:v>
                </c:pt>
                <c:pt idx="724">
                  <c:v>96.775809999999993</c:v>
                </c:pt>
                <c:pt idx="725">
                  <c:v>96.876679999999993</c:v>
                </c:pt>
                <c:pt idx="726">
                  <c:v>96.775400000000005</c:v>
                </c:pt>
                <c:pt idx="727">
                  <c:v>96.776529999999994</c:v>
                </c:pt>
                <c:pt idx="728">
                  <c:v>96.768410000000003</c:v>
                </c:pt>
                <c:pt idx="729">
                  <c:v>96.703980000000001</c:v>
                </c:pt>
                <c:pt idx="730">
                  <c:v>96.721969999999999</c:v>
                </c:pt>
                <c:pt idx="731">
                  <c:v>96.794330000000002</c:v>
                </c:pt>
                <c:pt idx="732">
                  <c:v>96.655689999999993</c:v>
                </c:pt>
                <c:pt idx="733">
                  <c:v>96.731449999999995</c:v>
                </c:pt>
                <c:pt idx="734">
                  <c:v>96.708179999999999</c:v>
                </c:pt>
                <c:pt idx="735">
                  <c:v>96.694069999999996</c:v>
                </c:pt>
                <c:pt idx="736">
                  <c:v>96.672889999999995</c:v>
                </c:pt>
                <c:pt idx="737">
                  <c:v>96.608829999999998</c:v>
                </c:pt>
                <c:pt idx="738">
                  <c:v>96.797049999999999</c:v>
                </c:pt>
                <c:pt idx="739">
                  <c:v>96.621340000000004</c:v>
                </c:pt>
                <c:pt idx="740">
                  <c:v>96.629649999999998</c:v>
                </c:pt>
                <c:pt idx="741">
                  <c:v>96.731210000000004</c:v>
                </c:pt>
                <c:pt idx="742">
                  <c:v>96.727699999999999</c:v>
                </c:pt>
                <c:pt idx="743">
                  <c:v>96.564949999999996</c:v>
                </c:pt>
                <c:pt idx="744">
                  <c:v>96.782830000000004</c:v>
                </c:pt>
                <c:pt idx="745">
                  <c:v>96.685010000000005</c:v>
                </c:pt>
                <c:pt idx="746">
                  <c:v>96.713970000000003</c:v>
                </c:pt>
                <c:pt idx="747">
                  <c:v>96.662359999999993</c:v>
                </c:pt>
                <c:pt idx="748">
                  <c:v>96.655760000000001</c:v>
                </c:pt>
                <c:pt idx="749">
                  <c:v>96.521450000000002</c:v>
                </c:pt>
                <c:pt idx="750">
                  <c:v>96.65361</c:v>
                </c:pt>
                <c:pt idx="751">
                  <c:v>96.561310000000006</c:v>
                </c:pt>
                <c:pt idx="752">
                  <c:v>96.655969999999996</c:v>
                </c:pt>
                <c:pt idx="753">
                  <c:v>96.562169999999995</c:v>
                </c:pt>
                <c:pt idx="754">
                  <c:v>96.706220000000002</c:v>
                </c:pt>
                <c:pt idx="755">
                  <c:v>96.49973</c:v>
                </c:pt>
                <c:pt idx="756">
                  <c:v>96.543819999999997</c:v>
                </c:pt>
                <c:pt idx="757">
                  <c:v>96.565060000000003</c:v>
                </c:pt>
                <c:pt idx="758">
                  <c:v>96.564949999999996</c:v>
                </c:pt>
                <c:pt idx="759">
                  <c:v>96.582070000000002</c:v>
                </c:pt>
                <c:pt idx="760">
                  <c:v>96.639889999999994</c:v>
                </c:pt>
                <c:pt idx="761">
                  <c:v>96.474580000000003</c:v>
                </c:pt>
                <c:pt idx="762">
                  <c:v>96.555800000000005</c:v>
                </c:pt>
                <c:pt idx="763">
                  <c:v>96.514529999999993</c:v>
                </c:pt>
                <c:pt idx="764">
                  <c:v>96.573949999999996</c:v>
                </c:pt>
                <c:pt idx="765">
                  <c:v>96.592550000000003</c:v>
                </c:pt>
                <c:pt idx="766">
                  <c:v>96.535659999999993</c:v>
                </c:pt>
                <c:pt idx="767">
                  <c:v>96.543040000000005</c:v>
                </c:pt>
                <c:pt idx="768">
                  <c:v>96.433229999999995</c:v>
                </c:pt>
                <c:pt idx="769">
                  <c:v>96.447879999999998</c:v>
                </c:pt>
                <c:pt idx="770">
                  <c:v>96.440860000000001</c:v>
                </c:pt>
                <c:pt idx="771">
                  <c:v>96.396050000000002</c:v>
                </c:pt>
                <c:pt idx="772">
                  <c:v>96.491230000000002</c:v>
                </c:pt>
                <c:pt idx="773">
                  <c:v>96.568489999999997</c:v>
                </c:pt>
                <c:pt idx="774">
                  <c:v>96.46011</c:v>
                </c:pt>
                <c:pt idx="775">
                  <c:v>96.349969999999999</c:v>
                </c:pt>
                <c:pt idx="776">
                  <c:v>96.497690000000006</c:v>
                </c:pt>
                <c:pt idx="777">
                  <c:v>96.343639999999994</c:v>
                </c:pt>
                <c:pt idx="778">
                  <c:v>96.427620000000005</c:v>
                </c:pt>
                <c:pt idx="779">
                  <c:v>96.333249999999992</c:v>
                </c:pt>
                <c:pt idx="780">
                  <c:v>96.534629999999993</c:v>
                </c:pt>
                <c:pt idx="781">
                  <c:v>96.372489999999999</c:v>
                </c:pt>
                <c:pt idx="782">
                  <c:v>96.336399999999998</c:v>
                </c:pt>
                <c:pt idx="783">
                  <c:v>96.362489999999994</c:v>
                </c:pt>
                <c:pt idx="784">
                  <c:v>96.430880000000002</c:v>
                </c:pt>
                <c:pt idx="785">
                  <c:v>96.360280000000003</c:v>
                </c:pt>
                <c:pt idx="786">
                  <c:v>96.302289999999999</c:v>
                </c:pt>
                <c:pt idx="787">
                  <c:v>96.386390000000006</c:v>
                </c:pt>
                <c:pt idx="788">
                  <c:v>96.405450000000002</c:v>
                </c:pt>
                <c:pt idx="789">
                  <c:v>96.409210000000002</c:v>
                </c:pt>
                <c:pt idx="790">
                  <c:v>96.37276</c:v>
                </c:pt>
                <c:pt idx="791">
                  <c:v>96.401110000000003</c:v>
                </c:pt>
                <c:pt idx="792">
                  <c:v>96.212289999999996</c:v>
                </c:pt>
                <c:pt idx="793">
                  <c:v>96.337140000000005</c:v>
                </c:pt>
                <c:pt idx="794">
                  <c:v>96.293949999999995</c:v>
                </c:pt>
                <c:pt idx="795">
                  <c:v>96.30538</c:v>
                </c:pt>
                <c:pt idx="796">
                  <c:v>96.369399999999999</c:v>
                </c:pt>
                <c:pt idx="797">
                  <c:v>96.220960000000005</c:v>
                </c:pt>
                <c:pt idx="798">
                  <c:v>96.415109999999999</c:v>
                </c:pt>
                <c:pt idx="799">
                  <c:v>96.330240000000003</c:v>
                </c:pt>
                <c:pt idx="800">
                  <c:v>96.276769999999999</c:v>
                </c:pt>
                <c:pt idx="801">
                  <c:v>96.216979999999992</c:v>
                </c:pt>
                <c:pt idx="802">
                  <c:v>96.408389999999997</c:v>
                </c:pt>
                <c:pt idx="803">
                  <c:v>96.273250000000004</c:v>
                </c:pt>
                <c:pt idx="804">
                  <c:v>96.252290000000002</c:v>
                </c:pt>
                <c:pt idx="805">
                  <c:v>96.219149999999999</c:v>
                </c:pt>
                <c:pt idx="806">
                  <c:v>96.218599999999995</c:v>
                </c:pt>
                <c:pt idx="807">
                  <c:v>96.322749999999999</c:v>
                </c:pt>
                <c:pt idx="808">
                  <c:v>96.194829999999996</c:v>
                </c:pt>
                <c:pt idx="809">
                  <c:v>96.278329999999997</c:v>
                </c:pt>
                <c:pt idx="810">
                  <c:v>96.268180000000001</c:v>
                </c:pt>
                <c:pt idx="811">
                  <c:v>96.123509999999996</c:v>
                </c:pt>
                <c:pt idx="812">
                  <c:v>96.253969999999995</c:v>
                </c:pt>
                <c:pt idx="813">
                  <c:v>96.060929999999999</c:v>
                </c:pt>
                <c:pt idx="814">
                  <c:v>96.103439999999992</c:v>
                </c:pt>
                <c:pt idx="815">
                  <c:v>96.242490000000004</c:v>
                </c:pt>
                <c:pt idx="816">
                  <c:v>96.17165</c:v>
                </c:pt>
                <c:pt idx="817">
                  <c:v>96.116559999999993</c:v>
                </c:pt>
                <c:pt idx="818">
                  <c:v>96.091290000000001</c:v>
                </c:pt>
                <c:pt idx="819">
                  <c:v>96.205789999999993</c:v>
                </c:pt>
                <c:pt idx="820">
                  <c:v>96.113190000000003</c:v>
                </c:pt>
                <c:pt idx="821">
                  <c:v>96.165939999999992</c:v>
                </c:pt>
                <c:pt idx="822">
                  <c:v>96.107110000000006</c:v>
                </c:pt>
                <c:pt idx="823">
                  <c:v>96.172989999999999</c:v>
                </c:pt>
                <c:pt idx="824">
                  <c:v>96.108050000000006</c:v>
                </c:pt>
                <c:pt idx="825">
                  <c:v>96.056600000000003</c:v>
                </c:pt>
                <c:pt idx="826">
                  <c:v>96.049220000000005</c:v>
                </c:pt>
                <c:pt idx="827">
                  <c:v>96.088610000000003</c:v>
                </c:pt>
                <c:pt idx="828">
                  <c:v>96.063630000000003</c:v>
                </c:pt>
                <c:pt idx="829">
                  <c:v>96.1066</c:v>
                </c:pt>
                <c:pt idx="830">
                  <c:v>96.085009999999997</c:v>
                </c:pt>
                <c:pt idx="831">
                  <c:v>96.080690000000004</c:v>
                </c:pt>
                <c:pt idx="832">
                  <c:v>96.113699999999994</c:v>
                </c:pt>
                <c:pt idx="833">
                  <c:v>95.986040000000003</c:v>
                </c:pt>
                <c:pt idx="834">
                  <c:v>95.9846</c:v>
                </c:pt>
                <c:pt idx="835">
                  <c:v>95.968689999999995</c:v>
                </c:pt>
                <c:pt idx="836">
                  <c:v>95.967730000000003</c:v>
                </c:pt>
                <c:pt idx="837">
                  <c:v>95.991020000000006</c:v>
                </c:pt>
                <c:pt idx="838">
                  <c:v>95.903959999999998</c:v>
                </c:pt>
                <c:pt idx="839">
                  <c:v>95.970299999999995</c:v>
                </c:pt>
                <c:pt idx="840">
                  <c:v>95.939629999999994</c:v>
                </c:pt>
                <c:pt idx="841">
                  <c:v>95.977879999999999</c:v>
                </c:pt>
                <c:pt idx="842">
                  <c:v>96.114170000000001</c:v>
                </c:pt>
                <c:pt idx="843">
                  <c:v>95.925479999999993</c:v>
                </c:pt>
                <c:pt idx="844">
                  <c:v>95.986490000000003</c:v>
                </c:pt>
                <c:pt idx="845">
                  <c:v>95.965949999999992</c:v>
                </c:pt>
                <c:pt idx="846">
                  <c:v>95.875289999999993</c:v>
                </c:pt>
                <c:pt idx="847">
                  <c:v>96.065809999999999</c:v>
                </c:pt>
                <c:pt idx="848">
                  <c:v>95.964489999999998</c:v>
                </c:pt>
                <c:pt idx="849">
                  <c:v>96.006119999999996</c:v>
                </c:pt>
                <c:pt idx="850">
                  <c:v>95.79674</c:v>
                </c:pt>
                <c:pt idx="851">
                  <c:v>95.997659999999996</c:v>
                </c:pt>
                <c:pt idx="852">
                  <c:v>95.986589999999993</c:v>
                </c:pt>
                <c:pt idx="853">
                  <c:v>95.906090000000006</c:v>
                </c:pt>
                <c:pt idx="854">
                  <c:v>95.930319999999995</c:v>
                </c:pt>
                <c:pt idx="855">
                  <c:v>95.885999999999996</c:v>
                </c:pt>
                <c:pt idx="856">
                  <c:v>95.96</c:v>
                </c:pt>
                <c:pt idx="857">
                  <c:v>95.879450000000006</c:v>
                </c:pt>
                <c:pt idx="858">
                  <c:v>95.780379999999994</c:v>
                </c:pt>
                <c:pt idx="859">
                  <c:v>96.000609999999995</c:v>
                </c:pt>
                <c:pt idx="860">
                  <c:v>95.867739999999998</c:v>
                </c:pt>
                <c:pt idx="861">
                  <c:v>95.815619999999996</c:v>
                </c:pt>
                <c:pt idx="862">
                  <c:v>95.817620000000005</c:v>
                </c:pt>
                <c:pt idx="863">
                  <c:v>95.896739999999994</c:v>
                </c:pt>
                <c:pt idx="864">
                  <c:v>95.815629999999999</c:v>
                </c:pt>
                <c:pt idx="865">
                  <c:v>95.874039999999994</c:v>
                </c:pt>
                <c:pt idx="866">
                  <c:v>95.717929999999996</c:v>
                </c:pt>
                <c:pt idx="867">
                  <c:v>95.762860000000003</c:v>
                </c:pt>
                <c:pt idx="868">
                  <c:v>95.850539999999995</c:v>
                </c:pt>
                <c:pt idx="869">
                  <c:v>95.783990000000003</c:v>
                </c:pt>
                <c:pt idx="870">
                  <c:v>95.869140000000002</c:v>
                </c:pt>
                <c:pt idx="871">
                  <c:v>95.827039999999997</c:v>
                </c:pt>
                <c:pt idx="872">
                  <c:v>95.735739999999993</c:v>
                </c:pt>
                <c:pt idx="873">
                  <c:v>95.708489999999998</c:v>
                </c:pt>
                <c:pt idx="874">
                  <c:v>95.831720000000004</c:v>
                </c:pt>
                <c:pt idx="875">
                  <c:v>95.660849999999996</c:v>
                </c:pt>
                <c:pt idx="876">
                  <c:v>95.75179</c:v>
                </c:pt>
                <c:pt idx="877">
                  <c:v>95.682559999999995</c:v>
                </c:pt>
                <c:pt idx="878">
                  <c:v>95.780900000000003</c:v>
                </c:pt>
                <c:pt idx="879">
                  <c:v>95.79701</c:v>
                </c:pt>
                <c:pt idx="880">
                  <c:v>95.629829999999998</c:v>
                </c:pt>
                <c:pt idx="881">
                  <c:v>95.736149999999995</c:v>
                </c:pt>
                <c:pt idx="882">
                  <c:v>95.716409999999996</c:v>
                </c:pt>
                <c:pt idx="883">
                  <c:v>95.704409999999996</c:v>
                </c:pt>
                <c:pt idx="884">
                  <c:v>95.712019999999995</c:v>
                </c:pt>
                <c:pt idx="885">
                  <c:v>95.789450000000002</c:v>
                </c:pt>
                <c:pt idx="886">
                  <c:v>95.658919999999995</c:v>
                </c:pt>
                <c:pt idx="887">
                  <c:v>95.784829999999999</c:v>
                </c:pt>
                <c:pt idx="888">
                  <c:v>95.540469999999999</c:v>
                </c:pt>
                <c:pt idx="889">
                  <c:v>95.700900000000004</c:v>
                </c:pt>
                <c:pt idx="890">
                  <c:v>95.68871</c:v>
                </c:pt>
                <c:pt idx="891">
                  <c:v>95.672719999999998</c:v>
                </c:pt>
                <c:pt idx="892">
                  <c:v>95.736419999999995</c:v>
                </c:pt>
                <c:pt idx="893">
                  <c:v>95.577380000000005</c:v>
                </c:pt>
                <c:pt idx="894">
                  <c:v>95.585660000000004</c:v>
                </c:pt>
                <c:pt idx="895">
                  <c:v>95.599720000000005</c:v>
                </c:pt>
                <c:pt idx="896">
                  <c:v>95.561549999999997</c:v>
                </c:pt>
                <c:pt idx="897">
                  <c:v>95.606570000000005</c:v>
                </c:pt>
                <c:pt idx="898">
                  <c:v>95.654769999999999</c:v>
                </c:pt>
                <c:pt idx="899">
                  <c:v>95.594999999999999</c:v>
                </c:pt>
                <c:pt idx="900">
                  <c:v>95.550460000000001</c:v>
                </c:pt>
                <c:pt idx="901">
                  <c:v>95.62285</c:v>
                </c:pt>
                <c:pt idx="902">
                  <c:v>95.540319999999994</c:v>
                </c:pt>
                <c:pt idx="903">
                  <c:v>95.55641</c:v>
                </c:pt>
                <c:pt idx="904">
                  <c:v>95.648740000000004</c:v>
                </c:pt>
                <c:pt idx="905">
                  <c:v>95.557599999999994</c:v>
                </c:pt>
                <c:pt idx="906">
                  <c:v>95.580029999999994</c:v>
                </c:pt>
                <c:pt idx="907">
                  <c:v>95.610569999999996</c:v>
                </c:pt>
                <c:pt idx="908">
                  <c:v>95.58869</c:v>
                </c:pt>
                <c:pt idx="909">
                  <c:v>95.552099999999996</c:v>
                </c:pt>
                <c:pt idx="910">
                  <c:v>95.580609999999993</c:v>
                </c:pt>
                <c:pt idx="911">
                  <c:v>95.520849999999996</c:v>
                </c:pt>
                <c:pt idx="912">
                  <c:v>95.592460000000003</c:v>
                </c:pt>
                <c:pt idx="913">
                  <c:v>95.508510000000001</c:v>
                </c:pt>
                <c:pt idx="914">
                  <c:v>95.503590000000003</c:v>
                </c:pt>
                <c:pt idx="915">
                  <c:v>95.563289999999995</c:v>
                </c:pt>
                <c:pt idx="916">
                  <c:v>95.50318</c:v>
                </c:pt>
                <c:pt idx="917">
                  <c:v>95.431139999999999</c:v>
                </c:pt>
                <c:pt idx="918">
                  <c:v>95.388599999999997</c:v>
                </c:pt>
                <c:pt idx="919">
                  <c:v>95.430840000000003</c:v>
                </c:pt>
                <c:pt idx="920">
                  <c:v>95.489859999999993</c:v>
                </c:pt>
                <c:pt idx="921">
                  <c:v>95.518079999999998</c:v>
                </c:pt>
                <c:pt idx="922">
                  <c:v>95.395129999999995</c:v>
                </c:pt>
                <c:pt idx="923">
                  <c:v>95.399410000000003</c:v>
                </c:pt>
                <c:pt idx="924">
                  <c:v>95.414180000000002</c:v>
                </c:pt>
                <c:pt idx="925">
                  <c:v>95.469359999999995</c:v>
                </c:pt>
                <c:pt idx="926">
                  <c:v>95.486189999999993</c:v>
                </c:pt>
                <c:pt idx="927">
                  <c:v>95.445740000000001</c:v>
                </c:pt>
                <c:pt idx="928">
                  <c:v>95.228260000000006</c:v>
                </c:pt>
                <c:pt idx="929">
                  <c:v>95.489819999999995</c:v>
                </c:pt>
                <c:pt idx="930">
                  <c:v>95.513750000000002</c:v>
                </c:pt>
                <c:pt idx="931">
                  <c:v>95.490740000000002</c:v>
                </c:pt>
                <c:pt idx="932">
                  <c:v>95.420119999999997</c:v>
                </c:pt>
                <c:pt idx="933">
                  <c:v>95.395749999999992</c:v>
                </c:pt>
                <c:pt idx="934">
                  <c:v>95.301299999999998</c:v>
                </c:pt>
                <c:pt idx="935">
                  <c:v>95.357020000000006</c:v>
                </c:pt>
                <c:pt idx="936">
                  <c:v>95.368049999999997</c:v>
                </c:pt>
                <c:pt idx="937">
                  <c:v>95.326530000000005</c:v>
                </c:pt>
                <c:pt idx="938">
                  <c:v>95.409700000000001</c:v>
                </c:pt>
                <c:pt idx="939">
                  <c:v>95.378879999999995</c:v>
                </c:pt>
                <c:pt idx="940">
                  <c:v>95.391059999999996</c:v>
                </c:pt>
                <c:pt idx="941">
                  <c:v>95.320639999999997</c:v>
                </c:pt>
                <c:pt idx="942">
                  <c:v>95.267330000000001</c:v>
                </c:pt>
                <c:pt idx="943">
                  <c:v>95.446029999999993</c:v>
                </c:pt>
                <c:pt idx="944">
                  <c:v>95.329560000000001</c:v>
                </c:pt>
                <c:pt idx="945">
                  <c:v>95.273049999999998</c:v>
                </c:pt>
                <c:pt idx="946">
                  <c:v>95.391649999999998</c:v>
                </c:pt>
                <c:pt idx="947">
                  <c:v>95.281419999999997</c:v>
                </c:pt>
                <c:pt idx="948">
                  <c:v>95.163679999999999</c:v>
                </c:pt>
                <c:pt idx="949">
                  <c:v>95.354129999999998</c:v>
                </c:pt>
                <c:pt idx="950">
                  <c:v>95.338679999999997</c:v>
                </c:pt>
                <c:pt idx="951">
                  <c:v>95.285910000000001</c:v>
                </c:pt>
                <c:pt idx="952">
                  <c:v>95.319000000000003</c:v>
                </c:pt>
                <c:pt idx="953">
                  <c:v>95.173339999999996</c:v>
                </c:pt>
                <c:pt idx="954">
                  <c:v>95.262190000000004</c:v>
                </c:pt>
                <c:pt idx="955">
                  <c:v>95.244659999999996</c:v>
                </c:pt>
                <c:pt idx="956">
                  <c:v>95.197450000000003</c:v>
                </c:pt>
                <c:pt idx="957">
                  <c:v>95.09778</c:v>
                </c:pt>
                <c:pt idx="958">
                  <c:v>95.109650000000002</c:v>
                </c:pt>
                <c:pt idx="959">
                  <c:v>95.167019999999994</c:v>
                </c:pt>
                <c:pt idx="960">
                  <c:v>95.215940000000003</c:v>
                </c:pt>
                <c:pt idx="961">
                  <c:v>95.244730000000004</c:v>
                </c:pt>
                <c:pt idx="962">
                  <c:v>95.200339999999997</c:v>
                </c:pt>
                <c:pt idx="963">
                  <c:v>95.181529999999995</c:v>
                </c:pt>
                <c:pt idx="964">
                  <c:v>95.13682</c:v>
                </c:pt>
                <c:pt idx="965">
                  <c:v>95.234269999999995</c:v>
                </c:pt>
                <c:pt idx="966">
                  <c:v>95.258089999999996</c:v>
                </c:pt>
                <c:pt idx="967">
                  <c:v>95.159829999999999</c:v>
                </c:pt>
                <c:pt idx="968">
                  <c:v>95.142700000000005</c:v>
                </c:pt>
                <c:pt idx="969">
                  <c:v>95.150559999999999</c:v>
                </c:pt>
                <c:pt idx="970">
                  <c:v>95.137609999999995</c:v>
                </c:pt>
                <c:pt idx="971">
                  <c:v>95.179059999999993</c:v>
                </c:pt>
                <c:pt idx="972">
                  <c:v>95.159189999999995</c:v>
                </c:pt>
                <c:pt idx="973">
                  <c:v>94.99306</c:v>
                </c:pt>
                <c:pt idx="974">
                  <c:v>95.12021</c:v>
                </c:pt>
                <c:pt idx="975">
                  <c:v>95.213729999999998</c:v>
                </c:pt>
                <c:pt idx="976">
                  <c:v>95.125029999999995</c:v>
                </c:pt>
                <c:pt idx="977">
                  <c:v>95.167839999999998</c:v>
                </c:pt>
                <c:pt idx="978">
                  <c:v>95.040949999999995</c:v>
                </c:pt>
                <c:pt idx="979">
                  <c:v>95.021129999999999</c:v>
                </c:pt>
                <c:pt idx="980">
                  <c:v>95.139669999999995</c:v>
                </c:pt>
                <c:pt idx="981">
                  <c:v>95.1554</c:v>
                </c:pt>
                <c:pt idx="982">
                  <c:v>94.996459999999999</c:v>
                </c:pt>
                <c:pt idx="983">
                  <c:v>94.960889999999992</c:v>
                </c:pt>
                <c:pt idx="984">
                  <c:v>94.999459999999999</c:v>
                </c:pt>
                <c:pt idx="985">
                  <c:v>95.058040000000005</c:v>
                </c:pt>
                <c:pt idx="986">
                  <c:v>95.112619999999993</c:v>
                </c:pt>
                <c:pt idx="987">
                  <c:v>95.104469999999992</c:v>
                </c:pt>
                <c:pt idx="988">
                  <c:v>94.997169999999997</c:v>
                </c:pt>
                <c:pt idx="989">
                  <c:v>95.168480000000002</c:v>
                </c:pt>
                <c:pt idx="990">
                  <c:v>95.075130000000001</c:v>
                </c:pt>
                <c:pt idx="991">
                  <c:v>95.071309999999997</c:v>
                </c:pt>
                <c:pt idx="992">
                  <c:v>94.996359999999996</c:v>
                </c:pt>
                <c:pt idx="993">
                  <c:v>95.016459999999995</c:v>
                </c:pt>
                <c:pt idx="994">
                  <c:v>95.015519999999995</c:v>
                </c:pt>
                <c:pt idx="995">
                  <c:v>95.026430000000005</c:v>
                </c:pt>
                <c:pt idx="996">
                  <c:v>95.022289999999998</c:v>
                </c:pt>
                <c:pt idx="997">
                  <c:v>95.009910000000005</c:v>
                </c:pt>
                <c:pt idx="998">
                  <c:v>94.982299999999995</c:v>
                </c:pt>
                <c:pt idx="999">
                  <c:v>95.011489999999995</c:v>
                </c:pt>
                <c:pt idx="1000">
                  <c:v>95.006469999999993</c:v>
                </c:pt>
                <c:pt idx="1001">
                  <c:v>94.917940000000002</c:v>
                </c:pt>
                <c:pt idx="1002">
                  <c:v>95.021799999999999</c:v>
                </c:pt>
                <c:pt idx="1003">
                  <c:v>94.887779999999992</c:v>
                </c:pt>
                <c:pt idx="1004">
                  <c:v>94.994389999999996</c:v>
                </c:pt>
                <c:pt idx="1005">
                  <c:v>95.017859999999999</c:v>
                </c:pt>
                <c:pt idx="1006">
                  <c:v>94.898409999999998</c:v>
                </c:pt>
                <c:pt idx="1007">
                  <c:v>94.884529999999998</c:v>
                </c:pt>
                <c:pt idx="1008">
                  <c:v>94.948319999999995</c:v>
                </c:pt>
                <c:pt idx="1009">
                  <c:v>94.852850000000004</c:v>
                </c:pt>
                <c:pt idx="1010">
                  <c:v>95.02037</c:v>
                </c:pt>
                <c:pt idx="1011">
                  <c:v>94.819659999999999</c:v>
                </c:pt>
                <c:pt idx="1012">
                  <c:v>94.829390000000004</c:v>
                </c:pt>
                <c:pt idx="1013">
                  <c:v>94.873989999999992</c:v>
                </c:pt>
                <c:pt idx="1014">
                  <c:v>94.975080000000005</c:v>
                </c:pt>
                <c:pt idx="1015">
                  <c:v>94.932019999999994</c:v>
                </c:pt>
                <c:pt idx="1016">
                  <c:v>94.852919999999997</c:v>
                </c:pt>
                <c:pt idx="1017">
                  <c:v>94.918729999999996</c:v>
                </c:pt>
                <c:pt idx="1018">
                  <c:v>94.688670000000002</c:v>
                </c:pt>
                <c:pt idx="1019">
                  <c:v>94.837639999999993</c:v>
                </c:pt>
                <c:pt idx="1020">
                  <c:v>94.871759999999995</c:v>
                </c:pt>
                <c:pt idx="1021">
                  <c:v>94.836439999999996</c:v>
                </c:pt>
                <c:pt idx="1022">
                  <c:v>94.761300000000006</c:v>
                </c:pt>
                <c:pt idx="1023">
                  <c:v>94.908739999999995</c:v>
                </c:pt>
                <c:pt idx="1024">
                  <c:v>94.797439999999995</c:v>
                </c:pt>
                <c:pt idx="1025">
                  <c:v>94.820049999999995</c:v>
                </c:pt>
                <c:pt idx="1026">
                  <c:v>94.829949999999997</c:v>
                </c:pt>
                <c:pt idx="1027">
                  <c:v>94.714820000000003</c:v>
                </c:pt>
                <c:pt idx="1028">
                  <c:v>94.77655</c:v>
                </c:pt>
                <c:pt idx="1029">
                  <c:v>94.733180000000004</c:v>
                </c:pt>
                <c:pt idx="1030">
                  <c:v>94.718869999999995</c:v>
                </c:pt>
                <c:pt idx="1031">
                  <c:v>94.707399999999993</c:v>
                </c:pt>
                <c:pt idx="1032">
                  <c:v>94.69229</c:v>
                </c:pt>
                <c:pt idx="1033">
                  <c:v>94.807909999999993</c:v>
                </c:pt>
                <c:pt idx="1034">
                  <c:v>94.72551</c:v>
                </c:pt>
                <c:pt idx="1035">
                  <c:v>94.822369999999992</c:v>
                </c:pt>
                <c:pt idx="1036">
                  <c:v>94.818820000000002</c:v>
                </c:pt>
                <c:pt idx="1037">
                  <c:v>94.737960000000001</c:v>
                </c:pt>
                <c:pt idx="1038">
                  <c:v>94.841449999999995</c:v>
                </c:pt>
                <c:pt idx="1039">
                  <c:v>94.735039999999998</c:v>
                </c:pt>
                <c:pt idx="1040">
                  <c:v>94.639470000000003</c:v>
                </c:pt>
                <c:pt idx="1041">
                  <c:v>94.728849999999994</c:v>
                </c:pt>
                <c:pt idx="1042">
                  <c:v>94.730140000000006</c:v>
                </c:pt>
                <c:pt idx="1043">
                  <c:v>94.672799999999995</c:v>
                </c:pt>
                <c:pt idx="1044">
                  <c:v>94.582999999999998</c:v>
                </c:pt>
                <c:pt idx="1045">
                  <c:v>94.759079999999997</c:v>
                </c:pt>
                <c:pt idx="1046">
                  <c:v>94.710880000000003</c:v>
                </c:pt>
                <c:pt idx="1047">
                  <c:v>94.660929999999993</c:v>
                </c:pt>
                <c:pt idx="1048">
                  <c:v>94.584360000000004</c:v>
                </c:pt>
                <c:pt idx="1049">
                  <c:v>94.660259999999994</c:v>
                </c:pt>
                <c:pt idx="1050">
                  <c:v>94.727469999999997</c:v>
                </c:pt>
                <c:pt idx="1051">
                  <c:v>94.666619999999995</c:v>
                </c:pt>
                <c:pt idx="1052">
                  <c:v>94.560860000000005</c:v>
                </c:pt>
                <c:pt idx="1053">
                  <c:v>94.623779999999996</c:v>
                </c:pt>
                <c:pt idx="1054">
                  <c:v>94.729619999999997</c:v>
                </c:pt>
                <c:pt idx="1055">
                  <c:v>94.649829999999994</c:v>
                </c:pt>
                <c:pt idx="1056">
                  <c:v>94.538669999999996</c:v>
                </c:pt>
                <c:pt idx="1057">
                  <c:v>94.583200000000005</c:v>
                </c:pt>
                <c:pt idx="1058">
                  <c:v>94.67013</c:v>
                </c:pt>
                <c:pt idx="1059">
                  <c:v>94.584199999999996</c:v>
                </c:pt>
                <c:pt idx="1060">
                  <c:v>94.658209999999997</c:v>
                </c:pt>
                <c:pt idx="1061">
                  <c:v>94.746740000000003</c:v>
                </c:pt>
                <c:pt idx="1062">
                  <c:v>94.619919999999993</c:v>
                </c:pt>
                <c:pt idx="1063">
                  <c:v>94.628010000000003</c:v>
                </c:pt>
                <c:pt idx="1064">
                  <c:v>94.549570000000003</c:v>
                </c:pt>
                <c:pt idx="1065">
                  <c:v>94.564489999999992</c:v>
                </c:pt>
                <c:pt idx="1066">
                  <c:v>94.612799999999993</c:v>
                </c:pt>
                <c:pt idx="1067">
                  <c:v>94.496039999999994</c:v>
                </c:pt>
                <c:pt idx="1068">
                  <c:v>94.565449999999998</c:v>
                </c:pt>
                <c:pt idx="1069">
                  <c:v>94.580950000000001</c:v>
                </c:pt>
                <c:pt idx="1070">
                  <c:v>94.465379999999996</c:v>
                </c:pt>
                <c:pt idx="1071">
                  <c:v>94.522390000000001</c:v>
                </c:pt>
                <c:pt idx="1072">
                  <c:v>94.451210000000003</c:v>
                </c:pt>
                <c:pt idx="1073">
                  <c:v>94.538489999999996</c:v>
                </c:pt>
                <c:pt idx="1074">
                  <c:v>94.554209999999998</c:v>
                </c:pt>
                <c:pt idx="1075">
                  <c:v>94.513850000000005</c:v>
                </c:pt>
                <c:pt idx="1076">
                  <c:v>94.585639999999998</c:v>
                </c:pt>
                <c:pt idx="1077">
                  <c:v>94.584580000000003</c:v>
                </c:pt>
                <c:pt idx="1078">
                  <c:v>94.540440000000004</c:v>
                </c:pt>
                <c:pt idx="1079">
                  <c:v>94.479230000000001</c:v>
                </c:pt>
                <c:pt idx="1080">
                  <c:v>94.508600000000001</c:v>
                </c:pt>
                <c:pt idx="1081">
                  <c:v>94.559989999999999</c:v>
                </c:pt>
                <c:pt idx="1082">
                  <c:v>94.490939999999995</c:v>
                </c:pt>
                <c:pt idx="1083">
                  <c:v>94.470089999999999</c:v>
                </c:pt>
                <c:pt idx="1084">
                  <c:v>94.476849999999999</c:v>
                </c:pt>
                <c:pt idx="1085">
                  <c:v>94.565579999999997</c:v>
                </c:pt>
                <c:pt idx="1086">
                  <c:v>94.37867</c:v>
                </c:pt>
                <c:pt idx="1087">
                  <c:v>94.571240000000003</c:v>
                </c:pt>
                <c:pt idx="1088">
                  <c:v>94.411379999999994</c:v>
                </c:pt>
                <c:pt idx="1089">
                  <c:v>94.469120000000004</c:v>
                </c:pt>
                <c:pt idx="1090">
                  <c:v>94.514700000000005</c:v>
                </c:pt>
                <c:pt idx="1091">
                  <c:v>94.364080000000001</c:v>
                </c:pt>
                <c:pt idx="1092">
                  <c:v>94.416569999999993</c:v>
                </c:pt>
                <c:pt idx="1093">
                  <c:v>94.530820000000006</c:v>
                </c:pt>
                <c:pt idx="1094">
                  <c:v>94.314840000000004</c:v>
                </c:pt>
                <c:pt idx="1095">
                  <c:v>94.356039999999993</c:v>
                </c:pt>
                <c:pt idx="1096">
                  <c:v>94.490790000000004</c:v>
                </c:pt>
                <c:pt idx="1097">
                  <c:v>94.42747</c:v>
                </c:pt>
                <c:pt idx="1098">
                  <c:v>94.33578</c:v>
                </c:pt>
                <c:pt idx="1099">
                  <c:v>94.375019999999992</c:v>
                </c:pt>
                <c:pt idx="1100">
                  <c:v>94.415859999999995</c:v>
                </c:pt>
                <c:pt idx="1101">
                  <c:v>94.296189999999996</c:v>
                </c:pt>
                <c:pt idx="1102">
                  <c:v>94.387860000000003</c:v>
                </c:pt>
                <c:pt idx="1103">
                  <c:v>94.353170000000006</c:v>
                </c:pt>
                <c:pt idx="1104">
                  <c:v>94.249809999999997</c:v>
                </c:pt>
                <c:pt idx="1105">
                  <c:v>94.413600000000002</c:v>
                </c:pt>
                <c:pt idx="1106">
                  <c:v>94.321380000000005</c:v>
                </c:pt>
                <c:pt idx="1107">
                  <c:v>94.399169999999998</c:v>
                </c:pt>
                <c:pt idx="1108">
                  <c:v>94.300510000000003</c:v>
                </c:pt>
                <c:pt idx="1109">
                  <c:v>94.368319999999997</c:v>
                </c:pt>
                <c:pt idx="1110">
                  <c:v>94.243960000000001</c:v>
                </c:pt>
                <c:pt idx="1111">
                  <c:v>94.258970000000005</c:v>
                </c:pt>
                <c:pt idx="1112">
                  <c:v>94.393940000000001</c:v>
                </c:pt>
                <c:pt idx="1113">
                  <c:v>94.274069999999995</c:v>
                </c:pt>
                <c:pt idx="1114">
                  <c:v>94.31174</c:v>
                </c:pt>
                <c:pt idx="1115">
                  <c:v>94.289789999999996</c:v>
                </c:pt>
                <c:pt idx="1116">
                  <c:v>94.23639</c:v>
                </c:pt>
                <c:pt idx="1117">
                  <c:v>94.217420000000004</c:v>
                </c:pt>
                <c:pt idx="1118">
                  <c:v>94.278899999999993</c:v>
                </c:pt>
                <c:pt idx="1119">
                  <c:v>94.198149999999998</c:v>
                </c:pt>
                <c:pt idx="1120">
                  <c:v>94.186419999999998</c:v>
                </c:pt>
                <c:pt idx="1121">
                  <c:v>94.229469999999992</c:v>
                </c:pt>
                <c:pt idx="1122">
                  <c:v>94.264659999999992</c:v>
                </c:pt>
                <c:pt idx="1123">
                  <c:v>94.162260000000003</c:v>
                </c:pt>
                <c:pt idx="1124">
                  <c:v>94.136650000000003</c:v>
                </c:pt>
                <c:pt idx="1125">
                  <c:v>94.294550000000001</c:v>
                </c:pt>
                <c:pt idx="1126">
                  <c:v>94.181389999999993</c:v>
                </c:pt>
                <c:pt idx="1127">
                  <c:v>94.174610000000001</c:v>
                </c:pt>
                <c:pt idx="1128">
                  <c:v>94.140169999999998</c:v>
                </c:pt>
                <c:pt idx="1129">
                  <c:v>94.181809999999999</c:v>
                </c:pt>
                <c:pt idx="1130">
                  <c:v>94.301000000000002</c:v>
                </c:pt>
                <c:pt idx="1131">
                  <c:v>94.212140000000005</c:v>
                </c:pt>
                <c:pt idx="1132">
                  <c:v>94.239829999999998</c:v>
                </c:pt>
                <c:pt idx="1133">
                  <c:v>94.266130000000004</c:v>
                </c:pt>
                <c:pt idx="1134">
                  <c:v>94.261290000000002</c:v>
                </c:pt>
                <c:pt idx="1135">
                  <c:v>94.148569999999992</c:v>
                </c:pt>
                <c:pt idx="1136">
                  <c:v>94.238410000000002</c:v>
                </c:pt>
                <c:pt idx="1137">
                  <c:v>94.223510000000005</c:v>
                </c:pt>
                <c:pt idx="1138">
                  <c:v>94.144180000000006</c:v>
                </c:pt>
                <c:pt idx="1139">
                  <c:v>94.182379999999995</c:v>
                </c:pt>
                <c:pt idx="1140">
                  <c:v>94.152889999999999</c:v>
                </c:pt>
                <c:pt idx="1141">
                  <c:v>94.125929999999997</c:v>
                </c:pt>
                <c:pt idx="1142">
                  <c:v>94.078199999999995</c:v>
                </c:pt>
                <c:pt idx="1143">
                  <c:v>94.107919999999993</c:v>
                </c:pt>
                <c:pt idx="1144">
                  <c:v>94.233019999999996</c:v>
                </c:pt>
                <c:pt idx="1145">
                  <c:v>94.060140000000004</c:v>
                </c:pt>
                <c:pt idx="1146">
                  <c:v>94.075540000000004</c:v>
                </c:pt>
                <c:pt idx="1147">
                  <c:v>94.039249999999996</c:v>
                </c:pt>
                <c:pt idx="1148">
                  <c:v>93.968679999999992</c:v>
                </c:pt>
                <c:pt idx="1149">
                  <c:v>93.963149999999999</c:v>
                </c:pt>
                <c:pt idx="1150">
                  <c:v>94.112039999999993</c:v>
                </c:pt>
                <c:pt idx="1151">
                  <c:v>93.998319999999993</c:v>
                </c:pt>
                <c:pt idx="1152">
                  <c:v>94.073700000000002</c:v>
                </c:pt>
                <c:pt idx="1153">
                  <c:v>94.04701</c:v>
                </c:pt>
                <c:pt idx="1154">
                  <c:v>94.102429999999998</c:v>
                </c:pt>
                <c:pt idx="1155">
                  <c:v>94.047899999999998</c:v>
                </c:pt>
                <c:pt idx="1156">
                  <c:v>94.085530000000006</c:v>
                </c:pt>
                <c:pt idx="1157">
                  <c:v>94.004199999999997</c:v>
                </c:pt>
                <c:pt idx="1158">
                  <c:v>94.153289999999998</c:v>
                </c:pt>
                <c:pt idx="1159">
                  <c:v>93.994649999999993</c:v>
                </c:pt>
                <c:pt idx="1160">
                  <c:v>94.026970000000006</c:v>
                </c:pt>
                <c:pt idx="1161">
                  <c:v>93.92774</c:v>
                </c:pt>
                <c:pt idx="1162">
                  <c:v>94.055689999999998</c:v>
                </c:pt>
                <c:pt idx="1163">
                  <c:v>93.986450000000005</c:v>
                </c:pt>
                <c:pt idx="1164">
                  <c:v>93.915530000000004</c:v>
                </c:pt>
                <c:pt idx="1165">
                  <c:v>93.971559999999997</c:v>
                </c:pt>
                <c:pt idx="1166">
                  <c:v>93.873350000000002</c:v>
                </c:pt>
                <c:pt idx="1167">
                  <c:v>94.016270000000006</c:v>
                </c:pt>
                <c:pt idx="1168">
                  <c:v>94.033959999999993</c:v>
                </c:pt>
                <c:pt idx="1169">
                  <c:v>93.946719999999999</c:v>
                </c:pt>
                <c:pt idx="1170">
                  <c:v>93.999139999999997</c:v>
                </c:pt>
                <c:pt idx="1171">
                  <c:v>94.029250000000005</c:v>
                </c:pt>
                <c:pt idx="1172">
                  <c:v>93.940770000000001</c:v>
                </c:pt>
                <c:pt idx="1173">
                  <c:v>93.948350000000005</c:v>
                </c:pt>
                <c:pt idx="1174">
                  <c:v>93.929509999999993</c:v>
                </c:pt>
                <c:pt idx="1175">
                  <c:v>93.871780000000001</c:v>
                </c:pt>
                <c:pt idx="1176">
                  <c:v>93.795649999999995</c:v>
                </c:pt>
                <c:pt idx="1177">
                  <c:v>94.001800000000003</c:v>
                </c:pt>
                <c:pt idx="1178">
                  <c:v>93.852729999999994</c:v>
                </c:pt>
                <c:pt idx="1179">
                  <c:v>93.913399999999996</c:v>
                </c:pt>
                <c:pt idx="1180">
                  <c:v>93.974080000000001</c:v>
                </c:pt>
                <c:pt idx="1181">
                  <c:v>93.938680000000005</c:v>
                </c:pt>
                <c:pt idx="1182">
                  <c:v>93.885180000000005</c:v>
                </c:pt>
                <c:pt idx="1183">
                  <c:v>93.846900000000005</c:v>
                </c:pt>
                <c:pt idx="1184">
                  <c:v>93.862830000000002</c:v>
                </c:pt>
                <c:pt idx="1185">
                  <c:v>93.786760000000001</c:v>
                </c:pt>
                <c:pt idx="1186">
                  <c:v>93.829260000000005</c:v>
                </c:pt>
                <c:pt idx="1187">
                  <c:v>93.845799999999997</c:v>
                </c:pt>
                <c:pt idx="1188">
                  <c:v>93.860929999999996</c:v>
                </c:pt>
                <c:pt idx="1189">
                  <c:v>93.789109999999994</c:v>
                </c:pt>
                <c:pt idx="1190">
                  <c:v>93.636359999999996</c:v>
                </c:pt>
                <c:pt idx="1191">
                  <c:v>93.823579999999993</c:v>
                </c:pt>
                <c:pt idx="1192">
                  <c:v>93.854799999999997</c:v>
                </c:pt>
                <c:pt idx="1193">
                  <c:v>93.752279999999999</c:v>
                </c:pt>
                <c:pt idx="1194">
                  <c:v>93.821749999999994</c:v>
                </c:pt>
                <c:pt idx="1195">
                  <c:v>93.756420000000006</c:v>
                </c:pt>
                <c:pt idx="1196">
                  <c:v>93.803049999999999</c:v>
                </c:pt>
                <c:pt idx="1197">
                  <c:v>93.778779999999998</c:v>
                </c:pt>
                <c:pt idx="1198">
                  <c:v>93.721130000000002</c:v>
                </c:pt>
                <c:pt idx="1199">
                  <c:v>93.744579999999999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88-014C-8402-517F26A407E7}"/>
            </c:ext>
          </c:extLst>
        </c:ser>
        <c:ser>
          <c:idx val="2"/>
          <c:order val="2"/>
          <c:tx>
            <c:v>PW500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Data, PW500, 20% O2'!$Z$6:$Z$1205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Data, PW500, 20% O2'!$AB$6:$AB$1205</c:f>
              <c:numCache>
                <c:formatCode>0.00000</c:formatCode>
                <c:ptCount val="1200"/>
                <c:pt idx="0">
                  <c:v>100</c:v>
                </c:pt>
                <c:pt idx="1">
                  <c:v>100.09475</c:v>
                </c:pt>
                <c:pt idx="2">
                  <c:v>100.35633</c:v>
                </c:pt>
                <c:pt idx="3">
                  <c:v>100.51926</c:v>
                </c:pt>
                <c:pt idx="4">
                  <c:v>100.53086999999999</c:v>
                </c:pt>
                <c:pt idx="5">
                  <c:v>100.70769</c:v>
                </c:pt>
                <c:pt idx="6">
                  <c:v>100.60142999999999</c:v>
                </c:pt>
                <c:pt idx="7">
                  <c:v>100.80573</c:v>
                </c:pt>
                <c:pt idx="8">
                  <c:v>100.87542999999999</c:v>
                </c:pt>
                <c:pt idx="9">
                  <c:v>100.84949999999999</c:v>
                </c:pt>
                <c:pt idx="10">
                  <c:v>100.89995999999999</c:v>
                </c:pt>
                <c:pt idx="11">
                  <c:v>100.96169</c:v>
                </c:pt>
                <c:pt idx="12">
                  <c:v>100.9794</c:v>
                </c:pt>
                <c:pt idx="13">
                  <c:v>101.07232999999999</c:v>
                </c:pt>
                <c:pt idx="14">
                  <c:v>101.10791999999999</c:v>
                </c:pt>
                <c:pt idx="15">
                  <c:v>101.11595</c:v>
                </c:pt>
                <c:pt idx="16">
                  <c:v>101.14819</c:v>
                </c:pt>
                <c:pt idx="17">
                  <c:v>101.2186</c:v>
                </c:pt>
                <c:pt idx="18">
                  <c:v>101.16189</c:v>
                </c:pt>
                <c:pt idx="19">
                  <c:v>101.18221</c:v>
                </c:pt>
                <c:pt idx="20">
                  <c:v>101.32619</c:v>
                </c:pt>
                <c:pt idx="21">
                  <c:v>101.34121</c:v>
                </c:pt>
                <c:pt idx="22">
                  <c:v>101.29928</c:v>
                </c:pt>
                <c:pt idx="23">
                  <c:v>101.32599999999999</c:v>
                </c:pt>
                <c:pt idx="24">
                  <c:v>101.36545</c:v>
                </c:pt>
                <c:pt idx="25">
                  <c:v>101.41614</c:v>
                </c:pt>
                <c:pt idx="26">
                  <c:v>101.33024</c:v>
                </c:pt>
                <c:pt idx="27">
                  <c:v>101.45738</c:v>
                </c:pt>
                <c:pt idx="28">
                  <c:v>101.48598</c:v>
                </c:pt>
                <c:pt idx="29">
                  <c:v>101.45416</c:v>
                </c:pt>
                <c:pt idx="30">
                  <c:v>101.4811</c:v>
                </c:pt>
                <c:pt idx="31">
                  <c:v>101.4804</c:v>
                </c:pt>
                <c:pt idx="32">
                  <c:v>101.69607999999999</c:v>
                </c:pt>
                <c:pt idx="33">
                  <c:v>101.62315</c:v>
                </c:pt>
                <c:pt idx="34">
                  <c:v>101.58175</c:v>
                </c:pt>
                <c:pt idx="35">
                  <c:v>101.61745999999999</c:v>
                </c:pt>
                <c:pt idx="36">
                  <c:v>101.64064</c:v>
                </c:pt>
                <c:pt idx="37">
                  <c:v>101.63115999999999</c:v>
                </c:pt>
                <c:pt idx="38">
                  <c:v>101.67474</c:v>
                </c:pt>
                <c:pt idx="39">
                  <c:v>101.72796</c:v>
                </c:pt>
                <c:pt idx="40">
                  <c:v>101.72449999999999</c:v>
                </c:pt>
                <c:pt idx="41">
                  <c:v>101.72754999999999</c:v>
                </c:pt>
                <c:pt idx="42">
                  <c:v>101.82803</c:v>
                </c:pt>
                <c:pt idx="43">
                  <c:v>101.74401999999999</c:v>
                </c:pt>
                <c:pt idx="44">
                  <c:v>101.77515</c:v>
                </c:pt>
                <c:pt idx="45">
                  <c:v>101.78618</c:v>
                </c:pt>
                <c:pt idx="46">
                  <c:v>101.91005</c:v>
                </c:pt>
                <c:pt idx="47">
                  <c:v>101.88348000000001</c:v>
                </c:pt>
                <c:pt idx="48">
                  <c:v>101.89874999999999</c:v>
                </c:pt>
                <c:pt idx="49">
                  <c:v>101.85565</c:v>
                </c:pt>
                <c:pt idx="50">
                  <c:v>101.85952999999999</c:v>
                </c:pt>
                <c:pt idx="51">
                  <c:v>101.8537</c:v>
                </c:pt>
                <c:pt idx="52">
                  <c:v>101.89775</c:v>
                </c:pt>
                <c:pt idx="53">
                  <c:v>102.00684</c:v>
                </c:pt>
                <c:pt idx="54">
                  <c:v>101.91725</c:v>
                </c:pt>
                <c:pt idx="55">
                  <c:v>101.98548</c:v>
                </c:pt>
                <c:pt idx="56">
                  <c:v>102.00601</c:v>
                </c:pt>
                <c:pt idx="57">
                  <c:v>101.98754</c:v>
                </c:pt>
                <c:pt idx="58">
                  <c:v>101.99424999999999</c:v>
                </c:pt>
                <c:pt idx="59">
                  <c:v>102.00556</c:v>
                </c:pt>
                <c:pt idx="60">
                  <c:v>101.96867999999999</c:v>
                </c:pt>
                <c:pt idx="61">
                  <c:v>102.14950999999999</c:v>
                </c:pt>
                <c:pt idx="62">
                  <c:v>102.13731</c:v>
                </c:pt>
                <c:pt idx="63">
                  <c:v>102.06067</c:v>
                </c:pt>
                <c:pt idx="64">
                  <c:v>102.12909000000001</c:v>
                </c:pt>
                <c:pt idx="65">
                  <c:v>102.19338999999999</c:v>
                </c:pt>
                <c:pt idx="66">
                  <c:v>102.20891999999999</c:v>
                </c:pt>
                <c:pt idx="67">
                  <c:v>102.15521</c:v>
                </c:pt>
                <c:pt idx="68">
                  <c:v>102.17473</c:v>
                </c:pt>
                <c:pt idx="69">
                  <c:v>102.18473</c:v>
                </c:pt>
                <c:pt idx="70">
                  <c:v>102.23522</c:v>
                </c:pt>
                <c:pt idx="71">
                  <c:v>102.28103</c:v>
                </c:pt>
                <c:pt idx="72">
                  <c:v>102.19335</c:v>
                </c:pt>
                <c:pt idx="73">
                  <c:v>102.25337</c:v>
                </c:pt>
                <c:pt idx="74">
                  <c:v>102.20683</c:v>
                </c:pt>
                <c:pt idx="75">
                  <c:v>102.3698</c:v>
                </c:pt>
                <c:pt idx="76">
                  <c:v>102.25462</c:v>
                </c:pt>
                <c:pt idx="77">
                  <c:v>102.25963</c:v>
                </c:pt>
                <c:pt idx="78">
                  <c:v>102.35104</c:v>
                </c:pt>
                <c:pt idx="79">
                  <c:v>102.23278999999999</c:v>
                </c:pt>
                <c:pt idx="80">
                  <c:v>102.2449</c:v>
                </c:pt>
                <c:pt idx="81">
                  <c:v>102.30956999999999</c:v>
                </c:pt>
                <c:pt idx="82">
                  <c:v>102.28776000000001</c:v>
                </c:pt>
                <c:pt idx="83">
                  <c:v>102.37885</c:v>
                </c:pt>
                <c:pt idx="84">
                  <c:v>102.28415</c:v>
                </c:pt>
                <c:pt idx="85">
                  <c:v>102.34255</c:v>
                </c:pt>
                <c:pt idx="86">
                  <c:v>102.46442999999999</c:v>
                </c:pt>
                <c:pt idx="87">
                  <c:v>102.32293</c:v>
                </c:pt>
                <c:pt idx="88">
                  <c:v>102.36574</c:v>
                </c:pt>
                <c:pt idx="89">
                  <c:v>102.43935</c:v>
                </c:pt>
                <c:pt idx="90">
                  <c:v>102.39404</c:v>
                </c:pt>
                <c:pt idx="91">
                  <c:v>102.47462</c:v>
                </c:pt>
                <c:pt idx="92">
                  <c:v>102.47369999999999</c:v>
                </c:pt>
                <c:pt idx="93">
                  <c:v>102.43217</c:v>
                </c:pt>
                <c:pt idx="94">
                  <c:v>102.46159</c:v>
                </c:pt>
                <c:pt idx="95">
                  <c:v>102.50015</c:v>
                </c:pt>
                <c:pt idx="96">
                  <c:v>102.50018</c:v>
                </c:pt>
                <c:pt idx="97">
                  <c:v>102.48495</c:v>
                </c:pt>
                <c:pt idx="98">
                  <c:v>102.57992</c:v>
                </c:pt>
                <c:pt idx="99">
                  <c:v>102.58723000000001</c:v>
                </c:pt>
                <c:pt idx="100">
                  <c:v>102.63773999999999</c:v>
                </c:pt>
                <c:pt idx="101">
                  <c:v>102.55096999999999</c:v>
                </c:pt>
                <c:pt idx="102">
                  <c:v>102.48484999999999</c:v>
                </c:pt>
                <c:pt idx="103">
                  <c:v>102.56629</c:v>
                </c:pt>
                <c:pt idx="104">
                  <c:v>102.53229999999999</c:v>
                </c:pt>
                <c:pt idx="105">
                  <c:v>102.55907000000001</c:v>
                </c:pt>
                <c:pt idx="106">
                  <c:v>102.6343</c:v>
                </c:pt>
                <c:pt idx="107">
                  <c:v>102.5519</c:v>
                </c:pt>
                <c:pt idx="108">
                  <c:v>102.66658</c:v>
                </c:pt>
                <c:pt idx="109">
                  <c:v>102.68143000000001</c:v>
                </c:pt>
                <c:pt idx="110">
                  <c:v>102.60905</c:v>
                </c:pt>
                <c:pt idx="111">
                  <c:v>102.67103</c:v>
                </c:pt>
                <c:pt idx="112">
                  <c:v>102.71105</c:v>
                </c:pt>
                <c:pt idx="113">
                  <c:v>102.65313</c:v>
                </c:pt>
                <c:pt idx="114">
                  <c:v>102.68283</c:v>
                </c:pt>
                <c:pt idx="115">
                  <c:v>102.7281</c:v>
                </c:pt>
                <c:pt idx="116">
                  <c:v>102.68243</c:v>
                </c:pt>
                <c:pt idx="117">
                  <c:v>102.66137000000001</c:v>
                </c:pt>
                <c:pt idx="118">
                  <c:v>102.75458</c:v>
                </c:pt>
                <c:pt idx="119">
                  <c:v>102.74884</c:v>
                </c:pt>
                <c:pt idx="120">
                  <c:v>102.73871</c:v>
                </c:pt>
                <c:pt idx="121">
                  <c:v>102.77321000000001</c:v>
                </c:pt>
                <c:pt idx="122">
                  <c:v>102.76369</c:v>
                </c:pt>
                <c:pt idx="123">
                  <c:v>102.74002</c:v>
                </c:pt>
                <c:pt idx="124">
                  <c:v>102.73708000000001</c:v>
                </c:pt>
                <c:pt idx="125">
                  <c:v>102.82979</c:v>
                </c:pt>
                <c:pt idx="126">
                  <c:v>102.72332</c:v>
                </c:pt>
                <c:pt idx="127">
                  <c:v>102.80927</c:v>
                </c:pt>
                <c:pt idx="128">
                  <c:v>102.80714</c:v>
                </c:pt>
                <c:pt idx="129">
                  <c:v>102.73443</c:v>
                </c:pt>
                <c:pt idx="130">
                  <c:v>102.85786</c:v>
                </c:pt>
                <c:pt idx="131">
                  <c:v>102.85122</c:v>
                </c:pt>
                <c:pt idx="132">
                  <c:v>102.77896</c:v>
                </c:pt>
                <c:pt idx="133">
                  <c:v>102.79667999999999</c:v>
                </c:pt>
                <c:pt idx="134">
                  <c:v>102.81341999999999</c:v>
                </c:pt>
                <c:pt idx="135">
                  <c:v>102.87658</c:v>
                </c:pt>
                <c:pt idx="136">
                  <c:v>102.84563</c:v>
                </c:pt>
                <c:pt idx="137">
                  <c:v>102.92941</c:v>
                </c:pt>
                <c:pt idx="138">
                  <c:v>102.92957</c:v>
                </c:pt>
                <c:pt idx="139">
                  <c:v>102.94345</c:v>
                </c:pt>
                <c:pt idx="140">
                  <c:v>102.92921</c:v>
                </c:pt>
                <c:pt idx="141">
                  <c:v>102.9923</c:v>
                </c:pt>
                <c:pt idx="142">
                  <c:v>102.89421</c:v>
                </c:pt>
                <c:pt idx="143">
                  <c:v>102.92841</c:v>
                </c:pt>
                <c:pt idx="144">
                  <c:v>102.85633</c:v>
                </c:pt>
                <c:pt idx="145">
                  <c:v>102.79203</c:v>
                </c:pt>
                <c:pt idx="146">
                  <c:v>102.99643</c:v>
                </c:pt>
                <c:pt idx="147">
                  <c:v>102.95926</c:v>
                </c:pt>
                <c:pt idx="148">
                  <c:v>102.92362</c:v>
                </c:pt>
                <c:pt idx="149">
                  <c:v>102.9966</c:v>
                </c:pt>
                <c:pt idx="150">
                  <c:v>102.93378</c:v>
                </c:pt>
                <c:pt idx="151">
                  <c:v>102.92349</c:v>
                </c:pt>
                <c:pt idx="152">
                  <c:v>102.98949</c:v>
                </c:pt>
                <c:pt idx="153">
                  <c:v>103.00207999999999</c:v>
                </c:pt>
                <c:pt idx="154">
                  <c:v>103.03533</c:v>
                </c:pt>
                <c:pt idx="155">
                  <c:v>102.97063</c:v>
                </c:pt>
                <c:pt idx="156">
                  <c:v>103.08398</c:v>
                </c:pt>
                <c:pt idx="157">
                  <c:v>102.9558</c:v>
                </c:pt>
                <c:pt idx="158">
                  <c:v>102.98775999999999</c:v>
                </c:pt>
                <c:pt idx="159">
                  <c:v>103.02807</c:v>
                </c:pt>
                <c:pt idx="160">
                  <c:v>103.06576</c:v>
                </c:pt>
                <c:pt idx="161">
                  <c:v>103.06067</c:v>
                </c:pt>
                <c:pt idx="162">
                  <c:v>102.9939</c:v>
                </c:pt>
                <c:pt idx="163">
                  <c:v>102.92901000000001</c:v>
                </c:pt>
                <c:pt idx="164">
                  <c:v>103.08196</c:v>
                </c:pt>
                <c:pt idx="165">
                  <c:v>103.06533999999999</c:v>
                </c:pt>
                <c:pt idx="166">
                  <c:v>103.03023999999999</c:v>
                </c:pt>
                <c:pt idx="167">
                  <c:v>103.01476</c:v>
                </c:pt>
                <c:pt idx="168">
                  <c:v>103.12456</c:v>
                </c:pt>
                <c:pt idx="169">
                  <c:v>103.10195</c:v>
                </c:pt>
                <c:pt idx="170">
                  <c:v>103.10223000000001</c:v>
                </c:pt>
                <c:pt idx="171">
                  <c:v>103.09537</c:v>
                </c:pt>
                <c:pt idx="172">
                  <c:v>103.10664</c:v>
                </c:pt>
                <c:pt idx="173">
                  <c:v>103.17999999999999</c:v>
                </c:pt>
                <c:pt idx="174">
                  <c:v>103.17265999999999</c:v>
                </c:pt>
                <c:pt idx="175">
                  <c:v>103.18035</c:v>
                </c:pt>
                <c:pt idx="176">
                  <c:v>103.19871000000001</c:v>
                </c:pt>
                <c:pt idx="177">
                  <c:v>103.21193</c:v>
                </c:pt>
                <c:pt idx="178">
                  <c:v>103.25042999999999</c:v>
                </c:pt>
                <c:pt idx="179">
                  <c:v>103.15694999999999</c:v>
                </c:pt>
                <c:pt idx="180">
                  <c:v>103.23062</c:v>
                </c:pt>
                <c:pt idx="181">
                  <c:v>103.26017</c:v>
                </c:pt>
                <c:pt idx="182">
                  <c:v>103.27374</c:v>
                </c:pt>
                <c:pt idx="183">
                  <c:v>103.24121</c:v>
                </c:pt>
                <c:pt idx="184">
                  <c:v>103.12291</c:v>
                </c:pt>
                <c:pt idx="185">
                  <c:v>103.25409999999999</c:v>
                </c:pt>
                <c:pt idx="186">
                  <c:v>103.19450000000001</c:v>
                </c:pt>
                <c:pt idx="187">
                  <c:v>103.22024999999999</c:v>
                </c:pt>
                <c:pt idx="188">
                  <c:v>103.21532999999999</c:v>
                </c:pt>
                <c:pt idx="189">
                  <c:v>103.29728</c:v>
                </c:pt>
                <c:pt idx="190">
                  <c:v>103.25966</c:v>
                </c:pt>
                <c:pt idx="191">
                  <c:v>103.23335</c:v>
                </c:pt>
                <c:pt idx="192">
                  <c:v>103.23703</c:v>
                </c:pt>
                <c:pt idx="193">
                  <c:v>103.27575</c:v>
                </c:pt>
                <c:pt idx="194">
                  <c:v>103.27370999999999</c:v>
                </c:pt>
                <c:pt idx="195">
                  <c:v>103.23416</c:v>
                </c:pt>
                <c:pt idx="196">
                  <c:v>103.26600999999999</c:v>
                </c:pt>
                <c:pt idx="197">
                  <c:v>103.23347</c:v>
                </c:pt>
                <c:pt idx="198">
                  <c:v>103.32126</c:v>
                </c:pt>
                <c:pt idx="199">
                  <c:v>103.29376999999999</c:v>
                </c:pt>
                <c:pt idx="200">
                  <c:v>103.17223</c:v>
                </c:pt>
                <c:pt idx="201">
                  <c:v>103.35420000000001</c:v>
                </c:pt>
                <c:pt idx="202">
                  <c:v>103.23493000000001</c:v>
                </c:pt>
                <c:pt idx="203">
                  <c:v>103.27135</c:v>
                </c:pt>
                <c:pt idx="204">
                  <c:v>103.34836</c:v>
                </c:pt>
                <c:pt idx="205">
                  <c:v>103.33654</c:v>
                </c:pt>
                <c:pt idx="206">
                  <c:v>103.34978</c:v>
                </c:pt>
                <c:pt idx="207">
                  <c:v>103.38661999999999</c:v>
                </c:pt>
                <c:pt idx="208">
                  <c:v>103.37506999999999</c:v>
                </c:pt>
                <c:pt idx="209">
                  <c:v>103.315</c:v>
                </c:pt>
                <c:pt idx="210">
                  <c:v>103.35933</c:v>
                </c:pt>
                <c:pt idx="211">
                  <c:v>103.37617</c:v>
                </c:pt>
                <c:pt idx="212">
                  <c:v>103.43241</c:v>
                </c:pt>
                <c:pt idx="213">
                  <c:v>103.36275999999999</c:v>
                </c:pt>
                <c:pt idx="214">
                  <c:v>103.38473</c:v>
                </c:pt>
                <c:pt idx="215">
                  <c:v>103.29895</c:v>
                </c:pt>
                <c:pt idx="216">
                  <c:v>103.31931</c:v>
                </c:pt>
                <c:pt idx="217">
                  <c:v>103.36002999999999</c:v>
                </c:pt>
                <c:pt idx="218">
                  <c:v>103.31147</c:v>
                </c:pt>
                <c:pt idx="219">
                  <c:v>103.377</c:v>
                </c:pt>
                <c:pt idx="220">
                  <c:v>103.33239</c:v>
                </c:pt>
                <c:pt idx="221">
                  <c:v>103.40597</c:v>
                </c:pt>
                <c:pt idx="222">
                  <c:v>103.38806</c:v>
                </c:pt>
                <c:pt idx="223">
                  <c:v>103.37294</c:v>
                </c:pt>
                <c:pt idx="224">
                  <c:v>103.36645</c:v>
                </c:pt>
                <c:pt idx="225">
                  <c:v>103.47203</c:v>
                </c:pt>
                <c:pt idx="226">
                  <c:v>103.38464999999999</c:v>
                </c:pt>
                <c:pt idx="227">
                  <c:v>103.41276999999999</c:v>
                </c:pt>
                <c:pt idx="228">
                  <c:v>103.3895</c:v>
                </c:pt>
                <c:pt idx="229">
                  <c:v>103.36565</c:v>
                </c:pt>
                <c:pt idx="230">
                  <c:v>103.41636</c:v>
                </c:pt>
                <c:pt idx="231">
                  <c:v>103.42068</c:v>
                </c:pt>
                <c:pt idx="232">
                  <c:v>103.4087</c:v>
                </c:pt>
                <c:pt idx="233">
                  <c:v>103.511</c:v>
                </c:pt>
                <c:pt idx="234">
                  <c:v>103.42353</c:v>
                </c:pt>
                <c:pt idx="235">
                  <c:v>103.41938</c:v>
                </c:pt>
                <c:pt idx="236">
                  <c:v>103.45886</c:v>
                </c:pt>
                <c:pt idx="237">
                  <c:v>103.48936999999999</c:v>
                </c:pt>
                <c:pt idx="238">
                  <c:v>103.51194</c:v>
                </c:pt>
                <c:pt idx="239">
                  <c:v>103.414</c:v>
                </c:pt>
                <c:pt idx="240">
                  <c:v>103.56856999999999</c:v>
                </c:pt>
                <c:pt idx="241">
                  <c:v>103.45778</c:v>
                </c:pt>
                <c:pt idx="242">
                  <c:v>103.53646999999999</c:v>
                </c:pt>
                <c:pt idx="243">
                  <c:v>103.55959</c:v>
                </c:pt>
                <c:pt idx="244">
                  <c:v>103.54283</c:v>
                </c:pt>
                <c:pt idx="245">
                  <c:v>103.56947</c:v>
                </c:pt>
                <c:pt idx="246">
                  <c:v>103.58273</c:v>
                </c:pt>
                <c:pt idx="247">
                  <c:v>103.48952</c:v>
                </c:pt>
                <c:pt idx="248">
                  <c:v>103.63701</c:v>
                </c:pt>
                <c:pt idx="249">
                  <c:v>103.44808</c:v>
                </c:pt>
                <c:pt idx="250">
                  <c:v>103.53795</c:v>
                </c:pt>
                <c:pt idx="251">
                  <c:v>103.58622</c:v>
                </c:pt>
                <c:pt idx="252">
                  <c:v>103.46923</c:v>
                </c:pt>
                <c:pt idx="253">
                  <c:v>103.53364000000001</c:v>
                </c:pt>
                <c:pt idx="254">
                  <c:v>103.50917</c:v>
                </c:pt>
                <c:pt idx="255">
                  <c:v>103.60205999999999</c:v>
                </c:pt>
                <c:pt idx="256">
                  <c:v>103.46711000000001</c:v>
                </c:pt>
                <c:pt idx="257">
                  <c:v>103.65102</c:v>
                </c:pt>
                <c:pt idx="258">
                  <c:v>103.60561</c:v>
                </c:pt>
                <c:pt idx="259">
                  <c:v>103.55615</c:v>
                </c:pt>
                <c:pt idx="260">
                  <c:v>103.60562</c:v>
                </c:pt>
                <c:pt idx="261">
                  <c:v>103.51461</c:v>
                </c:pt>
                <c:pt idx="262">
                  <c:v>103.54433</c:v>
                </c:pt>
                <c:pt idx="263">
                  <c:v>103.53403</c:v>
                </c:pt>
                <c:pt idx="264">
                  <c:v>103.57131</c:v>
                </c:pt>
                <c:pt idx="265">
                  <c:v>103.58150000000001</c:v>
                </c:pt>
                <c:pt idx="266">
                  <c:v>103.57917</c:v>
                </c:pt>
                <c:pt idx="267">
                  <c:v>103.59135999999999</c:v>
                </c:pt>
                <c:pt idx="268">
                  <c:v>103.59341000000001</c:v>
                </c:pt>
                <c:pt idx="269">
                  <c:v>103.51022999999999</c:v>
                </c:pt>
                <c:pt idx="270">
                  <c:v>103.61733</c:v>
                </c:pt>
                <c:pt idx="271">
                  <c:v>103.63136</c:v>
                </c:pt>
                <c:pt idx="272">
                  <c:v>103.60026000000001</c:v>
                </c:pt>
                <c:pt idx="273">
                  <c:v>103.58373</c:v>
                </c:pt>
                <c:pt idx="274">
                  <c:v>103.64417</c:v>
                </c:pt>
                <c:pt idx="275">
                  <c:v>103.60977</c:v>
                </c:pt>
                <c:pt idx="276">
                  <c:v>103.61193</c:v>
                </c:pt>
                <c:pt idx="277">
                  <c:v>103.55869</c:v>
                </c:pt>
                <c:pt idx="278">
                  <c:v>103.57760999999999</c:v>
                </c:pt>
                <c:pt idx="279">
                  <c:v>103.54667999999999</c:v>
                </c:pt>
                <c:pt idx="280">
                  <c:v>103.61293000000001</c:v>
                </c:pt>
                <c:pt idx="281">
                  <c:v>103.62836</c:v>
                </c:pt>
                <c:pt idx="282">
                  <c:v>103.63476</c:v>
                </c:pt>
                <c:pt idx="283">
                  <c:v>103.64395</c:v>
                </c:pt>
                <c:pt idx="284">
                  <c:v>103.58138</c:v>
                </c:pt>
                <c:pt idx="285">
                  <c:v>103.65644999999999</c:v>
                </c:pt>
                <c:pt idx="286">
                  <c:v>103.6546</c:v>
                </c:pt>
                <c:pt idx="287">
                  <c:v>103.76268999999999</c:v>
                </c:pt>
                <c:pt idx="288">
                  <c:v>103.67704000000001</c:v>
                </c:pt>
                <c:pt idx="289">
                  <c:v>103.73832</c:v>
                </c:pt>
                <c:pt idx="290">
                  <c:v>103.62555</c:v>
                </c:pt>
                <c:pt idx="291">
                  <c:v>103.6575</c:v>
                </c:pt>
                <c:pt idx="292">
                  <c:v>103.59115</c:v>
                </c:pt>
                <c:pt idx="293">
                  <c:v>103.7731</c:v>
                </c:pt>
                <c:pt idx="294">
                  <c:v>103.6606</c:v>
                </c:pt>
                <c:pt idx="295">
                  <c:v>103.72517999999999</c:v>
                </c:pt>
                <c:pt idx="296">
                  <c:v>103.67341999999999</c:v>
                </c:pt>
                <c:pt idx="297">
                  <c:v>103.70694</c:v>
                </c:pt>
                <c:pt idx="298">
                  <c:v>103.65313</c:v>
                </c:pt>
                <c:pt idx="299">
                  <c:v>103.68195</c:v>
                </c:pt>
                <c:pt idx="300">
                  <c:v>103.6357</c:v>
                </c:pt>
                <c:pt idx="301">
                  <c:v>103.52452</c:v>
                </c:pt>
                <c:pt idx="302">
                  <c:v>103.68397</c:v>
                </c:pt>
                <c:pt idx="303">
                  <c:v>103.57889</c:v>
                </c:pt>
                <c:pt idx="304">
                  <c:v>103.67074</c:v>
                </c:pt>
                <c:pt idx="305">
                  <c:v>103.6742</c:v>
                </c:pt>
                <c:pt idx="306">
                  <c:v>103.66036</c:v>
                </c:pt>
                <c:pt idx="307">
                  <c:v>103.73945000000001</c:v>
                </c:pt>
                <c:pt idx="308">
                  <c:v>103.73164</c:v>
                </c:pt>
                <c:pt idx="309">
                  <c:v>103.69741</c:v>
                </c:pt>
                <c:pt idx="310">
                  <c:v>103.68805</c:v>
                </c:pt>
                <c:pt idx="311">
                  <c:v>103.75621</c:v>
                </c:pt>
                <c:pt idx="312">
                  <c:v>103.73298</c:v>
                </c:pt>
                <c:pt idx="313">
                  <c:v>103.71351</c:v>
                </c:pt>
                <c:pt idx="314">
                  <c:v>103.71377</c:v>
                </c:pt>
                <c:pt idx="315">
                  <c:v>103.76992</c:v>
                </c:pt>
                <c:pt idx="316">
                  <c:v>103.73166999999999</c:v>
                </c:pt>
                <c:pt idx="317">
                  <c:v>103.70518</c:v>
                </c:pt>
                <c:pt idx="318">
                  <c:v>103.7544</c:v>
                </c:pt>
                <c:pt idx="319">
                  <c:v>103.77227999999999</c:v>
                </c:pt>
                <c:pt idx="320">
                  <c:v>103.72556</c:v>
                </c:pt>
                <c:pt idx="321">
                  <c:v>103.75789</c:v>
                </c:pt>
                <c:pt idx="322">
                  <c:v>103.72431</c:v>
                </c:pt>
                <c:pt idx="323">
                  <c:v>103.79016</c:v>
                </c:pt>
                <c:pt idx="324">
                  <c:v>103.79631999999999</c:v>
                </c:pt>
                <c:pt idx="325">
                  <c:v>103.75515</c:v>
                </c:pt>
                <c:pt idx="326">
                  <c:v>103.7624</c:v>
                </c:pt>
                <c:pt idx="327">
                  <c:v>103.81304</c:v>
                </c:pt>
                <c:pt idx="328">
                  <c:v>103.75888</c:v>
                </c:pt>
                <c:pt idx="329">
                  <c:v>103.79866</c:v>
                </c:pt>
                <c:pt idx="330">
                  <c:v>103.80266</c:v>
                </c:pt>
                <c:pt idx="331">
                  <c:v>103.72089</c:v>
                </c:pt>
                <c:pt idx="332">
                  <c:v>103.72707</c:v>
                </c:pt>
                <c:pt idx="333">
                  <c:v>103.78206</c:v>
                </c:pt>
                <c:pt idx="334">
                  <c:v>103.68894</c:v>
                </c:pt>
                <c:pt idx="335">
                  <c:v>103.82792000000001</c:v>
                </c:pt>
                <c:pt idx="336">
                  <c:v>103.72002000000001</c:v>
                </c:pt>
                <c:pt idx="337">
                  <c:v>103.76759</c:v>
                </c:pt>
                <c:pt idx="338">
                  <c:v>103.80522000000001</c:v>
                </c:pt>
                <c:pt idx="339">
                  <c:v>103.90163</c:v>
                </c:pt>
                <c:pt idx="340">
                  <c:v>103.79219000000001</c:v>
                </c:pt>
                <c:pt idx="341">
                  <c:v>103.79419</c:v>
                </c:pt>
                <c:pt idx="342">
                  <c:v>103.85821</c:v>
                </c:pt>
                <c:pt idx="343">
                  <c:v>103.78363</c:v>
                </c:pt>
                <c:pt idx="344">
                  <c:v>103.74767</c:v>
                </c:pt>
                <c:pt idx="345">
                  <c:v>103.74954</c:v>
                </c:pt>
                <c:pt idx="346">
                  <c:v>103.84057</c:v>
                </c:pt>
                <c:pt idx="347">
                  <c:v>103.79428</c:v>
                </c:pt>
                <c:pt idx="348">
                  <c:v>103.74688</c:v>
                </c:pt>
                <c:pt idx="349">
                  <c:v>103.83148</c:v>
                </c:pt>
                <c:pt idx="350">
                  <c:v>103.81066</c:v>
                </c:pt>
                <c:pt idx="351">
                  <c:v>103.836</c:v>
                </c:pt>
                <c:pt idx="352">
                  <c:v>103.82653999999999</c:v>
                </c:pt>
                <c:pt idx="353">
                  <c:v>103.83624999999999</c:v>
                </c:pt>
                <c:pt idx="354">
                  <c:v>103.88386</c:v>
                </c:pt>
                <c:pt idx="355">
                  <c:v>103.93153</c:v>
                </c:pt>
                <c:pt idx="356">
                  <c:v>103.74956</c:v>
                </c:pt>
                <c:pt idx="357">
                  <c:v>103.7709</c:v>
                </c:pt>
                <c:pt idx="358">
                  <c:v>103.90900000000001</c:v>
                </c:pt>
                <c:pt idx="359">
                  <c:v>103.71771</c:v>
                </c:pt>
                <c:pt idx="360">
                  <c:v>103.89287</c:v>
                </c:pt>
                <c:pt idx="361">
                  <c:v>103.87063999999999</c:v>
                </c:pt>
                <c:pt idx="362">
                  <c:v>103.7959</c:v>
                </c:pt>
                <c:pt idx="363">
                  <c:v>103.87595</c:v>
                </c:pt>
                <c:pt idx="364">
                  <c:v>103.81278</c:v>
                </c:pt>
                <c:pt idx="365">
                  <c:v>103.83682999999999</c:v>
                </c:pt>
                <c:pt idx="366">
                  <c:v>103.77222999999999</c:v>
                </c:pt>
                <c:pt idx="367">
                  <c:v>103.81357</c:v>
                </c:pt>
                <c:pt idx="368">
                  <c:v>103.88522999999999</c:v>
                </c:pt>
                <c:pt idx="369">
                  <c:v>103.90857</c:v>
                </c:pt>
                <c:pt idx="370">
                  <c:v>103.83068</c:v>
                </c:pt>
                <c:pt idx="371">
                  <c:v>103.90922</c:v>
                </c:pt>
                <c:pt idx="372">
                  <c:v>103.82132</c:v>
                </c:pt>
                <c:pt idx="373">
                  <c:v>103.91212</c:v>
                </c:pt>
                <c:pt idx="374">
                  <c:v>103.91846</c:v>
                </c:pt>
                <c:pt idx="375">
                  <c:v>103.93705</c:v>
                </c:pt>
                <c:pt idx="376">
                  <c:v>103.85196000000001</c:v>
                </c:pt>
                <c:pt idx="377">
                  <c:v>103.91285999999999</c:v>
                </c:pt>
                <c:pt idx="378">
                  <c:v>103.9329</c:v>
                </c:pt>
                <c:pt idx="379">
                  <c:v>103.8464</c:v>
                </c:pt>
                <c:pt idx="380">
                  <c:v>103.95224999999999</c:v>
                </c:pt>
                <c:pt idx="381">
                  <c:v>103.98268</c:v>
                </c:pt>
                <c:pt idx="382">
                  <c:v>103.83252</c:v>
                </c:pt>
                <c:pt idx="383">
                  <c:v>103.95559</c:v>
                </c:pt>
                <c:pt idx="384">
                  <c:v>103.86660999999999</c:v>
                </c:pt>
                <c:pt idx="385">
                  <c:v>103.87081000000001</c:v>
                </c:pt>
                <c:pt idx="386">
                  <c:v>103.80620999999999</c:v>
                </c:pt>
                <c:pt idx="387">
                  <c:v>103.95609</c:v>
                </c:pt>
                <c:pt idx="388">
                  <c:v>103.89681</c:v>
                </c:pt>
                <c:pt idx="389">
                  <c:v>103.95061</c:v>
                </c:pt>
                <c:pt idx="390">
                  <c:v>103.92889</c:v>
                </c:pt>
                <c:pt idx="391">
                  <c:v>104.00201</c:v>
                </c:pt>
                <c:pt idx="392">
                  <c:v>103.98643</c:v>
                </c:pt>
                <c:pt idx="393">
                  <c:v>103.92451</c:v>
                </c:pt>
                <c:pt idx="394">
                  <c:v>103.86874</c:v>
                </c:pt>
                <c:pt idx="395">
                  <c:v>103.9256</c:v>
                </c:pt>
                <c:pt idx="396">
                  <c:v>103.8456</c:v>
                </c:pt>
                <c:pt idx="397">
                  <c:v>103.92138</c:v>
                </c:pt>
                <c:pt idx="398">
                  <c:v>103.96782999999999</c:v>
                </c:pt>
                <c:pt idx="399">
                  <c:v>103.9148</c:v>
                </c:pt>
                <c:pt idx="400">
                  <c:v>103.98442</c:v>
                </c:pt>
                <c:pt idx="401">
                  <c:v>103.97338999999999</c:v>
                </c:pt>
                <c:pt idx="402">
                  <c:v>103.92809</c:v>
                </c:pt>
                <c:pt idx="403">
                  <c:v>104.00225999999999</c:v>
                </c:pt>
                <c:pt idx="404">
                  <c:v>103.86587</c:v>
                </c:pt>
                <c:pt idx="405">
                  <c:v>103.90009000000001</c:v>
                </c:pt>
                <c:pt idx="406">
                  <c:v>104.01008</c:v>
                </c:pt>
                <c:pt idx="407">
                  <c:v>103.84023999999999</c:v>
                </c:pt>
                <c:pt idx="408">
                  <c:v>103.99379999999999</c:v>
                </c:pt>
                <c:pt idx="409">
                  <c:v>104.01302</c:v>
                </c:pt>
                <c:pt idx="410">
                  <c:v>103.95841</c:v>
                </c:pt>
                <c:pt idx="411">
                  <c:v>103.9293</c:v>
                </c:pt>
                <c:pt idx="412">
                  <c:v>103.9753</c:v>
                </c:pt>
                <c:pt idx="413">
                  <c:v>103.84491</c:v>
                </c:pt>
                <c:pt idx="414">
                  <c:v>103.92516000000001</c:v>
                </c:pt>
                <c:pt idx="415">
                  <c:v>103.9302</c:v>
                </c:pt>
                <c:pt idx="416">
                  <c:v>103.90306</c:v>
                </c:pt>
                <c:pt idx="417">
                  <c:v>103.86593000000001</c:v>
                </c:pt>
                <c:pt idx="418">
                  <c:v>103.93407999999999</c:v>
                </c:pt>
                <c:pt idx="419">
                  <c:v>103.79595999999999</c:v>
                </c:pt>
                <c:pt idx="420">
                  <c:v>103.89214</c:v>
                </c:pt>
                <c:pt idx="421">
                  <c:v>103.96973</c:v>
                </c:pt>
                <c:pt idx="422">
                  <c:v>103.9276</c:v>
                </c:pt>
                <c:pt idx="423">
                  <c:v>103.94049</c:v>
                </c:pt>
                <c:pt idx="424">
                  <c:v>103.87926</c:v>
                </c:pt>
                <c:pt idx="425">
                  <c:v>103.86105000000001</c:v>
                </c:pt>
                <c:pt idx="426">
                  <c:v>103.95650999999999</c:v>
                </c:pt>
                <c:pt idx="427">
                  <c:v>103.89491</c:v>
                </c:pt>
                <c:pt idx="428">
                  <c:v>103.97852</c:v>
                </c:pt>
                <c:pt idx="429">
                  <c:v>103.95338</c:v>
                </c:pt>
                <c:pt idx="430">
                  <c:v>104.00716</c:v>
                </c:pt>
                <c:pt idx="431">
                  <c:v>103.93035999999999</c:v>
                </c:pt>
                <c:pt idx="432">
                  <c:v>103.92549</c:v>
                </c:pt>
                <c:pt idx="433">
                  <c:v>103.99496000000001</c:v>
                </c:pt>
                <c:pt idx="434">
                  <c:v>104.04183999999999</c:v>
                </c:pt>
                <c:pt idx="435">
                  <c:v>104.03128</c:v>
                </c:pt>
                <c:pt idx="436">
                  <c:v>103.94924999999999</c:v>
                </c:pt>
                <c:pt idx="437">
                  <c:v>103.93782</c:v>
                </c:pt>
                <c:pt idx="438">
                  <c:v>103.91674999999999</c:v>
                </c:pt>
                <c:pt idx="439">
                  <c:v>103.95957</c:v>
                </c:pt>
                <c:pt idx="440">
                  <c:v>103.96953999999999</c:v>
                </c:pt>
                <c:pt idx="441">
                  <c:v>103.95012</c:v>
                </c:pt>
                <c:pt idx="442">
                  <c:v>103.97803999999999</c:v>
                </c:pt>
                <c:pt idx="443">
                  <c:v>103.90155</c:v>
                </c:pt>
                <c:pt idx="444">
                  <c:v>103.96088</c:v>
                </c:pt>
                <c:pt idx="445">
                  <c:v>103.98209</c:v>
                </c:pt>
                <c:pt idx="446">
                  <c:v>103.89440999999999</c:v>
                </c:pt>
                <c:pt idx="447">
                  <c:v>104.00116</c:v>
                </c:pt>
                <c:pt idx="448">
                  <c:v>103.94385</c:v>
                </c:pt>
                <c:pt idx="449">
                  <c:v>104.16932</c:v>
                </c:pt>
                <c:pt idx="450">
                  <c:v>103.90394999999999</c:v>
                </c:pt>
                <c:pt idx="451">
                  <c:v>103.96212</c:v>
                </c:pt>
                <c:pt idx="452">
                  <c:v>103.91222999999999</c:v>
                </c:pt>
                <c:pt idx="453">
                  <c:v>104.07371000000001</c:v>
                </c:pt>
                <c:pt idx="454">
                  <c:v>104.05768999999999</c:v>
                </c:pt>
                <c:pt idx="455">
                  <c:v>103.99954</c:v>
                </c:pt>
                <c:pt idx="456">
                  <c:v>103.92475</c:v>
                </c:pt>
                <c:pt idx="457">
                  <c:v>103.94228</c:v>
                </c:pt>
                <c:pt idx="458">
                  <c:v>104.04428</c:v>
                </c:pt>
                <c:pt idx="459">
                  <c:v>104.02631</c:v>
                </c:pt>
                <c:pt idx="460">
                  <c:v>104.01079</c:v>
                </c:pt>
                <c:pt idx="461">
                  <c:v>103.97828</c:v>
                </c:pt>
                <c:pt idx="462">
                  <c:v>104.00321</c:v>
                </c:pt>
                <c:pt idx="463">
                  <c:v>104.00145999999999</c:v>
                </c:pt>
                <c:pt idx="464">
                  <c:v>103.98484999999999</c:v>
                </c:pt>
                <c:pt idx="465">
                  <c:v>103.97331</c:v>
                </c:pt>
                <c:pt idx="466">
                  <c:v>103.94454</c:v>
                </c:pt>
                <c:pt idx="467">
                  <c:v>103.92249</c:v>
                </c:pt>
                <c:pt idx="468">
                  <c:v>103.99115</c:v>
                </c:pt>
                <c:pt idx="469">
                  <c:v>103.95896</c:v>
                </c:pt>
                <c:pt idx="470">
                  <c:v>104.06385</c:v>
                </c:pt>
                <c:pt idx="471">
                  <c:v>103.93275</c:v>
                </c:pt>
                <c:pt idx="472">
                  <c:v>103.96250000000001</c:v>
                </c:pt>
                <c:pt idx="473">
                  <c:v>104.03845</c:v>
                </c:pt>
                <c:pt idx="474">
                  <c:v>103.83305</c:v>
                </c:pt>
                <c:pt idx="475">
                  <c:v>103.94092999999999</c:v>
                </c:pt>
                <c:pt idx="476">
                  <c:v>104.00373</c:v>
                </c:pt>
                <c:pt idx="477">
                  <c:v>103.96496</c:v>
                </c:pt>
                <c:pt idx="478">
                  <c:v>104.02370999999999</c:v>
                </c:pt>
                <c:pt idx="479">
                  <c:v>103.98555</c:v>
                </c:pt>
                <c:pt idx="480">
                  <c:v>104.12253</c:v>
                </c:pt>
                <c:pt idx="481">
                  <c:v>104.00830000000001</c:v>
                </c:pt>
                <c:pt idx="482">
                  <c:v>103.97432000000001</c:v>
                </c:pt>
                <c:pt idx="483">
                  <c:v>104.06338</c:v>
                </c:pt>
                <c:pt idx="484">
                  <c:v>103.97496</c:v>
                </c:pt>
                <c:pt idx="485">
                  <c:v>104.05325999999999</c:v>
                </c:pt>
                <c:pt idx="486">
                  <c:v>104.00626</c:v>
                </c:pt>
                <c:pt idx="487">
                  <c:v>103.93836</c:v>
                </c:pt>
                <c:pt idx="488">
                  <c:v>103.96753</c:v>
                </c:pt>
                <c:pt idx="489">
                  <c:v>104.00586</c:v>
                </c:pt>
                <c:pt idx="490">
                  <c:v>103.98188999999999</c:v>
                </c:pt>
                <c:pt idx="491">
                  <c:v>103.91947</c:v>
                </c:pt>
                <c:pt idx="492">
                  <c:v>104.05378</c:v>
                </c:pt>
                <c:pt idx="493">
                  <c:v>104.08526999999999</c:v>
                </c:pt>
                <c:pt idx="494">
                  <c:v>104.02807</c:v>
                </c:pt>
                <c:pt idx="495">
                  <c:v>104.04431</c:v>
                </c:pt>
                <c:pt idx="496">
                  <c:v>103.96512</c:v>
                </c:pt>
                <c:pt idx="497">
                  <c:v>104.07120999999999</c:v>
                </c:pt>
                <c:pt idx="498">
                  <c:v>104.10335000000001</c:v>
                </c:pt>
                <c:pt idx="499">
                  <c:v>103.98612</c:v>
                </c:pt>
                <c:pt idx="500">
                  <c:v>103.97978999999999</c:v>
                </c:pt>
                <c:pt idx="501">
                  <c:v>104.04631999999999</c:v>
                </c:pt>
                <c:pt idx="502">
                  <c:v>103.97653</c:v>
                </c:pt>
                <c:pt idx="503">
                  <c:v>103.98739</c:v>
                </c:pt>
                <c:pt idx="504">
                  <c:v>103.99648999999999</c:v>
                </c:pt>
                <c:pt idx="505">
                  <c:v>104.00225</c:v>
                </c:pt>
                <c:pt idx="506">
                  <c:v>104.06605</c:v>
                </c:pt>
                <c:pt idx="507">
                  <c:v>103.93886000000001</c:v>
                </c:pt>
                <c:pt idx="508">
                  <c:v>104.00332</c:v>
                </c:pt>
                <c:pt idx="509">
                  <c:v>104.02159</c:v>
                </c:pt>
                <c:pt idx="510">
                  <c:v>103.99361</c:v>
                </c:pt>
                <c:pt idx="511">
                  <c:v>104.00828</c:v>
                </c:pt>
                <c:pt idx="512">
                  <c:v>104.17355000000001</c:v>
                </c:pt>
                <c:pt idx="513">
                  <c:v>103.96181</c:v>
                </c:pt>
                <c:pt idx="514">
                  <c:v>104.15197999999999</c:v>
                </c:pt>
                <c:pt idx="515">
                  <c:v>104.16822999999999</c:v>
                </c:pt>
                <c:pt idx="516">
                  <c:v>103.91488</c:v>
                </c:pt>
                <c:pt idx="517">
                  <c:v>104.01392</c:v>
                </c:pt>
                <c:pt idx="518">
                  <c:v>104.0123</c:v>
                </c:pt>
                <c:pt idx="519">
                  <c:v>103.99399</c:v>
                </c:pt>
                <c:pt idx="520">
                  <c:v>104.11663</c:v>
                </c:pt>
                <c:pt idx="521">
                  <c:v>104.15273999999999</c:v>
                </c:pt>
                <c:pt idx="522">
                  <c:v>104.05877</c:v>
                </c:pt>
                <c:pt idx="523">
                  <c:v>104.00467999999999</c:v>
                </c:pt>
                <c:pt idx="524">
                  <c:v>104.0111</c:v>
                </c:pt>
                <c:pt idx="525">
                  <c:v>104.02038</c:v>
                </c:pt>
                <c:pt idx="526">
                  <c:v>103.96377</c:v>
                </c:pt>
                <c:pt idx="527">
                  <c:v>103.99634</c:v>
                </c:pt>
                <c:pt idx="528">
                  <c:v>103.92728</c:v>
                </c:pt>
                <c:pt idx="529">
                  <c:v>103.97462</c:v>
                </c:pt>
                <c:pt idx="530">
                  <c:v>104.02618</c:v>
                </c:pt>
                <c:pt idx="531">
                  <c:v>103.96535</c:v>
                </c:pt>
                <c:pt idx="532">
                  <c:v>104.14404</c:v>
                </c:pt>
                <c:pt idx="533">
                  <c:v>104.00366</c:v>
                </c:pt>
                <c:pt idx="534">
                  <c:v>104.01881</c:v>
                </c:pt>
                <c:pt idx="535">
                  <c:v>104.04142</c:v>
                </c:pt>
                <c:pt idx="536">
                  <c:v>103.99252</c:v>
                </c:pt>
                <c:pt idx="537">
                  <c:v>104.04012</c:v>
                </c:pt>
                <c:pt idx="538">
                  <c:v>103.99778000000001</c:v>
                </c:pt>
                <c:pt idx="539">
                  <c:v>103.9804</c:v>
                </c:pt>
                <c:pt idx="540">
                  <c:v>104.03610999999999</c:v>
                </c:pt>
                <c:pt idx="541">
                  <c:v>104.07514999999999</c:v>
                </c:pt>
                <c:pt idx="542">
                  <c:v>104.05324</c:v>
                </c:pt>
                <c:pt idx="543">
                  <c:v>104.03903</c:v>
                </c:pt>
                <c:pt idx="544">
                  <c:v>104.06283000000001</c:v>
                </c:pt>
                <c:pt idx="545">
                  <c:v>104.04715</c:v>
                </c:pt>
                <c:pt idx="546">
                  <c:v>104.05947999999999</c:v>
                </c:pt>
                <c:pt idx="547">
                  <c:v>104.0727</c:v>
                </c:pt>
                <c:pt idx="548">
                  <c:v>104.12470999999999</c:v>
                </c:pt>
                <c:pt idx="549">
                  <c:v>103.98754</c:v>
                </c:pt>
                <c:pt idx="550">
                  <c:v>104.07187</c:v>
                </c:pt>
                <c:pt idx="551">
                  <c:v>103.99068</c:v>
                </c:pt>
                <c:pt idx="552">
                  <c:v>104.15943</c:v>
                </c:pt>
                <c:pt idx="553">
                  <c:v>104.07214</c:v>
                </c:pt>
                <c:pt idx="554">
                  <c:v>104.03650999999999</c:v>
                </c:pt>
                <c:pt idx="555">
                  <c:v>104.05286</c:v>
                </c:pt>
                <c:pt idx="556">
                  <c:v>104.11699</c:v>
                </c:pt>
                <c:pt idx="557">
                  <c:v>104.12693</c:v>
                </c:pt>
                <c:pt idx="558">
                  <c:v>104.08378</c:v>
                </c:pt>
                <c:pt idx="559">
                  <c:v>104.10238</c:v>
                </c:pt>
                <c:pt idx="560">
                  <c:v>104.03604</c:v>
                </c:pt>
                <c:pt idx="561">
                  <c:v>104.01837</c:v>
                </c:pt>
                <c:pt idx="562">
                  <c:v>103.93469999999999</c:v>
                </c:pt>
                <c:pt idx="563">
                  <c:v>104.09233</c:v>
                </c:pt>
                <c:pt idx="564">
                  <c:v>104.04934</c:v>
                </c:pt>
                <c:pt idx="565">
                  <c:v>104.14317</c:v>
                </c:pt>
                <c:pt idx="566">
                  <c:v>104.05598999999999</c:v>
                </c:pt>
                <c:pt idx="567">
                  <c:v>104.02997000000001</c:v>
                </c:pt>
                <c:pt idx="568">
                  <c:v>103.97745999999999</c:v>
                </c:pt>
                <c:pt idx="569">
                  <c:v>103.9717</c:v>
                </c:pt>
                <c:pt idx="570">
                  <c:v>104.07389000000001</c:v>
                </c:pt>
                <c:pt idx="571">
                  <c:v>104.03394</c:v>
                </c:pt>
                <c:pt idx="572">
                  <c:v>104.11756</c:v>
                </c:pt>
                <c:pt idx="573">
                  <c:v>104.07256</c:v>
                </c:pt>
                <c:pt idx="574">
                  <c:v>104.08481999999999</c:v>
                </c:pt>
                <c:pt idx="575">
                  <c:v>103.9974</c:v>
                </c:pt>
                <c:pt idx="576">
                  <c:v>104.10807</c:v>
                </c:pt>
                <c:pt idx="577">
                  <c:v>103.95517</c:v>
                </c:pt>
                <c:pt idx="578">
                  <c:v>104.10932</c:v>
                </c:pt>
                <c:pt idx="579">
                  <c:v>104.05403</c:v>
                </c:pt>
                <c:pt idx="580">
                  <c:v>104.15937</c:v>
                </c:pt>
                <c:pt idx="581">
                  <c:v>103.98912</c:v>
                </c:pt>
                <c:pt idx="582">
                  <c:v>104.05168</c:v>
                </c:pt>
                <c:pt idx="583">
                  <c:v>104.09479999999999</c:v>
                </c:pt>
                <c:pt idx="584">
                  <c:v>104.1777</c:v>
                </c:pt>
                <c:pt idx="585">
                  <c:v>104.04056</c:v>
                </c:pt>
                <c:pt idx="586">
                  <c:v>104.05758</c:v>
                </c:pt>
                <c:pt idx="587">
                  <c:v>104.08175</c:v>
                </c:pt>
                <c:pt idx="588">
                  <c:v>103.99679</c:v>
                </c:pt>
                <c:pt idx="589">
                  <c:v>104.10936</c:v>
                </c:pt>
                <c:pt idx="590">
                  <c:v>104.15004999999999</c:v>
                </c:pt>
                <c:pt idx="591">
                  <c:v>103.97989</c:v>
                </c:pt>
                <c:pt idx="592">
                  <c:v>104.09003</c:v>
                </c:pt>
                <c:pt idx="593">
                  <c:v>103.98072999999999</c:v>
                </c:pt>
                <c:pt idx="594">
                  <c:v>104.10052999999999</c:v>
                </c:pt>
                <c:pt idx="595">
                  <c:v>104.06797</c:v>
                </c:pt>
                <c:pt idx="596">
                  <c:v>104.00319999999999</c:v>
                </c:pt>
                <c:pt idx="597">
                  <c:v>104.00718000000001</c:v>
                </c:pt>
                <c:pt idx="598">
                  <c:v>104.20134</c:v>
                </c:pt>
                <c:pt idx="599">
                  <c:v>104.10023</c:v>
                </c:pt>
                <c:pt idx="600">
                  <c:v>104.1314</c:v>
                </c:pt>
                <c:pt idx="601">
                  <c:v>104.05387</c:v>
                </c:pt>
                <c:pt idx="602">
                  <c:v>104.02058</c:v>
                </c:pt>
                <c:pt idx="603">
                  <c:v>104.04076999999999</c:v>
                </c:pt>
                <c:pt idx="604">
                  <c:v>104.08399</c:v>
                </c:pt>
                <c:pt idx="605">
                  <c:v>104.05157</c:v>
                </c:pt>
                <c:pt idx="606">
                  <c:v>104.00691999999999</c:v>
                </c:pt>
                <c:pt idx="607">
                  <c:v>103.98287999999999</c:v>
                </c:pt>
                <c:pt idx="608">
                  <c:v>104.06345</c:v>
                </c:pt>
                <c:pt idx="609">
                  <c:v>104.06752</c:v>
                </c:pt>
                <c:pt idx="610">
                  <c:v>104.04013</c:v>
                </c:pt>
                <c:pt idx="611">
                  <c:v>104.11978000000001</c:v>
                </c:pt>
                <c:pt idx="612">
                  <c:v>104.0985</c:v>
                </c:pt>
                <c:pt idx="613">
                  <c:v>104.13762</c:v>
                </c:pt>
                <c:pt idx="614">
                  <c:v>104.12078</c:v>
                </c:pt>
                <c:pt idx="615">
                  <c:v>104.12747</c:v>
                </c:pt>
                <c:pt idx="616">
                  <c:v>104.09012</c:v>
                </c:pt>
                <c:pt idx="617">
                  <c:v>104.06583999999999</c:v>
                </c:pt>
                <c:pt idx="618">
                  <c:v>104.08033</c:v>
                </c:pt>
                <c:pt idx="619">
                  <c:v>104.05873</c:v>
                </c:pt>
                <c:pt idx="620">
                  <c:v>104.13324</c:v>
                </c:pt>
                <c:pt idx="621">
                  <c:v>104.12868</c:v>
                </c:pt>
                <c:pt idx="622">
                  <c:v>104.09963999999999</c:v>
                </c:pt>
                <c:pt idx="623">
                  <c:v>104.13115999999999</c:v>
                </c:pt>
                <c:pt idx="624">
                  <c:v>104.10357</c:v>
                </c:pt>
                <c:pt idx="625">
                  <c:v>104.01024</c:v>
                </c:pt>
                <c:pt idx="626">
                  <c:v>104.03476999999999</c:v>
                </c:pt>
                <c:pt idx="627">
                  <c:v>104.03082000000001</c:v>
                </c:pt>
                <c:pt idx="628">
                  <c:v>104.1305</c:v>
                </c:pt>
                <c:pt idx="629">
                  <c:v>104.13758</c:v>
                </c:pt>
                <c:pt idx="630">
                  <c:v>104.14771999999999</c:v>
                </c:pt>
                <c:pt idx="631">
                  <c:v>104.02249999999999</c:v>
                </c:pt>
                <c:pt idx="632">
                  <c:v>104.04141</c:v>
                </c:pt>
                <c:pt idx="633">
                  <c:v>103.95893</c:v>
                </c:pt>
                <c:pt idx="634">
                  <c:v>104.04862</c:v>
                </c:pt>
                <c:pt idx="635">
                  <c:v>104.08383000000001</c:v>
                </c:pt>
                <c:pt idx="636">
                  <c:v>104.13218000000001</c:v>
                </c:pt>
                <c:pt idx="637">
                  <c:v>103.97399</c:v>
                </c:pt>
                <c:pt idx="638">
                  <c:v>104.10507</c:v>
                </c:pt>
                <c:pt idx="639">
                  <c:v>104.00753</c:v>
                </c:pt>
                <c:pt idx="640">
                  <c:v>104.06112</c:v>
                </c:pt>
                <c:pt idx="641">
                  <c:v>104.14138</c:v>
                </c:pt>
                <c:pt idx="642">
                  <c:v>104.08212</c:v>
                </c:pt>
                <c:pt idx="643">
                  <c:v>103.96553</c:v>
                </c:pt>
                <c:pt idx="644">
                  <c:v>103.96169</c:v>
                </c:pt>
                <c:pt idx="645">
                  <c:v>103.97078999999999</c:v>
                </c:pt>
                <c:pt idx="646">
                  <c:v>104.11933999999999</c:v>
                </c:pt>
                <c:pt idx="647">
                  <c:v>104.08792</c:v>
                </c:pt>
                <c:pt idx="648">
                  <c:v>104.11205</c:v>
                </c:pt>
                <c:pt idx="649">
                  <c:v>104.01311</c:v>
                </c:pt>
                <c:pt idx="650">
                  <c:v>104.05256</c:v>
                </c:pt>
                <c:pt idx="651">
                  <c:v>104.08022</c:v>
                </c:pt>
                <c:pt idx="652">
                  <c:v>104.05653</c:v>
                </c:pt>
                <c:pt idx="653">
                  <c:v>104.00666</c:v>
                </c:pt>
                <c:pt idx="654">
                  <c:v>104.07129</c:v>
                </c:pt>
                <c:pt idx="655">
                  <c:v>104.02248</c:v>
                </c:pt>
                <c:pt idx="656">
                  <c:v>104.1186</c:v>
                </c:pt>
                <c:pt idx="657">
                  <c:v>104.13392999999999</c:v>
                </c:pt>
                <c:pt idx="658">
                  <c:v>104.08926</c:v>
                </c:pt>
                <c:pt idx="659">
                  <c:v>104.18953</c:v>
                </c:pt>
                <c:pt idx="660">
                  <c:v>104.15003</c:v>
                </c:pt>
                <c:pt idx="661">
                  <c:v>104.03488</c:v>
                </c:pt>
                <c:pt idx="662">
                  <c:v>104.05085</c:v>
                </c:pt>
                <c:pt idx="663">
                  <c:v>104.12506</c:v>
                </c:pt>
                <c:pt idx="664">
                  <c:v>104.00337999999999</c:v>
                </c:pt>
                <c:pt idx="665">
                  <c:v>103.98062</c:v>
                </c:pt>
                <c:pt idx="666">
                  <c:v>104.03053</c:v>
                </c:pt>
                <c:pt idx="667">
                  <c:v>104.01639</c:v>
                </c:pt>
                <c:pt idx="668">
                  <c:v>104.06995000000001</c:v>
                </c:pt>
                <c:pt idx="669">
                  <c:v>104.05414</c:v>
                </c:pt>
                <c:pt idx="670">
                  <c:v>103.99252</c:v>
                </c:pt>
                <c:pt idx="671">
                  <c:v>104.09289</c:v>
                </c:pt>
                <c:pt idx="672">
                  <c:v>104.09172</c:v>
                </c:pt>
                <c:pt idx="673">
                  <c:v>104.08134</c:v>
                </c:pt>
                <c:pt idx="674">
                  <c:v>104.09814</c:v>
                </c:pt>
                <c:pt idx="675">
                  <c:v>103.95092</c:v>
                </c:pt>
                <c:pt idx="676">
                  <c:v>104.05419999999999</c:v>
                </c:pt>
                <c:pt idx="677">
                  <c:v>104.07080000000001</c:v>
                </c:pt>
                <c:pt idx="678">
                  <c:v>104.14865999999999</c:v>
                </c:pt>
                <c:pt idx="679">
                  <c:v>103.92582</c:v>
                </c:pt>
                <c:pt idx="680">
                  <c:v>103.93324</c:v>
                </c:pt>
                <c:pt idx="681">
                  <c:v>103.9675</c:v>
                </c:pt>
                <c:pt idx="682">
                  <c:v>104.00384</c:v>
                </c:pt>
                <c:pt idx="683">
                  <c:v>103.97328</c:v>
                </c:pt>
                <c:pt idx="684">
                  <c:v>104.07947</c:v>
                </c:pt>
                <c:pt idx="685">
                  <c:v>104.10208</c:v>
                </c:pt>
                <c:pt idx="686">
                  <c:v>103.94562000000001</c:v>
                </c:pt>
                <c:pt idx="687">
                  <c:v>104.11821</c:v>
                </c:pt>
                <c:pt idx="688">
                  <c:v>103.95874999999999</c:v>
                </c:pt>
                <c:pt idx="689">
                  <c:v>103.9833</c:v>
                </c:pt>
                <c:pt idx="690">
                  <c:v>104.08824</c:v>
                </c:pt>
                <c:pt idx="691">
                  <c:v>104.13394</c:v>
                </c:pt>
                <c:pt idx="692">
                  <c:v>104.0817</c:v>
                </c:pt>
                <c:pt idx="693">
                  <c:v>104.16893</c:v>
                </c:pt>
                <c:pt idx="694">
                  <c:v>104.09</c:v>
                </c:pt>
                <c:pt idx="695">
                  <c:v>104.10386</c:v>
                </c:pt>
                <c:pt idx="696">
                  <c:v>103.95643</c:v>
                </c:pt>
                <c:pt idx="697">
                  <c:v>104.16615</c:v>
                </c:pt>
                <c:pt idx="698">
                  <c:v>103.94507</c:v>
                </c:pt>
                <c:pt idx="699">
                  <c:v>104.05779</c:v>
                </c:pt>
                <c:pt idx="700">
                  <c:v>104.10111999999999</c:v>
                </c:pt>
                <c:pt idx="701">
                  <c:v>104.02755000000001</c:v>
                </c:pt>
                <c:pt idx="702">
                  <c:v>104.09468</c:v>
                </c:pt>
                <c:pt idx="703">
                  <c:v>103.98475000000001</c:v>
                </c:pt>
                <c:pt idx="704">
                  <c:v>104.06707</c:v>
                </c:pt>
                <c:pt idx="705">
                  <c:v>104.01146</c:v>
                </c:pt>
                <c:pt idx="706">
                  <c:v>104.03366</c:v>
                </c:pt>
                <c:pt idx="707">
                  <c:v>104.07689999999999</c:v>
                </c:pt>
                <c:pt idx="708">
                  <c:v>103.92167999999999</c:v>
                </c:pt>
                <c:pt idx="709">
                  <c:v>104.02464999999999</c:v>
                </c:pt>
                <c:pt idx="710">
                  <c:v>104.05734</c:v>
                </c:pt>
                <c:pt idx="711">
                  <c:v>103.97783</c:v>
                </c:pt>
                <c:pt idx="712">
                  <c:v>104.01102</c:v>
                </c:pt>
                <c:pt idx="713">
                  <c:v>104.02534</c:v>
                </c:pt>
                <c:pt idx="714">
                  <c:v>104.09903</c:v>
                </c:pt>
                <c:pt idx="715">
                  <c:v>103.96724999999999</c:v>
                </c:pt>
                <c:pt idx="716">
                  <c:v>103.9868</c:v>
                </c:pt>
                <c:pt idx="717">
                  <c:v>104.12711</c:v>
                </c:pt>
                <c:pt idx="718">
                  <c:v>104.10334</c:v>
                </c:pt>
                <c:pt idx="719">
                  <c:v>104.09719</c:v>
                </c:pt>
                <c:pt idx="720">
                  <c:v>103.96053000000001</c:v>
                </c:pt>
                <c:pt idx="721">
                  <c:v>103.94331</c:v>
                </c:pt>
                <c:pt idx="722">
                  <c:v>103.94660999999999</c:v>
                </c:pt>
                <c:pt idx="723">
                  <c:v>103.97287</c:v>
                </c:pt>
                <c:pt idx="724">
                  <c:v>104.01159</c:v>
                </c:pt>
                <c:pt idx="725">
                  <c:v>104.06448999999999</c:v>
                </c:pt>
                <c:pt idx="726">
                  <c:v>104.12383</c:v>
                </c:pt>
                <c:pt idx="727">
                  <c:v>104.01205</c:v>
                </c:pt>
                <c:pt idx="728">
                  <c:v>103.98023000000001</c:v>
                </c:pt>
                <c:pt idx="729">
                  <c:v>104.00894</c:v>
                </c:pt>
                <c:pt idx="730">
                  <c:v>103.97418</c:v>
                </c:pt>
                <c:pt idx="731">
                  <c:v>104.02829</c:v>
                </c:pt>
                <c:pt idx="732">
                  <c:v>104.05732999999999</c:v>
                </c:pt>
                <c:pt idx="733">
                  <c:v>103.90947</c:v>
                </c:pt>
                <c:pt idx="734">
                  <c:v>104.01651</c:v>
                </c:pt>
                <c:pt idx="735">
                  <c:v>103.96963</c:v>
                </c:pt>
                <c:pt idx="736">
                  <c:v>104.01439999999999</c:v>
                </c:pt>
                <c:pt idx="737">
                  <c:v>104.05423</c:v>
                </c:pt>
                <c:pt idx="738">
                  <c:v>104.1361</c:v>
                </c:pt>
                <c:pt idx="739">
                  <c:v>103.98367</c:v>
                </c:pt>
                <c:pt idx="740">
                  <c:v>104.01609999999999</c:v>
                </c:pt>
                <c:pt idx="741">
                  <c:v>104.10741</c:v>
                </c:pt>
                <c:pt idx="742">
                  <c:v>103.99995</c:v>
                </c:pt>
                <c:pt idx="743">
                  <c:v>103.93915</c:v>
                </c:pt>
                <c:pt idx="744">
                  <c:v>104.0866</c:v>
                </c:pt>
                <c:pt idx="745">
                  <c:v>104.00493</c:v>
                </c:pt>
                <c:pt idx="746">
                  <c:v>104.02379000000001</c:v>
                </c:pt>
                <c:pt idx="747">
                  <c:v>104.07525</c:v>
                </c:pt>
                <c:pt idx="748">
                  <c:v>104.04156999999999</c:v>
                </c:pt>
                <c:pt idx="749">
                  <c:v>104.05517999999999</c:v>
                </c:pt>
                <c:pt idx="750">
                  <c:v>104.13748</c:v>
                </c:pt>
                <c:pt idx="751">
                  <c:v>103.9913</c:v>
                </c:pt>
                <c:pt idx="752">
                  <c:v>104.03355000000001</c:v>
                </c:pt>
                <c:pt idx="753">
                  <c:v>104.06559</c:v>
                </c:pt>
                <c:pt idx="754">
                  <c:v>104.18208</c:v>
                </c:pt>
                <c:pt idx="755">
                  <c:v>103.99133999999999</c:v>
                </c:pt>
                <c:pt idx="756">
                  <c:v>103.98869000000001</c:v>
                </c:pt>
                <c:pt idx="757">
                  <c:v>104.04037</c:v>
                </c:pt>
                <c:pt idx="758">
                  <c:v>104.04281</c:v>
                </c:pt>
                <c:pt idx="759">
                  <c:v>103.95791</c:v>
                </c:pt>
                <c:pt idx="760">
                  <c:v>104.11122999999999</c:v>
                </c:pt>
                <c:pt idx="761">
                  <c:v>104.09584</c:v>
                </c:pt>
                <c:pt idx="762">
                  <c:v>104.11733</c:v>
                </c:pt>
                <c:pt idx="763">
                  <c:v>103.99544</c:v>
                </c:pt>
                <c:pt idx="764">
                  <c:v>103.98056</c:v>
                </c:pt>
                <c:pt idx="765">
                  <c:v>103.99357000000001</c:v>
                </c:pt>
                <c:pt idx="766">
                  <c:v>103.96939999999999</c:v>
                </c:pt>
                <c:pt idx="767">
                  <c:v>104.00534999999999</c:v>
                </c:pt>
                <c:pt idx="768">
                  <c:v>103.91669</c:v>
                </c:pt>
                <c:pt idx="769">
                  <c:v>103.98126000000001</c:v>
                </c:pt>
                <c:pt idx="770">
                  <c:v>103.96992</c:v>
                </c:pt>
                <c:pt idx="771">
                  <c:v>103.98096</c:v>
                </c:pt>
                <c:pt idx="772">
                  <c:v>103.96881999999999</c:v>
                </c:pt>
                <c:pt idx="773">
                  <c:v>103.99938</c:v>
                </c:pt>
                <c:pt idx="774">
                  <c:v>104.04420999999999</c:v>
                </c:pt>
                <c:pt idx="775">
                  <c:v>104.01712000000001</c:v>
                </c:pt>
                <c:pt idx="776">
                  <c:v>104.06871</c:v>
                </c:pt>
                <c:pt idx="777">
                  <c:v>104.02833</c:v>
                </c:pt>
                <c:pt idx="778">
                  <c:v>103.96387</c:v>
                </c:pt>
                <c:pt idx="779">
                  <c:v>103.97091999999999</c:v>
                </c:pt>
                <c:pt idx="780">
                  <c:v>104.09743</c:v>
                </c:pt>
                <c:pt idx="781">
                  <c:v>103.96863999999999</c:v>
                </c:pt>
                <c:pt idx="782">
                  <c:v>104.06792</c:v>
                </c:pt>
                <c:pt idx="783">
                  <c:v>104.00960000000001</c:v>
                </c:pt>
                <c:pt idx="784">
                  <c:v>104.01143999999999</c:v>
                </c:pt>
                <c:pt idx="785">
                  <c:v>104.01558</c:v>
                </c:pt>
                <c:pt idx="786">
                  <c:v>103.90447</c:v>
                </c:pt>
                <c:pt idx="787">
                  <c:v>104.03713</c:v>
                </c:pt>
                <c:pt idx="788">
                  <c:v>103.92086999999999</c:v>
                </c:pt>
                <c:pt idx="789">
                  <c:v>104.05034000000001</c:v>
                </c:pt>
                <c:pt idx="790">
                  <c:v>103.9447</c:v>
                </c:pt>
                <c:pt idx="791">
                  <c:v>104.01609999999999</c:v>
                </c:pt>
                <c:pt idx="792">
                  <c:v>103.9943</c:v>
                </c:pt>
                <c:pt idx="793">
                  <c:v>103.97454</c:v>
                </c:pt>
                <c:pt idx="794">
                  <c:v>104.03632</c:v>
                </c:pt>
                <c:pt idx="795">
                  <c:v>103.96720999999999</c:v>
                </c:pt>
                <c:pt idx="796">
                  <c:v>103.95269</c:v>
                </c:pt>
                <c:pt idx="797">
                  <c:v>103.93196999999999</c:v>
                </c:pt>
                <c:pt idx="798">
                  <c:v>104.09101</c:v>
                </c:pt>
                <c:pt idx="799">
                  <c:v>103.95022</c:v>
                </c:pt>
                <c:pt idx="800">
                  <c:v>103.94562000000001</c:v>
                </c:pt>
                <c:pt idx="801">
                  <c:v>104.03834000000001</c:v>
                </c:pt>
                <c:pt idx="802">
                  <c:v>104.05991</c:v>
                </c:pt>
                <c:pt idx="803">
                  <c:v>104.04527</c:v>
                </c:pt>
                <c:pt idx="804">
                  <c:v>103.92502999999999</c:v>
                </c:pt>
                <c:pt idx="805">
                  <c:v>103.92989</c:v>
                </c:pt>
                <c:pt idx="806">
                  <c:v>103.9357</c:v>
                </c:pt>
                <c:pt idx="807">
                  <c:v>104.10191</c:v>
                </c:pt>
                <c:pt idx="808">
                  <c:v>103.99633</c:v>
                </c:pt>
                <c:pt idx="809">
                  <c:v>103.99688</c:v>
                </c:pt>
                <c:pt idx="810">
                  <c:v>103.99907999999999</c:v>
                </c:pt>
                <c:pt idx="811">
                  <c:v>103.88947</c:v>
                </c:pt>
                <c:pt idx="812">
                  <c:v>104.07107999999999</c:v>
                </c:pt>
                <c:pt idx="813">
                  <c:v>103.90158</c:v>
                </c:pt>
                <c:pt idx="814">
                  <c:v>103.85737</c:v>
                </c:pt>
                <c:pt idx="815">
                  <c:v>103.99883</c:v>
                </c:pt>
                <c:pt idx="816">
                  <c:v>103.9323</c:v>
                </c:pt>
                <c:pt idx="817">
                  <c:v>103.98309999999999</c:v>
                </c:pt>
                <c:pt idx="818">
                  <c:v>103.89133</c:v>
                </c:pt>
                <c:pt idx="819">
                  <c:v>103.95574999999999</c:v>
                </c:pt>
                <c:pt idx="820">
                  <c:v>103.93102</c:v>
                </c:pt>
                <c:pt idx="821">
                  <c:v>103.98783</c:v>
                </c:pt>
                <c:pt idx="822">
                  <c:v>104.01819</c:v>
                </c:pt>
                <c:pt idx="823">
                  <c:v>103.93034</c:v>
                </c:pt>
                <c:pt idx="824">
                  <c:v>104.01012</c:v>
                </c:pt>
                <c:pt idx="825">
                  <c:v>103.96261</c:v>
                </c:pt>
                <c:pt idx="826">
                  <c:v>103.94177999999999</c:v>
                </c:pt>
                <c:pt idx="827">
                  <c:v>103.99186</c:v>
                </c:pt>
                <c:pt idx="828">
                  <c:v>103.9054</c:v>
                </c:pt>
                <c:pt idx="829">
                  <c:v>103.98143</c:v>
                </c:pt>
                <c:pt idx="830">
                  <c:v>103.93889</c:v>
                </c:pt>
                <c:pt idx="831">
                  <c:v>103.99329</c:v>
                </c:pt>
                <c:pt idx="832">
                  <c:v>103.91825</c:v>
                </c:pt>
                <c:pt idx="833">
                  <c:v>103.97991</c:v>
                </c:pt>
                <c:pt idx="834">
                  <c:v>103.92008</c:v>
                </c:pt>
                <c:pt idx="835">
                  <c:v>103.96594999999999</c:v>
                </c:pt>
                <c:pt idx="836">
                  <c:v>103.95466</c:v>
                </c:pt>
                <c:pt idx="837">
                  <c:v>103.90154</c:v>
                </c:pt>
                <c:pt idx="838">
                  <c:v>103.93436</c:v>
                </c:pt>
                <c:pt idx="839">
                  <c:v>104.03412</c:v>
                </c:pt>
                <c:pt idx="840">
                  <c:v>103.95262</c:v>
                </c:pt>
                <c:pt idx="841">
                  <c:v>103.90998999999999</c:v>
                </c:pt>
                <c:pt idx="842">
                  <c:v>104.07398000000001</c:v>
                </c:pt>
                <c:pt idx="843">
                  <c:v>103.93243</c:v>
                </c:pt>
                <c:pt idx="844">
                  <c:v>103.95761</c:v>
                </c:pt>
                <c:pt idx="845">
                  <c:v>103.98876</c:v>
                </c:pt>
                <c:pt idx="846">
                  <c:v>103.86842</c:v>
                </c:pt>
                <c:pt idx="847">
                  <c:v>103.93907</c:v>
                </c:pt>
                <c:pt idx="848">
                  <c:v>103.94353</c:v>
                </c:pt>
                <c:pt idx="849">
                  <c:v>103.99352</c:v>
                </c:pt>
                <c:pt idx="850">
                  <c:v>103.76004999999999</c:v>
                </c:pt>
                <c:pt idx="851">
                  <c:v>103.96969</c:v>
                </c:pt>
                <c:pt idx="852">
                  <c:v>103.95213</c:v>
                </c:pt>
                <c:pt idx="853">
                  <c:v>103.99099</c:v>
                </c:pt>
                <c:pt idx="854">
                  <c:v>103.92695999999999</c:v>
                </c:pt>
                <c:pt idx="855">
                  <c:v>103.83177000000001</c:v>
                </c:pt>
                <c:pt idx="856">
                  <c:v>103.93026999999999</c:v>
                </c:pt>
                <c:pt idx="857">
                  <c:v>104.00417</c:v>
                </c:pt>
                <c:pt idx="858">
                  <c:v>103.86523</c:v>
                </c:pt>
                <c:pt idx="859">
                  <c:v>103.90855999999999</c:v>
                </c:pt>
                <c:pt idx="860">
                  <c:v>103.97112</c:v>
                </c:pt>
                <c:pt idx="861">
                  <c:v>103.99652999999999</c:v>
                </c:pt>
                <c:pt idx="862">
                  <c:v>103.90396</c:v>
                </c:pt>
                <c:pt idx="863">
                  <c:v>103.97112</c:v>
                </c:pt>
                <c:pt idx="864">
                  <c:v>103.96898</c:v>
                </c:pt>
                <c:pt idx="865">
                  <c:v>103.99205000000001</c:v>
                </c:pt>
                <c:pt idx="866">
                  <c:v>103.89312</c:v>
                </c:pt>
                <c:pt idx="867">
                  <c:v>103.92296</c:v>
                </c:pt>
                <c:pt idx="868">
                  <c:v>103.91812</c:v>
                </c:pt>
                <c:pt idx="869">
                  <c:v>103.91231999999999</c:v>
                </c:pt>
                <c:pt idx="870">
                  <c:v>103.93978</c:v>
                </c:pt>
                <c:pt idx="871">
                  <c:v>104.02544999999999</c:v>
                </c:pt>
                <c:pt idx="872">
                  <c:v>103.91941</c:v>
                </c:pt>
                <c:pt idx="873">
                  <c:v>103.89507999999999</c:v>
                </c:pt>
                <c:pt idx="874">
                  <c:v>103.92298</c:v>
                </c:pt>
                <c:pt idx="875">
                  <c:v>103.99033</c:v>
                </c:pt>
                <c:pt idx="876">
                  <c:v>103.90657</c:v>
                </c:pt>
                <c:pt idx="877">
                  <c:v>103.91136</c:v>
                </c:pt>
                <c:pt idx="878">
                  <c:v>103.88436</c:v>
                </c:pt>
                <c:pt idx="879">
                  <c:v>103.81372</c:v>
                </c:pt>
                <c:pt idx="880">
                  <c:v>103.97503999999999</c:v>
                </c:pt>
                <c:pt idx="881">
                  <c:v>103.85222</c:v>
                </c:pt>
                <c:pt idx="882">
                  <c:v>103.88399</c:v>
                </c:pt>
                <c:pt idx="883">
                  <c:v>103.84553</c:v>
                </c:pt>
                <c:pt idx="884">
                  <c:v>103.87747</c:v>
                </c:pt>
                <c:pt idx="885">
                  <c:v>103.86838</c:v>
                </c:pt>
                <c:pt idx="886">
                  <c:v>104.01884</c:v>
                </c:pt>
                <c:pt idx="887">
                  <c:v>104.00252999999999</c:v>
                </c:pt>
                <c:pt idx="888">
                  <c:v>103.87061</c:v>
                </c:pt>
                <c:pt idx="889">
                  <c:v>103.98791</c:v>
                </c:pt>
                <c:pt idx="890">
                  <c:v>103.91222999999999</c:v>
                </c:pt>
                <c:pt idx="891">
                  <c:v>103.86063</c:v>
                </c:pt>
                <c:pt idx="892">
                  <c:v>103.93022000000001</c:v>
                </c:pt>
                <c:pt idx="893">
                  <c:v>103.82547</c:v>
                </c:pt>
                <c:pt idx="894">
                  <c:v>103.83165</c:v>
                </c:pt>
                <c:pt idx="895">
                  <c:v>103.89407</c:v>
                </c:pt>
                <c:pt idx="896">
                  <c:v>103.76927999999999</c:v>
                </c:pt>
                <c:pt idx="897">
                  <c:v>103.77278</c:v>
                </c:pt>
                <c:pt idx="898">
                  <c:v>103.84685</c:v>
                </c:pt>
                <c:pt idx="899">
                  <c:v>103.85357</c:v>
                </c:pt>
                <c:pt idx="900">
                  <c:v>103.88401</c:v>
                </c:pt>
                <c:pt idx="901">
                  <c:v>103.90559999999999</c:v>
                </c:pt>
                <c:pt idx="902">
                  <c:v>103.88479</c:v>
                </c:pt>
                <c:pt idx="903">
                  <c:v>103.81287</c:v>
                </c:pt>
                <c:pt idx="904">
                  <c:v>103.90732</c:v>
                </c:pt>
                <c:pt idx="905">
                  <c:v>103.87864999999999</c:v>
                </c:pt>
                <c:pt idx="906">
                  <c:v>103.85069</c:v>
                </c:pt>
                <c:pt idx="907">
                  <c:v>103.89946999999999</c:v>
                </c:pt>
                <c:pt idx="908">
                  <c:v>103.87639</c:v>
                </c:pt>
                <c:pt idx="909">
                  <c:v>103.87739999999999</c:v>
                </c:pt>
                <c:pt idx="910">
                  <c:v>103.86075</c:v>
                </c:pt>
                <c:pt idx="911">
                  <c:v>103.79120999999999</c:v>
                </c:pt>
                <c:pt idx="912">
                  <c:v>103.84855</c:v>
                </c:pt>
                <c:pt idx="913">
                  <c:v>103.88128999999999</c:v>
                </c:pt>
                <c:pt idx="914">
                  <c:v>103.86372</c:v>
                </c:pt>
                <c:pt idx="915">
                  <c:v>103.84701</c:v>
                </c:pt>
                <c:pt idx="916">
                  <c:v>103.80338</c:v>
                </c:pt>
                <c:pt idx="917">
                  <c:v>103.88973</c:v>
                </c:pt>
                <c:pt idx="918">
                  <c:v>103.76318000000001</c:v>
                </c:pt>
                <c:pt idx="919">
                  <c:v>103.91291</c:v>
                </c:pt>
                <c:pt idx="920">
                  <c:v>103.81394</c:v>
                </c:pt>
                <c:pt idx="921">
                  <c:v>103.87954999999999</c:v>
                </c:pt>
                <c:pt idx="922">
                  <c:v>103.81741</c:v>
                </c:pt>
                <c:pt idx="923">
                  <c:v>103.87833999999999</c:v>
                </c:pt>
                <c:pt idx="924">
                  <c:v>103.90541999999999</c:v>
                </c:pt>
                <c:pt idx="925">
                  <c:v>103.90052</c:v>
                </c:pt>
                <c:pt idx="926">
                  <c:v>103.90267</c:v>
                </c:pt>
                <c:pt idx="927">
                  <c:v>103.82253</c:v>
                </c:pt>
                <c:pt idx="928">
                  <c:v>103.87438</c:v>
                </c:pt>
                <c:pt idx="929">
                  <c:v>103.88956999999999</c:v>
                </c:pt>
                <c:pt idx="930">
                  <c:v>103.92474</c:v>
                </c:pt>
                <c:pt idx="931">
                  <c:v>103.84595</c:v>
                </c:pt>
                <c:pt idx="932">
                  <c:v>103.74921999999999</c:v>
                </c:pt>
                <c:pt idx="933">
                  <c:v>103.87105</c:v>
                </c:pt>
                <c:pt idx="934">
                  <c:v>103.73358999999999</c:v>
                </c:pt>
                <c:pt idx="935">
                  <c:v>103.79136</c:v>
                </c:pt>
                <c:pt idx="936">
                  <c:v>103.87536</c:v>
                </c:pt>
                <c:pt idx="937">
                  <c:v>103.76698</c:v>
                </c:pt>
                <c:pt idx="938">
                  <c:v>103.82946</c:v>
                </c:pt>
                <c:pt idx="939">
                  <c:v>103.84251</c:v>
                </c:pt>
                <c:pt idx="940">
                  <c:v>103.92628999999999</c:v>
                </c:pt>
                <c:pt idx="941">
                  <c:v>103.82481</c:v>
                </c:pt>
                <c:pt idx="942">
                  <c:v>103.83400999999999</c:v>
                </c:pt>
                <c:pt idx="943">
                  <c:v>103.93572999999999</c:v>
                </c:pt>
                <c:pt idx="944">
                  <c:v>103.82314</c:v>
                </c:pt>
                <c:pt idx="945">
                  <c:v>103.85523999999999</c:v>
                </c:pt>
                <c:pt idx="946">
                  <c:v>103.82921</c:v>
                </c:pt>
                <c:pt idx="947">
                  <c:v>103.87338</c:v>
                </c:pt>
                <c:pt idx="948">
                  <c:v>103.74533</c:v>
                </c:pt>
                <c:pt idx="949">
                  <c:v>103.84139</c:v>
                </c:pt>
                <c:pt idx="950">
                  <c:v>103.89573</c:v>
                </c:pt>
                <c:pt idx="951">
                  <c:v>103.76738</c:v>
                </c:pt>
                <c:pt idx="952">
                  <c:v>103.79485</c:v>
                </c:pt>
                <c:pt idx="953">
                  <c:v>103.73441</c:v>
                </c:pt>
                <c:pt idx="954">
                  <c:v>103.81811</c:v>
                </c:pt>
                <c:pt idx="955">
                  <c:v>103.70573</c:v>
                </c:pt>
                <c:pt idx="956">
                  <c:v>103.83184</c:v>
                </c:pt>
                <c:pt idx="957">
                  <c:v>103.75749999999999</c:v>
                </c:pt>
                <c:pt idx="958">
                  <c:v>103.64345</c:v>
                </c:pt>
                <c:pt idx="959">
                  <c:v>103.82173</c:v>
                </c:pt>
                <c:pt idx="960">
                  <c:v>103.77578</c:v>
                </c:pt>
                <c:pt idx="961">
                  <c:v>103.90904</c:v>
                </c:pt>
                <c:pt idx="962">
                  <c:v>103.91616999999999</c:v>
                </c:pt>
                <c:pt idx="963">
                  <c:v>103.85731</c:v>
                </c:pt>
                <c:pt idx="964">
                  <c:v>103.72516</c:v>
                </c:pt>
                <c:pt idx="965">
                  <c:v>103.84465</c:v>
                </c:pt>
                <c:pt idx="966">
                  <c:v>103.75082999999999</c:v>
                </c:pt>
                <c:pt idx="967">
                  <c:v>103.88515</c:v>
                </c:pt>
                <c:pt idx="968">
                  <c:v>103.74251</c:v>
                </c:pt>
                <c:pt idx="969">
                  <c:v>103.85802</c:v>
                </c:pt>
                <c:pt idx="970">
                  <c:v>103.78565</c:v>
                </c:pt>
                <c:pt idx="971">
                  <c:v>103.74171</c:v>
                </c:pt>
                <c:pt idx="972">
                  <c:v>103.72485</c:v>
                </c:pt>
                <c:pt idx="973">
                  <c:v>103.73569000000001</c:v>
                </c:pt>
                <c:pt idx="974">
                  <c:v>103.74683</c:v>
                </c:pt>
                <c:pt idx="975">
                  <c:v>103.68635999999999</c:v>
                </c:pt>
                <c:pt idx="976">
                  <c:v>103.89076</c:v>
                </c:pt>
                <c:pt idx="977">
                  <c:v>103.82715999999999</c:v>
                </c:pt>
                <c:pt idx="978">
                  <c:v>103.8276</c:v>
                </c:pt>
                <c:pt idx="979">
                  <c:v>103.78975</c:v>
                </c:pt>
                <c:pt idx="980">
                  <c:v>103.78326</c:v>
                </c:pt>
                <c:pt idx="981">
                  <c:v>103.90129999999999</c:v>
                </c:pt>
                <c:pt idx="982">
                  <c:v>103.73958</c:v>
                </c:pt>
                <c:pt idx="983">
                  <c:v>103.78492</c:v>
                </c:pt>
                <c:pt idx="984">
                  <c:v>103.78395</c:v>
                </c:pt>
                <c:pt idx="985">
                  <c:v>103.70386000000001</c:v>
                </c:pt>
                <c:pt idx="986">
                  <c:v>103.73997</c:v>
                </c:pt>
                <c:pt idx="987">
                  <c:v>103.85696</c:v>
                </c:pt>
                <c:pt idx="988">
                  <c:v>103.80425</c:v>
                </c:pt>
                <c:pt idx="989">
                  <c:v>103.88064</c:v>
                </c:pt>
                <c:pt idx="990">
                  <c:v>103.77815</c:v>
                </c:pt>
                <c:pt idx="991">
                  <c:v>103.74858</c:v>
                </c:pt>
                <c:pt idx="992">
                  <c:v>103.87369</c:v>
                </c:pt>
                <c:pt idx="993">
                  <c:v>103.76458</c:v>
                </c:pt>
                <c:pt idx="994">
                  <c:v>103.78744</c:v>
                </c:pt>
                <c:pt idx="995">
                  <c:v>103.78408999999999</c:v>
                </c:pt>
                <c:pt idx="996">
                  <c:v>103.75243</c:v>
                </c:pt>
                <c:pt idx="997">
                  <c:v>103.74151000000001</c:v>
                </c:pt>
                <c:pt idx="998">
                  <c:v>103.82093</c:v>
                </c:pt>
                <c:pt idx="999">
                  <c:v>103.82495</c:v>
                </c:pt>
                <c:pt idx="1000">
                  <c:v>103.83526000000001</c:v>
                </c:pt>
                <c:pt idx="1001">
                  <c:v>103.71544</c:v>
                </c:pt>
                <c:pt idx="1002">
                  <c:v>103.72041</c:v>
                </c:pt>
                <c:pt idx="1003">
                  <c:v>103.68626</c:v>
                </c:pt>
                <c:pt idx="1004">
                  <c:v>103.80687</c:v>
                </c:pt>
                <c:pt idx="1005">
                  <c:v>103.79821</c:v>
                </c:pt>
                <c:pt idx="1006">
                  <c:v>103.76786</c:v>
                </c:pt>
                <c:pt idx="1007">
                  <c:v>103.74585999999999</c:v>
                </c:pt>
                <c:pt idx="1008">
                  <c:v>103.82102</c:v>
                </c:pt>
                <c:pt idx="1009">
                  <c:v>103.66522000000001</c:v>
                </c:pt>
                <c:pt idx="1010">
                  <c:v>103.62791</c:v>
                </c:pt>
                <c:pt idx="1011">
                  <c:v>103.73348</c:v>
                </c:pt>
                <c:pt idx="1012">
                  <c:v>103.70598</c:v>
                </c:pt>
                <c:pt idx="1013">
                  <c:v>103.70511999999999</c:v>
                </c:pt>
                <c:pt idx="1014">
                  <c:v>103.8557</c:v>
                </c:pt>
                <c:pt idx="1015">
                  <c:v>103.7529</c:v>
                </c:pt>
                <c:pt idx="1016">
                  <c:v>103.76594</c:v>
                </c:pt>
                <c:pt idx="1017">
                  <c:v>103.67144</c:v>
                </c:pt>
                <c:pt idx="1018">
                  <c:v>103.62869999999999</c:v>
                </c:pt>
                <c:pt idx="1019">
                  <c:v>103.67626</c:v>
                </c:pt>
                <c:pt idx="1020">
                  <c:v>103.88767</c:v>
                </c:pt>
                <c:pt idx="1021">
                  <c:v>103.66285999999999</c:v>
                </c:pt>
                <c:pt idx="1022">
                  <c:v>103.79971</c:v>
                </c:pt>
                <c:pt idx="1023">
                  <c:v>103.76165</c:v>
                </c:pt>
                <c:pt idx="1024">
                  <c:v>103.72798</c:v>
                </c:pt>
                <c:pt idx="1025">
                  <c:v>103.79216</c:v>
                </c:pt>
                <c:pt idx="1026">
                  <c:v>103.75651000000001</c:v>
                </c:pt>
                <c:pt idx="1027">
                  <c:v>103.78816999999999</c:v>
                </c:pt>
                <c:pt idx="1028">
                  <c:v>103.76210999999999</c:v>
                </c:pt>
                <c:pt idx="1029">
                  <c:v>103.7329</c:v>
                </c:pt>
                <c:pt idx="1030">
                  <c:v>103.68101</c:v>
                </c:pt>
                <c:pt idx="1031">
                  <c:v>103.76306</c:v>
                </c:pt>
                <c:pt idx="1032">
                  <c:v>103.6378</c:v>
                </c:pt>
                <c:pt idx="1033">
                  <c:v>103.7813</c:v>
                </c:pt>
                <c:pt idx="1034">
                  <c:v>103.6683</c:v>
                </c:pt>
                <c:pt idx="1035">
                  <c:v>103.72821999999999</c:v>
                </c:pt>
                <c:pt idx="1036">
                  <c:v>103.7058</c:v>
                </c:pt>
                <c:pt idx="1037">
                  <c:v>103.70618999999999</c:v>
                </c:pt>
                <c:pt idx="1038">
                  <c:v>103.74245000000001</c:v>
                </c:pt>
                <c:pt idx="1039">
                  <c:v>103.70129</c:v>
                </c:pt>
                <c:pt idx="1040">
                  <c:v>103.69732999999999</c:v>
                </c:pt>
                <c:pt idx="1041">
                  <c:v>103.70417999999999</c:v>
                </c:pt>
                <c:pt idx="1042">
                  <c:v>103.74222999999999</c:v>
                </c:pt>
                <c:pt idx="1043">
                  <c:v>103.68271</c:v>
                </c:pt>
                <c:pt idx="1044">
                  <c:v>103.64442</c:v>
                </c:pt>
                <c:pt idx="1045">
                  <c:v>103.77188</c:v>
                </c:pt>
                <c:pt idx="1046">
                  <c:v>103.70948</c:v>
                </c:pt>
                <c:pt idx="1047">
                  <c:v>103.75676</c:v>
                </c:pt>
                <c:pt idx="1048">
                  <c:v>103.68965</c:v>
                </c:pt>
                <c:pt idx="1049">
                  <c:v>103.68436</c:v>
                </c:pt>
                <c:pt idx="1050">
                  <c:v>103.79301</c:v>
                </c:pt>
                <c:pt idx="1051">
                  <c:v>103.63012999999999</c:v>
                </c:pt>
                <c:pt idx="1052">
                  <c:v>103.72268</c:v>
                </c:pt>
                <c:pt idx="1053">
                  <c:v>103.68926</c:v>
                </c:pt>
                <c:pt idx="1054">
                  <c:v>103.68304999999999</c:v>
                </c:pt>
                <c:pt idx="1055">
                  <c:v>103.66311999999999</c:v>
                </c:pt>
                <c:pt idx="1056">
                  <c:v>103.65268</c:v>
                </c:pt>
                <c:pt idx="1057">
                  <c:v>103.69333999999999</c:v>
                </c:pt>
                <c:pt idx="1058">
                  <c:v>103.69622</c:v>
                </c:pt>
                <c:pt idx="1059">
                  <c:v>103.64411</c:v>
                </c:pt>
                <c:pt idx="1060">
                  <c:v>103.6399</c:v>
                </c:pt>
                <c:pt idx="1061">
                  <c:v>103.78577</c:v>
                </c:pt>
                <c:pt idx="1062">
                  <c:v>103.76146</c:v>
                </c:pt>
                <c:pt idx="1063">
                  <c:v>103.65926999999999</c:v>
                </c:pt>
                <c:pt idx="1064">
                  <c:v>103.62814</c:v>
                </c:pt>
                <c:pt idx="1065">
                  <c:v>103.67737</c:v>
                </c:pt>
                <c:pt idx="1066">
                  <c:v>103.69207</c:v>
                </c:pt>
                <c:pt idx="1067">
                  <c:v>103.6799</c:v>
                </c:pt>
                <c:pt idx="1068">
                  <c:v>103.67972999999999</c:v>
                </c:pt>
                <c:pt idx="1069">
                  <c:v>103.77195</c:v>
                </c:pt>
                <c:pt idx="1070">
                  <c:v>103.61076</c:v>
                </c:pt>
                <c:pt idx="1071">
                  <c:v>103.67762999999999</c:v>
                </c:pt>
                <c:pt idx="1072">
                  <c:v>103.63543</c:v>
                </c:pt>
                <c:pt idx="1073">
                  <c:v>103.71195</c:v>
                </c:pt>
                <c:pt idx="1074">
                  <c:v>103.65685999999999</c:v>
                </c:pt>
                <c:pt idx="1075">
                  <c:v>103.75127000000001</c:v>
                </c:pt>
                <c:pt idx="1076">
                  <c:v>103.86895</c:v>
                </c:pt>
                <c:pt idx="1077">
                  <c:v>103.67128</c:v>
                </c:pt>
                <c:pt idx="1078">
                  <c:v>103.7003</c:v>
                </c:pt>
                <c:pt idx="1079">
                  <c:v>103.58893999999999</c:v>
                </c:pt>
                <c:pt idx="1080">
                  <c:v>103.68525</c:v>
                </c:pt>
                <c:pt idx="1081">
                  <c:v>103.72642</c:v>
                </c:pt>
                <c:pt idx="1082">
                  <c:v>103.65944999999999</c:v>
                </c:pt>
                <c:pt idx="1083">
                  <c:v>103.59969</c:v>
                </c:pt>
                <c:pt idx="1084">
                  <c:v>103.61859</c:v>
                </c:pt>
                <c:pt idx="1085">
                  <c:v>103.74718</c:v>
                </c:pt>
                <c:pt idx="1086">
                  <c:v>103.53901999999999</c:v>
                </c:pt>
                <c:pt idx="1087">
                  <c:v>103.69494</c:v>
                </c:pt>
                <c:pt idx="1088">
                  <c:v>103.65295999999999</c:v>
                </c:pt>
                <c:pt idx="1089">
                  <c:v>103.68257</c:v>
                </c:pt>
                <c:pt idx="1090">
                  <c:v>103.68451999999999</c:v>
                </c:pt>
                <c:pt idx="1091">
                  <c:v>103.61729</c:v>
                </c:pt>
                <c:pt idx="1092">
                  <c:v>103.70135999999999</c:v>
                </c:pt>
                <c:pt idx="1093">
                  <c:v>103.71033</c:v>
                </c:pt>
                <c:pt idx="1094">
                  <c:v>103.64149999999999</c:v>
                </c:pt>
                <c:pt idx="1095">
                  <c:v>103.61425</c:v>
                </c:pt>
                <c:pt idx="1096">
                  <c:v>103.72852999999999</c:v>
                </c:pt>
                <c:pt idx="1097">
                  <c:v>103.64072</c:v>
                </c:pt>
                <c:pt idx="1098">
                  <c:v>103.61819</c:v>
                </c:pt>
                <c:pt idx="1099">
                  <c:v>103.73424</c:v>
                </c:pt>
                <c:pt idx="1100">
                  <c:v>103.60821</c:v>
                </c:pt>
                <c:pt idx="1101">
                  <c:v>103.58678</c:v>
                </c:pt>
                <c:pt idx="1102">
                  <c:v>103.67475999999999</c:v>
                </c:pt>
                <c:pt idx="1103">
                  <c:v>103.60829</c:v>
                </c:pt>
                <c:pt idx="1104">
                  <c:v>103.60628</c:v>
                </c:pt>
                <c:pt idx="1105">
                  <c:v>103.68343</c:v>
                </c:pt>
                <c:pt idx="1106">
                  <c:v>103.65582000000001</c:v>
                </c:pt>
                <c:pt idx="1107">
                  <c:v>103.72252</c:v>
                </c:pt>
                <c:pt idx="1108">
                  <c:v>103.59896999999999</c:v>
                </c:pt>
                <c:pt idx="1109">
                  <c:v>103.69504999999999</c:v>
                </c:pt>
                <c:pt idx="1110">
                  <c:v>103.57518999999999</c:v>
                </c:pt>
                <c:pt idx="1111">
                  <c:v>103.65474</c:v>
                </c:pt>
                <c:pt idx="1112">
                  <c:v>103.69674999999999</c:v>
                </c:pt>
                <c:pt idx="1113">
                  <c:v>103.66274</c:v>
                </c:pt>
                <c:pt idx="1114">
                  <c:v>103.73323000000001</c:v>
                </c:pt>
                <c:pt idx="1115">
                  <c:v>103.64811</c:v>
                </c:pt>
                <c:pt idx="1116">
                  <c:v>103.63285</c:v>
                </c:pt>
                <c:pt idx="1117">
                  <c:v>103.4736</c:v>
                </c:pt>
                <c:pt idx="1118">
                  <c:v>103.65357</c:v>
                </c:pt>
                <c:pt idx="1119">
                  <c:v>103.57823</c:v>
                </c:pt>
                <c:pt idx="1120">
                  <c:v>103.63070999999999</c:v>
                </c:pt>
                <c:pt idx="1121">
                  <c:v>103.58041</c:v>
                </c:pt>
                <c:pt idx="1122">
                  <c:v>103.53713</c:v>
                </c:pt>
                <c:pt idx="1123">
                  <c:v>103.58805</c:v>
                </c:pt>
                <c:pt idx="1124">
                  <c:v>103.53116</c:v>
                </c:pt>
                <c:pt idx="1125">
                  <c:v>103.61855</c:v>
                </c:pt>
                <c:pt idx="1126">
                  <c:v>103.53910999999999</c:v>
                </c:pt>
                <c:pt idx="1127">
                  <c:v>103.66336</c:v>
                </c:pt>
                <c:pt idx="1128">
                  <c:v>103.58508999999999</c:v>
                </c:pt>
                <c:pt idx="1129">
                  <c:v>103.52880999999999</c:v>
                </c:pt>
                <c:pt idx="1130">
                  <c:v>103.63449</c:v>
                </c:pt>
                <c:pt idx="1131">
                  <c:v>103.63048999999999</c:v>
                </c:pt>
                <c:pt idx="1132">
                  <c:v>103.66893</c:v>
                </c:pt>
                <c:pt idx="1133">
                  <c:v>103.61427</c:v>
                </c:pt>
                <c:pt idx="1134">
                  <c:v>103.52893</c:v>
                </c:pt>
                <c:pt idx="1135">
                  <c:v>103.60131</c:v>
                </c:pt>
                <c:pt idx="1136">
                  <c:v>103.68059</c:v>
                </c:pt>
                <c:pt idx="1137">
                  <c:v>103.60948</c:v>
                </c:pt>
                <c:pt idx="1138">
                  <c:v>103.56641999999999</c:v>
                </c:pt>
                <c:pt idx="1139">
                  <c:v>103.68501999999999</c:v>
                </c:pt>
                <c:pt idx="1140">
                  <c:v>103.57207</c:v>
                </c:pt>
                <c:pt idx="1141">
                  <c:v>103.59193</c:v>
                </c:pt>
                <c:pt idx="1142">
                  <c:v>103.62475000000001</c:v>
                </c:pt>
                <c:pt idx="1143">
                  <c:v>103.57078</c:v>
                </c:pt>
                <c:pt idx="1144">
                  <c:v>103.60769999999999</c:v>
                </c:pt>
                <c:pt idx="1145">
                  <c:v>103.54438</c:v>
                </c:pt>
                <c:pt idx="1146">
                  <c:v>103.50394</c:v>
                </c:pt>
                <c:pt idx="1147">
                  <c:v>103.55625999999999</c:v>
                </c:pt>
                <c:pt idx="1148">
                  <c:v>103.52466</c:v>
                </c:pt>
                <c:pt idx="1149">
                  <c:v>103.57714</c:v>
                </c:pt>
                <c:pt idx="1150">
                  <c:v>103.58636</c:v>
                </c:pt>
                <c:pt idx="1151">
                  <c:v>103.41584</c:v>
                </c:pt>
                <c:pt idx="1152">
                  <c:v>103.55638</c:v>
                </c:pt>
                <c:pt idx="1153">
                  <c:v>103.60862</c:v>
                </c:pt>
                <c:pt idx="1154">
                  <c:v>103.61784</c:v>
                </c:pt>
                <c:pt idx="1155">
                  <c:v>103.58844000000001</c:v>
                </c:pt>
                <c:pt idx="1156">
                  <c:v>103.53728</c:v>
                </c:pt>
                <c:pt idx="1157">
                  <c:v>103.48549</c:v>
                </c:pt>
                <c:pt idx="1158">
                  <c:v>103.67243000000001</c:v>
                </c:pt>
                <c:pt idx="1159">
                  <c:v>103.59738</c:v>
                </c:pt>
                <c:pt idx="1160">
                  <c:v>103.50039</c:v>
                </c:pt>
                <c:pt idx="1161">
                  <c:v>103.49153</c:v>
                </c:pt>
                <c:pt idx="1162">
                  <c:v>103.57695</c:v>
                </c:pt>
                <c:pt idx="1163">
                  <c:v>103.48175000000001</c:v>
                </c:pt>
                <c:pt idx="1164">
                  <c:v>103.46535</c:v>
                </c:pt>
                <c:pt idx="1165">
                  <c:v>103.52732</c:v>
                </c:pt>
                <c:pt idx="1166">
                  <c:v>103.48211000000001</c:v>
                </c:pt>
                <c:pt idx="1167">
                  <c:v>103.47975</c:v>
                </c:pt>
                <c:pt idx="1168">
                  <c:v>103.62173</c:v>
                </c:pt>
                <c:pt idx="1169">
                  <c:v>103.56985</c:v>
                </c:pt>
                <c:pt idx="1170">
                  <c:v>103.622</c:v>
                </c:pt>
                <c:pt idx="1171">
                  <c:v>103.62013</c:v>
                </c:pt>
                <c:pt idx="1172">
                  <c:v>103.53169</c:v>
                </c:pt>
                <c:pt idx="1173">
                  <c:v>103.56135999999999</c:v>
                </c:pt>
                <c:pt idx="1174">
                  <c:v>103.57324</c:v>
                </c:pt>
                <c:pt idx="1175">
                  <c:v>103.48544</c:v>
                </c:pt>
                <c:pt idx="1176">
                  <c:v>103.43438999999999</c:v>
                </c:pt>
                <c:pt idx="1177">
                  <c:v>103.50395</c:v>
                </c:pt>
                <c:pt idx="1178">
                  <c:v>103.53095999999999</c:v>
                </c:pt>
                <c:pt idx="1179">
                  <c:v>103.63204999999999</c:v>
                </c:pt>
                <c:pt idx="1180">
                  <c:v>103.53471</c:v>
                </c:pt>
                <c:pt idx="1181">
                  <c:v>103.65161000000001</c:v>
                </c:pt>
                <c:pt idx="1182">
                  <c:v>103.58842</c:v>
                </c:pt>
                <c:pt idx="1183">
                  <c:v>103.53793</c:v>
                </c:pt>
                <c:pt idx="1184">
                  <c:v>103.50869</c:v>
                </c:pt>
                <c:pt idx="1185">
                  <c:v>103.52359</c:v>
                </c:pt>
                <c:pt idx="1186">
                  <c:v>103.48236</c:v>
                </c:pt>
                <c:pt idx="1187">
                  <c:v>103.53628999999999</c:v>
                </c:pt>
                <c:pt idx="1188">
                  <c:v>103.47346</c:v>
                </c:pt>
                <c:pt idx="1189">
                  <c:v>103.51266</c:v>
                </c:pt>
                <c:pt idx="1190">
                  <c:v>103.547</c:v>
                </c:pt>
                <c:pt idx="1191">
                  <c:v>103.49969</c:v>
                </c:pt>
                <c:pt idx="1192">
                  <c:v>103.54962999999999</c:v>
                </c:pt>
                <c:pt idx="1193">
                  <c:v>103.52746999999999</c:v>
                </c:pt>
                <c:pt idx="1194">
                  <c:v>103.44083000000001</c:v>
                </c:pt>
                <c:pt idx="1195">
                  <c:v>103.46763</c:v>
                </c:pt>
                <c:pt idx="1196">
                  <c:v>103.41237</c:v>
                </c:pt>
                <c:pt idx="1197">
                  <c:v>103.59271</c:v>
                </c:pt>
                <c:pt idx="1198">
                  <c:v>103.48316</c:v>
                </c:pt>
                <c:pt idx="1199">
                  <c:v>103.51833000000001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88-014C-8402-517F26A40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9567"/>
        <c:axId val="19193391"/>
      </c:scatterChart>
      <c:valAx>
        <c:axId val="19819567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193391"/>
        <c:crosses val="autoZero"/>
        <c:crossBetween val="midCat"/>
      </c:valAx>
      <c:valAx>
        <c:axId val="19193391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81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time, 225C, (Odin)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BRF500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Data, BRF500 20% O2'!$Q$4:$Q$483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BRF500 20% O2'!$S$4:$S$483</c:f>
              <c:numCache>
                <c:formatCode>0.00000</c:formatCode>
                <c:ptCount val="480"/>
                <c:pt idx="0">
                  <c:v>100</c:v>
                </c:pt>
                <c:pt idx="1">
                  <c:v>99.695520000000002</c:v>
                </c:pt>
                <c:pt idx="2">
                  <c:v>100.00800000000001</c:v>
                </c:pt>
                <c:pt idx="3">
                  <c:v>100.00539000000001</c:v>
                </c:pt>
                <c:pt idx="4">
                  <c:v>99.98884000000001</c:v>
                </c:pt>
                <c:pt idx="5">
                  <c:v>100.06920000000001</c:v>
                </c:pt>
                <c:pt idx="6">
                  <c:v>100.09937000000001</c:v>
                </c:pt>
                <c:pt idx="7">
                  <c:v>100.06128000000001</c:v>
                </c:pt>
                <c:pt idx="8">
                  <c:v>100.05458</c:v>
                </c:pt>
                <c:pt idx="9">
                  <c:v>100.16757000000001</c:v>
                </c:pt>
                <c:pt idx="10">
                  <c:v>99.886970000000005</c:v>
                </c:pt>
                <c:pt idx="11">
                  <c:v>99.973270000000014</c:v>
                </c:pt>
                <c:pt idx="12">
                  <c:v>100.05863000000001</c:v>
                </c:pt>
                <c:pt idx="13">
                  <c:v>99.924720000000008</c:v>
                </c:pt>
                <c:pt idx="14">
                  <c:v>100.11868000000001</c:v>
                </c:pt>
                <c:pt idx="15">
                  <c:v>100.02875</c:v>
                </c:pt>
                <c:pt idx="16">
                  <c:v>99.92</c:v>
                </c:pt>
                <c:pt idx="17">
                  <c:v>99.902250000000009</c:v>
                </c:pt>
                <c:pt idx="18">
                  <c:v>99.934100000000001</c:v>
                </c:pt>
                <c:pt idx="19">
                  <c:v>99.891190000000009</c:v>
                </c:pt>
                <c:pt idx="20">
                  <c:v>100.07783000000001</c:v>
                </c:pt>
                <c:pt idx="21">
                  <c:v>99.945000000000007</c:v>
                </c:pt>
                <c:pt idx="22">
                  <c:v>99.912350000000004</c:v>
                </c:pt>
                <c:pt idx="23">
                  <c:v>100.12344</c:v>
                </c:pt>
                <c:pt idx="24">
                  <c:v>100.03316000000001</c:v>
                </c:pt>
                <c:pt idx="25">
                  <c:v>99.923550000000006</c:v>
                </c:pt>
                <c:pt idx="26">
                  <c:v>99.822610000000012</c:v>
                </c:pt>
                <c:pt idx="27">
                  <c:v>100.00258000000001</c:v>
                </c:pt>
                <c:pt idx="28">
                  <c:v>99.993780000000001</c:v>
                </c:pt>
                <c:pt idx="29">
                  <c:v>99.761340000000004</c:v>
                </c:pt>
                <c:pt idx="30">
                  <c:v>99.897380000000013</c:v>
                </c:pt>
                <c:pt idx="31">
                  <c:v>100.02713000000001</c:v>
                </c:pt>
                <c:pt idx="32">
                  <c:v>100.01276</c:v>
                </c:pt>
                <c:pt idx="33">
                  <c:v>100.02867000000001</c:v>
                </c:pt>
                <c:pt idx="34">
                  <c:v>100.01177000000001</c:v>
                </c:pt>
                <c:pt idx="35">
                  <c:v>99.844860000000011</c:v>
                </c:pt>
                <c:pt idx="36">
                  <c:v>100.08651</c:v>
                </c:pt>
                <c:pt idx="37">
                  <c:v>99.919500000000014</c:v>
                </c:pt>
                <c:pt idx="38">
                  <c:v>100.03358</c:v>
                </c:pt>
                <c:pt idx="39">
                  <c:v>99.865520000000004</c:v>
                </c:pt>
                <c:pt idx="40">
                  <c:v>99.87848000000001</c:v>
                </c:pt>
                <c:pt idx="41">
                  <c:v>99.946200000000005</c:v>
                </c:pt>
                <c:pt idx="42">
                  <c:v>99.827150000000003</c:v>
                </c:pt>
                <c:pt idx="43">
                  <c:v>99.92765</c:v>
                </c:pt>
                <c:pt idx="44">
                  <c:v>99.860890000000012</c:v>
                </c:pt>
                <c:pt idx="45">
                  <c:v>99.986710000000002</c:v>
                </c:pt>
                <c:pt idx="46">
                  <c:v>99.925710000000009</c:v>
                </c:pt>
                <c:pt idx="47">
                  <c:v>99.788550000000001</c:v>
                </c:pt>
                <c:pt idx="48">
                  <c:v>99.942890000000006</c:v>
                </c:pt>
                <c:pt idx="49">
                  <c:v>99.800850000000011</c:v>
                </c:pt>
                <c:pt idx="50">
                  <c:v>99.673680000000004</c:v>
                </c:pt>
                <c:pt idx="51">
                  <c:v>99.834970000000013</c:v>
                </c:pt>
                <c:pt idx="52">
                  <c:v>99.82650000000001</c:v>
                </c:pt>
                <c:pt idx="53">
                  <c:v>99.845060000000004</c:v>
                </c:pt>
                <c:pt idx="54">
                  <c:v>99.837860000000006</c:v>
                </c:pt>
                <c:pt idx="55">
                  <c:v>99.790260000000004</c:v>
                </c:pt>
                <c:pt idx="56">
                  <c:v>99.849620000000002</c:v>
                </c:pt>
                <c:pt idx="57">
                  <c:v>99.774090000000001</c:v>
                </c:pt>
                <c:pt idx="58">
                  <c:v>99.786950000000004</c:v>
                </c:pt>
                <c:pt idx="59">
                  <c:v>99.851210000000009</c:v>
                </c:pt>
                <c:pt idx="60">
                  <c:v>99.786560000000009</c:v>
                </c:pt>
                <c:pt idx="61">
                  <c:v>99.904800000000009</c:v>
                </c:pt>
                <c:pt idx="62">
                  <c:v>99.808230000000009</c:v>
                </c:pt>
                <c:pt idx="63">
                  <c:v>99.772960000000012</c:v>
                </c:pt>
                <c:pt idx="64">
                  <c:v>99.88785</c:v>
                </c:pt>
                <c:pt idx="65">
                  <c:v>99.910290000000003</c:v>
                </c:pt>
                <c:pt idx="66">
                  <c:v>99.703830000000011</c:v>
                </c:pt>
                <c:pt idx="67">
                  <c:v>99.877340000000004</c:v>
                </c:pt>
                <c:pt idx="68">
                  <c:v>99.804390000000012</c:v>
                </c:pt>
                <c:pt idx="69">
                  <c:v>99.798680000000004</c:v>
                </c:pt>
                <c:pt idx="70">
                  <c:v>99.739770000000007</c:v>
                </c:pt>
                <c:pt idx="71">
                  <c:v>99.679990000000004</c:v>
                </c:pt>
                <c:pt idx="72">
                  <c:v>99.85954000000001</c:v>
                </c:pt>
                <c:pt idx="73">
                  <c:v>99.784930000000003</c:v>
                </c:pt>
                <c:pt idx="74">
                  <c:v>99.723680000000002</c:v>
                </c:pt>
                <c:pt idx="75">
                  <c:v>99.754770000000008</c:v>
                </c:pt>
                <c:pt idx="76">
                  <c:v>99.676400000000001</c:v>
                </c:pt>
                <c:pt idx="77">
                  <c:v>99.718540000000004</c:v>
                </c:pt>
                <c:pt idx="78">
                  <c:v>99.775600000000011</c:v>
                </c:pt>
                <c:pt idx="79">
                  <c:v>99.673580000000001</c:v>
                </c:pt>
                <c:pt idx="80">
                  <c:v>99.780040000000014</c:v>
                </c:pt>
                <c:pt idx="81">
                  <c:v>99.648320000000012</c:v>
                </c:pt>
                <c:pt idx="82">
                  <c:v>99.588240000000013</c:v>
                </c:pt>
                <c:pt idx="83">
                  <c:v>99.579740000000001</c:v>
                </c:pt>
                <c:pt idx="84">
                  <c:v>99.466790000000003</c:v>
                </c:pt>
                <c:pt idx="85">
                  <c:v>99.75912000000001</c:v>
                </c:pt>
                <c:pt idx="86">
                  <c:v>99.650790000000001</c:v>
                </c:pt>
                <c:pt idx="87">
                  <c:v>99.691690000000008</c:v>
                </c:pt>
                <c:pt idx="88">
                  <c:v>99.569850000000002</c:v>
                </c:pt>
                <c:pt idx="89">
                  <c:v>99.706970000000013</c:v>
                </c:pt>
                <c:pt idx="90">
                  <c:v>99.633750000000006</c:v>
                </c:pt>
                <c:pt idx="91">
                  <c:v>99.722410000000011</c:v>
                </c:pt>
                <c:pt idx="92">
                  <c:v>99.659240000000011</c:v>
                </c:pt>
                <c:pt idx="93">
                  <c:v>99.688520000000011</c:v>
                </c:pt>
                <c:pt idx="94">
                  <c:v>99.650390000000002</c:v>
                </c:pt>
                <c:pt idx="95">
                  <c:v>99.658570000000012</c:v>
                </c:pt>
                <c:pt idx="96">
                  <c:v>99.710350000000005</c:v>
                </c:pt>
                <c:pt idx="97">
                  <c:v>99.543000000000006</c:v>
                </c:pt>
                <c:pt idx="98">
                  <c:v>99.619060000000005</c:v>
                </c:pt>
                <c:pt idx="99">
                  <c:v>99.665840000000003</c:v>
                </c:pt>
                <c:pt idx="100">
                  <c:v>99.69004000000001</c:v>
                </c:pt>
                <c:pt idx="101">
                  <c:v>99.554310000000001</c:v>
                </c:pt>
                <c:pt idx="102">
                  <c:v>99.527740000000009</c:v>
                </c:pt>
                <c:pt idx="103">
                  <c:v>99.62951000000001</c:v>
                </c:pt>
                <c:pt idx="104">
                  <c:v>99.553140000000013</c:v>
                </c:pt>
                <c:pt idx="105">
                  <c:v>99.600420000000014</c:v>
                </c:pt>
                <c:pt idx="106">
                  <c:v>99.588530000000006</c:v>
                </c:pt>
                <c:pt idx="107">
                  <c:v>99.579780000000014</c:v>
                </c:pt>
                <c:pt idx="108">
                  <c:v>99.63188000000001</c:v>
                </c:pt>
                <c:pt idx="109">
                  <c:v>99.526520000000005</c:v>
                </c:pt>
                <c:pt idx="110">
                  <c:v>99.657250000000005</c:v>
                </c:pt>
                <c:pt idx="111">
                  <c:v>99.58899000000001</c:v>
                </c:pt>
                <c:pt idx="112">
                  <c:v>99.549840000000003</c:v>
                </c:pt>
                <c:pt idx="113">
                  <c:v>99.409130000000005</c:v>
                </c:pt>
                <c:pt idx="114">
                  <c:v>99.575850000000003</c:v>
                </c:pt>
                <c:pt idx="115">
                  <c:v>99.686720000000008</c:v>
                </c:pt>
                <c:pt idx="116">
                  <c:v>99.558400000000006</c:v>
                </c:pt>
                <c:pt idx="117">
                  <c:v>99.496030000000005</c:v>
                </c:pt>
                <c:pt idx="118">
                  <c:v>99.539760000000001</c:v>
                </c:pt>
                <c:pt idx="119">
                  <c:v>99.440260000000009</c:v>
                </c:pt>
                <c:pt idx="120">
                  <c:v>99.582710000000006</c:v>
                </c:pt>
                <c:pt idx="121">
                  <c:v>99.522090000000006</c:v>
                </c:pt>
                <c:pt idx="122">
                  <c:v>99.511530000000008</c:v>
                </c:pt>
                <c:pt idx="123">
                  <c:v>99.482270000000014</c:v>
                </c:pt>
                <c:pt idx="124">
                  <c:v>99.450720000000004</c:v>
                </c:pt>
                <c:pt idx="125">
                  <c:v>99.54131000000001</c:v>
                </c:pt>
                <c:pt idx="126">
                  <c:v>99.299350000000004</c:v>
                </c:pt>
                <c:pt idx="127">
                  <c:v>99.468530000000001</c:v>
                </c:pt>
                <c:pt idx="128">
                  <c:v>99.555120000000002</c:v>
                </c:pt>
                <c:pt idx="129">
                  <c:v>99.496470000000002</c:v>
                </c:pt>
                <c:pt idx="130">
                  <c:v>99.548080000000013</c:v>
                </c:pt>
                <c:pt idx="131">
                  <c:v>99.486890000000002</c:v>
                </c:pt>
                <c:pt idx="132">
                  <c:v>99.539900000000003</c:v>
                </c:pt>
                <c:pt idx="133">
                  <c:v>99.646090000000001</c:v>
                </c:pt>
                <c:pt idx="134">
                  <c:v>99.464610000000008</c:v>
                </c:pt>
                <c:pt idx="135">
                  <c:v>99.539970000000011</c:v>
                </c:pt>
                <c:pt idx="136">
                  <c:v>99.359130000000007</c:v>
                </c:pt>
                <c:pt idx="137">
                  <c:v>99.370530000000002</c:v>
                </c:pt>
                <c:pt idx="138">
                  <c:v>99.439290000000014</c:v>
                </c:pt>
                <c:pt idx="139">
                  <c:v>99.394110000000012</c:v>
                </c:pt>
                <c:pt idx="140">
                  <c:v>99.371700000000004</c:v>
                </c:pt>
                <c:pt idx="141">
                  <c:v>99.466300000000004</c:v>
                </c:pt>
                <c:pt idx="142">
                  <c:v>99.401060000000001</c:v>
                </c:pt>
                <c:pt idx="143">
                  <c:v>99.335070000000002</c:v>
                </c:pt>
                <c:pt idx="144">
                  <c:v>99.394120000000001</c:v>
                </c:pt>
                <c:pt idx="145">
                  <c:v>99.375430000000009</c:v>
                </c:pt>
                <c:pt idx="146">
                  <c:v>99.439090000000007</c:v>
                </c:pt>
                <c:pt idx="147">
                  <c:v>99.458390000000009</c:v>
                </c:pt>
                <c:pt idx="148">
                  <c:v>99.444020000000009</c:v>
                </c:pt>
                <c:pt idx="149">
                  <c:v>99.287560000000013</c:v>
                </c:pt>
                <c:pt idx="150">
                  <c:v>99.462990000000005</c:v>
                </c:pt>
                <c:pt idx="151">
                  <c:v>99.384770000000003</c:v>
                </c:pt>
                <c:pt idx="152">
                  <c:v>99.446140000000014</c:v>
                </c:pt>
                <c:pt idx="153">
                  <c:v>99.408080000000012</c:v>
                </c:pt>
                <c:pt idx="154">
                  <c:v>99.309570000000008</c:v>
                </c:pt>
                <c:pt idx="155">
                  <c:v>99.388950000000008</c:v>
                </c:pt>
                <c:pt idx="156">
                  <c:v>99.342870000000005</c:v>
                </c:pt>
                <c:pt idx="157">
                  <c:v>99.295200000000008</c:v>
                </c:pt>
                <c:pt idx="158">
                  <c:v>99.321980000000011</c:v>
                </c:pt>
                <c:pt idx="159">
                  <c:v>99.280780000000007</c:v>
                </c:pt>
                <c:pt idx="160">
                  <c:v>99.336420000000004</c:v>
                </c:pt>
                <c:pt idx="161">
                  <c:v>99.292790000000011</c:v>
                </c:pt>
                <c:pt idx="162">
                  <c:v>99.297000000000011</c:v>
                </c:pt>
                <c:pt idx="163">
                  <c:v>99.306530000000009</c:v>
                </c:pt>
                <c:pt idx="164">
                  <c:v>99.407750000000007</c:v>
                </c:pt>
                <c:pt idx="165">
                  <c:v>99.340940000000003</c:v>
                </c:pt>
                <c:pt idx="166">
                  <c:v>99.307780000000008</c:v>
                </c:pt>
                <c:pt idx="167">
                  <c:v>99.411940000000001</c:v>
                </c:pt>
                <c:pt idx="168">
                  <c:v>99.363100000000003</c:v>
                </c:pt>
                <c:pt idx="169">
                  <c:v>99.255200000000002</c:v>
                </c:pt>
                <c:pt idx="170">
                  <c:v>99.309510000000003</c:v>
                </c:pt>
                <c:pt idx="171">
                  <c:v>99.283820000000006</c:v>
                </c:pt>
                <c:pt idx="172">
                  <c:v>99.278270000000006</c:v>
                </c:pt>
                <c:pt idx="173">
                  <c:v>99.426850000000002</c:v>
                </c:pt>
                <c:pt idx="174">
                  <c:v>99.326220000000006</c:v>
                </c:pt>
                <c:pt idx="175">
                  <c:v>99.345560000000006</c:v>
                </c:pt>
                <c:pt idx="176">
                  <c:v>99.248760000000004</c:v>
                </c:pt>
                <c:pt idx="177">
                  <c:v>99.337530000000001</c:v>
                </c:pt>
                <c:pt idx="178">
                  <c:v>99.274190000000004</c:v>
                </c:pt>
                <c:pt idx="179">
                  <c:v>99.24278000000001</c:v>
                </c:pt>
                <c:pt idx="180">
                  <c:v>99.229530000000011</c:v>
                </c:pt>
                <c:pt idx="181">
                  <c:v>99.166930000000008</c:v>
                </c:pt>
                <c:pt idx="182">
                  <c:v>99.126260000000002</c:v>
                </c:pt>
                <c:pt idx="183">
                  <c:v>99.240580000000008</c:v>
                </c:pt>
                <c:pt idx="184">
                  <c:v>99.238510000000005</c:v>
                </c:pt>
                <c:pt idx="185">
                  <c:v>99.306100000000001</c:v>
                </c:pt>
                <c:pt idx="186">
                  <c:v>99.343430000000012</c:v>
                </c:pt>
                <c:pt idx="187">
                  <c:v>99.270520000000005</c:v>
                </c:pt>
                <c:pt idx="188">
                  <c:v>99.234880000000004</c:v>
                </c:pt>
                <c:pt idx="189">
                  <c:v>99.268710000000013</c:v>
                </c:pt>
                <c:pt idx="190">
                  <c:v>99.184160000000006</c:v>
                </c:pt>
                <c:pt idx="191">
                  <c:v>99.217410000000001</c:v>
                </c:pt>
                <c:pt idx="192">
                  <c:v>99.219720000000009</c:v>
                </c:pt>
                <c:pt idx="193">
                  <c:v>99.195580000000007</c:v>
                </c:pt>
                <c:pt idx="194">
                  <c:v>99.171140000000008</c:v>
                </c:pt>
                <c:pt idx="195">
                  <c:v>99.142890000000008</c:v>
                </c:pt>
                <c:pt idx="196">
                  <c:v>99.080880000000008</c:v>
                </c:pt>
                <c:pt idx="197">
                  <c:v>99.126220000000004</c:v>
                </c:pt>
                <c:pt idx="198">
                  <c:v>99.110720000000001</c:v>
                </c:pt>
                <c:pt idx="199">
                  <c:v>99.118460000000013</c:v>
                </c:pt>
                <c:pt idx="200">
                  <c:v>99.070120000000003</c:v>
                </c:pt>
                <c:pt idx="201">
                  <c:v>99.262620000000013</c:v>
                </c:pt>
                <c:pt idx="202">
                  <c:v>99.138270000000006</c:v>
                </c:pt>
                <c:pt idx="203">
                  <c:v>99.117100000000008</c:v>
                </c:pt>
                <c:pt idx="204">
                  <c:v>99.203890000000001</c:v>
                </c:pt>
                <c:pt idx="205">
                  <c:v>99.210240000000013</c:v>
                </c:pt>
                <c:pt idx="206">
                  <c:v>99.183490000000006</c:v>
                </c:pt>
                <c:pt idx="207">
                  <c:v>99.143920000000008</c:v>
                </c:pt>
                <c:pt idx="208">
                  <c:v>99.236660000000001</c:v>
                </c:pt>
                <c:pt idx="209">
                  <c:v>99.095580000000012</c:v>
                </c:pt>
                <c:pt idx="210">
                  <c:v>99.052340000000001</c:v>
                </c:pt>
                <c:pt idx="211">
                  <c:v>99.117230000000006</c:v>
                </c:pt>
                <c:pt idx="212">
                  <c:v>99.244600000000005</c:v>
                </c:pt>
                <c:pt idx="213">
                  <c:v>99.053370000000001</c:v>
                </c:pt>
                <c:pt idx="214">
                  <c:v>99.076870000000014</c:v>
                </c:pt>
                <c:pt idx="215">
                  <c:v>98.980620000000002</c:v>
                </c:pt>
                <c:pt idx="216">
                  <c:v>99.008430000000004</c:v>
                </c:pt>
                <c:pt idx="217">
                  <c:v>99.120280000000008</c:v>
                </c:pt>
                <c:pt idx="218">
                  <c:v>99.09478</c:v>
                </c:pt>
                <c:pt idx="219">
                  <c:v>99.06159000000001</c:v>
                </c:pt>
                <c:pt idx="220">
                  <c:v>99.030390000000011</c:v>
                </c:pt>
                <c:pt idx="221">
                  <c:v>99.085280000000012</c:v>
                </c:pt>
                <c:pt idx="222">
                  <c:v>99.104430000000008</c:v>
                </c:pt>
                <c:pt idx="223">
                  <c:v>99.10099000000001</c:v>
                </c:pt>
                <c:pt idx="224">
                  <c:v>99.044270000000012</c:v>
                </c:pt>
                <c:pt idx="225">
                  <c:v>99.062430000000006</c:v>
                </c:pt>
                <c:pt idx="226">
                  <c:v>99.13288</c:v>
                </c:pt>
                <c:pt idx="227">
                  <c:v>99.049050000000008</c:v>
                </c:pt>
                <c:pt idx="228">
                  <c:v>99.018260000000012</c:v>
                </c:pt>
                <c:pt idx="229">
                  <c:v>99.034020000000012</c:v>
                </c:pt>
                <c:pt idx="230">
                  <c:v>98.976980000000012</c:v>
                </c:pt>
                <c:pt idx="231">
                  <c:v>99.061240000000012</c:v>
                </c:pt>
                <c:pt idx="232">
                  <c:v>99.055260000000004</c:v>
                </c:pt>
                <c:pt idx="233">
                  <c:v>98.991790000000009</c:v>
                </c:pt>
                <c:pt idx="234">
                  <c:v>98.858030000000014</c:v>
                </c:pt>
                <c:pt idx="235">
                  <c:v>99.013380000000012</c:v>
                </c:pt>
                <c:pt idx="236">
                  <c:v>98.990580000000008</c:v>
                </c:pt>
                <c:pt idx="237">
                  <c:v>98.888120000000001</c:v>
                </c:pt>
                <c:pt idx="238">
                  <c:v>98.999370000000013</c:v>
                </c:pt>
                <c:pt idx="239">
                  <c:v>99.078600000000009</c:v>
                </c:pt>
                <c:pt idx="240">
                  <c:v>98.98387000000001</c:v>
                </c:pt>
                <c:pt idx="241">
                  <c:v>99.036820000000006</c:v>
                </c:pt>
                <c:pt idx="242">
                  <c:v>99.022110000000012</c:v>
                </c:pt>
                <c:pt idx="243">
                  <c:v>98.898880000000005</c:v>
                </c:pt>
                <c:pt idx="244">
                  <c:v>98.904950000000014</c:v>
                </c:pt>
                <c:pt idx="245">
                  <c:v>98.965310000000002</c:v>
                </c:pt>
                <c:pt idx="246">
                  <c:v>98.895930000000007</c:v>
                </c:pt>
                <c:pt idx="247">
                  <c:v>98.961640000000003</c:v>
                </c:pt>
                <c:pt idx="248">
                  <c:v>99.007520000000014</c:v>
                </c:pt>
                <c:pt idx="249">
                  <c:v>98.80228000000001</c:v>
                </c:pt>
                <c:pt idx="250">
                  <c:v>98.908600000000007</c:v>
                </c:pt>
                <c:pt idx="251">
                  <c:v>98.917110000000008</c:v>
                </c:pt>
                <c:pt idx="252">
                  <c:v>98.956330000000008</c:v>
                </c:pt>
                <c:pt idx="253">
                  <c:v>98.975910000000013</c:v>
                </c:pt>
                <c:pt idx="254">
                  <c:v>98.982640000000004</c:v>
                </c:pt>
                <c:pt idx="255">
                  <c:v>99.048480000000012</c:v>
                </c:pt>
                <c:pt idx="256">
                  <c:v>98.950830000000011</c:v>
                </c:pt>
                <c:pt idx="257">
                  <c:v>98.94914</c:v>
                </c:pt>
                <c:pt idx="258">
                  <c:v>98.945900000000009</c:v>
                </c:pt>
                <c:pt idx="259">
                  <c:v>98.880160000000004</c:v>
                </c:pt>
                <c:pt idx="260">
                  <c:v>98.932130000000001</c:v>
                </c:pt>
                <c:pt idx="261">
                  <c:v>98.889320000000012</c:v>
                </c:pt>
                <c:pt idx="262">
                  <c:v>98.777160000000009</c:v>
                </c:pt>
                <c:pt idx="263">
                  <c:v>98.90861000000001</c:v>
                </c:pt>
                <c:pt idx="264">
                  <c:v>98.921590000000009</c:v>
                </c:pt>
                <c:pt idx="265">
                  <c:v>98.882650000000012</c:v>
                </c:pt>
                <c:pt idx="266">
                  <c:v>98.838330000000013</c:v>
                </c:pt>
                <c:pt idx="267">
                  <c:v>98.777160000000009</c:v>
                </c:pt>
                <c:pt idx="268">
                  <c:v>98.932040000000001</c:v>
                </c:pt>
                <c:pt idx="269">
                  <c:v>98.826400000000007</c:v>
                </c:pt>
                <c:pt idx="270">
                  <c:v>98.831480000000013</c:v>
                </c:pt>
                <c:pt idx="271">
                  <c:v>98.872610000000009</c:v>
                </c:pt>
                <c:pt idx="272">
                  <c:v>98.940990000000014</c:v>
                </c:pt>
                <c:pt idx="273">
                  <c:v>98.831480000000013</c:v>
                </c:pt>
                <c:pt idx="274">
                  <c:v>98.80416000000001</c:v>
                </c:pt>
                <c:pt idx="275">
                  <c:v>98.87266000000001</c:v>
                </c:pt>
                <c:pt idx="276">
                  <c:v>98.752980000000008</c:v>
                </c:pt>
                <c:pt idx="277">
                  <c:v>98.807240000000007</c:v>
                </c:pt>
                <c:pt idx="278">
                  <c:v>98.798660000000012</c:v>
                </c:pt>
                <c:pt idx="279">
                  <c:v>98.800450000000012</c:v>
                </c:pt>
                <c:pt idx="280">
                  <c:v>98.955130000000011</c:v>
                </c:pt>
                <c:pt idx="281">
                  <c:v>98.747600000000006</c:v>
                </c:pt>
                <c:pt idx="282">
                  <c:v>98.799540000000007</c:v>
                </c:pt>
                <c:pt idx="283">
                  <c:v>98.924720000000008</c:v>
                </c:pt>
                <c:pt idx="284">
                  <c:v>98.802590000000009</c:v>
                </c:pt>
                <c:pt idx="285">
                  <c:v>98.640870000000007</c:v>
                </c:pt>
                <c:pt idx="286">
                  <c:v>98.779410000000013</c:v>
                </c:pt>
                <c:pt idx="287">
                  <c:v>98.723800000000011</c:v>
                </c:pt>
                <c:pt idx="288">
                  <c:v>98.785550000000001</c:v>
                </c:pt>
                <c:pt idx="289">
                  <c:v>98.738890000000012</c:v>
                </c:pt>
                <c:pt idx="290">
                  <c:v>98.806670000000011</c:v>
                </c:pt>
                <c:pt idx="291">
                  <c:v>98.781480000000002</c:v>
                </c:pt>
                <c:pt idx="292">
                  <c:v>98.724920000000012</c:v>
                </c:pt>
                <c:pt idx="293">
                  <c:v>98.840690000000009</c:v>
                </c:pt>
                <c:pt idx="294">
                  <c:v>98.687310000000011</c:v>
                </c:pt>
                <c:pt idx="295">
                  <c:v>98.784830000000014</c:v>
                </c:pt>
                <c:pt idx="296">
                  <c:v>98.649810000000002</c:v>
                </c:pt>
                <c:pt idx="297">
                  <c:v>98.833320000000001</c:v>
                </c:pt>
                <c:pt idx="298">
                  <c:v>98.624040000000008</c:v>
                </c:pt>
                <c:pt idx="299">
                  <c:v>98.700480000000013</c:v>
                </c:pt>
                <c:pt idx="300">
                  <c:v>98.720550000000003</c:v>
                </c:pt>
                <c:pt idx="301">
                  <c:v>98.79992</c:v>
                </c:pt>
                <c:pt idx="302">
                  <c:v>98.726760000000013</c:v>
                </c:pt>
                <c:pt idx="303">
                  <c:v>98.681180000000012</c:v>
                </c:pt>
                <c:pt idx="304">
                  <c:v>98.771550000000005</c:v>
                </c:pt>
                <c:pt idx="305">
                  <c:v>98.598280000000003</c:v>
                </c:pt>
                <c:pt idx="306">
                  <c:v>98.575320000000005</c:v>
                </c:pt>
                <c:pt idx="307">
                  <c:v>98.671510000000012</c:v>
                </c:pt>
                <c:pt idx="308">
                  <c:v>98.665860000000009</c:v>
                </c:pt>
                <c:pt idx="309">
                  <c:v>98.615860000000012</c:v>
                </c:pt>
                <c:pt idx="310">
                  <c:v>98.709570000000014</c:v>
                </c:pt>
                <c:pt idx="311">
                  <c:v>98.708860000000001</c:v>
                </c:pt>
                <c:pt idx="312">
                  <c:v>98.569660000000013</c:v>
                </c:pt>
                <c:pt idx="313">
                  <c:v>98.702090000000013</c:v>
                </c:pt>
                <c:pt idx="314">
                  <c:v>98.678320000000014</c:v>
                </c:pt>
                <c:pt idx="315">
                  <c:v>98.67783</c:v>
                </c:pt>
                <c:pt idx="316">
                  <c:v>98.696110000000004</c:v>
                </c:pt>
                <c:pt idx="317">
                  <c:v>98.76194000000001</c:v>
                </c:pt>
                <c:pt idx="318">
                  <c:v>98.583540000000013</c:v>
                </c:pt>
                <c:pt idx="319">
                  <c:v>98.58120000000001</c:v>
                </c:pt>
                <c:pt idx="320">
                  <c:v>98.570760000000007</c:v>
                </c:pt>
                <c:pt idx="321">
                  <c:v>98.598760000000013</c:v>
                </c:pt>
                <c:pt idx="322">
                  <c:v>98.532030000000006</c:v>
                </c:pt>
                <c:pt idx="323">
                  <c:v>98.510390000000001</c:v>
                </c:pt>
                <c:pt idx="324">
                  <c:v>98.621600000000001</c:v>
                </c:pt>
                <c:pt idx="325">
                  <c:v>98.636800000000008</c:v>
                </c:pt>
                <c:pt idx="326">
                  <c:v>98.608130000000003</c:v>
                </c:pt>
                <c:pt idx="327">
                  <c:v>98.553170000000009</c:v>
                </c:pt>
                <c:pt idx="328">
                  <c:v>98.520030000000006</c:v>
                </c:pt>
                <c:pt idx="329">
                  <c:v>98.60748000000001</c:v>
                </c:pt>
                <c:pt idx="330">
                  <c:v>98.545970000000011</c:v>
                </c:pt>
                <c:pt idx="331">
                  <c:v>98.612250000000003</c:v>
                </c:pt>
                <c:pt idx="332">
                  <c:v>98.505200000000002</c:v>
                </c:pt>
                <c:pt idx="333">
                  <c:v>98.443150000000003</c:v>
                </c:pt>
                <c:pt idx="334">
                  <c:v>98.578100000000006</c:v>
                </c:pt>
                <c:pt idx="335">
                  <c:v>98.56786000000001</c:v>
                </c:pt>
                <c:pt idx="336">
                  <c:v>98.587370000000007</c:v>
                </c:pt>
                <c:pt idx="337">
                  <c:v>98.565120000000007</c:v>
                </c:pt>
                <c:pt idx="338">
                  <c:v>98.605580000000003</c:v>
                </c:pt>
                <c:pt idx="339">
                  <c:v>98.626810000000006</c:v>
                </c:pt>
                <c:pt idx="340">
                  <c:v>98.606400000000008</c:v>
                </c:pt>
                <c:pt idx="341">
                  <c:v>98.513570000000001</c:v>
                </c:pt>
                <c:pt idx="342">
                  <c:v>98.458960000000005</c:v>
                </c:pt>
                <c:pt idx="343">
                  <c:v>98.490440000000007</c:v>
                </c:pt>
                <c:pt idx="344">
                  <c:v>98.494470000000007</c:v>
                </c:pt>
                <c:pt idx="345">
                  <c:v>98.49721000000001</c:v>
                </c:pt>
                <c:pt idx="346">
                  <c:v>98.493550000000013</c:v>
                </c:pt>
                <c:pt idx="347">
                  <c:v>98.53537</c:v>
                </c:pt>
                <c:pt idx="348">
                  <c:v>98.45205</c:v>
                </c:pt>
                <c:pt idx="349">
                  <c:v>98.520800000000008</c:v>
                </c:pt>
                <c:pt idx="350">
                  <c:v>98.385180000000005</c:v>
                </c:pt>
                <c:pt idx="351">
                  <c:v>98.4542</c:v>
                </c:pt>
                <c:pt idx="352">
                  <c:v>98.433980000000005</c:v>
                </c:pt>
                <c:pt idx="353">
                  <c:v>98.446070000000006</c:v>
                </c:pt>
                <c:pt idx="354">
                  <c:v>98.518660000000011</c:v>
                </c:pt>
                <c:pt idx="355">
                  <c:v>98.459500000000006</c:v>
                </c:pt>
                <c:pt idx="356">
                  <c:v>98.482070000000007</c:v>
                </c:pt>
                <c:pt idx="357">
                  <c:v>98.531060000000011</c:v>
                </c:pt>
                <c:pt idx="358">
                  <c:v>98.433150000000012</c:v>
                </c:pt>
                <c:pt idx="359">
                  <c:v>98.379410000000007</c:v>
                </c:pt>
                <c:pt idx="360">
                  <c:v>98.468040000000002</c:v>
                </c:pt>
                <c:pt idx="361">
                  <c:v>98.412010000000009</c:v>
                </c:pt>
                <c:pt idx="362">
                  <c:v>98.550430000000006</c:v>
                </c:pt>
                <c:pt idx="363">
                  <c:v>98.410510000000002</c:v>
                </c:pt>
                <c:pt idx="364">
                  <c:v>98.43056</c:v>
                </c:pt>
                <c:pt idx="365">
                  <c:v>98.437280000000001</c:v>
                </c:pt>
                <c:pt idx="366">
                  <c:v>98.387780000000006</c:v>
                </c:pt>
                <c:pt idx="367">
                  <c:v>98.326940000000008</c:v>
                </c:pt>
                <c:pt idx="368">
                  <c:v>98.431370000000001</c:v>
                </c:pt>
                <c:pt idx="369">
                  <c:v>98.4696</c:v>
                </c:pt>
                <c:pt idx="370">
                  <c:v>98.373840000000001</c:v>
                </c:pt>
                <c:pt idx="371">
                  <c:v>98.436050000000009</c:v>
                </c:pt>
                <c:pt idx="372">
                  <c:v>98.416320000000013</c:v>
                </c:pt>
                <c:pt idx="373">
                  <c:v>98.452900000000014</c:v>
                </c:pt>
                <c:pt idx="374">
                  <c:v>98.421720000000008</c:v>
                </c:pt>
                <c:pt idx="375">
                  <c:v>98.349820000000008</c:v>
                </c:pt>
                <c:pt idx="376">
                  <c:v>98.354920000000007</c:v>
                </c:pt>
                <c:pt idx="377">
                  <c:v>98.351000000000013</c:v>
                </c:pt>
                <c:pt idx="378">
                  <c:v>98.411170000000013</c:v>
                </c:pt>
                <c:pt idx="379">
                  <c:v>98.32847000000001</c:v>
                </c:pt>
                <c:pt idx="380">
                  <c:v>98.392740000000003</c:v>
                </c:pt>
                <c:pt idx="381">
                  <c:v>98.42683000000001</c:v>
                </c:pt>
                <c:pt idx="382">
                  <c:v>98.29037000000001</c:v>
                </c:pt>
                <c:pt idx="383">
                  <c:v>98.331490000000002</c:v>
                </c:pt>
                <c:pt idx="384">
                  <c:v>98.317620000000005</c:v>
                </c:pt>
                <c:pt idx="385">
                  <c:v>98.392750000000007</c:v>
                </c:pt>
                <c:pt idx="386">
                  <c:v>98.43771000000001</c:v>
                </c:pt>
                <c:pt idx="387">
                  <c:v>98.398440000000008</c:v>
                </c:pt>
                <c:pt idx="388">
                  <c:v>98.402500000000003</c:v>
                </c:pt>
                <c:pt idx="389">
                  <c:v>98.209800000000001</c:v>
                </c:pt>
                <c:pt idx="390">
                  <c:v>98.394210000000001</c:v>
                </c:pt>
                <c:pt idx="391">
                  <c:v>98.361610000000013</c:v>
                </c:pt>
                <c:pt idx="392">
                  <c:v>98.479900000000001</c:v>
                </c:pt>
                <c:pt idx="393">
                  <c:v>98.36196000000001</c:v>
                </c:pt>
                <c:pt idx="394">
                  <c:v>98.397660000000002</c:v>
                </c:pt>
                <c:pt idx="395">
                  <c:v>98.241820000000004</c:v>
                </c:pt>
                <c:pt idx="396">
                  <c:v>98.300840000000008</c:v>
                </c:pt>
                <c:pt idx="397">
                  <c:v>98.373640000000009</c:v>
                </c:pt>
                <c:pt idx="398">
                  <c:v>98.308350000000004</c:v>
                </c:pt>
                <c:pt idx="399">
                  <c:v>98.320260000000005</c:v>
                </c:pt>
                <c:pt idx="400">
                  <c:v>98.331620000000001</c:v>
                </c:pt>
                <c:pt idx="401">
                  <c:v>98.209740000000011</c:v>
                </c:pt>
                <c:pt idx="402">
                  <c:v>98.260650000000012</c:v>
                </c:pt>
                <c:pt idx="403">
                  <c:v>98.266460000000009</c:v>
                </c:pt>
                <c:pt idx="404">
                  <c:v>98.163630000000012</c:v>
                </c:pt>
                <c:pt idx="405">
                  <c:v>98.322400000000002</c:v>
                </c:pt>
                <c:pt idx="406">
                  <c:v>98.232040000000012</c:v>
                </c:pt>
                <c:pt idx="407">
                  <c:v>98.253020000000006</c:v>
                </c:pt>
                <c:pt idx="408">
                  <c:v>98.330890000000011</c:v>
                </c:pt>
                <c:pt idx="409">
                  <c:v>98.238830000000007</c:v>
                </c:pt>
                <c:pt idx="410">
                  <c:v>98.192360000000008</c:v>
                </c:pt>
                <c:pt idx="411">
                  <c:v>98.327570000000009</c:v>
                </c:pt>
                <c:pt idx="412">
                  <c:v>98.272570000000002</c:v>
                </c:pt>
                <c:pt idx="413">
                  <c:v>98.284020000000012</c:v>
                </c:pt>
                <c:pt idx="414">
                  <c:v>98.201670000000007</c:v>
                </c:pt>
                <c:pt idx="415">
                  <c:v>98.225800000000007</c:v>
                </c:pt>
                <c:pt idx="416">
                  <c:v>98.322160000000011</c:v>
                </c:pt>
                <c:pt idx="417">
                  <c:v>98.241190000000003</c:v>
                </c:pt>
                <c:pt idx="418">
                  <c:v>98.24242000000001</c:v>
                </c:pt>
                <c:pt idx="419">
                  <c:v>98.188950000000006</c:v>
                </c:pt>
                <c:pt idx="420">
                  <c:v>98.281980000000004</c:v>
                </c:pt>
                <c:pt idx="421">
                  <c:v>98.264880000000005</c:v>
                </c:pt>
                <c:pt idx="422">
                  <c:v>98.267430000000004</c:v>
                </c:pt>
                <c:pt idx="423">
                  <c:v>98.338250000000002</c:v>
                </c:pt>
                <c:pt idx="424">
                  <c:v>98.274260000000012</c:v>
                </c:pt>
                <c:pt idx="425">
                  <c:v>98.260510000000011</c:v>
                </c:pt>
                <c:pt idx="426">
                  <c:v>98.363350000000011</c:v>
                </c:pt>
                <c:pt idx="427">
                  <c:v>98.120570000000001</c:v>
                </c:pt>
                <c:pt idx="428">
                  <c:v>98.144490000000005</c:v>
                </c:pt>
                <c:pt idx="429">
                  <c:v>98.216280000000012</c:v>
                </c:pt>
                <c:pt idx="430">
                  <c:v>98.216210000000004</c:v>
                </c:pt>
                <c:pt idx="431">
                  <c:v>98.17089</c:v>
                </c:pt>
                <c:pt idx="432">
                  <c:v>98.219670000000008</c:v>
                </c:pt>
                <c:pt idx="433">
                  <c:v>98.217920000000007</c:v>
                </c:pt>
                <c:pt idx="434">
                  <c:v>98.25818000000001</c:v>
                </c:pt>
                <c:pt idx="435">
                  <c:v>98.236660000000001</c:v>
                </c:pt>
                <c:pt idx="436">
                  <c:v>98.139490000000009</c:v>
                </c:pt>
                <c:pt idx="437">
                  <c:v>98.055040000000005</c:v>
                </c:pt>
                <c:pt idx="438">
                  <c:v>98.160230000000013</c:v>
                </c:pt>
                <c:pt idx="439">
                  <c:v>98.101130000000012</c:v>
                </c:pt>
                <c:pt idx="440">
                  <c:v>98.192050000000009</c:v>
                </c:pt>
                <c:pt idx="441">
                  <c:v>98.120180000000005</c:v>
                </c:pt>
                <c:pt idx="442">
                  <c:v>98.071250000000006</c:v>
                </c:pt>
                <c:pt idx="443">
                  <c:v>98.259660000000011</c:v>
                </c:pt>
                <c:pt idx="444">
                  <c:v>98.115030000000004</c:v>
                </c:pt>
                <c:pt idx="445">
                  <c:v>98.124210000000005</c:v>
                </c:pt>
                <c:pt idx="446">
                  <c:v>98.172620000000009</c:v>
                </c:pt>
                <c:pt idx="447">
                  <c:v>98.236810000000006</c:v>
                </c:pt>
                <c:pt idx="448">
                  <c:v>98.158100000000005</c:v>
                </c:pt>
                <c:pt idx="449">
                  <c:v>98.017470000000003</c:v>
                </c:pt>
                <c:pt idx="450">
                  <c:v>98.132630000000006</c:v>
                </c:pt>
                <c:pt idx="451">
                  <c:v>98.21296000000001</c:v>
                </c:pt>
                <c:pt idx="452">
                  <c:v>98.118730000000014</c:v>
                </c:pt>
                <c:pt idx="453">
                  <c:v>98.13103000000001</c:v>
                </c:pt>
                <c:pt idx="454">
                  <c:v>98.186370000000011</c:v>
                </c:pt>
                <c:pt idx="455">
                  <c:v>98.094720000000009</c:v>
                </c:pt>
                <c:pt idx="456">
                  <c:v>98.146680000000003</c:v>
                </c:pt>
                <c:pt idx="457">
                  <c:v>98.038060000000002</c:v>
                </c:pt>
                <c:pt idx="458">
                  <c:v>98.022580000000005</c:v>
                </c:pt>
                <c:pt idx="459">
                  <c:v>98.176730000000006</c:v>
                </c:pt>
                <c:pt idx="460">
                  <c:v>98.084670000000003</c:v>
                </c:pt>
                <c:pt idx="461">
                  <c:v>98.048370000000006</c:v>
                </c:pt>
                <c:pt idx="462">
                  <c:v>98.094480000000004</c:v>
                </c:pt>
                <c:pt idx="463">
                  <c:v>97.956830000000011</c:v>
                </c:pt>
                <c:pt idx="464">
                  <c:v>98.026300000000006</c:v>
                </c:pt>
                <c:pt idx="465">
                  <c:v>98.14761</c:v>
                </c:pt>
                <c:pt idx="466">
                  <c:v>97.970650000000006</c:v>
                </c:pt>
                <c:pt idx="467">
                  <c:v>98.041790000000006</c:v>
                </c:pt>
                <c:pt idx="468">
                  <c:v>98.14979000000001</c:v>
                </c:pt>
                <c:pt idx="469">
                  <c:v>98.073810000000009</c:v>
                </c:pt>
                <c:pt idx="470">
                  <c:v>97.996440000000007</c:v>
                </c:pt>
                <c:pt idx="471">
                  <c:v>98.212070000000011</c:v>
                </c:pt>
                <c:pt idx="472">
                  <c:v>98.100370000000012</c:v>
                </c:pt>
                <c:pt idx="473">
                  <c:v>98.145330000000001</c:v>
                </c:pt>
                <c:pt idx="474">
                  <c:v>98.119630000000001</c:v>
                </c:pt>
                <c:pt idx="475">
                  <c:v>98.048820000000006</c:v>
                </c:pt>
                <c:pt idx="476">
                  <c:v>98.051770000000005</c:v>
                </c:pt>
                <c:pt idx="477">
                  <c:v>98.038560000000004</c:v>
                </c:pt>
                <c:pt idx="478">
                  <c:v>97.992890000000003</c:v>
                </c:pt>
                <c:pt idx="479">
                  <c:v>97.968310000000002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1-8F4A-988C-728E3BC07D88}"/>
            </c:ext>
          </c:extLst>
        </c:ser>
        <c:ser>
          <c:idx val="1"/>
          <c:order val="1"/>
          <c:tx>
            <c:v>WS500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Data, WS500 20% O2'!$O$6:$O$485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WS500 20% O2'!$Q$6:$Q$485</c:f>
              <c:numCache>
                <c:formatCode>0.00000</c:formatCode>
                <c:ptCount val="480"/>
                <c:pt idx="0">
                  <c:v>100</c:v>
                </c:pt>
                <c:pt idx="1">
                  <c:v>100.01829000000001</c:v>
                </c:pt>
                <c:pt idx="2">
                  <c:v>100.17865</c:v>
                </c:pt>
                <c:pt idx="3">
                  <c:v>100.1519</c:v>
                </c:pt>
                <c:pt idx="4">
                  <c:v>100.21103000000001</c:v>
                </c:pt>
                <c:pt idx="5">
                  <c:v>100.29176000000001</c:v>
                </c:pt>
                <c:pt idx="6">
                  <c:v>100.38027000000001</c:v>
                </c:pt>
                <c:pt idx="7">
                  <c:v>100.36866000000001</c:v>
                </c:pt>
                <c:pt idx="8">
                  <c:v>100.36353000000001</c:v>
                </c:pt>
                <c:pt idx="9">
                  <c:v>100.53549000000001</c:v>
                </c:pt>
                <c:pt idx="10">
                  <c:v>100.35050000000001</c:v>
                </c:pt>
                <c:pt idx="11">
                  <c:v>100.34871000000001</c:v>
                </c:pt>
                <c:pt idx="12">
                  <c:v>100.49869000000001</c:v>
                </c:pt>
                <c:pt idx="13">
                  <c:v>100.35577000000001</c:v>
                </c:pt>
                <c:pt idx="14">
                  <c:v>100.46516000000001</c:v>
                </c:pt>
                <c:pt idx="15">
                  <c:v>100.56718000000001</c:v>
                </c:pt>
                <c:pt idx="16">
                  <c:v>100.50208000000001</c:v>
                </c:pt>
                <c:pt idx="17">
                  <c:v>100.43133</c:v>
                </c:pt>
                <c:pt idx="18">
                  <c:v>100.46292000000001</c:v>
                </c:pt>
                <c:pt idx="19">
                  <c:v>100.41914</c:v>
                </c:pt>
                <c:pt idx="20">
                  <c:v>100.63164</c:v>
                </c:pt>
                <c:pt idx="21">
                  <c:v>100.53604</c:v>
                </c:pt>
                <c:pt idx="22">
                  <c:v>100.45339</c:v>
                </c:pt>
                <c:pt idx="23">
                  <c:v>100.67621</c:v>
                </c:pt>
                <c:pt idx="24">
                  <c:v>100.62887000000001</c:v>
                </c:pt>
                <c:pt idx="25">
                  <c:v>100.50077</c:v>
                </c:pt>
                <c:pt idx="26">
                  <c:v>100.47253000000001</c:v>
                </c:pt>
                <c:pt idx="27">
                  <c:v>100.67845</c:v>
                </c:pt>
                <c:pt idx="28">
                  <c:v>100.65094000000001</c:v>
                </c:pt>
                <c:pt idx="29">
                  <c:v>100.40447</c:v>
                </c:pt>
                <c:pt idx="30">
                  <c:v>100.46946</c:v>
                </c:pt>
                <c:pt idx="31">
                  <c:v>100.68496</c:v>
                </c:pt>
                <c:pt idx="32">
                  <c:v>100.64214</c:v>
                </c:pt>
                <c:pt idx="33">
                  <c:v>100.64732000000001</c:v>
                </c:pt>
                <c:pt idx="34">
                  <c:v>100.77594000000001</c:v>
                </c:pt>
                <c:pt idx="35">
                  <c:v>100.58206</c:v>
                </c:pt>
                <c:pt idx="36">
                  <c:v>100.77316</c:v>
                </c:pt>
                <c:pt idx="37">
                  <c:v>100.67503000000001</c:v>
                </c:pt>
                <c:pt idx="38">
                  <c:v>100.68609000000001</c:v>
                </c:pt>
                <c:pt idx="39">
                  <c:v>100.59886</c:v>
                </c:pt>
                <c:pt idx="40">
                  <c:v>100.61071</c:v>
                </c:pt>
                <c:pt idx="41">
                  <c:v>100.70349</c:v>
                </c:pt>
                <c:pt idx="42">
                  <c:v>100.54470000000001</c:v>
                </c:pt>
                <c:pt idx="43">
                  <c:v>100.61797</c:v>
                </c:pt>
                <c:pt idx="44">
                  <c:v>100.59283000000001</c:v>
                </c:pt>
                <c:pt idx="45">
                  <c:v>100.75456</c:v>
                </c:pt>
                <c:pt idx="46">
                  <c:v>100.72529</c:v>
                </c:pt>
                <c:pt idx="47">
                  <c:v>100.54786</c:v>
                </c:pt>
                <c:pt idx="48">
                  <c:v>100.74308000000001</c:v>
                </c:pt>
                <c:pt idx="49">
                  <c:v>100.72483000000001</c:v>
                </c:pt>
                <c:pt idx="50">
                  <c:v>100.47994</c:v>
                </c:pt>
                <c:pt idx="51">
                  <c:v>100.70119000000001</c:v>
                </c:pt>
                <c:pt idx="52">
                  <c:v>100.6657</c:v>
                </c:pt>
                <c:pt idx="53">
                  <c:v>100.65671</c:v>
                </c:pt>
                <c:pt idx="54">
                  <c:v>100.73928000000001</c:v>
                </c:pt>
                <c:pt idx="55">
                  <c:v>100.70211</c:v>
                </c:pt>
                <c:pt idx="56">
                  <c:v>100.66294000000001</c:v>
                </c:pt>
                <c:pt idx="57">
                  <c:v>100.59303</c:v>
                </c:pt>
                <c:pt idx="58">
                  <c:v>100.69029</c:v>
                </c:pt>
                <c:pt idx="59">
                  <c:v>100.67702</c:v>
                </c:pt>
                <c:pt idx="60">
                  <c:v>100.67091000000001</c:v>
                </c:pt>
                <c:pt idx="61">
                  <c:v>100.80061000000001</c:v>
                </c:pt>
                <c:pt idx="62">
                  <c:v>100.70069000000001</c:v>
                </c:pt>
                <c:pt idx="63">
                  <c:v>100.71336000000001</c:v>
                </c:pt>
                <c:pt idx="64">
                  <c:v>100.70378000000001</c:v>
                </c:pt>
                <c:pt idx="65">
                  <c:v>100.75545000000001</c:v>
                </c:pt>
                <c:pt idx="66">
                  <c:v>100.74323000000001</c:v>
                </c:pt>
                <c:pt idx="67">
                  <c:v>100.83638000000001</c:v>
                </c:pt>
                <c:pt idx="68">
                  <c:v>100.74572000000001</c:v>
                </c:pt>
                <c:pt idx="69">
                  <c:v>100.70614</c:v>
                </c:pt>
                <c:pt idx="70">
                  <c:v>100.64375000000001</c:v>
                </c:pt>
                <c:pt idx="71">
                  <c:v>100.71219000000001</c:v>
                </c:pt>
                <c:pt idx="72">
                  <c:v>100.75399</c:v>
                </c:pt>
                <c:pt idx="73">
                  <c:v>100.82599</c:v>
                </c:pt>
                <c:pt idx="74">
                  <c:v>100.72108</c:v>
                </c:pt>
                <c:pt idx="75">
                  <c:v>100.70914</c:v>
                </c:pt>
                <c:pt idx="76">
                  <c:v>100.73</c:v>
                </c:pt>
                <c:pt idx="77">
                  <c:v>100.69866</c:v>
                </c:pt>
                <c:pt idx="78">
                  <c:v>100.81001000000001</c:v>
                </c:pt>
                <c:pt idx="79">
                  <c:v>100.78886</c:v>
                </c:pt>
                <c:pt idx="80">
                  <c:v>100.84187</c:v>
                </c:pt>
                <c:pt idx="81">
                  <c:v>100.78853000000001</c:v>
                </c:pt>
                <c:pt idx="82">
                  <c:v>100.67316000000001</c:v>
                </c:pt>
                <c:pt idx="83">
                  <c:v>100.64472000000001</c:v>
                </c:pt>
                <c:pt idx="84">
                  <c:v>100.52733000000001</c:v>
                </c:pt>
                <c:pt idx="85">
                  <c:v>100.83076</c:v>
                </c:pt>
                <c:pt idx="86">
                  <c:v>100.68156</c:v>
                </c:pt>
                <c:pt idx="87">
                  <c:v>100.73754000000001</c:v>
                </c:pt>
                <c:pt idx="88">
                  <c:v>100.73795</c:v>
                </c:pt>
                <c:pt idx="89">
                  <c:v>100.69945</c:v>
                </c:pt>
                <c:pt idx="90">
                  <c:v>100.6572</c:v>
                </c:pt>
                <c:pt idx="91">
                  <c:v>100.81822000000001</c:v>
                </c:pt>
                <c:pt idx="92">
                  <c:v>100.76161</c:v>
                </c:pt>
                <c:pt idx="93">
                  <c:v>100.73239000000001</c:v>
                </c:pt>
                <c:pt idx="94">
                  <c:v>100.69758</c:v>
                </c:pt>
                <c:pt idx="95">
                  <c:v>100.73616</c:v>
                </c:pt>
                <c:pt idx="96">
                  <c:v>100.94082</c:v>
                </c:pt>
                <c:pt idx="97">
                  <c:v>100.81435</c:v>
                </c:pt>
                <c:pt idx="98">
                  <c:v>100.7848</c:v>
                </c:pt>
                <c:pt idx="99">
                  <c:v>100.77337</c:v>
                </c:pt>
                <c:pt idx="100">
                  <c:v>100.75151000000001</c:v>
                </c:pt>
                <c:pt idx="101">
                  <c:v>100.77569000000001</c:v>
                </c:pt>
                <c:pt idx="102">
                  <c:v>100.64838</c:v>
                </c:pt>
                <c:pt idx="103">
                  <c:v>100.78133000000001</c:v>
                </c:pt>
                <c:pt idx="104">
                  <c:v>100.64971</c:v>
                </c:pt>
                <c:pt idx="105">
                  <c:v>100.68893</c:v>
                </c:pt>
                <c:pt idx="106">
                  <c:v>100.71814000000001</c:v>
                </c:pt>
                <c:pt idx="107">
                  <c:v>100.80807</c:v>
                </c:pt>
                <c:pt idx="108">
                  <c:v>100.9024</c:v>
                </c:pt>
                <c:pt idx="109">
                  <c:v>100.74768</c:v>
                </c:pt>
                <c:pt idx="110">
                  <c:v>100.82317</c:v>
                </c:pt>
                <c:pt idx="111">
                  <c:v>100.79037000000001</c:v>
                </c:pt>
                <c:pt idx="112">
                  <c:v>100.70177000000001</c:v>
                </c:pt>
                <c:pt idx="113">
                  <c:v>100.62065</c:v>
                </c:pt>
                <c:pt idx="114">
                  <c:v>100.78228</c:v>
                </c:pt>
                <c:pt idx="115">
                  <c:v>100.86472000000001</c:v>
                </c:pt>
                <c:pt idx="116">
                  <c:v>100.81836</c:v>
                </c:pt>
                <c:pt idx="117">
                  <c:v>100.80432</c:v>
                </c:pt>
                <c:pt idx="118">
                  <c:v>100.85866</c:v>
                </c:pt>
                <c:pt idx="119">
                  <c:v>100.73092</c:v>
                </c:pt>
                <c:pt idx="120">
                  <c:v>100.91418</c:v>
                </c:pt>
                <c:pt idx="121">
                  <c:v>100.86853000000001</c:v>
                </c:pt>
                <c:pt idx="122">
                  <c:v>100.81632</c:v>
                </c:pt>
                <c:pt idx="123">
                  <c:v>100.75177000000001</c:v>
                </c:pt>
                <c:pt idx="124">
                  <c:v>100.72165000000001</c:v>
                </c:pt>
                <c:pt idx="125">
                  <c:v>100.76371</c:v>
                </c:pt>
                <c:pt idx="126">
                  <c:v>100.64999</c:v>
                </c:pt>
                <c:pt idx="127">
                  <c:v>100.72375000000001</c:v>
                </c:pt>
                <c:pt idx="128">
                  <c:v>100.80169000000001</c:v>
                </c:pt>
                <c:pt idx="129">
                  <c:v>100.79653</c:v>
                </c:pt>
                <c:pt idx="130">
                  <c:v>100.84353</c:v>
                </c:pt>
                <c:pt idx="131">
                  <c:v>100.69444</c:v>
                </c:pt>
                <c:pt idx="132">
                  <c:v>100.85344000000001</c:v>
                </c:pt>
                <c:pt idx="133">
                  <c:v>100.93615</c:v>
                </c:pt>
                <c:pt idx="134">
                  <c:v>100.83338000000001</c:v>
                </c:pt>
                <c:pt idx="135">
                  <c:v>100.83215</c:v>
                </c:pt>
                <c:pt idx="136">
                  <c:v>100.82987</c:v>
                </c:pt>
                <c:pt idx="137">
                  <c:v>100.77141</c:v>
                </c:pt>
                <c:pt idx="138">
                  <c:v>100.84223</c:v>
                </c:pt>
                <c:pt idx="139">
                  <c:v>100.82181</c:v>
                </c:pt>
                <c:pt idx="140">
                  <c:v>100.81021</c:v>
                </c:pt>
                <c:pt idx="141">
                  <c:v>100.75483</c:v>
                </c:pt>
                <c:pt idx="142">
                  <c:v>100.81562000000001</c:v>
                </c:pt>
                <c:pt idx="143">
                  <c:v>100.70698</c:v>
                </c:pt>
                <c:pt idx="144">
                  <c:v>100.86586</c:v>
                </c:pt>
                <c:pt idx="145">
                  <c:v>100.91387</c:v>
                </c:pt>
                <c:pt idx="146">
                  <c:v>100.85223000000001</c:v>
                </c:pt>
                <c:pt idx="147">
                  <c:v>100.88729000000001</c:v>
                </c:pt>
                <c:pt idx="148">
                  <c:v>100.78020000000001</c:v>
                </c:pt>
                <c:pt idx="149">
                  <c:v>100.73028000000001</c:v>
                </c:pt>
                <c:pt idx="150">
                  <c:v>100.93384</c:v>
                </c:pt>
                <c:pt idx="151">
                  <c:v>100.84381</c:v>
                </c:pt>
                <c:pt idx="152">
                  <c:v>100.86377</c:v>
                </c:pt>
                <c:pt idx="153">
                  <c:v>100.88934</c:v>
                </c:pt>
                <c:pt idx="154">
                  <c:v>100.77749</c:v>
                </c:pt>
                <c:pt idx="155">
                  <c:v>100.74179000000001</c:v>
                </c:pt>
                <c:pt idx="156">
                  <c:v>100.85401</c:v>
                </c:pt>
                <c:pt idx="157">
                  <c:v>100.83510000000001</c:v>
                </c:pt>
                <c:pt idx="158">
                  <c:v>100.80074</c:v>
                </c:pt>
                <c:pt idx="159">
                  <c:v>100.75376</c:v>
                </c:pt>
                <c:pt idx="160">
                  <c:v>100.84347000000001</c:v>
                </c:pt>
                <c:pt idx="161">
                  <c:v>100.80649000000001</c:v>
                </c:pt>
                <c:pt idx="162">
                  <c:v>100.85604000000001</c:v>
                </c:pt>
                <c:pt idx="163">
                  <c:v>100.85368000000001</c:v>
                </c:pt>
                <c:pt idx="164">
                  <c:v>100.88327000000001</c:v>
                </c:pt>
                <c:pt idx="165">
                  <c:v>100.82544</c:v>
                </c:pt>
                <c:pt idx="166">
                  <c:v>100.82952</c:v>
                </c:pt>
                <c:pt idx="167">
                  <c:v>100.95701000000001</c:v>
                </c:pt>
                <c:pt idx="168">
                  <c:v>100.81673000000001</c:v>
                </c:pt>
                <c:pt idx="169">
                  <c:v>100.79801</c:v>
                </c:pt>
                <c:pt idx="170">
                  <c:v>100.80447000000001</c:v>
                </c:pt>
                <c:pt idx="171">
                  <c:v>100.89206</c:v>
                </c:pt>
                <c:pt idx="172">
                  <c:v>100.80382</c:v>
                </c:pt>
                <c:pt idx="173">
                  <c:v>100.97887</c:v>
                </c:pt>
                <c:pt idx="174">
                  <c:v>100.79148000000001</c:v>
                </c:pt>
                <c:pt idx="175">
                  <c:v>100.85702000000001</c:v>
                </c:pt>
                <c:pt idx="176">
                  <c:v>100.82724</c:v>
                </c:pt>
                <c:pt idx="177">
                  <c:v>100.82739000000001</c:v>
                </c:pt>
                <c:pt idx="178">
                  <c:v>100.85296000000001</c:v>
                </c:pt>
                <c:pt idx="179">
                  <c:v>100.87479</c:v>
                </c:pt>
                <c:pt idx="180">
                  <c:v>100.69884</c:v>
                </c:pt>
                <c:pt idx="181">
                  <c:v>100.7111</c:v>
                </c:pt>
                <c:pt idx="182">
                  <c:v>100.65695000000001</c:v>
                </c:pt>
                <c:pt idx="183">
                  <c:v>100.85025</c:v>
                </c:pt>
                <c:pt idx="184">
                  <c:v>100.83454</c:v>
                </c:pt>
                <c:pt idx="185">
                  <c:v>100.82452000000001</c:v>
                </c:pt>
                <c:pt idx="186">
                  <c:v>100.93474000000001</c:v>
                </c:pt>
                <c:pt idx="187">
                  <c:v>100.98287000000001</c:v>
                </c:pt>
                <c:pt idx="188">
                  <c:v>100.91575</c:v>
                </c:pt>
                <c:pt idx="189">
                  <c:v>100.92270000000001</c:v>
                </c:pt>
                <c:pt idx="190">
                  <c:v>100.84848000000001</c:v>
                </c:pt>
                <c:pt idx="191">
                  <c:v>100.86107</c:v>
                </c:pt>
                <c:pt idx="192">
                  <c:v>100.86066000000001</c:v>
                </c:pt>
                <c:pt idx="193">
                  <c:v>100.86033</c:v>
                </c:pt>
                <c:pt idx="194">
                  <c:v>100.83817000000001</c:v>
                </c:pt>
                <c:pt idx="195">
                  <c:v>100.85574000000001</c:v>
                </c:pt>
                <c:pt idx="196">
                  <c:v>100.83045</c:v>
                </c:pt>
                <c:pt idx="197">
                  <c:v>100.84055000000001</c:v>
                </c:pt>
                <c:pt idx="198">
                  <c:v>100.76111</c:v>
                </c:pt>
                <c:pt idx="199">
                  <c:v>100.77624</c:v>
                </c:pt>
                <c:pt idx="200">
                  <c:v>100.78756</c:v>
                </c:pt>
                <c:pt idx="201">
                  <c:v>100.99577000000001</c:v>
                </c:pt>
                <c:pt idx="202">
                  <c:v>100.78409000000001</c:v>
                </c:pt>
                <c:pt idx="203">
                  <c:v>100.84029000000001</c:v>
                </c:pt>
                <c:pt idx="204">
                  <c:v>100.7771</c:v>
                </c:pt>
                <c:pt idx="205">
                  <c:v>100.92793</c:v>
                </c:pt>
                <c:pt idx="206">
                  <c:v>100.91109</c:v>
                </c:pt>
                <c:pt idx="207">
                  <c:v>100.80295000000001</c:v>
                </c:pt>
                <c:pt idx="208">
                  <c:v>100.96759</c:v>
                </c:pt>
                <c:pt idx="209">
                  <c:v>100.85459</c:v>
                </c:pt>
                <c:pt idx="210">
                  <c:v>100.89659</c:v>
                </c:pt>
                <c:pt idx="211">
                  <c:v>100.94106000000001</c:v>
                </c:pt>
                <c:pt idx="212">
                  <c:v>101.01209</c:v>
                </c:pt>
                <c:pt idx="213">
                  <c:v>100.78062</c:v>
                </c:pt>
                <c:pt idx="214">
                  <c:v>100.86432000000001</c:v>
                </c:pt>
                <c:pt idx="215">
                  <c:v>100.83093000000001</c:v>
                </c:pt>
                <c:pt idx="216">
                  <c:v>100.72149</c:v>
                </c:pt>
                <c:pt idx="217">
                  <c:v>100.90730000000001</c:v>
                </c:pt>
                <c:pt idx="218">
                  <c:v>100.77145</c:v>
                </c:pt>
                <c:pt idx="219">
                  <c:v>100.81731000000001</c:v>
                </c:pt>
                <c:pt idx="220">
                  <c:v>100.85193000000001</c:v>
                </c:pt>
                <c:pt idx="221">
                  <c:v>100.86108</c:v>
                </c:pt>
                <c:pt idx="222">
                  <c:v>100.86086</c:v>
                </c:pt>
                <c:pt idx="223">
                  <c:v>100.87523</c:v>
                </c:pt>
                <c:pt idx="224">
                  <c:v>100.84594</c:v>
                </c:pt>
                <c:pt idx="225">
                  <c:v>100.94525</c:v>
                </c:pt>
                <c:pt idx="226">
                  <c:v>100.89840000000001</c:v>
                </c:pt>
                <c:pt idx="227">
                  <c:v>100.87027</c:v>
                </c:pt>
                <c:pt idx="228">
                  <c:v>100.82892000000001</c:v>
                </c:pt>
                <c:pt idx="229">
                  <c:v>100.87875000000001</c:v>
                </c:pt>
                <c:pt idx="230">
                  <c:v>100.81841</c:v>
                </c:pt>
                <c:pt idx="231">
                  <c:v>100.86001</c:v>
                </c:pt>
                <c:pt idx="232">
                  <c:v>100.90397</c:v>
                </c:pt>
                <c:pt idx="233">
                  <c:v>100.90323000000001</c:v>
                </c:pt>
                <c:pt idx="234">
                  <c:v>100.71539</c:v>
                </c:pt>
                <c:pt idx="235">
                  <c:v>100.88491</c:v>
                </c:pt>
                <c:pt idx="236">
                  <c:v>100.88075000000001</c:v>
                </c:pt>
                <c:pt idx="237">
                  <c:v>100.66675000000001</c:v>
                </c:pt>
                <c:pt idx="238">
                  <c:v>100.82233000000001</c:v>
                </c:pt>
                <c:pt idx="239">
                  <c:v>100.98789000000001</c:v>
                </c:pt>
                <c:pt idx="240">
                  <c:v>100.88948000000001</c:v>
                </c:pt>
                <c:pt idx="241">
                  <c:v>100.96622000000001</c:v>
                </c:pt>
                <c:pt idx="242">
                  <c:v>100.87455</c:v>
                </c:pt>
                <c:pt idx="243">
                  <c:v>100.79925</c:v>
                </c:pt>
                <c:pt idx="244">
                  <c:v>100.89676</c:v>
                </c:pt>
                <c:pt idx="245">
                  <c:v>100.91218000000001</c:v>
                </c:pt>
                <c:pt idx="246">
                  <c:v>100.79897000000001</c:v>
                </c:pt>
                <c:pt idx="247">
                  <c:v>100.87571</c:v>
                </c:pt>
                <c:pt idx="248">
                  <c:v>100.90368000000001</c:v>
                </c:pt>
                <c:pt idx="249">
                  <c:v>100.70019000000001</c:v>
                </c:pt>
                <c:pt idx="250">
                  <c:v>100.80465000000001</c:v>
                </c:pt>
                <c:pt idx="251">
                  <c:v>100.77193</c:v>
                </c:pt>
                <c:pt idx="252">
                  <c:v>100.87381000000001</c:v>
                </c:pt>
                <c:pt idx="253">
                  <c:v>100.83681</c:v>
                </c:pt>
                <c:pt idx="254">
                  <c:v>100.85504</c:v>
                </c:pt>
                <c:pt idx="255">
                  <c:v>101.01116</c:v>
                </c:pt>
                <c:pt idx="256">
                  <c:v>100.90738</c:v>
                </c:pt>
                <c:pt idx="257">
                  <c:v>100.87704000000001</c:v>
                </c:pt>
                <c:pt idx="258">
                  <c:v>100.96605000000001</c:v>
                </c:pt>
                <c:pt idx="259">
                  <c:v>100.73570000000001</c:v>
                </c:pt>
                <c:pt idx="260">
                  <c:v>100.8216</c:v>
                </c:pt>
                <c:pt idx="261">
                  <c:v>100.81332</c:v>
                </c:pt>
                <c:pt idx="262">
                  <c:v>100.74651</c:v>
                </c:pt>
                <c:pt idx="263">
                  <c:v>100.80599000000001</c:v>
                </c:pt>
                <c:pt idx="264">
                  <c:v>100.82452000000001</c:v>
                </c:pt>
                <c:pt idx="265">
                  <c:v>100.79990000000001</c:v>
                </c:pt>
                <c:pt idx="266">
                  <c:v>100.83507</c:v>
                </c:pt>
                <c:pt idx="267">
                  <c:v>100.79782</c:v>
                </c:pt>
                <c:pt idx="268">
                  <c:v>100.90095000000001</c:v>
                </c:pt>
                <c:pt idx="269">
                  <c:v>100.88783000000001</c:v>
                </c:pt>
                <c:pt idx="270">
                  <c:v>100.81832</c:v>
                </c:pt>
                <c:pt idx="271">
                  <c:v>100.89245000000001</c:v>
                </c:pt>
                <c:pt idx="272">
                  <c:v>101.00096000000001</c:v>
                </c:pt>
                <c:pt idx="273">
                  <c:v>100.83648000000001</c:v>
                </c:pt>
                <c:pt idx="274">
                  <c:v>100.76145000000001</c:v>
                </c:pt>
                <c:pt idx="275">
                  <c:v>100.89708</c:v>
                </c:pt>
                <c:pt idx="276">
                  <c:v>100.78555</c:v>
                </c:pt>
                <c:pt idx="277">
                  <c:v>100.81471000000001</c:v>
                </c:pt>
                <c:pt idx="278">
                  <c:v>100.78565</c:v>
                </c:pt>
                <c:pt idx="279">
                  <c:v>100.76408000000001</c:v>
                </c:pt>
                <c:pt idx="280">
                  <c:v>100.92472000000001</c:v>
                </c:pt>
                <c:pt idx="281">
                  <c:v>100.77128</c:v>
                </c:pt>
                <c:pt idx="282">
                  <c:v>100.8413</c:v>
                </c:pt>
                <c:pt idx="283">
                  <c:v>100.82233000000001</c:v>
                </c:pt>
                <c:pt idx="284">
                  <c:v>100.86084000000001</c:v>
                </c:pt>
                <c:pt idx="285">
                  <c:v>100.73551</c:v>
                </c:pt>
                <c:pt idx="286">
                  <c:v>100.79211000000001</c:v>
                </c:pt>
                <c:pt idx="287">
                  <c:v>100.74995</c:v>
                </c:pt>
                <c:pt idx="288">
                  <c:v>100.8601</c:v>
                </c:pt>
                <c:pt idx="289">
                  <c:v>100.85871</c:v>
                </c:pt>
                <c:pt idx="290">
                  <c:v>100.85802000000001</c:v>
                </c:pt>
                <c:pt idx="291">
                  <c:v>100.80719000000001</c:v>
                </c:pt>
                <c:pt idx="292">
                  <c:v>100.81065000000001</c:v>
                </c:pt>
                <c:pt idx="293">
                  <c:v>100.95620000000001</c:v>
                </c:pt>
                <c:pt idx="294">
                  <c:v>100.81561000000001</c:v>
                </c:pt>
                <c:pt idx="295">
                  <c:v>100.86763000000001</c:v>
                </c:pt>
                <c:pt idx="296">
                  <c:v>100.64108</c:v>
                </c:pt>
                <c:pt idx="297">
                  <c:v>100.86322</c:v>
                </c:pt>
                <c:pt idx="298">
                  <c:v>100.77014</c:v>
                </c:pt>
                <c:pt idx="299">
                  <c:v>100.83063</c:v>
                </c:pt>
                <c:pt idx="300">
                  <c:v>100.75525</c:v>
                </c:pt>
                <c:pt idx="301">
                  <c:v>100.87820000000001</c:v>
                </c:pt>
                <c:pt idx="302">
                  <c:v>100.85735000000001</c:v>
                </c:pt>
                <c:pt idx="303">
                  <c:v>100.75869</c:v>
                </c:pt>
                <c:pt idx="304">
                  <c:v>100.97778000000001</c:v>
                </c:pt>
                <c:pt idx="305">
                  <c:v>100.70960000000001</c:v>
                </c:pt>
                <c:pt idx="306">
                  <c:v>100.76585</c:v>
                </c:pt>
                <c:pt idx="307">
                  <c:v>100.80376000000001</c:v>
                </c:pt>
                <c:pt idx="308">
                  <c:v>100.83280000000001</c:v>
                </c:pt>
                <c:pt idx="309">
                  <c:v>100.70493</c:v>
                </c:pt>
                <c:pt idx="310">
                  <c:v>100.84655000000001</c:v>
                </c:pt>
                <c:pt idx="311">
                  <c:v>100.81949</c:v>
                </c:pt>
                <c:pt idx="312">
                  <c:v>100.72631</c:v>
                </c:pt>
                <c:pt idx="313">
                  <c:v>100.88122</c:v>
                </c:pt>
                <c:pt idx="314">
                  <c:v>100.82635000000001</c:v>
                </c:pt>
                <c:pt idx="315">
                  <c:v>100.73865000000001</c:v>
                </c:pt>
                <c:pt idx="316">
                  <c:v>100.78400000000001</c:v>
                </c:pt>
                <c:pt idx="317">
                  <c:v>100.83928</c:v>
                </c:pt>
                <c:pt idx="318">
                  <c:v>100.67419000000001</c:v>
                </c:pt>
                <c:pt idx="319">
                  <c:v>100.70768000000001</c:v>
                </c:pt>
                <c:pt idx="320">
                  <c:v>100.79374</c:v>
                </c:pt>
                <c:pt idx="321">
                  <c:v>100.8018</c:v>
                </c:pt>
                <c:pt idx="322">
                  <c:v>100.71702000000001</c:v>
                </c:pt>
                <c:pt idx="323">
                  <c:v>100.64901</c:v>
                </c:pt>
                <c:pt idx="324">
                  <c:v>100.75728000000001</c:v>
                </c:pt>
                <c:pt idx="325">
                  <c:v>100.79899</c:v>
                </c:pt>
                <c:pt idx="326">
                  <c:v>100.70204000000001</c:v>
                </c:pt>
                <c:pt idx="327">
                  <c:v>100.71466000000001</c:v>
                </c:pt>
                <c:pt idx="328">
                  <c:v>100.6448</c:v>
                </c:pt>
                <c:pt idx="329">
                  <c:v>100.69158</c:v>
                </c:pt>
                <c:pt idx="330">
                  <c:v>100.74636000000001</c:v>
                </c:pt>
                <c:pt idx="331">
                  <c:v>100.77635000000001</c:v>
                </c:pt>
                <c:pt idx="332">
                  <c:v>100.75525</c:v>
                </c:pt>
                <c:pt idx="333">
                  <c:v>100.71246000000001</c:v>
                </c:pt>
                <c:pt idx="334">
                  <c:v>100.76618000000001</c:v>
                </c:pt>
                <c:pt idx="335">
                  <c:v>100.76883000000001</c:v>
                </c:pt>
                <c:pt idx="336">
                  <c:v>100.78257000000001</c:v>
                </c:pt>
                <c:pt idx="337">
                  <c:v>100.79615000000001</c:v>
                </c:pt>
                <c:pt idx="338">
                  <c:v>100.8001</c:v>
                </c:pt>
                <c:pt idx="339">
                  <c:v>100.89907000000001</c:v>
                </c:pt>
                <c:pt idx="340">
                  <c:v>100.78673000000001</c:v>
                </c:pt>
                <c:pt idx="341">
                  <c:v>100.85447000000001</c:v>
                </c:pt>
                <c:pt idx="342">
                  <c:v>100.68857</c:v>
                </c:pt>
                <c:pt idx="343">
                  <c:v>100.69574</c:v>
                </c:pt>
                <c:pt idx="344">
                  <c:v>100.77491000000001</c:v>
                </c:pt>
                <c:pt idx="345">
                  <c:v>100.72612000000001</c:v>
                </c:pt>
                <c:pt idx="346">
                  <c:v>100.75437000000001</c:v>
                </c:pt>
                <c:pt idx="347">
                  <c:v>100.72269</c:v>
                </c:pt>
                <c:pt idx="348">
                  <c:v>100.76242000000001</c:v>
                </c:pt>
                <c:pt idx="349">
                  <c:v>100.81556</c:v>
                </c:pt>
                <c:pt idx="350">
                  <c:v>100.70702</c:v>
                </c:pt>
                <c:pt idx="351">
                  <c:v>100.71136</c:v>
                </c:pt>
                <c:pt idx="352">
                  <c:v>100.68123</c:v>
                </c:pt>
                <c:pt idx="353">
                  <c:v>100.72654</c:v>
                </c:pt>
                <c:pt idx="354">
                  <c:v>100.82259000000001</c:v>
                </c:pt>
                <c:pt idx="355">
                  <c:v>100.75478000000001</c:v>
                </c:pt>
                <c:pt idx="356">
                  <c:v>100.79683</c:v>
                </c:pt>
                <c:pt idx="357">
                  <c:v>100.80894000000001</c:v>
                </c:pt>
                <c:pt idx="358">
                  <c:v>100.72708</c:v>
                </c:pt>
                <c:pt idx="359">
                  <c:v>100.64706000000001</c:v>
                </c:pt>
                <c:pt idx="360">
                  <c:v>100.69936</c:v>
                </c:pt>
                <c:pt idx="361">
                  <c:v>100.71994000000001</c:v>
                </c:pt>
                <c:pt idx="362">
                  <c:v>100.75638000000001</c:v>
                </c:pt>
                <c:pt idx="363">
                  <c:v>100.71089000000001</c:v>
                </c:pt>
                <c:pt idx="364">
                  <c:v>100.7026</c:v>
                </c:pt>
                <c:pt idx="365">
                  <c:v>100.75217000000001</c:v>
                </c:pt>
                <c:pt idx="366">
                  <c:v>100.74409</c:v>
                </c:pt>
                <c:pt idx="367">
                  <c:v>100.66358000000001</c:v>
                </c:pt>
                <c:pt idx="368">
                  <c:v>100.79641000000001</c:v>
                </c:pt>
                <c:pt idx="369">
                  <c:v>100.72414000000001</c:v>
                </c:pt>
                <c:pt idx="370">
                  <c:v>100.74386</c:v>
                </c:pt>
                <c:pt idx="371">
                  <c:v>100.72836000000001</c:v>
                </c:pt>
                <c:pt idx="372">
                  <c:v>100.69757</c:v>
                </c:pt>
                <c:pt idx="373">
                  <c:v>100.71151</c:v>
                </c:pt>
                <c:pt idx="374">
                  <c:v>100.82132</c:v>
                </c:pt>
                <c:pt idx="375">
                  <c:v>100.74290000000001</c:v>
                </c:pt>
                <c:pt idx="376">
                  <c:v>100.68013000000001</c:v>
                </c:pt>
                <c:pt idx="377">
                  <c:v>100.63803</c:v>
                </c:pt>
                <c:pt idx="378">
                  <c:v>100.7693</c:v>
                </c:pt>
                <c:pt idx="379">
                  <c:v>100.75781000000001</c:v>
                </c:pt>
                <c:pt idx="380">
                  <c:v>100.73335</c:v>
                </c:pt>
                <c:pt idx="381">
                  <c:v>100.75127000000001</c:v>
                </c:pt>
                <c:pt idx="382">
                  <c:v>100.66242000000001</c:v>
                </c:pt>
                <c:pt idx="383">
                  <c:v>100.68300000000001</c:v>
                </c:pt>
                <c:pt idx="384">
                  <c:v>100.61082</c:v>
                </c:pt>
                <c:pt idx="385">
                  <c:v>100.66242000000001</c:v>
                </c:pt>
                <c:pt idx="386">
                  <c:v>100.76559</c:v>
                </c:pt>
                <c:pt idx="387">
                  <c:v>100.75794</c:v>
                </c:pt>
                <c:pt idx="388">
                  <c:v>100.70348</c:v>
                </c:pt>
                <c:pt idx="389">
                  <c:v>100.57355000000001</c:v>
                </c:pt>
                <c:pt idx="390">
                  <c:v>100.64553000000001</c:v>
                </c:pt>
                <c:pt idx="391">
                  <c:v>100.66357000000001</c:v>
                </c:pt>
                <c:pt idx="392">
                  <c:v>100.72327</c:v>
                </c:pt>
                <c:pt idx="393">
                  <c:v>100.73684</c:v>
                </c:pt>
                <c:pt idx="394">
                  <c:v>100.71626000000001</c:v>
                </c:pt>
                <c:pt idx="395">
                  <c:v>100.62212000000001</c:v>
                </c:pt>
                <c:pt idx="396">
                  <c:v>100.71616</c:v>
                </c:pt>
                <c:pt idx="397">
                  <c:v>100.73253000000001</c:v>
                </c:pt>
                <c:pt idx="398">
                  <c:v>100.72498</c:v>
                </c:pt>
                <c:pt idx="399">
                  <c:v>100.77351</c:v>
                </c:pt>
                <c:pt idx="400">
                  <c:v>100.68338</c:v>
                </c:pt>
                <c:pt idx="401">
                  <c:v>100.62767000000001</c:v>
                </c:pt>
                <c:pt idx="402">
                  <c:v>100.75959</c:v>
                </c:pt>
                <c:pt idx="403">
                  <c:v>100.65823</c:v>
                </c:pt>
                <c:pt idx="404">
                  <c:v>100.61422</c:v>
                </c:pt>
                <c:pt idx="405">
                  <c:v>100.66934000000001</c:v>
                </c:pt>
                <c:pt idx="406">
                  <c:v>100.63349000000001</c:v>
                </c:pt>
                <c:pt idx="407">
                  <c:v>100.67859</c:v>
                </c:pt>
                <c:pt idx="408">
                  <c:v>100.66495</c:v>
                </c:pt>
                <c:pt idx="409">
                  <c:v>100.69184</c:v>
                </c:pt>
                <c:pt idx="410">
                  <c:v>100.56958</c:v>
                </c:pt>
                <c:pt idx="411">
                  <c:v>100.70315000000001</c:v>
                </c:pt>
                <c:pt idx="412">
                  <c:v>100.59856000000001</c:v>
                </c:pt>
                <c:pt idx="413">
                  <c:v>100.60747000000001</c:v>
                </c:pt>
                <c:pt idx="414">
                  <c:v>100.60537000000001</c:v>
                </c:pt>
                <c:pt idx="415">
                  <c:v>100.59326</c:v>
                </c:pt>
                <c:pt idx="416">
                  <c:v>100.68671000000001</c:v>
                </c:pt>
                <c:pt idx="417">
                  <c:v>100.63587000000001</c:v>
                </c:pt>
                <c:pt idx="418">
                  <c:v>100.74185</c:v>
                </c:pt>
                <c:pt idx="419">
                  <c:v>100.64641</c:v>
                </c:pt>
                <c:pt idx="420">
                  <c:v>100.58449</c:v>
                </c:pt>
                <c:pt idx="421">
                  <c:v>100.69253</c:v>
                </c:pt>
                <c:pt idx="422">
                  <c:v>100.67116</c:v>
                </c:pt>
                <c:pt idx="423">
                  <c:v>100.72410000000001</c:v>
                </c:pt>
                <c:pt idx="424">
                  <c:v>100.68791</c:v>
                </c:pt>
                <c:pt idx="425">
                  <c:v>100.70553000000001</c:v>
                </c:pt>
                <c:pt idx="426">
                  <c:v>100.78756</c:v>
                </c:pt>
                <c:pt idx="427">
                  <c:v>100.61547</c:v>
                </c:pt>
                <c:pt idx="428">
                  <c:v>100.62681000000001</c:v>
                </c:pt>
                <c:pt idx="429">
                  <c:v>100.67735</c:v>
                </c:pt>
                <c:pt idx="430">
                  <c:v>100.67921</c:v>
                </c:pt>
                <c:pt idx="431">
                  <c:v>100.52284</c:v>
                </c:pt>
                <c:pt idx="432">
                  <c:v>100.67858000000001</c:v>
                </c:pt>
                <c:pt idx="433">
                  <c:v>100.68479000000001</c:v>
                </c:pt>
                <c:pt idx="434">
                  <c:v>100.72698</c:v>
                </c:pt>
                <c:pt idx="435">
                  <c:v>100.73023000000001</c:v>
                </c:pt>
                <c:pt idx="436">
                  <c:v>100.5544</c:v>
                </c:pt>
                <c:pt idx="437">
                  <c:v>100.51563</c:v>
                </c:pt>
                <c:pt idx="438">
                  <c:v>100.63574</c:v>
                </c:pt>
                <c:pt idx="439">
                  <c:v>100.58568000000001</c:v>
                </c:pt>
                <c:pt idx="440">
                  <c:v>100.70173</c:v>
                </c:pt>
                <c:pt idx="441">
                  <c:v>100.49577000000001</c:v>
                </c:pt>
                <c:pt idx="442">
                  <c:v>100.52576000000001</c:v>
                </c:pt>
                <c:pt idx="443">
                  <c:v>100.57805</c:v>
                </c:pt>
                <c:pt idx="444">
                  <c:v>100.64642000000001</c:v>
                </c:pt>
                <c:pt idx="445">
                  <c:v>100.61144</c:v>
                </c:pt>
                <c:pt idx="446">
                  <c:v>100.71461000000001</c:v>
                </c:pt>
                <c:pt idx="447">
                  <c:v>100.57529000000001</c:v>
                </c:pt>
                <c:pt idx="448">
                  <c:v>100.68167000000001</c:v>
                </c:pt>
                <c:pt idx="449">
                  <c:v>100.61381</c:v>
                </c:pt>
                <c:pt idx="450">
                  <c:v>100.61395</c:v>
                </c:pt>
                <c:pt idx="451">
                  <c:v>100.84102</c:v>
                </c:pt>
                <c:pt idx="452">
                  <c:v>100.59473</c:v>
                </c:pt>
                <c:pt idx="453">
                  <c:v>100.56698</c:v>
                </c:pt>
                <c:pt idx="454">
                  <c:v>100.68169</c:v>
                </c:pt>
                <c:pt idx="455">
                  <c:v>100.64614</c:v>
                </c:pt>
                <c:pt idx="456">
                  <c:v>100.65295</c:v>
                </c:pt>
                <c:pt idx="457">
                  <c:v>100.66036000000001</c:v>
                </c:pt>
                <c:pt idx="458">
                  <c:v>100.73974</c:v>
                </c:pt>
                <c:pt idx="459">
                  <c:v>100.68815000000001</c:v>
                </c:pt>
                <c:pt idx="460">
                  <c:v>100.58781</c:v>
                </c:pt>
                <c:pt idx="461">
                  <c:v>100.57886000000001</c:v>
                </c:pt>
                <c:pt idx="462">
                  <c:v>100.67827</c:v>
                </c:pt>
                <c:pt idx="463">
                  <c:v>100.61744</c:v>
                </c:pt>
                <c:pt idx="464">
                  <c:v>100.65174</c:v>
                </c:pt>
                <c:pt idx="465">
                  <c:v>100.70406</c:v>
                </c:pt>
                <c:pt idx="466">
                  <c:v>100.63714</c:v>
                </c:pt>
                <c:pt idx="467">
                  <c:v>100.57591000000001</c:v>
                </c:pt>
                <c:pt idx="468">
                  <c:v>100.61872000000001</c:v>
                </c:pt>
                <c:pt idx="469">
                  <c:v>100.58033</c:v>
                </c:pt>
                <c:pt idx="470">
                  <c:v>100.67893000000001</c:v>
                </c:pt>
                <c:pt idx="471">
                  <c:v>100.66442000000001</c:v>
                </c:pt>
                <c:pt idx="472">
                  <c:v>100.60451</c:v>
                </c:pt>
                <c:pt idx="473">
                  <c:v>100.62440000000001</c:v>
                </c:pt>
                <c:pt idx="474">
                  <c:v>100.63959</c:v>
                </c:pt>
                <c:pt idx="475">
                  <c:v>100.61160000000001</c:v>
                </c:pt>
                <c:pt idx="476">
                  <c:v>100.58436</c:v>
                </c:pt>
                <c:pt idx="477">
                  <c:v>100.65675</c:v>
                </c:pt>
                <c:pt idx="478">
                  <c:v>100.68665</c:v>
                </c:pt>
                <c:pt idx="479">
                  <c:v>100.43421000000001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21-8F4A-988C-728E3BC07D88}"/>
            </c:ext>
          </c:extLst>
        </c:ser>
        <c:ser>
          <c:idx val="2"/>
          <c:order val="2"/>
          <c:tx>
            <c:v>PW500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Data, PW500, 20% O2'!$N$6:$N$485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Data, PW500, 20% O2'!$P$6:$P$485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100.06493</c:v>
                </c:pt>
                <c:pt idx="2">
                  <c:v>100.22147</c:v>
                </c:pt>
                <c:pt idx="3">
                  <c:v>100.34179</c:v>
                </c:pt>
                <c:pt idx="4">
                  <c:v>100.29864000000001</c:v>
                </c:pt>
                <c:pt idx="5">
                  <c:v>100.41901</c:v>
                </c:pt>
                <c:pt idx="6">
                  <c:v>100.53174</c:v>
                </c:pt>
                <c:pt idx="7">
                  <c:v>100.45910000000001</c:v>
                </c:pt>
                <c:pt idx="8">
                  <c:v>100.59167000000001</c:v>
                </c:pt>
                <c:pt idx="9">
                  <c:v>100.6151</c:v>
                </c:pt>
                <c:pt idx="10">
                  <c:v>100.63559000000001</c:v>
                </c:pt>
                <c:pt idx="11">
                  <c:v>100.68961</c:v>
                </c:pt>
                <c:pt idx="12">
                  <c:v>100.80113</c:v>
                </c:pt>
                <c:pt idx="13">
                  <c:v>100.68264000000001</c:v>
                </c:pt>
                <c:pt idx="14">
                  <c:v>100.66567000000001</c:v>
                </c:pt>
                <c:pt idx="15">
                  <c:v>100.87220000000001</c:v>
                </c:pt>
                <c:pt idx="16">
                  <c:v>100.75955</c:v>
                </c:pt>
                <c:pt idx="17">
                  <c:v>100.74541000000001</c:v>
                </c:pt>
                <c:pt idx="18">
                  <c:v>100.67898</c:v>
                </c:pt>
                <c:pt idx="19">
                  <c:v>100.83934000000001</c:v>
                </c:pt>
                <c:pt idx="20">
                  <c:v>101.02428</c:v>
                </c:pt>
                <c:pt idx="21">
                  <c:v>100.83342</c:v>
                </c:pt>
                <c:pt idx="22">
                  <c:v>100.81712</c:v>
                </c:pt>
                <c:pt idx="23">
                  <c:v>101.03524</c:v>
                </c:pt>
                <c:pt idx="24">
                  <c:v>100.91296</c:v>
                </c:pt>
                <c:pt idx="25">
                  <c:v>100.91576000000001</c:v>
                </c:pt>
                <c:pt idx="26">
                  <c:v>101.04038</c:v>
                </c:pt>
                <c:pt idx="27">
                  <c:v>100.95413000000001</c:v>
                </c:pt>
                <c:pt idx="28">
                  <c:v>101.13315</c:v>
                </c:pt>
                <c:pt idx="29">
                  <c:v>100.93417000000001</c:v>
                </c:pt>
                <c:pt idx="30">
                  <c:v>100.93838000000001</c:v>
                </c:pt>
                <c:pt idx="31">
                  <c:v>101.19719000000001</c:v>
                </c:pt>
                <c:pt idx="32">
                  <c:v>101.14468000000001</c:v>
                </c:pt>
                <c:pt idx="33">
                  <c:v>101.16695</c:v>
                </c:pt>
                <c:pt idx="34">
                  <c:v>101.15071</c:v>
                </c:pt>
                <c:pt idx="35">
                  <c:v>101.15441</c:v>
                </c:pt>
                <c:pt idx="36">
                  <c:v>101.18137</c:v>
                </c:pt>
                <c:pt idx="37">
                  <c:v>101.15277</c:v>
                </c:pt>
                <c:pt idx="38">
                  <c:v>101.18819000000001</c:v>
                </c:pt>
                <c:pt idx="39">
                  <c:v>101.03112</c:v>
                </c:pt>
                <c:pt idx="40">
                  <c:v>101.16765000000001</c:v>
                </c:pt>
                <c:pt idx="41">
                  <c:v>101.1943</c:v>
                </c:pt>
                <c:pt idx="42">
                  <c:v>101.06376</c:v>
                </c:pt>
                <c:pt idx="43">
                  <c:v>101.14704</c:v>
                </c:pt>
                <c:pt idx="44">
                  <c:v>101.17777000000001</c:v>
                </c:pt>
                <c:pt idx="45">
                  <c:v>101.31058</c:v>
                </c:pt>
                <c:pt idx="46">
                  <c:v>101.30027</c:v>
                </c:pt>
                <c:pt idx="47">
                  <c:v>101.2124</c:v>
                </c:pt>
                <c:pt idx="48">
                  <c:v>101.12889</c:v>
                </c:pt>
                <c:pt idx="49">
                  <c:v>101.17228</c:v>
                </c:pt>
                <c:pt idx="50">
                  <c:v>101.10170000000001</c:v>
                </c:pt>
                <c:pt idx="51">
                  <c:v>101.32669</c:v>
                </c:pt>
                <c:pt idx="52">
                  <c:v>101.30599000000001</c:v>
                </c:pt>
                <c:pt idx="53">
                  <c:v>101.29563</c:v>
                </c:pt>
                <c:pt idx="54">
                  <c:v>101.28258</c:v>
                </c:pt>
                <c:pt idx="55">
                  <c:v>101.31248000000001</c:v>
                </c:pt>
                <c:pt idx="56">
                  <c:v>101.33548</c:v>
                </c:pt>
                <c:pt idx="57">
                  <c:v>101.36434</c:v>
                </c:pt>
                <c:pt idx="58">
                  <c:v>101.38045</c:v>
                </c:pt>
                <c:pt idx="59">
                  <c:v>101.37768</c:v>
                </c:pt>
                <c:pt idx="60">
                  <c:v>101.41803</c:v>
                </c:pt>
                <c:pt idx="61">
                  <c:v>101.36924</c:v>
                </c:pt>
                <c:pt idx="62">
                  <c:v>101.43069</c:v>
                </c:pt>
                <c:pt idx="63">
                  <c:v>101.42549</c:v>
                </c:pt>
                <c:pt idx="64">
                  <c:v>101.44769000000001</c:v>
                </c:pt>
                <c:pt idx="65">
                  <c:v>101.51105</c:v>
                </c:pt>
                <c:pt idx="66">
                  <c:v>101.38509000000001</c:v>
                </c:pt>
                <c:pt idx="67">
                  <c:v>101.49921000000001</c:v>
                </c:pt>
                <c:pt idx="68">
                  <c:v>101.43594</c:v>
                </c:pt>
                <c:pt idx="69">
                  <c:v>101.44958</c:v>
                </c:pt>
                <c:pt idx="70">
                  <c:v>101.44505000000001</c:v>
                </c:pt>
                <c:pt idx="71">
                  <c:v>101.41608000000001</c:v>
                </c:pt>
                <c:pt idx="72">
                  <c:v>101.49308000000001</c:v>
                </c:pt>
                <c:pt idx="73">
                  <c:v>101.59312</c:v>
                </c:pt>
                <c:pt idx="74">
                  <c:v>101.41828</c:v>
                </c:pt>
                <c:pt idx="75">
                  <c:v>101.50588</c:v>
                </c:pt>
                <c:pt idx="76">
                  <c:v>101.45533</c:v>
                </c:pt>
                <c:pt idx="77">
                  <c:v>101.56058</c:v>
                </c:pt>
                <c:pt idx="78">
                  <c:v>101.55807</c:v>
                </c:pt>
                <c:pt idx="79">
                  <c:v>101.54932000000001</c:v>
                </c:pt>
                <c:pt idx="80">
                  <c:v>101.66272000000001</c:v>
                </c:pt>
                <c:pt idx="81">
                  <c:v>101.61382</c:v>
                </c:pt>
                <c:pt idx="82">
                  <c:v>101.43686</c:v>
                </c:pt>
                <c:pt idx="83">
                  <c:v>101.4689</c:v>
                </c:pt>
                <c:pt idx="84">
                  <c:v>101.39041</c:v>
                </c:pt>
                <c:pt idx="85">
                  <c:v>101.70749000000001</c:v>
                </c:pt>
                <c:pt idx="86">
                  <c:v>101.51423</c:v>
                </c:pt>
                <c:pt idx="87">
                  <c:v>101.53245</c:v>
                </c:pt>
                <c:pt idx="88">
                  <c:v>101.61854</c:v>
                </c:pt>
                <c:pt idx="89">
                  <c:v>101.57743000000001</c:v>
                </c:pt>
                <c:pt idx="90">
                  <c:v>101.54050000000001</c:v>
                </c:pt>
                <c:pt idx="91">
                  <c:v>101.59347</c:v>
                </c:pt>
                <c:pt idx="92">
                  <c:v>101.66341</c:v>
                </c:pt>
                <c:pt idx="93">
                  <c:v>101.65185</c:v>
                </c:pt>
                <c:pt idx="94">
                  <c:v>101.57080000000001</c:v>
                </c:pt>
                <c:pt idx="95">
                  <c:v>101.71549</c:v>
                </c:pt>
                <c:pt idx="96">
                  <c:v>101.7418</c:v>
                </c:pt>
                <c:pt idx="97">
                  <c:v>101.70553</c:v>
                </c:pt>
                <c:pt idx="98">
                  <c:v>101.71126</c:v>
                </c:pt>
                <c:pt idx="99">
                  <c:v>101.72382</c:v>
                </c:pt>
                <c:pt idx="100">
                  <c:v>101.72188</c:v>
                </c:pt>
                <c:pt idx="101">
                  <c:v>101.56669000000001</c:v>
                </c:pt>
                <c:pt idx="102">
                  <c:v>101.67182</c:v>
                </c:pt>
                <c:pt idx="103">
                  <c:v>101.7448</c:v>
                </c:pt>
                <c:pt idx="104">
                  <c:v>101.72642</c:v>
                </c:pt>
                <c:pt idx="105">
                  <c:v>101.72469000000001</c:v>
                </c:pt>
                <c:pt idx="106">
                  <c:v>101.71510000000001</c:v>
                </c:pt>
                <c:pt idx="107">
                  <c:v>101.62508</c:v>
                </c:pt>
                <c:pt idx="108">
                  <c:v>101.77746</c:v>
                </c:pt>
                <c:pt idx="109">
                  <c:v>101.72699</c:v>
                </c:pt>
                <c:pt idx="110">
                  <c:v>101.86204000000001</c:v>
                </c:pt>
                <c:pt idx="111">
                  <c:v>101.72409</c:v>
                </c:pt>
                <c:pt idx="112">
                  <c:v>101.78681</c:v>
                </c:pt>
                <c:pt idx="113">
                  <c:v>101.61866000000001</c:v>
                </c:pt>
                <c:pt idx="114">
                  <c:v>101.9448</c:v>
                </c:pt>
                <c:pt idx="115">
                  <c:v>101.94777000000001</c:v>
                </c:pt>
                <c:pt idx="116">
                  <c:v>101.80861</c:v>
                </c:pt>
                <c:pt idx="117">
                  <c:v>101.82036000000001</c:v>
                </c:pt>
                <c:pt idx="118">
                  <c:v>101.91460000000001</c:v>
                </c:pt>
                <c:pt idx="119">
                  <c:v>101.84335</c:v>
                </c:pt>
                <c:pt idx="120">
                  <c:v>101.97368</c:v>
                </c:pt>
                <c:pt idx="121">
                  <c:v>101.76555</c:v>
                </c:pt>
                <c:pt idx="122">
                  <c:v>101.92711</c:v>
                </c:pt>
                <c:pt idx="123">
                  <c:v>101.83748</c:v>
                </c:pt>
                <c:pt idx="124">
                  <c:v>101.82917</c:v>
                </c:pt>
                <c:pt idx="125">
                  <c:v>101.87678</c:v>
                </c:pt>
                <c:pt idx="126">
                  <c:v>101.75964</c:v>
                </c:pt>
                <c:pt idx="127">
                  <c:v>101.89594</c:v>
                </c:pt>
                <c:pt idx="128">
                  <c:v>101.89894</c:v>
                </c:pt>
                <c:pt idx="129">
                  <c:v>101.97463</c:v>
                </c:pt>
                <c:pt idx="130">
                  <c:v>101.9374</c:v>
                </c:pt>
                <c:pt idx="131">
                  <c:v>101.86302000000001</c:v>
                </c:pt>
                <c:pt idx="132">
                  <c:v>101.99176</c:v>
                </c:pt>
                <c:pt idx="133">
                  <c:v>102.00782000000001</c:v>
                </c:pt>
                <c:pt idx="134">
                  <c:v>101.99838</c:v>
                </c:pt>
                <c:pt idx="135">
                  <c:v>101.99474000000001</c:v>
                </c:pt>
                <c:pt idx="136">
                  <c:v>102.00026</c:v>
                </c:pt>
                <c:pt idx="137">
                  <c:v>102.00246</c:v>
                </c:pt>
                <c:pt idx="138">
                  <c:v>101.99074</c:v>
                </c:pt>
                <c:pt idx="139">
                  <c:v>102.00757</c:v>
                </c:pt>
                <c:pt idx="140">
                  <c:v>101.90879</c:v>
                </c:pt>
                <c:pt idx="141">
                  <c:v>101.96169</c:v>
                </c:pt>
                <c:pt idx="142">
                  <c:v>102.01388</c:v>
                </c:pt>
                <c:pt idx="143">
                  <c:v>101.87677000000001</c:v>
                </c:pt>
                <c:pt idx="144">
                  <c:v>102.00259</c:v>
                </c:pt>
                <c:pt idx="145">
                  <c:v>102.08702</c:v>
                </c:pt>
                <c:pt idx="146">
                  <c:v>102.06072</c:v>
                </c:pt>
                <c:pt idx="147">
                  <c:v>102.21640000000001</c:v>
                </c:pt>
                <c:pt idx="148">
                  <c:v>101.96282000000001</c:v>
                </c:pt>
                <c:pt idx="149">
                  <c:v>101.97771</c:v>
                </c:pt>
                <c:pt idx="150">
                  <c:v>102.19303000000001</c:v>
                </c:pt>
                <c:pt idx="151">
                  <c:v>102.01501</c:v>
                </c:pt>
                <c:pt idx="152">
                  <c:v>102.15411</c:v>
                </c:pt>
                <c:pt idx="153">
                  <c:v>102.07254</c:v>
                </c:pt>
                <c:pt idx="154">
                  <c:v>101.8569</c:v>
                </c:pt>
                <c:pt idx="155">
                  <c:v>101.9796</c:v>
                </c:pt>
                <c:pt idx="156">
                  <c:v>102.09558</c:v>
                </c:pt>
                <c:pt idx="157">
                  <c:v>102.08634000000001</c:v>
                </c:pt>
                <c:pt idx="158">
                  <c:v>102.13554000000001</c:v>
                </c:pt>
                <c:pt idx="159">
                  <c:v>102.03084</c:v>
                </c:pt>
                <c:pt idx="160">
                  <c:v>101.99755</c:v>
                </c:pt>
                <c:pt idx="161">
                  <c:v>101.93454</c:v>
                </c:pt>
                <c:pt idx="162">
                  <c:v>102.1503</c:v>
                </c:pt>
                <c:pt idx="163">
                  <c:v>102.13096</c:v>
                </c:pt>
                <c:pt idx="164">
                  <c:v>102.11454000000001</c:v>
                </c:pt>
                <c:pt idx="165">
                  <c:v>102.15296000000001</c:v>
                </c:pt>
                <c:pt idx="166">
                  <c:v>102.17243000000001</c:v>
                </c:pt>
                <c:pt idx="167">
                  <c:v>102.15068000000001</c:v>
                </c:pt>
                <c:pt idx="168">
                  <c:v>102.16386</c:v>
                </c:pt>
                <c:pt idx="169">
                  <c:v>102.05160000000001</c:v>
                </c:pt>
                <c:pt idx="170">
                  <c:v>102.19792</c:v>
                </c:pt>
                <c:pt idx="171">
                  <c:v>102.14059</c:v>
                </c:pt>
                <c:pt idx="172">
                  <c:v>102.03238</c:v>
                </c:pt>
                <c:pt idx="173">
                  <c:v>102.21193000000001</c:v>
                </c:pt>
                <c:pt idx="174">
                  <c:v>102.11825</c:v>
                </c:pt>
                <c:pt idx="175">
                  <c:v>102.16927</c:v>
                </c:pt>
                <c:pt idx="176">
                  <c:v>102.05880000000001</c:v>
                </c:pt>
                <c:pt idx="177">
                  <c:v>102.2093</c:v>
                </c:pt>
                <c:pt idx="178">
                  <c:v>102.15294</c:v>
                </c:pt>
                <c:pt idx="179">
                  <c:v>102.15827</c:v>
                </c:pt>
                <c:pt idx="180">
                  <c:v>102.17499000000001</c:v>
                </c:pt>
                <c:pt idx="181">
                  <c:v>102.15915</c:v>
                </c:pt>
                <c:pt idx="182">
                  <c:v>102.13668</c:v>
                </c:pt>
                <c:pt idx="183">
                  <c:v>102.24682</c:v>
                </c:pt>
                <c:pt idx="184">
                  <c:v>102.38178000000001</c:v>
                </c:pt>
                <c:pt idx="185">
                  <c:v>102.23333000000001</c:v>
                </c:pt>
                <c:pt idx="186">
                  <c:v>102.35887</c:v>
                </c:pt>
                <c:pt idx="187">
                  <c:v>102.36592</c:v>
                </c:pt>
                <c:pt idx="188">
                  <c:v>102.35210000000001</c:v>
                </c:pt>
                <c:pt idx="189">
                  <c:v>102.30892</c:v>
                </c:pt>
                <c:pt idx="190">
                  <c:v>102.21481</c:v>
                </c:pt>
                <c:pt idx="191">
                  <c:v>102.19237</c:v>
                </c:pt>
                <c:pt idx="192">
                  <c:v>102.28871000000001</c:v>
                </c:pt>
                <c:pt idx="193">
                  <c:v>102.34014000000001</c:v>
                </c:pt>
                <c:pt idx="194">
                  <c:v>102.10204</c:v>
                </c:pt>
                <c:pt idx="195">
                  <c:v>102.32323000000001</c:v>
                </c:pt>
                <c:pt idx="196">
                  <c:v>102.33054</c:v>
                </c:pt>
                <c:pt idx="197">
                  <c:v>102.2165</c:v>
                </c:pt>
                <c:pt idx="198">
                  <c:v>102.30251</c:v>
                </c:pt>
                <c:pt idx="199">
                  <c:v>102.22943000000001</c:v>
                </c:pt>
                <c:pt idx="200">
                  <c:v>102.24034</c:v>
                </c:pt>
                <c:pt idx="201">
                  <c:v>102.25489</c:v>
                </c:pt>
                <c:pt idx="202">
                  <c:v>102.32596000000001</c:v>
                </c:pt>
                <c:pt idx="203">
                  <c:v>102.29113</c:v>
                </c:pt>
                <c:pt idx="204">
                  <c:v>102.35326000000001</c:v>
                </c:pt>
                <c:pt idx="205">
                  <c:v>102.3475</c:v>
                </c:pt>
                <c:pt idx="206">
                  <c:v>102.35012</c:v>
                </c:pt>
                <c:pt idx="207">
                  <c:v>102.4003</c:v>
                </c:pt>
                <c:pt idx="208">
                  <c:v>102.41888</c:v>
                </c:pt>
                <c:pt idx="209">
                  <c:v>102.35017000000001</c:v>
                </c:pt>
                <c:pt idx="210">
                  <c:v>102.33602</c:v>
                </c:pt>
                <c:pt idx="211">
                  <c:v>102.44087</c:v>
                </c:pt>
                <c:pt idx="212">
                  <c:v>102.6045</c:v>
                </c:pt>
                <c:pt idx="213">
                  <c:v>102.25055</c:v>
                </c:pt>
                <c:pt idx="214">
                  <c:v>102.36067</c:v>
                </c:pt>
                <c:pt idx="215">
                  <c:v>102.23843000000001</c:v>
                </c:pt>
                <c:pt idx="216">
                  <c:v>102.31687000000001</c:v>
                </c:pt>
                <c:pt idx="217">
                  <c:v>102.42773</c:v>
                </c:pt>
                <c:pt idx="218">
                  <c:v>102.3398</c:v>
                </c:pt>
                <c:pt idx="219">
                  <c:v>102.51079</c:v>
                </c:pt>
                <c:pt idx="220">
                  <c:v>102.48021</c:v>
                </c:pt>
                <c:pt idx="221">
                  <c:v>102.47625000000001</c:v>
                </c:pt>
                <c:pt idx="222">
                  <c:v>102.45863</c:v>
                </c:pt>
                <c:pt idx="223">
                  <c:v>102.26874000000001</c:v>
                </c:pt>
                <c:pt idx="224">
                  <c:v>102.44949</c:v>
                </c:pt>
                <c:pt idx="225">
                  <c:v>102.44396</c:v>
                </c:pt>
                <c:pt idx="226">
                  <c:v>102.47293000000001</c:v>
                </c:pt>
                <c:pt idx="227">
                  <c:v>102.41375000000001</c:v>
                </c:pt>
                <c:pt idx="228">
                  <c:v>102.43093</c:v>
                </c:pt>
                <c:pt idx="229">
                  <c:v>102.3779</c:v>
                </c:pt>
                <c:pt idx="230">
                  <c:v>102.3291</c:v>
                </c:pt>
                <c:pt idx="231">
                  <c:v>102.47598000000001</c:v>
                </c:pt>
                <c:pt idx="232">
                  <c:v>102.51751</c:v>
                </c:pt>
                <c:pt idx="233">
                  <c:v>102.61305</c:v>
                </c:pt>
                <c:pt idx="234">
                  <c:v>102.26528</c:v>
                </c:pt>
                <c:pt idx="235">
                  <c:v>102.47279</c:v>
                </c:pt>
                <c:pt idx="236">
                  <c:v>102.43393</c:v>
                </c:pt>
                <c:pt idx="237">
                  <c:v>102.30288</c:v>
                </c:pt>
                <c:pt idx="238">
                  <c:v>102.55471</c:v>
                </c:pt>
                <c:pt idx="239">
                  <c:v>102.6562</c:v>
                </c:pt>
                <c:pt idx="240">
                  <c:v>102.58068</c:v>
                </c:pt>
                <c:pt idx="241">
                  <c:v>102.55155000000001</c:v>
                </c:pt>
                <c:pt idx="242">
                  <c:v>102.54233000000001</c:v>
                </c:pt>
                <c:pt idx="243">
                  <c:v>102.46825</c:v>
                </c:pt>
                <c:pt idx="244">
                  <c:v>102.517</c:v>
                </c:pt>
                <c:pt idx="245">
                  <c:v>102.58091</c:v>
                </c:pt>
                <c:pt idx="246">
                  <c:v>102.49315</c:v>
                </c:pt>
                <c:pt idx="247">
                  <c:v>102.63245000000001</c:v>
                </c:pt>
                <c:pt idx="248">
                  <c:v>102.64965000000001</c:v>
                </c:pt>
                <c:pt idx="249">
                  <c:v>102.56626</c:v>
                </c:pt>
                <c:pt idx="250">
                  <c:v>102.56933000000001</c:v>
                </c:pt>
                <c:pt idx="251">
                  <c:v>102.52366000000001</c:v>
                </c:pt>
                <c:pt idx="252">
                  <c:v>102.55191000000001</c:v>
                </c:pt>
                <c:pt idx="253">
                  <c:v>102.47366000000001</c:v>
                </c:pt>
                <c:pt idx="254">
                  <c:v>102.55026000000001</c:v>
                </c:pt>
                <c:pt idx="255">
                  <c:v>102.66275</c:v>
                </c:pt>
                <c:pt idx="256">
                  <c:v>102.70201</c:v>
                </c:pt>
                <c:pt idx="257">
                  <c:v>102.61595</c:v>
                </c:pt>
                <c:pt idx="258">
                  <c:v>102.66562</c:v>
                </c:pt>
                <c:pt idx="259">
                  <c:v>102.60451</c:v>
                </c:pt>
                <c:pt idx="260">
                  <c:v>102.57853</c:v>
                </c:pt>
                <c:pt idx="261">
                  <c:v>102.56166</c:v>
                </c:pt>
                <c:pt idx="262">
                  <c:v>102.40542000000001</c:v>
                </c:pt>
                <c:pt idx="263">
                  <c:v>102.61581</c:v>
                </c:pt>
                <c:pt idx="264">
                  <c:v>102.64535000000001</c:v>
                </c:pt>
                <c:pt idx="265">
                  <c:v>102.55</c:v>
                </c:pt>
                <c:pt idx="266">
                  <c:v>102.59675</c:v>
                </c:pt>
                <c:pt idx="267">
                  <c:v>102.6297</c:v>
                </c:pt>
                <c:pt idx="268">
                  <c:v>102.62373000000001</c:v>
                </c:pt>
                <c:pt idx="269">
                  <c:v>102.63979</c:v>
                </c:pt>
                <c:pt idx="270">
                  <c:v>102.60845</c:v>
                </c:pt>
                <c:pt idx="271">
                  <c:v>102.56901000000001</c:v>
                </c:pt>
                <c:pt idx="272">
                  <c:v>102.81516000000001</c:v>
                </c:pt>
                <c:pt idx="273">
                  <c:v>102.61286</c:v>
                </c:pt>
                <c:pt idx="274">
                  <c:v>102.57057</c:v>
                </c:pt>
                <c:pt idx="275">
                  <c:v>102.68423</c:v>
                </c:pt>
                <c:pt idx="276">
                  <c:v>102.6216</c:v>
                </c:pt>
                <c:pt idx="277">
                  <c:v>102.59180000000001</c:v>
                </c:pt>
                <c:pt idx="278">
                  <c:v>102.58951</c:v>
                </c:pt>
                <c:pt idx="279">
                  <c:v>102.66608000000001</c:v>
                </c:pt>
                <c:pt idx="280">
                  <c:v>102.78315000000001</c:v>
                </c:pt>
                <c:pt idx="281">
                  <c:v>102.50569</c:v>
                </c:pt>
                <c:pt idx="282">
                  <c:v>102.63635000000001</c:v>
                </c:pt>
                <c:pt idx="283">
                  <c:v>102.75755000000001</c:v>
                </c:pt>
                <c:pt idx="284">
                  <c:v>102.69500000000001</c:v>
                </c:pt>
                <c:pt idx="285">
                  <c:v>102.55286</c:v>
                </c:pt>
                <c:pt idx="286">
                  <c:v>102.63926000000001</c:v>
                </c:pt>
                <c:pt idx="287">
                  <c:v>102.66087</c:v>
                </c:pt>
                <c:pt idx="288">
                  <c:v>102.71182</c:v>
                </c:pt>
                <c:pt idx="289">
                  <c:v>102.62153000000001</c:v>
                </c:pt>
                <c:pt idx="290">
                  <c:v>102.75394</c:v>
                </c:pt>
                <c:pt idx="291">
                  <c:v>102.62573</c:v>
                </c:pt>
                <c:pt idx="292">
                  <c:v>102.84520000000001</c:v>
                </c:pt>
                <c:pt idx="293">
                  <c:v>102.72747</c:v>
                </c:pt>
                <c:pt idx="294">
                  <c:v>102.75642000000001</c:v>
                </c:pt>
                <c:pt idx="295">
                  <c:v>102.73815</c:v>
                </c:pt>
                <c:pt idx="296">
                  <c:v>102.70853</c:v>
                </c:pt>
                <c:pt idx="297">
                  <c:v>102.75001</c:v>
                </c:pt>
                <c:pt idx="298">
                  <c:v>102.586</c:v>
                </c:pt>
                <c:pt idx="299">
                  <c:v>102.64734</c:v>
                </c:pt>
                <c:pt idx="300">
                  <c:v>102.68877000000001</c:v>
                </c:pt>
                <c:pt idx="301">
                  <c:v>102.72941</c:v>
                </c:pt>
                <c:pt idx="302">
                  <c:v>102.77033</c:v>
                </c:pt>
                <c:pt idx="303">
                  <c:v>102.60218</c:v>
                </c:pt>
                <c:pt idx="304">
                  <c:v>102.83991</c:v>
                </c:pt>
                <c:pt idx="305">
                  <c:v>102.70724</c:v>
                </c:pt>
                <c:pt idx="306">
                  <c:v>102.67028000000001</c:v>
                </c:pt>
                <c:pt idx="307">
                  <c:v>102.79046</c:v>
                </c:pt>
                <c:pt idx="308">
                  <c:v>102.70879000000001</c:v>
                </c:pt>
                <c:pt idx="309">
                  <c:v>102.70534000000001</c:v>
                </c:pt>
                <c:pt idx="310">
                  <c:v>102.77889</c:v>
                </c:pt>
                <c:pt idx="311">
                  <c:v>102.6554</c:v>
                </c:pt>
                <c:pt idx="312">
                  <c:v>102.59825000000001</c:v>
                </c:pt>
                <c:pt idx="313">
                  <c:v>102.77009</c:v>
                </c:pt>
                <c:pt idx="314">
                  <c:v>102.74372</c:v>
                </c:pt>
                <c:pt idx="315">
                  <c:v>102.78953</c:v>
                </c:pt>
                <c:pt idx="316">
                  <c:v>102.82233000000001</c:v>
                </c:pt>
                <c:pt idx="317">
                  <c:v>102.87648</c:v>
                </c:pt>
                <c:pt idx="318">
                  <c:v>102.7338</c:v>
                </c:pt>
                <c:pt idx="319">
                  <c:v>102.72763</c:v>
                </c:pt>
                <c:pt idx="320">
                  <c:v>102.73694</c:v>
                </c:pt>
                <c:pt idx="321">
                  <c:v>102.77983</c:v>
                </c:pt>
                <c:pt idx="322">
                  <c:v>102.66415000000001</c:v>
                </c:pt>
                <c:pt idx="323">
                  <c:v>102.71737</c:v>
                </c:pt>
                <c:pt idx="324">
                  <c:v>102.79964</c:v>
                </c:pt>
                <c:pt idx="325">
                  <c:v>102.77561</c:v>
                </c:pt>
                <c:pt idx="326">
                  <c:v>102.74289</c:v>
                </c:pt>
                <c:pt idx="327">
                  <c:v>102.78408</c:v>
                </c:pt>
                <c:pt idx="328">
                  <c:v>102.65417000000001</c:v>
                </c:pt>
                <c:pt idx="329">
                  <c:v>102.84831</c:v>
                </c:pt>
                <c:pt idx="330">
                  <c:v>102.64716</c:v>
                </c:pt>
                <c:pt idx="331">
                  <c:v>102.86246</c:v>
                </c:pt>
                <c:pt idx="332">
                  <c:v>102.68439000000001</c:v>
                </c:pt>
                <c:pt idx="333">
                  <c:v>102.68390000000001</c:v>
                </c:pt>
                <c:pt idx="334">
                  <c:v>102.76226</c:v>
                </c:pt>
                <c:pt idx="335">
                  <c:v>102.71481</c:v>
                </c:pt>
                <c:pt idx="336">
                  <c:v>102.84821000000001</c:v>
                </c:pt>
                <c:pt idx="337">
                  <c:v>102.8014</c:v>
                </c:pt>
                <c:pt idx="338">
                  <c:v>102.8164</c:v>
                </c:pt>
                <c:pt idx="339">
                  <c:v>102.96340000000001</c:v>
                </c:pt>
                <c:pt idx="340">
                  <c:v>102.93770000000001</c:v>
                </c:pt>
                <c:pt idx="341">
                  <c:v>102.85899000000001</c:v>
                </c:pt>
                <c:pt idx="342">
                  <c:v>102.75881</c:v>
                </c:pt>
                <c:pt idx="343">
                  <c:v>102.73906000000001</c:v>
                </c:pt>
                <c:pt idx="344">
                  <c:v>102.77508</c:v>
                </c:pt>
                <c:pt idx="345">
                  <c:v>102.88877000000001</c:v>
                </c:pt>
                <c:pt idx="346">
                  <c:v>102.84675</c:v>
                </c:pt>
                <c:pt idx="347">
                  <c:v>102.8377</c:v>
                </c:pt>
                <c:pt idx="348">
                  <c:v>102.83057000000001</c:v>
                </c:pt>
                <c:pt idx="349">
                  <c:v>102.82624</c:v>
                </c:pt>
                <c:pt idx="350">
                  <c:v>102.74859000000001</c:v>
                </c:pt>
                <c:pt idx="351">
                  <c:v>102.75915000000001</c:v>
                </c:pt>
                <c:pt idx="352">
                  <c:v>102.74853</c:v>
                </c:pt>
                <c:pt idx="353">
                  <c:v>102.81992</c:v>
                </c:pt>
                <c:pt idx="354">
                  <c:v>102.82014000000001</c:v>
                </c:pt>
                <c:pt idx="355">
                  <c:v>102.83166</c:v>
                </c:pt>
                <c:pt idx="356">
                  <c:v>102.91869</c:v>
                </c:pt>
                <c:pt idx="357">
                  <c:v>102.84071</c:v>
                </c:pt>
                <c:pt idx="358">
                  <c:v>102.87099000000001</c:v>
                </c:pt>
                <c:pt idx="359">
                  <c:v>102.84696</c:v>
                </c:pt>
                <c:pt idx="360">
                  <c:v>102.90811000000001</c:v>
                </c:pt>
                <c:pt idx="361">
                  <c:v>102.97794</c:v>
                </c:pt>
                <c:pt idx="362">
                  <c:v>103.03765</c:v>
                </c:pt>
                <c:pt idx="363">
                  <c:v>102.84294</c:v>
                </c:pt>
                <c:pt idx="364">
                  <c:v>102.98002</c:v>
                </c:pt>
                <c:pt idx="365">
                  <c:v>102.8306</c:v>
                </c:pt>
                <c:pt idx="366">
                  <c:v>102.86955</c:v>
                </c:pt>
                <c:pt idx="367">
                  <c:v>102.78056000000001</c:v>
                </c:pt>
                <c:pt idx="368">
                  <c:v>102.88193</c:v>
                </c:pt>
                <c:pt idx="369">
                  <c:v>102.88459</c:v>
                </c:pt>
                <c:pt idx="370">
                  <c:v>102.8622</c:v>
                </c:pt>
                <c:pt idx="371">
                  <c:v>102.86463000000001</c:v>
                </c:pt>
                <c:pt idx="372">
                  <c:v>102.83443</c:v>
                </c:pt>
                <c:pt idx="373">
                  <c:v>102.89379</c:v>
                </c:pt>
                <c:pt idx="374">
                  <c:v>103.02158</c:v>
                </c:pt>
                <c:pt idx="375">
                  <c:v>102.86204000000001</c:v>
                </c:pt>
                <c:pt idx="376">
                  <c:v>102.93130000000001</c:v>
                </c:pt>
                <c:pt idx="377">
                  <c:v>102.89541</c:v>
                </c:pt>
                <c:pt idx="378">
                  <c:v>102.93431</c:v>
                </c:pt>
                <c:pt idx="379">
                  <c:v>102.92391000000001</c:v>
                </c:pt>
                <c:pt idx="380">
                  <c:v>102.97150000000001</c:v>
                </c:pt>
                <c:pt idx="381">
                  <c:v>102.91191000000001</c:v>
                </c:pt>
                <c:pt idx="382">
                  <c:v>102.84265000000001</c:v>
                </c:pt>
                <c:pt idx="383">
                  <c:v>102.919</c:v>
                </c:pt>
                <c:pt idx="384">
                  <c:v>102.85744</c:v>
                </c:pt>
                <c:pt idx="385">
                  <c:v>102.94842</c:v>
                </c:pt>
                <c:pt idx="386">
                  <c:v>102.96497000000001</c:v>
                </c:pt>
                <c:pt idx="387">
                  <c:v>103.04763</c:v>
                </c:pt>
                <c:pt idx="388">
                  <c:v>102.88164</c:v>
                </c:pt>
                <c:pt idx="389">
                  <c:v>102.87223</c:v>
                </c:pt>
                <c:pt idx="390">
                  <c:v>102.99657000000001</c:v>
                </c:pt>
                <c:pt idx="391">
                  <c:v>103.03418000000001</c:v>
                </c:pt>
                <c:pt idx="392">
                  <c:v>103.13123</c:v>
                </c:pt>
                <c:pt idx="393">
                  <c:v>103.06337000000001</c:v>
                </c:pt>
                <c:pt idx="394">
                  <c:v>103.01737</c:v>
                </c:pt>
                <c:pt idx="395">
                  <c:v>103.04656</c:v>
                </c:pt>
                <c:pt idx="396">
                  <c:v>102.93025</c:v>
                </c:pt>
                <c:pt idx="397">
                  <c:v>103.01209</c:v>
                </c:pt>
                <c:pt idx="398">
                  <c:v>103.00081</c:v>
                </c:pt>
                <c:pt idx="399">
                  <c:v>102.89694</c:v>
                </c:pt>
                <c:pt idx="400">
                  <c:v>103.02582</c:v>
                </c:pt>
                <c:pt idx="401">
                  <c:v>103.0033</c:v>
                </c:pt>
                <c:pt idx="402">
                  <c:v>103.01090000000001</c:v>
                </c:pt>
                <c:pt idx="403">
                  <c:v>103.03785000000001</c:v>
                </c:pt>
                <c:pt idx="404">
                  <c:v>102.95034</c:v>
                </c:pt>
                <c:pt idx="405">
                  <c:v>102.99856</c:v>
                </c:pt>
                <c:pt idx="406">
                  <c:v>102.97139</c:v>
                </c:pt>
                <c:pt idx="407">
                  <c:v>103.03229</c:v>
                </c:pt>
                <c:pt idx="408">
                  <c:v>103.01574000000001</c:v>
                </c:pt>
                <c:pt idx="409">
                  <c:v>102.98761</c:v>
                </c:pt>
                <c:pt idx="410">
                  <c:v>102.98069</c:v>
                </c:pt>
                <c:pt idx="411">
                  <c:v>103.06214</c:v>
                </c:pt>
                <c:pt idx="412">
                  <c:v>103.00417</c:v>
                </c:pt>
                <c:pt idx="413">
                  <c:v>103.01623000000001</c:v>
                </c:pt>
                <c:pt idx="414">
                  <c:v>102.95912</c:v>
                </c:pt>
                <c:pt idx="415">
                  <c:v>103.04754</c:v>
                </c:pt>
                <c:pt idx="416">
                  <c:v>103.06007</c:v>
                </c:pt>
                <c:pt idx="417">
                  <c:v>103.09865000000001</c:v>
                </c:pt>
                <c:pt idx="418">
                  <c:v>103.05194</c:v>
                </c:pt>
                <c:pt idx="419">
                  <c:v>103.06987000000001</c:v>
                </c:pt>
                <c:pt idx="420">
                  <c:v>103.11476</c:v>
                </c:pt>
                <c:pt idx="421">
                  <c:v>103.09416</c:v>
                </c:pt>
                <c:pt idx="422">
                  <c:v>103.04937</c:v>
                </c:pt>
                <c:pt idx="423">
                  <c:v>103.04107</c:v>
                </c:pt>
                <c:pt idx="424">
                  <c:v>103.02468</c:v>
                </c:pt>
                <c:pt idx="425">
                  <c:v>103.05309</c:v>
                </c:pt>
                <c:pt idx="426">
                  <c:v>103.14926</c:v>
                </c:pt>
                <c:pt idx="427">
                  <c:v>103.01351</c:v>
                </c:pt>
                <c:pt idx="428">
                  <c:v>102.998</c:v>
                </c:pt>
                <c:pt idx="429">
                  <c:v>103.07415</c:v>
                </c:pt>
                <c:pt idx="430">
                  <c:v>103.059</c:v>
                </c:pt>
                <c:pt idx="431">
                  <c:v>103.1293</c:v>
                </c:pt>
                <c:pt idx="432">
                  <c:v>103.09282</c:v>
                </c:pt>
                <c:pt idx="433">
                  <c:v>103.04810000000001</c:v>
                </c:pt>
                <c:pt idx="434">
                  <c:v>103.17348</c:v>
                </c:pt>
                <c:pt idx="435">
                  <c:v>103.05263000000001</c:v>
                </c:pt>
                <c:pt idx="436">
                  <c:v>103.17899</c:v>
                </c:pt>
                <c:pt idx="437">
                  <c:v>102.99291000000001</c:v>
                </c:pt>
                <c:pt idx="438">
                  <c:v>103.14802</c:v>
                </c:pt>
                <c:pt idx="439">
                  <c:v>103.17584000000001</c:v>
                </c:pt>
                <c:pt idx="440">
                  <c:v>103.17098</c:v>
                </c:pt>
                <c:pt idx="441">
                  <c:v>103.06143</c:v>
                </c:pt>
                <c:pt idx="442">
                  <c:v>103.11677</c:v>
                </c:pt>
                <c:pt idx="443">
                  <c:v>103.11238</c:v>
                </c:pt>
                <c:pt idx="444">
                  <c:v>103.08838</c:v>
                </c:pt>
                <c:pt idx="445">
                  <c:v>103.13420000000001</c:v>
                </c:pt>
                <c:pt idx="446">
                  <c:v>103.17076</c:v>
                </c:pt>
                <c:pt idx="447">
                  <c:v>103.1116</c:v>
                </c:pt>
                <c:pt idx="448">
                  <c:v>103.07561</c:v>
                </c:pt>
                <c:pt idx="449">
                  <c:v>103.06569</c:v>
                </c:pt>
                <c:pt idx="450">
                  <c:v>103.09676</c:v>
                </c:pt>
                <c:pt idx="451">
                  <c:v>103.21904000000001</c:v>
                </c:pt>
                <c:pt idx="452">
                  <c:v>103.02352</c:v>
                </c:pt>
                <c:pt idx="453">
                  <c:v>103.12965</c:v>
                </c:pt>
                <c:pt idx="454">
                  <c:v>103.18632000000001</c:v>
                </c:pt>
                <c:pt idx="455">
                  <c:v>103.1437</c:v>
                </c:pt>
                <c:pt idx="456">
                  <c:v>103.04758</c:v>
                </c:pt>
                <c:pt idx="457">
                  <c:v>103.04411</c:v>
                </c:pt>
                <c:pt idx="458">
                  <c:v>103.08540000000001</c:v>
                </c:pt>
                <c:pt idx="459">
                  <c:v>103.07944000000001</c:v>
                </c:pt>
                <c:pt idx="460">
                  <c:v>103.23784000000001</c:v>
                </c:pt>
                <c:pt idx="461">
                  <c:v>103.15356</c:v>
                </c:pt>
                <c:pt idx="462">
                  <c:v>103.24136</c:v>
                </c:pt>
                <c:pt idx="463">
                  <c:v>103.14074000000001</c:v>
                </c:pt>
                <c:pt idx="464">
                  <c:v>103.17296</c:v>
                </c:pt>
                <c:pt idx="465">
                  <c:v>103.28498</c:v>
                </c:pt>
                <c:pt idx="466">
                  <c:v>103.16086</c:v>
                </c:pt>
                <c:pt idx="467">
                  <c:v>103.18475000000001</c:v>
                </c:pt>
                <c:pt idx="468">
                  <c:v>103.31322</c:v>
                </c:pt>
                <c:pt idx="469">
                  <c:v>103.29789000000001</c:v>
                </c:pt>
                <c:pt idx="470">
                  <c:v>103.18925</c:v>
                </c:pt>
                <c:pt idx="471">
                  <c:v>103.26166000000001</c:v>
                </c:pt>
                <c:pt idx="472">
                  <c:v>103.25832</c:v>
                </c:pt>
                <c:pt idx="473">
                  <c:v>103.27794</c:v>
                </c:pt>
                <c:pt idx="474">
                  <c:v>103.18018000000001</c:v>
                </c:pt>
                <c:pt idx="475">
                  <c:v>103.10289</c:v>
                </c:pt>
                <c:pt idx="476">
                  <c:v>103.18352</c:v>
                </c:pt>
                <c:pt idx="477">
                  <c:v>103.1485</c:v>
                </c:pt>
                <c:pt idx="478">
                  <c:v>103.26073000000001</c:v>
                </c:pt>
                <c:pt idx="479">
                  <c:v>103.09208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21-8F4A-988C-728E3BC0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95423"/>
        <c:axId val="426909375"/>
      </c:scatterChart>
      <c:valAx>
        <c:axId val="57619542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6909375"/>
        <c:crosses val="autoZero"/>
        <c:crossBetween val="midCat"/>
      </c:valAx>
      <c:valAx>
        <c:axId val="42690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7619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Time, linear heating ramp, 600C end, 3K/min, 20% O2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BRF500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Data, BRF500 20% O2'!$AX$4:$AX$333</c:f>
              <c:numCache>
                <c:formatCode>General</c:formatCode>
                <c:ptCount val="3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</c:numCache>
            </c:numRef>
          </c:xVal>
          <c:yVal>
            <c:numRef>
              <c:f>'All Data, BRF500 20% O2'!$AZ$4:$AZ$333</c:f>
              <c:numCache>
                <c:formatCode>0.00000</c:formatCode>
                <c:ptCount val="330"/>
                <c:pt idx="0">
                  <c:v>100</c:v>
                </c:pt>
                <c:pt idx="1">
                  <c:v>100.05611</c:v>
                </c:pt>
                <c:pt idx="2">
                  <c:v>100.01497999999999</c:v>
                </c:pt>
                <c:pt idx="3">
                  <c:v>100.03022</c:v>
                </c:pt>
                <c:pt idx="4">
                  <c:v>100.03959</c:v>
                </c:pt>
                <c:pt idx="5">
                  <c:v>100.05667</c:v>
                </c:pt>
                <c:pt idx="6">
                  <c:v>100.03586</c:v>
                </c:pt>
                <c:pt idx="7">
                  <c:v>99.984120000000004</c:v>
                </c:pt>
                <c:pt idx="8">
                  <c:v>99.974440000000001</c:v>
                </c:pt>
                <c:pt idx="9">
                  <c:v>99.965639999999993</c:v>
                </c:pt>
                <c:pt idx="10">
                  <c:v>99.956869999999995</c:v>
                </c:pt>
                <c:pt idx="11">
                  <c:v>99.903009999999995</c:v>
                </c:pt>
                <c:pt idx="12">
                  <c:v>99.902079999999998</c:v>
                </c:pt>
                <c:pt idx="13">
                  <c:v>99.869450000000001</c:v>
                </c:pt>
                <c:pt idx="14">
                  <c:v>99.851129999999998</c:v>
                </c:pt>
                <c:pt idx="15">
                  <c:v>99.866730000000004</c:v>
                </c:pt>
                <c:pt idx="16">
                  <c:v>99.814849999999993</c:v>
                </c:pt>
                <c:pt idx="17">
                  <c:v>99.799710000000005</c:v>
                </c:pt>
                <c:pt idx="18">
                  <c:v>99.849530000000001</c:v>
                </c:pt>
                <c:pt idx="19">
                  <c:v>99.788290000000003</c:v>
                </c:pt>
                <c:pt idx="20">
                  <c:v>99.78604</c:v>
                </c:pt>
                <c:pt idx="21">
                  <c:v>99.743660000000006</c:v>
                </c:pt>
                <c:pt idx="22">
                  <c:v>99.763019999999997</c:v>
                </c:pt>
                <c:pt idx="23">
                  <c:v>99.71454</c:v>
                </c:pt>
                <c:pt idx="24">
                  <c:v>99.736909999999995</c:v>
                </c:pt>
                <c:pt idx="25">
                  <c:v>99.763360000000006</c:v>
                </c:pt>
                <c:pt idx="26">
                  <c:v>99.720320000000001</c:v>
                </c:pt>
                <c:pt idx="27">
                  <c:v>99.700500000000005</c:v>
                </c:pt>
                <c:pt idx="28">
                  <c:v>99.73245</c:v>
                </c:pt>
                <c:pt idx="29">
                  <c:v>99.691739999999996</c:v>
                </c:pt>
                <c:pt idx="30">
                  <c:v>99.683009999999996</c:v>
                </c:pt>
                <c:pt idx="31">
                  <c:v>99.661760000000001</c:v>
                </c:pt>
                <c:pt idx="32">
                  <c:v>99.675749999999994</c:v>
                </c:pt>
                <c:pt idx="33">
                  <c:v>99.66292</c:v>
                </c:pt>
                <c:pt idx="34">
                  <c:v>99.6601</c:v>
                </c:pt>
                <c:pt idx="35">
                  <c:v>99.619780000000006</c:v>
                </c:pt>
                <c:pt idx="36">
                  <c:v>99.624769999999998</c:v>
                </c:pt>
                <c:pt idx="37">
                  <c:v>99.622100000000003</c:v>
                </c:pt>
                <c:pt idx="38">
                  <c:v>99.66413</c:v>
                </c:pt>
                <c:pt idx="39">
                  <c:v>99.565640000000002</c:v>
                </c:pt>
                <c:pt idx="40">
                  <c:v>99.622929999999997</c:v>
                </c:pt>
                <c:pt idx="41">
                  <c:v>99.613349999999997</c:v>
                </c:pt>
                <c:pt idx="42">
                  <c:v>99.621639999999999</c:v>
                </c:pt>
                <c:pt idx="43">
                  <c:v>99.579449999999994</c:v>
                </c:pt>
                <c:pt idx="44">
                  <c:v>99.608890000000002</c:v>
                </c:pt>
                <c:pt idx="45">
                  <c:v>99.562470000000005</c:v>
                </c:pt>
                <c:pt idx="46">
                  <c:v>99.595100000000002</c:v>
                </c:pt>
                <c:pt idx="47">
                  <c:v>99.593320000000006</c:v>
                </c:pt>
                <c:pt idx="48">
                  <c:v>99.581969999999998</c:v>
                </c:pt>
                <c:pt idx="49">
                  <c:v>99.535299999999992</c:v>
                </c:pt>
                <c:pt idx="50">
                  <c:v>99.558239999999998</c:v>
                </c:pt>
                <c:pt idx="51">
                  <c:v>99.592699999999994</c:v>
                </c:pt>
                <c:pt idx="52">
                  <c:v>99.527469999999994</c:v>
                </c:pt>
                <c:pt idx="53">
                  <c:v>99.547510000000003</c:v>
                </c:pt>
                <c:pt idx="54">
                  <c:v>99.53613</c:v>
                </c:pt>
                <c:pt idx="55">
                  <c:v>99.539150000000006</c:v>
                </c:pt>
                <c:pt idx="56">
                  <c:v>99.53013</c:v>
                </c:pt>
                <c:pt idx="57">
                  <c:v>99.522689999999997</c:v>
                </c:pt>
                <c:pt idx="58">
                  <c:v>99.555710000000005</c:v>
                </c:pt>
                <c:pt idx="59">
                  <c:v>99.491550000000004</c:v>
                </c:pt>
                <c:pt idx="60">
                  <c:v>99.489879999999999</c:v>
                </c:pt>
                <c:pt idx="61">
                  <c:v>99.490039999999993</c:v>
                </c:pt>
                <c:pt idx="62">
                  <c:v>99.515010000000004</c:v>
                </c:pt>
                <c:pt idx="63">
                  <c:v>99.469639999999998</c:v>
                </c:pt>
                <c:pt idx="64">
                  <c:v>99.471990000000005</c:v>
                </c:pt>
                <c:pt idx="65">
                  <c:v>99.478539999999995</c:v>
                </c:pt>
                <c:pt idx="66">
                  <c:v>99.440299999999993</c:v>
                </c:pt>
                <c:pt idx="67">
                  <c:v>99.405439999999999</c:v>
                </c:pt>
                <c:pt idx="68">
                  <c:v>99.409679999999994</c:v>
                </c:pt>
                <c:pt idx="69">
                  <c:v>99.371430000000004</c:v>
                </c:pt>
                <c:pt idx="70">
                  <c:v>99.388490000000004</c:v>
                </c:pt>
                <c:pt idx="71">
                  <c:v>99.379739999999998</c:v>
                </c:pt>
                <c:pt idx="72">
                  <c:v>99.370400000000004</c:v>
                </c:pt>
                <c:pt idx="73">
                  <c:v>99.327119999999994</c:v>
                </c:pt>
                <c:pt idx="74">
                  <c:v>99.357770000000002</c:v>
                </c:pt>
                <c:pt idx="75">
                  <c:v>99.333169999999996</c:v>
                </c:pt>
                <c:pt idx="76">
                  <c:v>99.334980000000002</c:v>
                </c:pt>
                <c:pt idx="77">
                  <c:v>99.332859999999997</c:v>
                </c:pt>
                <c:pt idx="78">
                  <c:v>99.323499999999996</c:v>
                </c:pt>
                <c:pt idx="79">
                  <c:v>99.309550000000002</c:v>
                </c:pt>
                <c:pt idx="80">
                  <c:v>99.194900000000004</c:v>
                </c:pt>
                <c:pt idx="81">
                  <c:v>99.180369999999996</c:v>
                </c:pt>
                <c:pt idx="82">
                  <c:v>99.216369999999998</c:v>
                </c:pt>
                <c:pt idx="83">
                  <c:v>99.168430000000001</c:v>
                </c:pt>
                <c:pt idx="84">
                  <c:v>99.21566</c:v>
                </c:pt>
                <c:pt idx="85">
                  <c:v>99.186070000000001</c:v>
                </c:pt>
                <c:pt idx="86">
                  <c:v>99.096220000000002</c:v>
                </c:pt>
                <c:pt idx="87">
                  <c:v>99.099620000000002</c:v>
                </c:pt>
                <c:pt idx="88">
                  <c:v>99.067629999999994</c:v>
                </c:pt>
                <c:pt idx="89">
                  <c:v>99.034260000000003</c:v>
                </c:pt>
                <c:pt idx="90">
                  <c:v>99.040779999999998</c:v>
                </c:pt>
                <c:pt idx="91">
                  <c:v>98.958339999999993</c:v>
                </c:pt>
                <c:pt idx="92">
                  <c:v>98.968400000000003</c:v>
                </c:pt>
                <c:pt idx="93">
                  <c:v>98.917910000000006</c:v>
                </c:pt>
                <c:pt idx="94">
                  <c:v>98.87715</c:v>
                </c:pt>
                <c:pt idx="95">
                  <c:v>98.844710000000006</c:v>
                </c:pt>
                <c:pt idx="96">
                  <c:v>98.845820000000003</c:v>
                </c:pt>
                <c:pt idx="97">
                  <c:v>98.761790000000005</c:v>
                </c:pt>
                <c:pt idx="98">
                  <c:v>98.736490000000003</c:v>
                </c:pt>
                <c:pt idx="99">
                  <c:v>98.617379999999997</c:v>
                </c:pt>
                <c:pt idx="100">
                  <c:v>98.640109999999993</c:v>
                </c:pt>
                <c:pt idx="101">
                  <c:v>98.530900000000003</c:v>
                </c:pt>
                <c:pt idx="102">
                  <c:v>98.499549999999999</c:v>
                </c:pt>
                <c:pt idx="103">
                  <c:v>98.502079999999992</c:v>
                </c:pt>
                <c:pt idx="104">
                  <c:v>98.38279</c:v>
                </c:pt>
                <c:pt idx="105">
                  <c:v>98.330399999999997</c:v>
                </c:pt>
                <c:pt idx="106">
                  <c:v>98.246719999999996</c:v>
                </c:pt>
                <c:pt idx="107">
                  <c:v>98.216610000000003</c:v>
                </c:pt>
                <c:pt idx="108">
                  <c:v>98.119780000000006</c:v>
                </c:pt>
                <c:pt idx="109">
                  <c:v>98.052030000000002</c:v>
                </c:pt>
                <c:pt idx="110">
                  <c:v>97.958219999999997</c:v>
                </c:pt>
                <c:pt idx="111">
                  <c:v>97.845889999999997</c:v>
                </c:pt>
                <c:pt idx="112">
                  <c:v>97.774699999999996</c:v>
                </c:pt>
                <c:pt idx="113">
                  <c:v>97.704920000000001</c:v>
                </c:pt>
                <c:pt idx="114">
                  <c:v>97.587950000000006</c:v>
                </c:pt>
                <c:pt idx="115">
                  <c:v>97.536410000000004</c:v>
                </c:pt>
                <c:pt idx="116">
                  <c:v>97.428839999999994</c:v>
                </c:pt>
                <c:pt idx="117">
                  <c:v>97.309470000000005</c:v>
                </c:pt>
                <c:pt idx="118">
                  <c:v>97.196860000000001</c:v>
                </c:pt>
                <c:pt idx="119">
                  <c:v>97.068830000000005</c:v>
                </c:pt>
                <c:pt idx="120">
                  <c:v>96.970100000000002</c:v>
                </c:pt>
                <c:pt idx="121">
                  <c:v>96.810569999999998</c:v>
                </c:pt>
                <c:pt idx="122">
                  <c:v>96.583889999999997</c:v>
                </c:pt>
                <c:pt idx="123">
                  <c:v>96.529089999999997</c:v>
                </c:pt>
                <c:pt idx="124">
                  <c:v>96.357849999999999</c:v>
                </c:pt>
                <c:pt idx="125">
                  <c:v>96.161640000000006</c:v>
                </c:pt>
                <c:pt idx="126">
                  <c:v>96.037300000000002</c:v>
                </c:pt>
                <c:pt idx="127">
                  <c:v>95.858099999999993</c:v>
                </c:pt>
                <c:pt idx="128">
                  <c:v>95.602779999999996</c:v>
                </c:pt>
                <c:pt idx="129">
                  <c:v>95.361679999999993</c:v>
                </c:pt>
                <c:pt idx="130">
                  <c:v>95.17895</c:v>
                </c:pt>
                <c:pt idx="131">
                  <c:v>94.988839999999996</c:v>
                </c:pt>
                <c:pt idx="132">
                  <c:v>94.733440000000002</c:v>
                </c:pt>
                <c:pt idx="133">
                  <c:v>94.420490000000001</c:v>
                </c:pt>
                <c:pt idx="134">
                  <c:v>94.188249999999996</c:v>
                </c:pt>
                <c:pt idx="135">
                  <c:v>93.884770000000003</c:v>
                </c:pt>
                <c:pt idx="136">
                  <c:v>93.667439999999999</c:v>
                </c:pt>
                <c:pt idx="137">
                  <c:v>93.26688</c:v>
                </c:pt>
                <c:pt idx="138">
                  <c:v>92.877129999999994</c:v>
                </c:pt>
                <c:pt idx="139">
                  <c:v>92.485339999999994</c:v>
                </c:pt>
                <c:pt idx="140">
                  <c:v>92.142799999999994</c:v>
                </c:pt>
                <c:pt idx="141">
                  <c:v>91.688999999999993</c:v>
                </c:pt>
                <c:pt idx="142">
                  <c:v>91.297250000000005</c:v>
                </c:pt>
                <c:pt idx="143">
                  <c:v>90.753870000000006</c:v>
                </c:pt>
                <c:pt idx="144">
                  <c:v>90.369029999999995</c:v>
                </c:pt>
                <c:pt idx="145">
                  <c:v>89.917060000000006</c:v>
                </c:pt>
                <c:pt idx="146">
                  <c:v>89.355459999999994</c:v>
                </c:pt>
                <c:pt idx="147">
                  <c:v>88.770529999999994</c:v>
                </c:pt>
                <c:pt idx="148">
                  <c:v>88.236009999999993</c:v>
                </c:pt>
                <c:pt idx="149">
                  <c:v>87.505110000000002</c:v>
                </c:pt>
                <c:pt idx="150">
                  <c:v>86.861919999999998</c:v>
                </c:pt>
                <c:pt idx="151">
                  <c:v>86.090379999999996</c:v>
                </c:pt>
                <c:pt idx="152">
                  <c:v>85.375020000000006</c:v>
                </c:pt>
                <c:pt idx="153">
                  <c:v>84.558199999999999</c:v>
                </c:pt>
                <c:pt idx="154">
                  <c:v>83.745429999999999</c:v>
                </c:pt>
                <c:pt idx="155">
                  <c:v>82.891829999999999</c:v>
                </c:pt>
                <c:pt idx="156">
                  <c:v>82.009829999999994</c:v>
                </c:pt>
                <c:pt idx="157">
                  <c:v>81.090419999999995</c:v>
                </c:pt>
                <c:pt idx="158">
                  <c:v>79.95035</c:v>
                </c:pt>
                <c:pt idx="159">
                  <c:v>78.839190000000002</c:v>
                </c:pt>
                <c:pt idx="160">
                  <c:v>77.829279999999997</c:v>
                </c:pt>
                <c:pt idx="161">
                  <c:v>76.629639999999995</c:v>
                </c:pt>
                <c:pt idx="162">
                  <c:v>75.416719999999998</c:v>
                </c:pt>
                <c:pt idx="163">
                  <c:v>74.275819999999996</c:v>
                </c:pt>
                <c:pt idx="164">
                  <c:v>72.933300000000003</c:v>
                </c:pt>
                <c:pt idx="165">
                  <c:v>71.627139999999997</c:v>
                </c:pt>
                <c:pt idx="166">
                  <c:v>70.200360000000003</c:v>
                </c:pt>
                <c:pt idx="167">
                  <c:v>69.048450000000003</c:v>
                </c:pt>
                <c:pt idx="168">
                  <c:v>67.727230000000006</c:v>
                </c:pt>
                <c:pt idx="169">
                  <c:v>66.366960000000006</c:v>
                </c:pt>
                <c:pt idx="170">
                  <c:v>65.052419999999998</c:v>
                </c:pt>
                <c:pt idx="171">
                  <c:v>63.75591</c:v>
                </c:pt>
                <c:pt idx="172">
                  <c:v>62.611519999999999</c:v>
                </c:pt>
                <c:pt idx="173">
                  <c:v>61.447600000000001</c:v>
                </c:pt>
                <c:pt idx="174">
                  <c:v>60.386839999999999</c:v>
                </c:pt>
                <c:pt idx="175">
                  <c:v>59.442779999999999</c:v>
                </c:pt>
                <c:pt idx="176">
                  <c:v>58.611789999999999</c:v>
                </c:pt>
                <c:pt idx="177">
                  <c:v>57.843780000000002</c:v>
                </c:pt>
                <c:pt idx="178">
                  <c:v>57.144390000000001</c:v>
                </c:pt>
                <c:pt idx="179">
                  <c:v>56.56776</c:v>
                </c:pt>
                <c:pt idx="180">
                  <c:v>56.010950000000001</c:v>
                </c:pt>
                <c:pt idx="181">
                  <c:v>55.442500000000003</c:v>
                </c:pt>
                <c:pt idx="182">
                  <c:v>55.013750000000002</c:v>
                </c:pt>
                <c:pt idx="183">
                  <c:v>54.586660000000002</c:v>
                </c:pt>
                <c:pt idx="184">
                  <c:v>54.180790000000002</c:v>
                </c:pt>
                <c:pt idx="185">
                  <c:v>53.827779999999997</c:v>
                </c:pt>
                <c:pt idx="186">
                  <c:v>53.47522</c:v>
                </c:pt>
                <c:pt idx="187">
                  <c:v>53.097569999999997</c:v>
                </c:pt>
                <c:pt idx="188">
                  <c:v>52.795180000000002</c:v>
                </c:pt>
                <c:pt idx="189">
                  <c:v>52.451729999999998</c:v>
                </c:pt>
                <c:pt idx="190">
                  <c:v>52.06174</c:v>
                </c:pt>
                <c:pt idx="191">
                  <c:v>51.728429999999996</c:v>
                </c:pt>
                <c:pt idx="192">
                  <c:v>51.477679999999999</c:v>
                </c:pt>
                <c:pt idx="193">
                  <c:v>51.099870000000003</c:v>
                </c:pt>
                <c:pt idx="194">
                  <c:v>50.529859999999999</c:v>
                </c:pt>
                <c:pt idx="195">
                  <c:v>50.055030000000002</c:v>
                </c:pt>
                <c:pt idx="196">
                  <c:v>49.475560000000002</c:v>
                </c:pt>
                <c:pt idx="197">
                  <c:v>48.947359999999996</c:v>
                </c:pt>
                <c:pt idx="198">
                  <c:v>48.29533</c:v>
                </c:pt>
                <c:pt idx="199">
                  <c:v>47.768920000000001</c:v>
                </c:pt>
                <c:pt idx="200">
                  <c:v>46.922869999999996</c:v>
                </c:pt>
                <c:pt idx="201">
                  <c:v>46.491579999999999</c:v>
                </c:pt>
                <c:pt idx="202">
                  <c:v>46.117280000000001</c:v>
                </c:pt>
                <c:pt idx="203">
                  <c:v>45.519080000000002</c:v>
                </c:pt>
                <c:pt idx="204">
                  <c:v>45.126989999999999</c:v>
                </c:pt>
                <c:pt idx="205">
                  <c:v>44.837110000000003</c:v>
                </c:pt>
                <c:pt idx="206">
                  <c:v>44.584600000000002</c:v>
                </c:pt>
                <c:pt idx="207">
                  <c:v>44.331469999999996</c:v>
                </c:pt>
                <c:pt idx="208">
                  <c:v>44.177790000000002</c:v>
                </c:pt>
                <c:pt idx="209">
                  <c:v>43.96134</c:v>
                </c:pt>
                <c:pt idx="210">
                  <c:v>43.82788</c:v>
                </c:pt>
                <c:pt idx="211">
                  <c:v>43.641759999999998</c:v>
                </c:pt>
                <c:pt idx="212">
                  <c:v>43.57199</c:v>
                </c:pt>
                <c:pt idx="213">
                  <c:v>43.421599999999998</c:v>
                </c:pt>
                <c:pt idx="214">
                  <c:v>43.451729999999998</c:v>
                </c:pt>
                <c:pt idx="215">
                  <c:v>43.269739999999999</c:v>
                </c:pt>
                <c:pt idx="216">
                  <c:v>43.232770000000002</c:v>
                </c:pt>
                <c:pt idx="217">
                  <c:v>43.198329999999999</c:v>
                </c:pt>
                <c:pt idx="218">
                  <c:v>43.064549999999997</c:v>
                </c:pt>
                <c:pt idx="219">
                  <c:v>42.942189999999997</c:v>
                </c:pt>
                <c:pt idx="220">
                  <c:v>43.00318</c:v>
                </c:pt>
                <c:pt idx="221">
                  <c:v>42.744459999999997</c:v>
                </c:pt>
                <c:pt idx="222">
                  <c:v>42.84545</c:v>
                </c:pt>
                <c:pt idx="223">
                  <c:v>42.672489999999996</c:v>
                </c:pt>
                <c:pt idx="224">
                  <c:v>42.702809999999999</c:v>
                </c:pt>
                <c:pt idx="225">
                  <c:v>42.501640000000002</c:v>
                </c:pt>
                <c:pt idx="226">
                  <c:v>42.519019999999998</c:v>
                </c:pt>
                <c:pt idx="227">
                  <c:v>42.46</c:v>
                </c:pt>
                <c:pt idx="228">
                  <c:v>42.448549999999997</c:v>
                </c:pt>
                <c:pt idx="229">
                  <c:v>42.41046</c:v>
                </c:pt>
                <c:pt idx="230">
                  <c:v>42.271140000000003</c:v>
                </c:pt>
                <c:pt idx="231">
                  <c:v>42.314239999999998</c:v>
                </c:pt>
                <c:pt idx="232">
                  <c:v>42.225709999999999</c:v>
                </c:pt>
                <c:pt idx="233">
                  <c:v>42.15578</c:v>
                </c:pt>
                <c:pt idx="234">
                  <c:v>42.177</c:v>
                </c:pt>
                <c:pt idx="235">
                  <c:v>42.009619999999998</c:v>
                </c:pt>
                <c:pt idx="236">
                  <c:v>42.155569999999997</c:v>
                </c:pt>
                <c:pt idx="237">
                  <c:v>41.878219999999999</c:v>
                </c:pt>
                <c:pt idx="238">
                  <c:v>41.790669999999999</c:v>
                </c:pt>
                <c:pt idx="239">
                  <c:v>41.89723</c:v>
                </c:pt>
                <c:pt idx="240">
                  <c:v>41.879519999999999</c:v>
                </c:pt>
                <c:pt idx="241">
                  <c:v>41.812370000000001</c:v>
                </c:pt>
                <c:pt idx="242">
                  <c:v>41.862929999999999</c:v>
                </c:pt>
                <c:pt idx="243">
                  <c:v>41.812979999999996</c:v>
                </c:pt>
                <c:pt idx="244">
                  <c:v>41.854770000000002</c:v>
                </c:pt>
                <c:pt idx="245">
                  <c:v>41.72157</c:v>
                </c:pt>
                <c:pt idx="246">
                  <c:v>41.692309999999999</c:v>
                </c:pt>
                <c:pt idx="247">
                  <c:v>41.682380000000002</c:v>
                </c:pt>
                <c:pt idx="248">
                  <c:v>41.68685</c:v>
                </c:pt>
                <c:pt idx="249">
                  <c:v>41.739309999999996</c:v>
                </c:pt>
                <c:pt idx="250">
                  <c:v>41.550919999999998</c:v>
                </c:pt>
                <c:pt idx="251">
                  <c:v>41.60022</c:v>
                </c:pt>
                <c:pt idx="252">
                  <c:v>41.584939999999996</c:v>
                </c:pt>
                <c:pt idx="253">
                  <c:v>41.64481</c:v>
                </c:pt>
                <c:pt idx="254">
                  <c:v>41.465490000000003</c:v>
                </c:pt>
                <c:pt idx="255">
                  <c:v>41.619869999999999</c:v>
                </c:pt>
                <c:pt idx="256">
                  <c:v>41.504170000000002</c:v>
                </c:pt>
                <c:pt idx="257">
                  <c:v>41.54636</c:v>
                </c:pt>
                <c:pt idx="258">
                  <c:v>41.521599999999999</c:v>
                </c:pt>
                <c:pt idx="259">
                  <c:v>41.384360000000001</c:v>
                </c:pt>
                <c:pt idx="260">
                  <c:v>41.472679999999997</c:v>
                </c:pt>
                <c:pt idx="261">
                  <c:v>41.44182</c:v>
                </c:pt>
                <c:pt idx="262">
                  <c:v>41.359339999999996</c:v>
                </c:pt>
                <c:pt idx="263">
                  <c:v>41.385480000000001</c:v>
                </c:pt>
                <c:pt idx="264">
                  <c:v>41.391649999999998</c:v>
                </c:pt>
                <c:pt idx="265">
                  <c:v>41.456479999999999</c:v>
                </c:pt>
                <c:pt idx="266">
                  <c:v>41.340249999999997</c:v>
                </c:pt>
                <c:pt idx="267">
                  <c:v>41.329700000000003</c:v>
                </c:pt>
                <c:pt idx="268">
                  <c:v>41.257390000000001</c:v>
                </c:pt>
                <c:pt idx="269">
                  <c:v>41.258749999999999</c:v>
                </c:pt>
                <c:pt idx="270">
                  <c:v>41.249499999999998</c:v>
                </c:pt>
                <c:pt idx="271">
                  <c:v>41.312339999999999</c:v>
                </c:pt>
                <c:pt idx="272">
                  <c:v>41.252400000000002</c:v>
                </c:pt>
                <c:pt idx="273">
                  <c:v>41.224150000000002</c:v>
                </c:pt>
                <c:pt idx="274">
                  <c:v>41.237319999999997</c:v>
                </c:pt>
                <c:pt idx="275">
                  <c:v>41.243499999999997</c:v>
                </c:pt>
                <c:pt idx="276">
                  <c:v>41.322279999999999</c:v>
                </c:pt>
                <c:pt idx="277">
                  <c:v>41.159599999999998</c:v>
                </c:pt>
                <c:pt idx="278">
                  <c:v>41.077030000000001</c:v>
                </c:pt>
                <c:pt idx="279">
                  <c:v>41.147179999999999</c:v>
                </c:pt>
                <c:pt idx="280">
                  <c:v>41.081569999999999</c:v>
                </c:pt>
                <c:pt idx="281">
                  <c:v>41.039699999999996</c:v>
                </c:pt>
                <c:pt idx="282">
                  <c:v>41.015050000000002</c:v>
                </c:pt>
                <c:pt idx="283">
                  <c:v>41.068860000000001</c:v>
                </c:pt>
                <c:pt idx="284">
                  <c:v>41.075969999999998</c:v>
                </c:pt>
                <c:pt idx="285">
                  <c:v>41.022550000000003</c:v>
                </c:pt>
                <c:pt idx="286">
                  <c:v>40.980739999999997</c:v>
                </c:pt>
                <c:pt idx="287">
                  <c:v>41.007530000000003</c:v>
                </c:pt>
                <c:pt idx="288">
                  <c:v>40.970489999999998</c:v>
                </c:pt>
                <c:pt idx="289">
                  <c:v>40.992350000000002</c:v>
                </c:pt>
                <c:pt idx="290">
                  <c:v>40.942070000000001</c:v>
                </c:pt>
                <c:pt idx="291">
                  <c:v>40.885089999999998</c:v>
                </c:pt>
                <c:pt idx="292">
                  <c:v>40.831200000000003</c:v>
                </c:pt>
                <c:pt idx="293">
                  <c:v>40.914380000000001</c:v>
                </c:pt>
                <c:pt idx="294">
                  <c:v>40.875459999999997</c:v>
                </c:pt>
                <c:pt idx="295">
                  <c:v>40.771900000000002</c:v>
                </c:pt>
                <c:pt idx="296">
                  <c:v>40.789119999999997</c:v>
                </c:pt>
                <c:pt idx="297">
                  <c:v>40.641190000000002</c:v>
                </c:pt>
                <c:pt idx="298">
                  <c:v>40.715159999999997</c:v>
                </c:pt>
                <c:pt idx="299">
                  <c:v>40.677070000000001</c:v>
                </c:pt>
                <c:pt idx="300">
                  <c:v>40.683979999999998</c:v>
                </c:pt>
                <c:pt idx="301">
                  <c:v>40.70937</c:v>
                </c:pt>
                <c:pt idx="302">
                  <c:v>40.6755</c:v>
                </c:pt>
                <c:pt idx="303">
                  <c:v>40.670459999999999</c:v>
                </c:pt>
                <c:pt idx="304">
                  <c:v>40.68591</c:v>
                </c:pt>
                <c:pt idx="305">
                  <c:v>40.600650000000002</c:v>
                </c:pt>
                <c:pt idx="306">
                  <c:v>40.696950000000001</c:v>
                </c:pt>
                <c:pt idx="307">
                  <c:v>40.602460000000001</c:v>
                </c:pt>
                <c:pt idx="308">
                  <c:v>40.558860000000003</c:v>
                </c:pt>
                <c:pt idx="309">
                  <c:v>40.506610000000002</c:v>
                </c:pt>
                <c:pt idx="310">
                  <c:v>40.482869999999998</c:v>
                </c:pt>
                <c:pt idx="311">
                  <c:v>40.533879999999996</c:v>
                </c:pt>
                <c:pt idx="312">
                  <c:v>40.547669999999997</c:v>
                </c:pt>
                <c:pt idx="313">
                  <c:v>40.494689999999999</c:v>
                </c:pt>
                <c:pt idx="314">
                  <c:v>40.452069999999999</c:v>
                </c:pt>
                <c:pt idx="315">
                  <c:v>40.412019999999998</c:v>
                </c:pt>
                <c:pt idx="316">
                  <c:v>40.430329999999998</c:v>
                </c:pt>
                <c:pt idx="317">
                  <c:v>40.42568</c:v>
                </c:pt>
                <c:pt idx="318">
                  <c:v>40.425269999999998</c:v>
                </c:pt>
                <c:pt idx="319">
                  <c:v>40.370139999999999</c:v>
                </c:pt>
                <c:pt idx="320">
                  <c:v>40.315799999999996</c:v>
                </c:pt>
                <c:pt idx="321">
                  <c:v>40.312759999999997</c:v>
                </c:pt>
                <c:pt idx="322">
                  <c:v>40.364240000000002</c:v>
                </c:pt>
                <c:pt idx="323">
                  <c:v>40.330759999999998</c:v>
                </c:pt>
                <c:pt idx="324">
                  <c:v>40.245159999999998</c:v>
                </c:pt>
                <c:pt idx="325">
                  <c:v>40.473930000000003</c:v>
                </c:pt>
                <c:pt idx="326">
                  <c:v>40.298690000000001</c:v>
                </c:pt>
                <c:pt idx="327">
                  <c:v>40.348370000000003</c:v>
                </c:pt>
                <c:pt idx="328">
                  <c:v>40.230919999999998</c:v>
                </c:pt>
                <c:pt idx="329">
                  <c:v>40.191069999999996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EC-4E49-A95D-04508509B23C}"/>
            </c:ext>
          </c:extLst>
        </c:ser>
        <c:ser>
          <c:idx val="1"/>
          <c:order val="1"/>
          <c:tx>
            <c:v>WS500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Data, WS500 20% O2'!$AS$6:$AS$335</c:f>
              <c:numCache>
                <c:formatCode>General</c:formatCode>
                <c:ptCount val="3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</c:numCache>
            </c:numRef>
          </c:xVal>
          <c:yVal>
            <c:numRef>
              <c:f>'All Data, WS500 20% O2'!$AU$6:$AU$335</c:f>
              <c:numCache>
                <c:formatCode>0.00000</c:formatCode>
                <c:ptCount val="330"/>
                <c:pt idx="0">
                  <c:v>100</c:v>
                </c:pt>
                <c:pt idx="1">
                  <c:v>100.01123</c:v>
                </c:pt>
                <c:pt idx="2">
                  <c:v>99.999389999999991</c:v>
                </c:pt>
                <c:pt idx="3">
                  <c:v>99.989519999999999</c:v>
                </c:pt>
                <c:pt idx="4">
                  <c:v>99.979590000000002</c:v>
                </c:pt>
                <c:pt idx="5">
                  <c:v>100.00457</c:v>
                </c:pt>
                <c:pt idx="6">
                  <c:v>99.989930000000001</c:v>
                </c:pt>
                <c:pt idx="7">
                  <c:v>99.965919999999997</c:v>
                </c:pt>
                <c:pt idx="8">
                  <c:v>99.972439999999992</c:v>
                </c:pt>
                <c:pt idx="9">
                  <c:v>99.96069</c:v>
                </c:pt>
                <c:pt idx="10">
                  <c:v>99.96356999999999</c:v>
                </c:pt>
                <c:pt idx="11">
                  <c:v>99.944419999999994</c:v>
                </c:pt>
                <c:pt idx="12">
                  <c:v>99.94641</c:v>
                </c:pt>
                <c:pt idx="13">
                  <c:v>99.921199999999999</c:v>
                </c:pt>
                <c:pt idx="14">
                  <c:v>99.909549999999996</c:v>
                </c:pt>
                <c:pt idx="15">
                  <c:v>99.935329999999993</c:v>
                </c:pt>
                <c:pt idx="16">
                  <c:v>99.930070000000001</c:v>
                </c:pt>
                <c:pt idx="17">
                  <c:v>99.917239999999993</c:v>
                </c:pt>
                <c:pt idx="18">
                  <c:v>99.942729999999997</c:v>
                </c:pt>
                <c:pt idx="19">
                  <c:v>99.9071</c:v>
                </c:pt>
                <c:pt idx="20">
                  <c:v>99.907989999999998</c:v>
                </c:pt>
                <c:pt idx="21">
                  <c:v>99.887990000000002</c:v>
                </c:pt>
                <c:pt idx="22">
                  <c:v>99.895319999999998</c:v>
                </c:pt>
                <c:pt idx="23">
                  <c:v>99.892420000000001</c:v>
                </c:pt>
                <c:pt idx="24">
                  <c:v>99.883369999999999</c:v>
                </c:pt>
                <c:pt idx="25">
                  <c:v>99.898949999999999</c:v>
                </c:pt>
                <c:pt idx="26">
                  <c:v>99.876170000000002</c:v>
                </c:pt>
                <c:pt idx="27">
                  <c:v>99.886969999999991</c:v>
                </c:pt>
                <c:pt idx="28">
                  <c:v>99.902069999999995</c:v>
                </c:pt>
                <c:pt idx="29">
                  <c:v>99.877539999999996</c:v>
                </c:pt>
                <c:pt idx="30">
                  <c:v>99.892679999999999</c:v>
                </c:pt>
                <c:pt idx="31">
                  <c:v>99.875829999999993</c:v>
                </c:pt>
                <c:pt idx="32">
                  <c:v>99.884599999999992</c:v>
                </c:pt>
                <c:pt idx="33">
                  <c:v>99.869979999999998</c:v>
                </c:pt>
                <c:pt idx="34">
                  <c:v>99.874849999999995</c:v>
                </c:pt>
                <c:pt idx="35">
                  <c:v>99.871650000000002</c:v>
                </c:pt>
                <c:pt idx="36">
                  <c:v>99.863829999999993</c:v>
                </c:pt>
                <c:pt idx="37">
                  <c:v>99.871759999999995</c:v>
                </c:pt>
                <c:pt idx="38">
                  <c:v>99.902630000000002</c:v>
                </c:pt>
                <c:pt idx="39">
                  <c:v>99.866669999999999</c:v>
                </c:pt>
                <c:pt idx="40">
                  <c:v>99.863519999999994</c:v>
                </c:pt>
                <c:pt idx="41">
                  <c:v>99.860579999999999</c:v>
                </c:pt>
                <c:pt idx="42">
                  <c:v>99.862459999999999</c:v>
                </c:pt>
                <c:pt idx="43">
                  <c:v>99.866709999999998</c:v>
                </c:pt>
                <c:pt idx="44">
                  <c:v>99.881979999999999</c:v>
                </c:pt>
                <c:pt idx="45">
                  <c:v>99.859729999999999</c:v>
                </c:pt>
                <c:pt idx="46">
                  <c:v>99.86869999999999</c:v>
                </c:pt>
                <c:pt idx="47">
                  <c:v>99.861729999999994</c:v>
                </c:pt>
                <c:pt idx="48">
                  <c:v>99.874690000000001</c:v>
                </c:pt>
                <c:pt idx="49">
                  <c:v>99.876939999999991</c:v>
                </c:pt>
                <c:pt idx="50">
                  <c:v>99.868470000000002</c:v>
                </c:pt>
                <c:pt idx="51">
                  <c:v>99.852549999999994</c:v>
                </c:pt>
                <c:pt idx="52">
                  <c:v>99.856169999999992</c:v>
                </c:pt>
                <c:pt idx="53">
                  <c:v>99.867329999999995</c:v>
                </c:pt>
                <c:pt idx="54">
                  <c:v>99.825729999999993</c:v>
                </c:pt>
                <c:pt idx="55">
                  <c:v>99.85427</c:v>
                </c:pt>
                <c:pt idx="56">
                  <c:v>99.857320000000001</c:v>
                </c:pt>
                <c:pt idx="57">
                  <c:v>99.852419999999995</c:v>
                </c:pt>
                <c:pt idx="58">
                  <c:v>99.869410000000002</c:v>
                </c:pt>
                <c:pt idx="59">
                  <c:v>99.850909999999999</c:v>
                </c:pt>
                <c:pt idx="60">
                  <c:v>99.84648</c:v>
                </c:pt>
                <c:pt idx="61">
                  <c:v>99.850439999999992</c:v>
                </c:pt>
                <c:pt idx="62">
                  <c:v>99.852149999999995</c:v>
                </c:pt>
                <c:pt idx="63">
                  <c:v>99.852459999999994</c:v>
                </c:pt>
                <c:pt idx="64">
                  <c:v>99.838200000000001</c:v>
                </c:pt>
                <c:pt idx="65">
                  <c:v>99.85821</c:v>
                </c:pt>
                <c:pt idx="66">
                  <c:v>99.85141999999999</c:v>
                </c:pt>
                <c:pt idx="67">
                  <c:v>99.866050000000001</c:v>
                </c:pt>
                <c:pt idx="68">
                  <c:v>99.844619999999992</c:v>
                </c:pt>
                <c:pt idx="69">
                  <c:v>99.850859999999997</c:v>
                </c:pt>
                <c:pt idx="70">
                  <c:v>99.842590000000001</c:v>
                </c:pt>
                <c:pt idx="71">
                  <c:v>99.850399999999993</c:v>
                </c:pt>
                <c:pt idx="72">
                  <c:v>99.842280000000002</c:v>
                </c:pt>
                <c:pt idx="73">
                  <c:v>99.839059999999989</c:v>
                </c:pt>
                <c:pt idx="74">
                  <c:v>99.860659999999996</c:v>
                </c:pt>
                <c:pt idx="75">
                  <c:v>99.864069999999998</c:v>
                </c:pt>
                <c:pt idx="76">
                  <c:v>99.854609999999994</c:v>
                </c:pt>
                <c:pt idx="77">
                  <c:v>99.860500000000002</c:v>
                </c:pt>
                <c:pt idx="78">
                  <c:v>99.86672999999999</c:v>
                </c:pt>
                <c:pt idx="79">
                  <c:v>99.872649999999993</c:v>
                </c:pt>
                <c:pt idx="80">
                  <c:v>99.822839999999999</c:v>
                </c:pt>
                <c:pt idx="81">
                  <c:v>99.862299999999991</c:v>
                </c:pt>
                <c:pt idx="82">
                  <c:v>99.847259999999991</c:v>
                </c:pt>
                <c:pt idx="83">
                  <c:v>99.852249999999998</c:v>
                </c:pt>
                <c:pt idx="84">
                  <c:v>99.872810000000001</c:v>
                </c:pt>
                <c:pt idx="85">
                  <c:v>99.865369999999999</c:v>
                </c:pt>
                <c:pt idx="86">
                  <c:v>99.856699999999989</c:v>
                </c:pt>
                <c:pt idx="87">
                  <c:v>99.876069999999999</c:v>
                </c:pt>
                <c:pt idx="88">
                  <c:v>99.837189999999993</c:v>
                </c:pt>
                <c:pt idx="89">
                  <c:v>99.837549999999993</c:v>
                </c:pt>
                <c:pt idx="90">
                  <c:v>99.834980000000002</c:v>
                </c:pt>
                <c:pt idx="91">
                  <c:v>99.842439999999996</c:v>
                </c:pt>
                <c:pt idx="92">
                  <c:v>99.842280000000002</c:v>
                </c:pt>
                <c:pt idx="93">
                  <c:v>99.860509999999991</c:v>
                </c:pt>
                <c:pt idx="94">
                  <c:v>99.856369999999998</c:v>
                </c:pt>
                <c:pt idx="95">
                  <c:v>99.843949999999992</c:v>
                </c:pt>
                <c:pt idx="96">
                  <c:v>99.854509999999991</c:v>
                </c:pt>
                <c:pt idx="97">
                  <c:v>99.829879999999989</c:v>
                </c:pt>
                <c:pt idx="98">
                  <c:v>99.820790000000002</c:v>
                </c:pt>
                <c:pt idx="99">
                  <c:v>99.836299999999994</c:v>
                </c:pt>
                <c:pt idx="100">
                  <c:v>99.833999999999989</c:v>
                </c:pt>
                <c:pt idx="101">
                  <c:v>99.828249999999997</c:v>
                </c:pt>
                <c:pt idx="102">
                  <c:v>99.811019999999999</c:v>
                </c:pt>
                <c:pt idx="103">
                  <c:v>99.862729999999999</c:v>
                </c:pt>
                <c:pt idx="104">
                  <c:v>99.79889</c:v>
                </c:pt>
                <c:pt idx="105">
                  <c:v>99.79665</c:v>
                </c:pt>
                <c:pt idx="106">
                  <c:v>99.791929999999994</c:v>
                </c:pt>
                <c:pt idx="107">
                  <c:v>99.784610000000001</c:v>
                </c:pt>
                <c:pt idx="108">
                  <c:v>99.768969999999996</c:v>
                </c:pt>
                <c:pt idx="109">
                  <c:v>99.762839999999997</c:v>
                </c:pt>
                <c:pt idx="110">
                  <c:v>99.747069999999994</c:v>
                </c:pt>
                <c:pt idx="111">
                  <c:v>99.73026999999999</c:v>
                </c:pt>
                <c:pt idx="112">
                  <c:v>99.731769999999997</c:v>
                </c:pt>
                <c:pt idx="113">
                  <c:v>99.72099</c:v>
                </c:pt>
                <c:pt idx="114">
                  <c:v>99.685719999999989</c:v>
                </c:pt>
                <c:pt idx="115">
                  <c:v>99.678989999999999</c:v>
                </c:pt>
                <c:pt idx="116">
                  <c:v>99.667869999999994</c:v>
                </c:pt>
                <c:pt idx="117">
                  <c:v>99.654229999999998</c:v>
                </c:pt>
                <c:pt idx="118">
                  <c:v>99.634410000000003</c:v>
                </c:pt>
                <c:pt idx="119">
                  <c:v>99.59948</c:v>
                </c:pt>
                <c:pt idx="120">
                  <c:v>99.576070000000001</c:v>
                </c:pt>
                <c:pt idx="121">
                  <c:v>99.541699999999992</c:v>
                </c:pt>
                <c:pt idx="122">
                  <c:v>99.503799999999998</c:v>
                </c:pt>
                <c:pt idx="123">
                  <c:v>99.48205999999999</c:v>
                </c:pt>
                <c:pt idx="124">
                  <c:v>99.425079999999994</c:v>
                </c:pt>
                <c:pt idx="125">
                  <c:v>99.395699999999991</c:v>
                </c:pt>
                <c:pt idx="126">
                  <c:v>99.369029999999995</c:v>
                </c:pt>
                <c:pt idx="127">
                  <c:v>99.316760000000002</c:v>
                </c:pt>
                <c:pt idx="128">
                  <c:v>99.215469999999996</c:v>
                </c:pt>
                <c:pt idx="129">
                  <c:v>99.20205</c:v>
                </c:pt>
                <c:pt idx="130">
                  <c:v>99.162739999999999</c:v>
                </c:pt>
                <c:pt idx="131">
                  <c:v>99.049569999999989</c:v>
                </c:pt>
                <c:pt idx="132">
                  <c:v>99.033559999999994</c:v>
                </c:pt>
                <c:pt idx="133">
                  <c:v>98.937699999999992</c:v>
                </c:pt>
                <c:pt idx="134">
                  <c:v>98.906819999999996</c:v>
                </c:pt>
                <c:pt idx="135">
                  <c:v>98.80243999999999</c:v>
                </c:pt>
                <c:pt idx="136">
                  <c:v>98.743279999999999</c:v>
                </c:pt>
                <c:pt idx="137">
                  <c:v>98.649469999999994</c:v>
                </c:pt>
                <c:pt idx="138">
                  <c:v>98.546549999999996</c:v>
                </c:pt>
                <c:pt idx="139">
                  <c:v>98.439759999999993</c:v>
                </c:pt>
                <c:pt idx="140">
                  <c:v>98.334299999999999</c:v>
                </c:pt>
                <c:pt idx="141">
                  <c:v>98.222889999999992</c:v>
                </c:pt>
                <c:pt idx="142">
                  <c:v>98.102669999999989</c:v>
                </c:pt>
                <c:pt idx="143">
                  <c:v>97.962109999999996</c:v>
                </c:pt>
                <c:pt idx="144">
                  <c:v>97.828339999999997</c:v>
                </c:pt>
                <c:pt idx="145">
                  <c:v>97.708799999999997</c:v>
                </c:pt>
                <c:pt idx="146">
                  <c:v>97.554199999999994</c:v>
                </c:pt>
                <c:pt idx="147">
                  <c:v>97.383349999999993</c:v>
                </c:pt>
                <c:pt idx="148">
                  <c:v>97.233959999999996</c:v>
                </c:pt>
                <c:pt idx="149">
                  <c:v>97.069029999999998</c:v>
                </c:pt>
                <c:pt idx="150">
                  <c:v>96.853359999999995</c:v>
                </c:pt>
                <c:pt idx="151">
                  <c:v>96.673189999999991</c:v>
                </c:pt>
                <c:pt idx="152">
                  <c:v>96.496539999999996</c:v>
                </c:pt>
                <c:pt idx="153">
                  <c:v>96.267899999999997</c:v>
                </c:pt>
                <c:pt idx="154">
                  <c:v>95.907870000000003</c:v>
                </c:pt>
                <c:pt idx="155">
                  <c:v>95.783299999999997</c:v>
                </c:pt>
                <c:pt idx="156">
                  <c:v>95.529049999999998</c:v>
                </c:pt>
                <c:pt idx="157">
                  <c:v>95.240830000000003</c:v>
                </c:pt>
                <c:pt idx="158">
                  <c:v>94.955159999999992</c:v>
                </c:pt>
                <c:pt idx="159">
                  <c:v>94.682809999999989</c:v>
                </c:pt>
                <c:pt idx="160">
                  <c:v>94.363709999999998</c:v>
                </c:pt>
                <c:pt idx="161">
                  <c:v>94.063779999999994</c:v>
                </c:pt>
                <c:pt idx="162">
                  <c:v>93.681330000000003</c:v>
                </c:pt>
                <c:pt idx="163">
                  <c:v>93.353089999999995</c:v>
                </c:pt>
                <c:pt idx="164">
                  <c:v>92.957089999999994</c:v>
                </c:pt>
                <c:pt idx="165">
                  <c:v>92.569369999999992</c:v>
                </c:pt>
                <c:pt idx="166">
                  <c:v>92.122079999999997</c:v>
                </c:pt>
                <c:pt idx="167">
                  <c:v>91.74839999999999</c:v>
                </c:pt>
                <c:pt idx="168">
                  <c:v>91.271959999999993</c:v>
                </c:pt>
                <c:pt idx="169">
                  <c:v>90.79370999999999</c:v>
                </c:pt>
                <c:pt idx="170">
                  <c:v>90.249899999999997</c:v>
                </c:pt>
                <c:pt idx="171">
                  <c:v>89.734719999999996</c:v>
                </c:pt>
                <c:pt idx="172">
                  <c:v>89.183499999999995</c:v>
                </c:pt>
                <c:pt idx="173">
                  <c:v>88.584569999999999</c:v>
                </c:pt>
                <c:pt idx="174">
                  <c:v>87.995499999999993</c:v>
                </c:pt>
                <c:pt idx="175">
                  <c:v>87.360829999999993</c:v>
                </c:pt>
                <c:pt idx="176">
                  <c:v>86.727489999999989</c:v>
                </c:pt>
                <c:pt idx="177">
                  <c:v>86.038339999999991</c:v>
                </c:pt>
                <c:pt idx="178">
                  <c:v>85.338290000000001</c:v>
                </c:pt>
                <c:pt idx="179">
                  <c:v>84.395739999999989</c:v>
                </c:pt>
                <c:pt idx="180">
                  <c:v>83.792270000000002</c:v>
                </c:pt>
                <c:pt idx="181">
                  <c:v>82.95080999999999</c:v>
                </c:pt>
                <c:pt idx="182">
                  <c:v>82.11739</c:v>
                </c:pt>
                <c:pt idx="183">
                  <c:v>81.26894999999999</c:v>
                </c:pt>
                <c:pt idx="184">
                  <c:v>80.356619999999992</c:v>
                </c:pt>
                <c:pt idx="185">
                  <c:v>79.459869999999995</c:v>
                </c:pt>
                <c:pt idx="186">
                  <c:v>78.462490000000003</c:v>
                </c:pt>
                <c:pt idx="187">
                  <c:v>77.72126999999999</c:v>
                </c:pt>
                <c:pt idx="188">
                  <c:v>76.74915</c:v>
                </c:pt>
                <c:pt idx="189">
                  <c:v>75.874420000000001</c:v>
                </c:pt>
                <c:pt idx="190">
                  <c:v>75.034880000000001</c:v>
                </c:pt>
                <c:pt idx="191">
                  <c:v>74.225699999999989</c:v>
                </c:pt>
                <c:pt idx="192">
                  <c:v>73.530270000000002</c:v>
                </c:pt>
                <c:pt idx="193">
                  <c:v>72.824179999999998</c:v>
                </c:pt>
                <c:pt idx="194">
                  <c:v>72.11318</c:v>
                </c:pt>
                <c:pt idx="195">
                  <c:v>71.494230000000002</c:v>
                </c:pt>
                <c:pt idx="196">
                  <c:v>70.919569999999993</c:v>
                </c:pt>
                <c:pt idx="197">
                  <c:v>70.417169999999999</c:v>
                </c:pt>
                <c:pt idx="198">
                  <c:v>69.992559999999997</c:v>
                </c:pt>
                <c:pt idx="199">
                  <c:v>69.511139999999997</c:v>
                </c:pt>
                <c:pt idx="200">
                  <c:v>69.111080000000001</c:v>
                </c:pt>
                <c:pt idx="201">
                  <c:v>68.736559999999997</c:v>
                </c:pt>
                <c:pt idx="202">
                  <c:v>68.343040000000002</c:v>
                </c:pt>
                <c:pt idx="203">
                  <c:v>67.987129999999993</c:v>
                </c:pt>
                <c:pt idx="204">
                  <c:v>67.5398</c:v>
                </c:pt>
                <c:pt idx="205">
                  <c:v>67.113389999999995</c:v>
                </c:pt>
                <c:pt idx="206">
                  <c:v>66.716529999999992</c:v>
                </c:pt>
                <c:pt idx="207">
                  <c:v>66.136139999999997</c:v>
                </c:pt>
                <c:pt idx="208">
                  <c:v>65.67465</c:v>
                </c:pt>
                <c:pt idx="209">
                  <c:v>65.105319999999992</c:v>
                </c:pt>
                <c:pt idx="210">
                  <c:v>64.604559999999992</c:v>
                </c:pt>
                <c:pt idx="211">
                  <c:v>64.028760000000005</c:v>
                </c:pt>
                <c:pt idx="212">
                  <c:v>63.538769999999992</c:v>
                </c:pt>
                <c:pt idx="213">
                  <c:v>63.063129999999994</c:v>
                </c:pt>
                <c:pt idx="214">
                  <c:v>62.595579999999998</c:v>
                </c:pt>
                <c:pt idx="215">
                  <c:v>62.133519999999997</c:v>
                </c:pt>
                <c:pt idx="216">
                  <c:v>61.810889999999993</c:v>
                </c:pt>
                <c:pt idx="217">
                  <c:v>61.480649999999997</c:v>
                </c:pt>
                <c:pt idx="218">
                  <c:v>61.208969999999994</c:v>
                </c:pt>
                <c:pt idx="219">
                  <c:v>60.976119999999995</c:v>
                </c:pt>
                <c:pt idx="220">
                  <c:v>60.883599999999994</c:v>
                </c:pt>
                <c:pt idx="221">
                  <c:v>60.719329999999992</c:v>
                </c:pt>
                <c:pt idx="222">
                  <c:v>60.648389999999992</c:v>
                </c:pt>
                <c:pt idx="223">
                  <c:v>60.529729999999994</c:v>
                </c:pt>
                <c:pt idx="224">
                  <c:v>60.529519999999998</c:v>
                </c:pt>
                <c:pt idx="225">
                  <c:v>60.452079999999995</c:v>
                </c:pt>
                <c:pt idx="226">
                  <c:v>60.418839999999996</c:v>
                </c:pt>
                <c:pt idx="227">
                  <c:v>60.388689999999997</c:v>
                </c:pt>
                <c:pt idx="228">
                  <c:v>60.352239999999995</c:v>
                </c:pt>
                <c:pt idx="229">
                  <c:v>60.294409999999992</c:v>
                </c:pt>
                <c:pt idx="230">
                  <c:v>60.288539999999998</c:v>
                </c:pt>
                <c:pt idx="231">
                  <c:v>60.323199999999993</c:v>
                </c:pt>
                <c:pt idx="232">
                  <c:v>60.292349999999999</c:v>
                </c:pt>
                <c:pt idx="233">
                  <c:v>60.259129999999999</c:v>
                </c:pt>
                <c:pt idx="234">
                  <c:v>60.272589999999994</c:v>
                </c:pt>
                <c:pt idx="235">
                  <c:v>60.263839999999995</c:v>
                </c:pt>
                <c:pt idx="236">
                  <c:v>60.247039999999998</c:v>
                </c:pt>
                <c:pt idx="237">
                  <c:v>60.211189999999995</c:v>
                </c:pt>
                <c:pt idx="238">
                  <c:v>60.161229999999996</c:v>
                </c:pt>
                <c:pt idx="239">
                  <c:v>60.183049999999994</c:v>
                </c:pt>
                <c:pt idx="240">
                  <c:v>60.128569999999996</c:v>
                </c:pt>
                <c:pt idx="241">
                  <c:v>60.179169999999992</c:v>
                </c:pt>
                <c:pt idx="242">
                  <c:v>60.197289999999995</c:v>
                </c:pt>
                <c:pt idx="243">
                  <c:v>60.168829999999993</c:v>
                </c:pt>
                <c:pt idx="244">
                  <c:v>60.200459999999993</c:v>
                </c:pt>
                <c:pt idx="245">
                  <c:v>60.184219999999996</c:v>
                </c:pt>
                <c:pt idx="246">
                  <c:v>60.169929999999994</c:v>
                </c:pt>
                <c:pt idx="247">
                  <c:v>60.184329999999996</c:v>
                </c:pt>
                <c:pt idx="248">
                  <c:v>60.134049999999995</c:v>
                </c:pt>
                <c:pt idx="249">
                  <c:v>60.171229999999994</c:v>
                </c:pt>
                <c:pt idx="250">
                  <c:v>60.135819999999995</c:v>
                </c:pt>
                <c:pt idx="251">
                  <c:v>60.122469999999993</c:v>
                </c:pt>
                <c:pt idx="252">
                  <c:v>60.137429999999995</c:v>
                </c:pt>
                <c:pt idx="253">
                  <c:v>60.143859999999997</c:v>
                </c:pt>
                <c:pt idx="254">
                  <c:v>60.082849999999993</c:v>
                </c:pt>
                <c:pt idx="255">
                  <c:v>60.144999999999996</c:v>
                </c:pt>
                <c:pt idx="256">
                  <c:v>60.122359999999993</c:v>
                </c:pt>
                <c:pt idx="257">
                  <c:v>60.124299999999998</c:v>
                </c:pt>
                <c:pt idx="258">
                  <c:v>60.117879999999992</c:v>
                </c:pt>
                <c:pt idx="259">
                  <c:v>60.108159999999998</c:v>
                </c:pt>
                <c:pt idx="260">
                  <c:v>60.141779999999997</c:v>
                </c:pt>
                <c:pt idx="261">
                  <c:v>60.107559999999992</c:v>
                </c:pt>
                <c:pt idx="262">
                  <c:v>60.098889999999997</c:v>
                </c:pt>
                <c:pt idx="263">
                  <c:v>60.097059999999999</c:v>
                </c:pt>
                <c:pt idx="264">
                  <c:v>60.081309999999995</c:v>
                </c:pt>
                <c:pt idx="265">
                  <c:v>60.108139999999999</c:v>
                </c:pt>
                <c:pt idx="266">
                  <c:v>60.085099999999997</c:v>
                </c:pt>
                <c:pt idx="267">
                  <c:v>60.070249999999994</c:v>
                </c:pt>
                <c:pt idx="268">
                  <c:v>60.076929999999997</c:v>
                </c:pt>
                <c:pt idx="269">
                  <c:v>60.071619999999996</c:v>
                </c:pt>
                <c:pt idx="270">
                  <c:v>60.041069999999998</c:v>
                </c:pt>
                <c:pt idx="271">
                  <c:v>60.070989999999995</c:v>
                </c:pt>
                <c:pt idx="272">
                  <c:v>60.044759999999997</c:v>
                </c:pt>
                <c:pt idx="273">
                  <c:v>60.007719999999999</c:v>
                </c:pt>
                <c:pt idx="274">
                  <c:v>60.073659999999997</c:v>
                </c:pt>
                <c:pt idx="275">
                  <c:v>60.066009999999999</c:v>
                </c:pt>
                <c:pt idx="276">
                  <c:v>60.064979999999998</c:v>
                </c:pt>
                <c:pt idx="277">
                  <c:v>60.050489999999996</c:v>
                </c:pt>
                <c:pt idx="278">
                  <c:v>60.050769999999993</c:v>
                </c:pt>
                <c:pt idx="279">
                  <c:v>60.005469999999995</c:v>
                </c:pt>
                <c:pt idx="280">
                  <c:v>60.012109999999993</c:v>
                </c:pt>
                <c:pt idx="281">
                  <c:v>60.026349999999994</c:v>
                </c:pt>
                <c:pt idx="282">
                  <c:v>60.013029999999993</c:v>
                </c:pt>
                <c:pt idx="283">
                  <c:v>60.035019999999996</c:v>
                </c:pt>
                <c:pt idx="284">
                  <c:v>59.985129999999998</c:v>
                </c:pt>
                <c:pt idx="285">
                  <c:v>59.995439999999995</c:v>
                </c:pt>
                <c:pt idx="286">
                  <c:v>60.004499999999993</c:v>
                </c:pt>
                <c:pt idx="287">
                  <c:v>59.978979999999993</c:v>
                </c:pt>
                <c:pt idx="288">
                  <c:v>59.968489999999996</c:v>
                </c:pt>
                <c:pt idx="289">
                  <c:v>59.994619999999998</c:v>
                </c:pt>
                <c:pt idx="290">
                  <c:v>59.915789999999994</c:v>
                </c:pt>
                <c:pt idx="291">
                  <c:v>59.924059999999997</c:v>
                </c:pt>
                <c:pt idx="292">
                  <c:v>59.922279999999994</c:v>
                </c:pt>
                <c:pt idx="293">
                  <c:v>59.963699999999996</c:v>
                </c:pt>
                <c:pt idx="294">
                  <c:v>59.950649999999996</c:v>
                </c:pt>
                <c:pt idx="295">
                  <c:v>59.897799999999997</c:v>
                </c:pt>
                <c:pt idx="296">
                  <c:v>59.919069999999998</c:v>
                </c:pt>
                <c:pt idx="297">
                  <c:v>59.884959999999992</c:v>
                </c:pt>
                <c:pt idx="298">
                  <c:v>59.918909999999997</c:v>
                </c:pt>
                <c:pt idx="299">
                  <c:v>59.941199999999995</c:v>
                </c:pt>
                <c:pt idx="300">
                  <c:v>59.916409999999999</c:v>
                </c:pt>
                <c:pt idx="301">
                  <c:v>59.889779999999995</c:v>
                </c:pt>
                <c:pt idx="302">
                  <c:v>59.884289999999993</c:v>
                </c:pt>
                <c:pt idx="303">
                  <c:v>59.860469999999992</c:v>
                </c:pt>
                <c:pt idx="304">
                  <c:v>59.897599999999997</c:v>
                </c:pt>
                <c:pt idx="305">
                  <c:v>59.852339999999998</c:v>
                </c:pt>
                <c:pt idx="306">
                  <c:v>59.931859999999993</c:v>
                </c:pt>
                <c:pt idx="307">
                  <c:v>59.834369999999993</c:v>
                </c:pt>
                <c:pt idx="308">
                  <c:v>59.838429999999995</c:v>
                </c:pt>
                <c:pt idx="309">
                  <c:v>59.847069999999995</c:v>
                </c:pt>
                <c:pt idx="310">
                  <c:v>59.815899999999992</c:v>
                </c:pt>
                <c:pt idx="311">
                  <c:v>59.864159999999998</c:v>
                </c:pt>
                <c:pt idx="312">
                  <c:v>59.882179999999998</c:v>
                </c:pt>
                <c:pt idx="313">
                  <c:v>59.849599999999995</c:v>
                </c:pt>
                <c:pt idx="314">
                  <c:v>59.818099999999994</c:v>
                </c:pt>
                <c:pt idx="315">
                  <c:v>59.790019999999998</c:v>
                </c:pt>
                <c:pt idx="316">
                  <c:v>59.827569999999994</c:v>
                </c:pt>
                <c:pt idx="317">
                  <c:v>59.861969999999992</c:v>
                </c:pt>
                <c:pt idx="318">
                  <c:v>59.804959999999994</c:v>
                </c:pt>
                <c:pt idx="319">
                  <c:v>59.822499999999998</c:v>
                </c:pt>
                <c:pt idx="320">
                  <c:v>59.786489999999993</c:v>
                </c:pt>
                <c:pt idx="321">
                  <c:v>59.813059999999993</c:v>
                </c:pt>
                <c:pt idx="322">
                  <c:v>59.860829999999993</c:v>
                </c:pt>
                <c:pt idx="323">
                  <c:v>59.817659999999997</c:v>
                </c:pt>
                <c:pt idx="324">
                  <c:v>59.803439999999995</c:v>
                </c:pt>
                <c:pt idx="325">
                  <c:v>59.892869999999995</c:v>
                </c:pt>
                <c:pt idx="326">
                  <c:v>59.805779999999999</c:v>
                </c:pt>
                <c:pt idx="327">
                  <c:v>59.836949999999995</c:v>
                </c:pt>
                <c:pt idx="328">
                  <c:v>59.799599999999998</c:v>
                </c:pt>
                <c:pt idx="329">
                  <c:v>59.789709999999992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EC-4E49-A95D-04508509B23C}"/>
            </c:ext>
          </c:extLst>
        </c:ser>
        <c:ser>
          <c:idx val="2"/>
          <c:order val="2"/>
          <c:tx>
            <c:v>PW500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Data, PW500, 20% O2'!$AQ$6:$AQ$335</c:f>
              <c:numCache>
                <c:formatCode>General</c:formatCode>
                <c:ptCount val="3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</c:numCache>
            </c:numRef>
          </c:xVal>
          <c:yVal>
            <c:numRef>
              <c:f>'All Data, PW500, 20% O2'!$AS$6:$AS$335</c:f>
              <c:numCache>
                <c:formatCode>0.00000</c:formatCode>
                <c:ptCount val="330"/>
                <c:pt idx="0">
                  <c:v>100</c:v>
                </c:pt>
                <c:pt idx="1">
                  <c:v>100.02256</c:v>
                </c:pt>
                <c:pt idx="2">
                  <c:v>100.07212</c:v>
                </c:pt>
                <c:pt idx="3">
                  <c:v>100.09058999999999</c:v>
                </c:pt>
                <c:pt idx="4">
                  <c:v>100.00788</c:v>
                </c:pt>
                <c:pt idx="5">
                  <c:v>100.08975</c:v>
                </c:pt>
                <c:pt idx="6">
                  <c:v>100.03828</c:v>
                </c:pt>
                <c:pt idx="7">
                  <c:v>100.03937000000001</c:v>
                </c:pt>
                <c:pt idx="8">
                  <c:v>100.05502</c:v>
                </c:pt>
                <c:pt idx="9">
                  <c:v>100.04165</c:v>
                </c:pt>
                <c:pt idx="10">
                  <c:v>100.04382</c:v>
                </c:pt>
                <c:pt idx="11">
                  <c:v>100.00533</c:v>
                </c:pt>
                <c:pt idx="12">
                  <c:v>100.05248</c:v>
                </c:pt>
                <c:pt idx="13">
                  <c:v>99.964469999999992</c:v>
                </c:pt>
                <c:pt idx="14">
                  <c:v>100.02110999999999</c:v>
                </c:pt>
                <c:pt idx="15">
                  <c:v>100.07371999999999</c:v>
                </c:pt>
                <c:pt idx="16">
                  <c:v>100.04456999999999</c:v>
                </c:pt>
                <c:pt idx="17">
                  <c:v>100.0158</c:v>
                </c:pt>
                <c:pt idx="18">
                  <c:v>100.06614999999999</c:v>
                </c:pt>
                <c:pt idx="19">
                  <c:v>99.988420000000005</c:v>
                </c:pt>
                <c:pt idx="20">
                  <c:v>100.01694999999999</c:v>
                </c:pt>
                <c:pt idx="21">
                  <c:v>99.997150000000005</c:v>
                </c:pt>
                <c:pt idx="22">
                  <c:v>100.02403</c:v>
                </c:pt>
                <c:pt idx="23">
                  <c:v>100.02609</c:v>
                </c:pt>
                <c:pt idx="24">
                  <c:v>100.01774999999999</c:v>
                </c:pt>
                <c:pt idx="25">
                  <c:v>100.04652</c:v>
                </c:pt>
                <c:pt idx="26">
                  <c:v>99.998630000000006</c:v>
                </c:pt>
                <c:pt idx="27">
                  <c:v>99.998530000000002</c:v>
                </c:pt>
                <c:pt idx="28">
                  <c:v>100.0475</c:v>
                </c:pt>
                <c:pt idx="29">
                  <c:v>100.01617</c:v>
                </c:pt>
                <c:pt idx="30">
                  <c:v>100.02759999999999</c:v>
                </c:pt>
                <c:pt idx="31">
                  <c:v>100.02654</c:v>
                </c:pt>
                <c:pt idx="32">
                  <c:v>100.03246</c:v>
                </c:pt>
                <c:pt idx="33">
                  <c:v>100.03350999999999</c:v>
                </c:pt>
                <c:pt idx="34">
                  <c:v>100.03107</c:v>
                </c:pt>
                <c:pt idx="35">
                  <c:v>100.02531</c:v>
                </c:pt>
                <c:pt idx="36">
                  <c:v>100.00568</c:v>
                </c:pt>
                <c:pt idx="37">
                  <c:v>100.05848999999999</c:v>
                </c:pt>
                <c:pt idx="38">
                  <c:v>100.04252</c:v>
                </c:pt>
                <c:pt idx="39">
                  <c:v>100.07615</c:v>
                </c:pt>
                <c:pt idx="40">
                  <c:v>100.01094000000001</c:v>
                </c:pt>
                <c:pt idx="41">
                  <c:v>100.00789</c:v>
                </c:pt>
                <c:pt idx="42">
                  <c:v>100.03294</c:v>
                </c:pt>
                <c:pt idx="43">
                  <c:v>100.04378</c:v>
                </c:pt>
                <c:pt idx="44">
                  <c:v>100.06784</c:v>
                </c:pt>
                <c:pt idx="45">
                  <c:v>100.02601</c:v>
                </c:pt>
                <c:pt idx="46">
                  <c:v>100.04949999999999</c:v>
                </c:pt>
                <c:pt idx="47">
                  <c:v>100.03263</c:v>
                </c:pt>
                <c:pt idx="48">
                  <c:v>100.04178</c:v>
                </c:pt>
                <c:pt idx="49">
                  <c:v>100.09666</c:v>
                </c:pt>
                <c:pt idx="50">
                  <c:v>100.06661</c:v>
                </c:pt>
                <c:pt idx="51">
                  <c:v>100.08466</c:v>
                </c:pt>
                <c:pt idx="52">
                  <c:v>100.05441</c:v>
                </c:pt>
                <c:pt idx="53">
                  <c:v>100.131</c:v>
                </c:pt>
                <c:pt idx="54">
                  <c:v>100.09278</c:v>
                </c:pt>
                <c:pt idx="55">
                  <c:v>100.08566999999999</c:v>
                </c:pt>
                <c:pt idx="56">
                  <c:v>100.11169</c:v>
                </c:pt>
                <c:pt idx="57">
                  <c:v>100.10545999999999</c:v>
                </c:pt>
                <c:pt idx="58">
                  <c:v>100.15376000000001</c:v>
                </c:pt>
                <c:pt idx="59">
                  <c:v>100.10722</c:v>
                </c:pt>
                <c:pt idx="60">
                  <c:v>100.15849</c:v>
                </c:pt>
                <c:pt idx="61">
                  <c:v>100.1687</c:v>
                </c:pt>
                <c:pt idx="62">
                  <c:v>100.19129</c:v>
                </c:pt>
                <c:pt idx="63">
                  <c:v>100.14815</c:v>
                </c:pt>
                <c:pt idx="64">
                  <c:v>100.16714</c:v>
                </c:pt>
                <c:pt idx="65">
                  <c:v>100.22264</c:v>
                </c:pt>
                <c:pt idx="66">
                  <c:v>100.15711</c:v>
                </c:pt>
                <c:pt idx="67">
                  <c:v>100.19045</c:v>
                </c:pt>
                <c:pt idx="68">
                  <c:v>100.16712</c:v>
                </c:pt>
                <c:pt idx="69">
                  <c:v>100.23933</c:v>
                </c:pt>
                <c:pt idx="70">
                  <c:v>100.26951</c:v>
                </c:pt>
                <c:pt idx="71">
                  <c:v>100.24263000000001</c:v>
                </c:pt>
                <c:pt idx="72">
                  <c:v>100.2539</c:v>
                </c:pt>
                <c:pt idx="73">
                  <c:v>100.24101999999999</c:v>
                </c:pt>
                <c:pt idx="74">
                  <c:v>100.27723999999999</c:v>
                </c:pt>
                <c:pt idx="75">
                  <c:v>100.31717</c:v>
                </c:pt>
                <c:pt idx="76">
                  <c:v>100.31413999999999</c:v>
                </c:pt>
                <c:pt idx="77">
                  <c:v>100.33369999999999</c:v>
                </c:pt>
                <c:pt idx="78">
                  <c:v>100.36445999999999</c:v>
                </c:pt>
                <c:pt idx="79">
                  <c:v>100.37075</c:v>
                </c:pt>
                <c:pt idx="80">
                  <c:v>100.37183</c:v>
                </c:pt>
                <c:pt idx="81">
                  <c:v>100.41629999999999</c:v>
                </c:pt>
                <c:pt idx="82">
                  <c:v>100.45253</c:v>
                </c:pt>
                <c:pt idx="83">
                  <c:v>100.46312</c:v>
                </c:pt>
                <c:pt idx="84">
                  <c:v>100.51347</c:v>
                </c:pt>
                <c:pt idx="85">
                  <c:v>100.49891</c:v>
                </c:pt>
                <c:pt idx="86">
                  <c:v>100.49818999999999</c:v>
                </c:pt>
                <c:pt idx="87">
                  <c:v>100.54545</c:v>
                </c:pt>
                <c:pt idx="88">
                  <c:v>100.54252</c:v>
                </c:pt>
                <c:pt idx="89">
                  <c:v>100.56638</c:v>
                </c:pt>
                <c:pt idx="90">
                  <c:v>100.59515999999999</c:v>
                </c:pt>
                <c:pt idx="91">
                  <c:v>100.63336</c:v>
                </c:pt>
                <c:pt idx="92">
                  <c:v>100.67074</c:v>
                </c:pt>
                <c:pt idx="93">
                  <c:v>100.69568</c:v>
                </c:pt>
                <c:pt idx="94">
                  <c:v>100.71894</c:v>
                </c:pt>
                <c:pt idx="95">
                  <c:v>100.76297</c:v>
                </c:pt>
                <c:pt idx="96">
                  <c:v>100.75373999999999</c:v>
                </c:pt>
                <c:pt idx="97">
                  <c:v>100.78789</c:v>
                </c:pt>
                <c:pt idx="98">
                  <c:v>100.82926999999999</c:v>
                </c:pt>
                <c:pt idx="99">
                  <c:v>100.85238</c:v>
                </c:pt>
                <c:pt idx="100">
                  <c:v>100.89193</c:v>
                </c:pt>
                <c:pt idx="101">
                  <c:v>100.88919</c:v>
                </c:pt>
                <c:pt idx="102">
                  <c:v>100.9323</c:v>
                </c:pt>
                <c:pt idx="103">
                  <c:v>101.06036</c:v>
                </c:pt>
                <c:pt idx="104">
                  <c:v>101.00169</c:v>
                </c:pt>
                <c:pt idx="105">
                  <c:v>100.98708999999999</c:v>
                </c:pt>
                <c:pt idx="106">
                  <c:v>101.06569999999999</c:v>
                </c:pt>
                <c:pt idx="107">
                  <c:v>101.07957999999999</c:v>
                </c:pt>
                <c:pt idx="108">
                  <c:v>101.09958999999999</c:v>
                </c:pt>
                <c:pt idx="109">
                  <c:v>101.09855</c:v>
                </c:pt>
                <c:pt idx="110">
                  <c:v>101.19465</c:v>
                </c:pt>
                <c:pt idx="111">
                  <c:v>101.19391</c:v>
                </c:pt>
                <c:pt idx="112">
                  <c:v>101.22868</c:v>
                </c:pt>
                <c:pt idx="113">
                  <c:v>101.29816</c:v>
                </c:pt>
                <c:pt idx="114">
                  <c:v>101.28304</c:v>
                </c:pt>
                <c:pt idx="115">
                  <c:v>101.33793</c:v>
                </c:pt>
                <c:pt idx="116">
                  <c:v>101.40249</c:v>
                </c:pt>
                <c:pt idx="117">
                  <c:v>101.42085</c:v>
                </c:pt>
                <c:pt idx="118">
                  <c:v>101.52772</c:v>
                </c:pt>
                <c:pt idx="119">
                  <c:v>101.48026</c:v>
                </c:pt>
                <c:pt idx="120">
                  <c:v>101.58844999999999</c:v>
                </c:pt>
                <c:pt idx="121">
                  <c:v>101.57</c:v>
                </c:pt>
                <c:pt idx="122">
                  <c:v>101.59002</c:v>
                </c:pt>
                <c:pt idx="123">
                  <c:v>101.63361</c:v>
                </c:pt>
                <c:pt idx="124">
                  <c:v>101.67591</c:v>
                </c:pt>
                <c:pt idx="125">
                  <c:v>101.61031</c:v>
                </c:pt>
                <c:pt idx="126">
                  <c:v>101.71984</c:v>
                </c:pt>
                <c:pt idx="127">
                  <c:v>101.8079</c:v>
                </c:pt>
                <c:pt idx="128">
                  <c:v>101.72261</c:v>
                </c:pt>
                <c:pt idx="129">
                  <c:v>101.78167000000001</c:v>
                </c:pt>
                <c:pt idx="130">
                  <c:v>101.82389999999999</c:v>
                </c:pt>
                <c:pt idx="131">
                  <c:v>101.78469</c:v>
                </c:pt>
                <c:pt idx="132">
                  <c:v>101.84074</c:v>
                </c:pt>
                <c:pt idx="133">
                  <c:v>101.72154999999999</c:v>
                </c:pt>
                <c:pt idx="134">
                  <c:v>101.8111</c:v>
                </c:pt>
                <c:pt idx="135">
                  <c:v>101.80799</c:v>
                </c:pt>
                <c:pt idx="136">
                  <c:v>101.87031999999999</c:v>
                </c:pt>
                <c:pt idx="137">
                  <c:v>101.9207</c:v>
                </c:pt>
                <c:pt idx="138">
                  <c:v>101.86360000000001</c:v>
                </c:pt>
                <c:pt idx="139">
                  <c:v>101.8295</c:v>
                </c:pt>
                <c:pt idx="140">
                  <c:v>101.84305999999999</c:v>
                </c:pt>
                <c:pt idx="141">
                  <c:v>101.84417000000001</c:v>
                </c:pt>
                <c:pt idx="142">
                  <c:v>101.76364</c:v>
                </c:pt>
                <c:pt idx="143">
                  <c:v>101.71695</c:v>
                </c:pt>
                <c:pt idx="144">
                  <c:v>101.70245</c:v>
                </c:pt>
                <c:pt idx="145">
                  <c:v>101.63544</c:v>
                </c:pt>
                <c:pt idx="146">
                  <c:v>101.53547</c:v>
                </c:pt>
                <c:pt idx="147">
                  <c:v>101.57902</c:v>
                </c:pt>
                <c:pt idx="148">
                  <c:v>101.48495</c:v>
                </c:pt>
                <c:pt idx="149">
                  <c:v>101.3573</c:v>
                </c:pt>
                <c:pt idx="150">
                  <c:v>101.26611</c:v>
                </c:pt>
                <c:pt idx="151">
                  <c:v>101.26532999999999</c:v>
                </c:pt>
                <c:pt idx="152">
                  <c:v>101.07102999999999</c:v>
                </c:pt>
                <c:pt idx="153">
                  <c:v>100.91189</c:v>
                </c:pt>
                <c:pt idx="154">
                  <c:v>100.87733</c:v>
                </c:pt>
                <c:pt idx="155">
                  <c:v>100.68764</c:v>
                </c:pt>
                <c:pt idx="156">
                  <c:v>100.43944999999999</c:v>
                </c:pt>
                <c:pt idx="157">
                  <c:v>100.43087</c:v>
                </c:pt>
                <c:pt idx="158">
                  <c:v>100.27200000000001</c:v>
                </c:pt>
                <c:pt idx="159">
                  <c:v>100.09582</c:v>
                </c:pt>
                <c:pt idx="160">
                  <c:v>99.90849</c:v>
                </c:pt>
                <c:pt idx="161">
                  <c:v>99.709220000000002</c:v>
                </c:pt>
                <c:pt idx="162">
                  <c:v>99.477959999999996</c:v>
                </c:pt>
                <c:pt idx="163">
                  <c:v>99.361729999999994</c:v>
                </c:pt>
                <c:pt idx="164">
                  <c:v>99.012270000000001</c:v>
                </c:pt>
                <c:pt idx="165">
                  <c:v>98.823660000000004</c:v>
                </c:pt>
                <c:pt idx="166">
                  <c:v>98.541560000000004</c:v>
                </c:pt>
                <c:pt idx="167">
                  <c:v>98.377330000000001</c:v>
                </c:pt>
                <c:pt idx="168">
                  <c:v>98.074010000000001</c:v>
                </c:pt>
                <c:pt idx="169">
                  <c:v>97.783180000000002</c:v>
                </c:pt>
                <c:pt idx="170">
                  <c:v>97.371740000000003</c:v>
                </c:pt>
                <c:pt idx="171">
                  <c:v>97.028930000000003</c:v>
                </c:pt>
                <c:pt idx="172">
                  <c:v>96.781359999999992</c:v>
                </c:pt>
                <c:pt idx="173">
                  <c:v>96.356660000000005</c:v>
                </c:pt>
                <c:pt idx="174">
                  <c:v>95.935680000000005</c:v>
                </c:pt>
                <c:pt idx="175">
                  <c:v>95.637929999999997</c:v>
                </c:pt>
                <c:pt idx="176">
                  <c:v>95.288150000000002</c:v>
                </c:pt>
                <c:pt idx="177">
                  <c:v>94.815560000000005</c:v>
                </c:pt>
                <c:pt idx="178">
                  <c:v>94.365009999999998</c:v>
                </c:pt>
                <c:pt idx="179">
                  <c:v>93.996510000000001</c:v>
                </c:pt>
                <c:pt idx="180">
                  <c:v>93.475909999999999</c:v>
                </c:pt>
                <c:pt idx="181">
                  <c:v>92.992469999999997</c:v>
                </c:pt>
                <c:pt idx="182">
                  <c:v>92.505970000000005</c:v>
                </c:pt>
                <c:pt idx="183">
                  <c:v>91.904470000000003</c:v>
                </c:pt>
                <c:pt idx="184">
                  <c:v>91.438569999999999</c:v>
                </c:pt>
                <c:pt idx="185">
                  <c:v>90.9131</c:v>
                </c:pt>
                <c:pt idx="186">
                  <c:v>90.277230000000003</c:v>
                </c:pt>
                <c:pt idx="187">
                  <c:v>89.592709999999997</c:v>
                </c:pt>
                <c:pt idx="188">
                  <c:v>89.162589999999994</c:v>
                </c:pt>
                <c:pt idx="189">
                  <c:v>88.441929999999999</c:v>
                </c:pt>
                <c:pt idx="190">
                  <c:v>87.772999999999996</c:v>
                </c:pt>
                <c:pt idx="191">
                  <c:v>87.053719999999998</c:v>
                </c:pt>
                <c:pt idx="192">
                  <c:v>86.511189999999999</c:v>
                </c:pt>
                <c:pt idx="193">
                  <c:v>85.783619999999999</c:v>
                </c:pt>
                <c:pt idx="194">
                  <c:v>84.995369999999994</c:v>
                </c:pt>
                <c:pt idx="195">
                  <c:v>84.140029999999996</c:v>
                </c:pt>
                <c:pt idx="196">
                  <c:v>83.100930000000005</c:v>
                </c:pt>
                <c:pt idx="197">
                  <c:v>82.649910000000006</c:v>
                </c:pt>
                <c:pt idx="198">
                  <c:v>81.661439999999999</c:v>
                </c:pt>
                <c:pt idx="199">
                  <c:v>80.658959999999993</c:v>
                </c:pt>
                <c:pt idx="200">
                  <c:v>79.879959999999997</c:v>
                </c:pt>
                <c:pt idx="201">
                  <c:v>78.790419999999997</c:v>
                </c:pt>
                <c:pt idx="202">
                  <c:v>77.964680000000001</c:v>
                </c:pt>
                <c:pt idx="203">
                  <c:v>76.931380000000004</c:v>
                </c:pt>
                <c:pt idx="204">
                  <c:v>75.792370000000005</c:v>
                </c:pt>
                <c:pt idx="205">
                  <c:v>74.763180000000006</c:v>
                </c:pt>
                <c:pt idx="206">
                  <c:v>73.537189999999995</c:v>
                </c:pt>
                <c:pt idx="207">
                  <c:v>72.511309999999995</c:v>
                </c:pt>
                <c:pt idx="208">
                  <c:v>71.347369999999998</c:v>
                </c:pt>
                <c:pt idx="209">
                  <c:v>69.990700000000004</c:v>
                </c:pt>
                <c:pt idx="210">
                  <c:v>68.734459999999999</c:v>
                </c:pt>
                <c:pt idx="211">
                  <c:v>67.304339999999996</c:v>
                </c:pt>
                <c:pt idx="212">
                  <c:v>65.827349999999996</c:v>
                </c:pt>
                <c:pt idx="213">
                  <c:v>64.430620000000005</c:v>
                </c:pt>
                <c:pt idx="214">
                  <c:v>63.007909999999995</c:v>
                </c:pt>
                <c:pt idx="215">
                  <c:v>61.397190000000002</c:v>
                </c:pt>
                <c:pt idx="216">
                  <c:v>59.725670000000001</c:v>
                </c:pt>
                <c:pt idx="217">
                  <c:v>57.996130000000001</c:v>
                </c:pt>
                <c:pt idx="218">
                  <c:v>56.247610000000002</c:v>
                </c:pt>
                <c:pt idx="219">
                  <c:v>54.443989999999999</c:v>
                </c:pt>
                <c:pt idx="220">
                  <c:v>52.464120000000001</c:v>
                </c:pt>
                <c:pt idx="221">
                  <c:v>50.54139</c:v>
                </c:pt>
                <c:pt idx="222">
                  <c:v>48.531169999999996</c:v>
                </c:pt>
                <c:pt idx="223">
                  <c:v>46.36018</c:v>
                </c:pt>
                <c:pt idx="224">
                  <c:v>44.209440000000001</c:v>
                </c:pt>
                <c:pt idx="225">
                  <c:v>41.832879999999996</c:v>
                </c:pt>
                <c:pt idx="226">
                  <c:v>39.263869999999997</c:v>
                </c:pt>
                <c:pt idx="227">
                  <c:v>36.92944</c:v>
                </c:pt>
                <c:pt idx="228">
                  <c:v>33.942260000000005</c:v>
                </c:pt>
                <c:pt idx="229">
                  <c:v>31.734099999999998</c:v>
                </c:pt>
                <c:pt idx="230">
                  <c:v>28.71441999999999</c:v>
                </c:pt>
                <c:pt idx="231">
                  <c:v>25.650120000000001</c:v>
                </c:pt>
                <c:pt idx="232">
                  <c:v>23.031489999999991</c:v>
                </c:pt>
                <c:pt idx="233">
                  <c:v>19.571150000000003</c:v>
                </c:pt>
                <c:pt idx="234">
                  <c:v>17.042010000000005</c:v>
                </c:pt>
                <c:pt idx="235">
                  <c:v>14.082849999999993</c:v>
                </c:pt>
                <c:pt idx="236">
                  <c:v>11.40925</c:v>
                </c:pt>
                <c:pt idx="237">
                  <c:v>8.8101300000000009</c:v>
                </c:pt>
                <c:pt idx="238">
                  <c:v>6.6067999999999927</c:v>
                </c:pt>
                <c:pt idx="239">
                  <c:v>5.065969999999993</c:v>
                </c:pt>
                <c:pt idx="240">
                  <c:v>3.5690999999999917</c:v>
                </c:pt>
                <c:pt idx="241">
                  <c:v>2.3418300000000016</c:v>
                </c:pt>
                <c:pt idx="242">
                  <c:v>1.3476699999999937</c:v>
                </c:pt>
                <c:pt idx="243">
                  <c:v>0.69092000000000553</c:v>
                </c:pt>
                <c:pt idx="244">
                  <c:v>0.36588999999999317</c:v>
                </c:pt>
                <c:pt idx="245">
                  <c:v>6.0670000000001778E-2</c:v>
                </c:pt>
                <c:pt idx="246">
                  <c:v>-5.4540000000002919E-2</c:v>
                </c:pt>
                <c:pt idx="247">
                  <c:v>-7.8230000000004907E-2</c:v>
                </c:pt>
                <c:pt idx="248">
                  <c:v>-6.4580000000006521E-2</c:v>
                </c:pt>
                <c:pt idx="249">
                  <c:v>-0.10264999999999702</c:v>
                </c:pt>
                <c:pt idx="250">
                  <c:v>-0.15953000000000372</c:v>
                </c:pt>
                <c:pt idx="251">
                  <c:v>-0.10447999999999524</c:v>
                </c:pt>
                <c:pt idx="252">
                  <c:v>-0.11757000000000062</c:v>
                </c:pt>
                <c:pt idx="253">
                  <c:v>-0.10433000000000447</c:v>
                </c:pt>
                <c:pt idx="254">
                  <c:v>-0.17155999999999949</c:v>
                </c:pt>
                <c:pt idx="255">
                  <c:v>-0.12560000000000571</c:v>
                </c:pt>
                <c:pt idx="256">
                  <c:v>-0.1498500000000007</c:v>
                </c:pt>
                <c:pt idx="257">
                  <c:v>-0.21335000000000548</c:v>
                </c:pt>
                <c:pt idx="258">
                  <c:v>-0.12790999999999997</c:v>
                </c:pt>
                <c:pt idx="259">
                  <c:v>-0.19916000000000622</c:v>
                </c:pt>
                <c:pt idx="260">
                  <c:v>-0.14359000000000322</c:v>
                </c:pt>
                <c:pt idx="261">
                  <c:v>-0.29680000000000462</c:v>
                </c:pt>
                <c:pt idx="262">
                  <c:v>-0.1345799999999997</c:v>
                </c:pt>
                <c:pt idx="263">
                  <c:v>-0.18219999999999459</c:v>
                </c:pt>
                <c:pt idx="264">
                  <c:v>-0.24541000000000679</c:v>
                </c:pt>
                <c:pt idx="265">
                  <c:v>-0.1889500000000055</c:v>
                </c:pt>
                <c:pt idx="266">
                  <c:v>-0.26897999999999911</c:v>
                </c:pt>
                <c:pt idx="267">
                  <c:v>-0.33261000000000251</c:v>
                </c:pt>
                <c:pt idx="268">
                  <c:v>-0.25638999999999612</c:v>
                </c:pt>
                <c:pt idx="269">
                  <c:v>-0.38044999999999618</c:v>
                </c:pt>
                <c:pt idx="270">
                  <c:v>-0.32192000000000576</c:v>
                </c:pt>
                <c:pt idx="271">
                  <c:v>-0.27514000000000749</c:v>
                </c:pt>
                <c:pt idx="272">
                  <c:v>-0.46938000000000102</c:v>
                </c:pt>
                <c:pt idx="273">
                  <c:v>-0.28159000000000844</c:v>
                </c:pt>
                <c:pt idx="274">
                  <c:v>-0.25915000000000532</c:v>
                </c:pt>
                <c:pt idx="275">
                  <c:v>-0.23246000000000322</c:v>
                </c:pt>
                <c:pt idx="276">
                  <c:v>-0.30553000000000452</c:v>
                </c:pt>
                <c:pt idx="277">
                  <c:v>-0.30689999999999884</c:v>
                </c:pt>
                <c:pt idx="278">
                  <c:v>-0.34999999999999432</c:v>
                </c:pt>
                <c:pt idx="279">
                  <c:v>-0.37478000000000122</c:v>
                </c:pt>
                <c:pt idx="280">
                  <c:v>-0.44733999999999696</c:v>
                </c:pt>
                <c:pt idx="281">
                  <c:v>-0.38130999999999915</c:v>
                </c:pt>
                <c:pt idx="282">
                  <c:v>-0.41164000000000556</c:v>
                </c:pt>
                <c:pt idx="283">
                  <c:v>-0.39427999999999486</c:v>
                </c:pt>
                <c:pt idx="284">
                  <c:v>-0.35434999999999661</c:v>
                </c:pt>
                <c:pt idx="285">
                  <c:v>-0.30652000000000612</c:v>
                </c:pt>
                <c:pt idx="286">
                  <c:v>-0.36645000000000039</c:v>
                </c:pt>
                <c:pt idx="287">
                  <c:v>-0.47328000000000259</c:v>
                </c:pt>
                <c:pt idx="288">
                  <c:v>-0.43237999999999488</c:v>
                </c:pt>
                <c:pt idx="289">
                  <c:v>-0.38187000000000637</c:v>
                </c:pt>
                <c:pt idx="290">
                  <c:v>-0.40043000000000006</c:v>
                </c:pt>
                <c:pt idx="291">
                  <c:v>-0.49777000000000271</c:v>
                </c:pt>
                <c:pt idx="292">
                  <c:v>-0.54449999999999932</c:v>
                </c:pt>
                <c:pt idx="293">
                  <c:v>-0.40614000000000772</c:v>
                </c:pt>
                <c:pt idx="294">
                  <c:v>-0.4052599999999984</c:v>
                </c:pt>
                <c:pt idx="295">
                  <c:v>-0.50526999999999589</c:v>
                </c:pt>
                <c:pt idx="296">
                  <c:v>-0.50625999999999749</c:v>
                </c:pt>
                <c:pt idx="297">
                  <c:v>-0.54740999999999929</c:v>
                </c:pt>
                <c:pt idx="298">
                  <c:v>-0.39114999999999611</c:v>
                </c:pt>
                <c:pt idx="299">
                  <c:v>-0.37721000000000515</c:v>
                </c:pt>
                <c:pt idx="300">
                  <c:v>-0.45027000000000328</c:v>
                </c:pt>
                <c:pt idx="301">
                  <c:v>-0.41429999999999723</c:v>
                </c:pt>
                <c:pt idx="302">
                  <c:v>-0.57334000000000174</c:v>
                </c:pt>
                <c:pt idx="303">
                  <c:v>-0.50892000000000337</c:v>
                </c:pt>
                <c:pt idx="304">
                  <c:v>-0.38691000000000031</c:v>
                </c:pt>
                <c:pt idx="305">
                  <c:v>-0.49369000000000085</c:v>
                </c:pt>
                <c:pt idx="306">
                  <c:v>-0.28144000000000347</c:v>
                </c:pt>
                <c:pt idx="307">
                  <c:v>-0.5622900000000044</c:v>
                </c:pt>
                <c:pt idx="308">
                  <c:v>-0.45342000000000837</c:v>
                </c:pt>
                <c:pt idx="309">
                  <c:v>-0.38918999999999926</c:v>
                </c:pt>
                <c:pt idx="310">
                  <c:v>-0.51291000000000508</c:v>
                </c:pt>
                <c:pt idx="311">
                  <c:v>-0.47937000000000296</c:v>
                </c:pt>
                <c:pt idx="312">
                  <c:v>-0.43859000000000492</c:v>
                </c:pt>
                <c:pt idx="313">
                  <c:v>-0.56503000000000725</c:v>
                </c:pt>
                <c:pt idx="314">
                  <c:v>-0.55755000000000621</c:v>
                </c:pt>
                <c:pt idx="315">
                  <c:v>-0.63210999999999729</c:v>
                </c:pt>
                <c:pt idx="316">
                  <c:v>-0.46165000000000589</c:v>
                </c:pt>
                <c:pt idx="317">
                  <c:v>-0.39378999999999564</c:v>
                </c:pt>
                <c:pt idx="318">
                  <c:v>-0.59776999999999703</c:v>
                </c:pt>
                <c:pt idx="319">
                  <c:v>-0.49710000000000321</c:v>
                </c:pt>
                <c:pt idx="320">
                  <c:v>-0.5400900000000064</c:v>
                </c:pt>
                <c:pt idx="321">
                  <c:v>-0.5496700000000061</c:v>
                </c:pt>
                <c:pt idx="322">
                  <c:v>-0.50274000000000285</c:v>
                </c:pt>
                <c:pt idx="323">
                  <c:v>-0.50117000000000189</c:v>
                </c:pt>
                <c:pt idx="324">
                  <c:v>-0.53777999999999793</c:v>
                </c:pt>
                <c:pt idx="325">
                  <c:v>-0.25675999999999988</c:v>
                </c:pt>
                <c:pt idx="326">
                  <c:v>-0.44003000000000725</c:v>
                </c:pt>
                <c:pt idx="327">
                  <c:v>-0.54263000000000261</c:v>
                </c:pt>
                <c:pt idx="328">
                  <c:v>-0.52644999999999698</c:v>
                </c:pt>
                <c:pt idx="329">
                  <c:v>-0.50778999999999996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EC-4E49-A95D-04508509B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434064"/>
        <c:axId val="1427568720"/>
      </c:scatterChart>
      <c:valAx>
        <c:axId val="110543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[min]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7568720"/>
        <c:crosses val="autoZero"/>
        <c:crossBetween val="midCat"/>
      </c:valAx>
      <c:valAx>
        <c:axId val="1427568720"/>
        <c:scaling>
          <c:orientation val="minMax"/>
          <c:max val="11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0543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33974528"/>
        <c:axId val="1703663631"/>
      </c:scatterChart>
      <c:valAx>
        <c:axId val="4339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03663631"/>
        <c:crosses val="autoZero"/>
        <c:crossBetween val="midCat"/>
      </c:valAx>
      <c:valAx>
        <c:axId val="17036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39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13610</xdr:colOff>
      <xdr:row>35</xdr:row>
      <xdr:rowOff>5713</xdr:rowOff>
    </xdr:from>
    <xdr:to>
      <xdr:col>19</xdr:col>
      <xdr:colOff>458110</xdr:colOff>
      <xdr:row>48</xdr:row>
      <xdr:rowOff>110352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99FC98-EBA4-D842-ADE6-E0896BC34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16107</xdr:colOff>
      <xdr:row>20</xdr:row>
      <xdr:rowOff>32020</xdr:rowOff>
    </xdr:from>
    <xdr:to>
      <xdr:col>19</xdr:col>
      <xdr:colOff>473848</xdr:colOff>
      <xdr:row>33</xdr:row>
      <xdr:rowOff>135577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6EAC31-7298-6EF3-13D9-49E8AEB1F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4748</xdr:colOff>
      <xdr:row>5</xdr:row>
      <xdr:rowOff>9660</xdr:rowOff>
    </xdr:from>
    <xdr:to>
      <xdr:col>19</xdr:col>
      <xdr:colOff>471774</xdr:colOff>
      <xdr:row>18</xdr:row>
      <xdr:rowOff>111260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999BE4-6E8C-3B96-CEBF-45EAD1E47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717550</xdr:colOff>
      <xdr:row>34</xdr:row>
      <xdr:rowOff>146050</xdr:rowOff>
    </xdr:from>
    <xdr:to>
      <xdr:col>25</xdr:col>
      <xdr:colOff>336550</xdr:colOff>
      <xdr:row>48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206ED-A800-AC6F-3BF2-634606737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806450</xdr:colOff>
      <xdr:row>20</xdr:row>
      <xdr:rowOff>6350</xdr:rowOff>
    </xdr:from>
    <xdr:to>
      <xdr:col>25</xdr:col>
      <xdr:colOff>425450</xdr:colOff>
      <xdr:row>33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E6643-2A4F-D350-72EC-7EEE88567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791664</xdr:colOff>
      <xdr:row>51</xdr:row>
      <xdr:rowOff>199677</xdr:rowOff>
    </xdr:from>
    <xdr:to>
      <xdr:col>20</xdr:col>
      <xdr:colOff>55619</xdr:colOff>
      <xdr:row>65</xdr:row>
      <xdr:rowOff>87695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0ADF1-4022-5653-59EC-13B16EAA2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309702</xdr:colOff>
      <xdr:row>491</xdr:row>
      <xdr:rowOff>137917</xdr:rowOff>
    </xdr:from>
    <xdr:to>
      <xdr:col>14</xdr:col>
      <xdr:colOff>759772</xdr:colOff>
      <xdr:row>508</xdr:row>
      <xdr:rowOff>40327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9E7BB-E30C-F94C-B21E-BC2712F72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D787-5D60-904B-956C-943602F3BE81}">
  <dimension ref="A1:F20"/>
  <sheetViews>
    <sheetView topLeftCell="L46" zoomScale="137" workbookViewId="0">
      <selection activeCell="V57" sqref="V57"/>
    </sheetView>
  </sheetViews>
  <sheetFormatPr baseColWidth="10" defaultRowHeight="16" x14ac:dyDescent="0.2"/>
  <sheetData>
    <row r="1" spans="1:5" x14ac:dyDescent="0.2">
      <c r="A1" t="s">
        <v>31</v>
      </c>
    </row>
    <row r="2" spans="1:5" x14ac:dyDescent="0.2">
      <c r="B2" t="s">
        <v>27</v>
      </c>
      <c r="C2" t="s">
        <v>28</v>
      </c>
      <c r="D2" t="s">
        <v>29</v>
      </c>
      <c r="E2" t="s">
        <v>30</v>
      </c>
    </row>
    <row r="3" spans="1:5" x14ac:dyDescent="0.2">
      <c r="A3" t="s">
        <v>32</v>
      </c>
      <c r="B3" t="s">
        <v>33</v>
      </c>
      <c r="C3">
        <f>100-'All Data, BRF500 20% O2'!E483</f>
        <v>-0.24233999999999867</v>
      </c>
      <c r="D3">
        <f>100-'All Data, WS500 20% O2'!E485</f>
        <v>-0.88166000000001077</v>
      </c>
      <c r="E3">
        <f>100-'All Data, PW500, 20% O2'!D485</f>
        <v>-2.7321899999999886</v>
      </c>
    </row>
    <row r="4" spans="1:5" x14ac:dyDescent="0.2">
      <c r="B4" t="s">
        <v>34</v>
      </c>
      <c r="C4">
        <f>100-'All Data, BRF500 20% O2'!L483</f>
        <v>6.0532400000000024</v>
      </c>
      <c r="D4">
        <f>100-'All Data, WS500 20% O2'!K485</f>
        <v>2.4958699999999965</v>
      </c>
      <c r="E4">
        <f>100-'All Data, PW500, 20% O2'!J485</f>
        <v>-0.9310299999999927</v>
      </c>
    </row>
    <row r="5" spans="1:5" x14ac:dyDescent="0.2">
      <c r="B5" t="s">
        <v>35</v>
      </c>
      <c r="C5">
        <f>100-'All Data, BRF500 20% O2'!Z1203</f>
        <v>18.414549999999991</v>
      </c>
      <c r="D5">
        <f>100-'All Data, WS500 20% O2'!W1205</f>
        <v>12.504530000000003</v>
      </c>
      <c r="E5">
        <f>100-'All Data, PW500, 20% O2'!V1205</f>
        <v>-1.1355999999999966</v>
      </c>
    </row>
    <row r="9" spans="1:5" x14ac:dyDescent="0.2">
      <c r="A9" t="s">
        <v>36</v>
      </c>
    </row>
    <row r="10" spans="1:5" x14ac:dyDescent="0.2">
      <c r="B10" t="s">
        <v>37</v>
      </c>
      <c r="C10" t="s">
        <v>28</v>
      </c>
      <c r="D10" t="s">
        <v>29</v>
      </c>
      <c r="E10" t="s">
        <v>30</v>
      </c>
    </row>
    <row r="11" spans="1:5" x14ac:dyDescent="0.2">
      <c r="B11" t="s">
        <v>33</v>
      </c>
      <c r="C11">
        <f>'All Data, BRF500 20% O2'!F483</f>
        <v>7.98950933774931E-3</v>
      </c>
      <c r="D11">
        <f>'All Data, WS500 20% O2'!F485</f>
        <v>1.7342514735231526E-3</v>
      </c>
      <c r="E11">
        <f>'All Data, PW500, 20% O2'!E485</f>
        <v>5.908639133680244E-4</v>
      </c>
    </row>
    <row r="12" spans="1:5" x14ac:dyDescent="0.2">
      <c r="B12" t="s">
        <v>34</v>
      </c>
      <c r="C12">
        <f>'All Data, BRF500 20% O2'!M483</f>
        <v>0.10909444889250505</v>
      </c>
      <c r="D12">
        <f>'All Data, WS500 20% O2'!L485</f>
        <v>3.4816001938638236E-2</v>
      </c>
      <c r="E12">
        <f>'All Data, PW500, 20% O2'!K485</f>
        <v>5.1481576365390606E-3</v>
      </c>
    </row>
    <row r="13" spans="1:5" x14ac:dyDescent="0.2">
      <c r="B13" t="s">
        <v>35</v>
      </c>
      <c r="C13">
        <f>'All Data, BRF500 20% O2'!AA1203</f>
        <v>0.31419212976370187</v>
      </c>
      <c r="D13">
        <f>'All Data, WS500 20% O2'!X1205</f>
        <v>0.15781483628247484</v>
      </c>
      <c r="E13">
        <f>'All Data, PW500, 20% O2'!W1205</f>
        <v>9.9123840046483613E-3</v>
      </c>
    </row>
    <row r="16" spans="1:5" x14ac:dyDescent="0.2">
      <c r="A16" t="s">
        <v>40</v>
      </c>
    </row>
    <row r="18" spans="2:6" x14ac:dyDescent="0.2">
      <c r="B18" t="s">
        <v>41</v>
      </c>
      <c r="C18" t="s">
        <v>28</v>
      </c>
      <c r="D18" t="s">
        <v>29</v>
      </c>
      <c r="E18" t="s">
        <v>30</v>
      </c>
      <c r="F18" s="9" t="s">
        <v>42</v>
      </c>
    </row>
    <row r="19" spans="2:6" x14ac:dyDescent="0.2">
      <c r="B19">
        <v>225</v>
      </c>
      <c r="C19" s="8">
        <f>'All Data, BRF500 20% O2'!S483-'All Data, BRF500 20% O2'!L483</f>
        <v>4.0215500000000048</v>
      </c>
      <c r="D19" s="8">
        <f>'All Data, WS500 20% O2'!Q485-'All Data, WS500 20% O2'!K485</f>
        <v>2.9300800000000038</v>
      </c>
      <c r="E19" s="8">
        <f>'All Data, PW500, 20% O2'!P485-'All Data, PW500, 20% O2'!J485</f>
        <v>2.161050000000003</v>
      </c>
      <c r="F19" s="10">
        <f>AVERAGE(C19:E19)</f>
        <v>3.037560000000004</v>
      </c>
    </row>
    <row r="20" spans="2:6" x14ac:dyDescent="0.2">
      <c r="B20">
        <v>250</v>
      </c>
      <c r="C20" s="8">
        <f>'All Data, BRF500 20% O2'!AG1203-'All Data, BRF500 20% O2'!Z1203</f>
        <v>5.0383399999999909</v>
      </c>
      <c r="D20" s="8">
        <f>'All Data, WS500 20% O2'!AC1205-'All Data, WS500 20% O2'!W1205</f>
        <v>6.2491100000000017</v>
      </c>
      <c r="E20" s="8">
        <f>'All Data, PW500, 20% O2'!AB1205-'All Data, PW500, 20% O2'!V1205</f>
        <v>2.3827300000000093</v>
      </c>
      <c r="F20" s="10">
        <f>AVERAGE(C20:E20)</f>
        <v>4.556726666666667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4DB2-43FA-2B48-9F70-AC7A070D9EF4}">
  <dimension ref="B1:AZ1203"/>
  <sheetViews>
    <sheetView topLeftCell="AS196" workbookViewId="0">
      <selection activeCell="BA7" sqref="BA7"/>
    </sheetView>
  </sheetViews>
  <sheetFormatPr baseColWidth="10" defaultRowHeight="13" x14ac:dyDescent="0.2"/>
  <cols>
    <col min="1" max="16384" width="10.83203125" style="1"/>
  </cols>
  <sheetData>
    <row r="1" spans="2:52" x14ac:dyDescent="0.2">
      <c r="M1" s="1" t="s">
        <v>38</v>
      </c>
      <c r="N1" s="1">
        <f>40.08/100</f>
        <v>0.40079999999999999</v>
      </c>
    </row>
    <row r="2" spans="2:52" x14ac:dyDescent="0.2">
      <c r="C2" s="1" t="s">
        <v>0</v>
      </c>
      <c r="J2" s="1" t="s">
        <v>10</v>
      </c>
      <c r="Q2" s="1" t="s">
        <v>11</v>
      </c>
      <c r="X2" s="1" t="s">
        <v>3</v>
      </c>
      <c r="AE2" s="1" t="s">
        <v>4</v>
      </c>
      <c r="AK2" s="1" t="s">
        <v>44</v>
      </c>
      <c r="AQ2" s="1" t="s">
        <v>45</v>
      </c>
      <c r="AW2" s="1" t="s">
        <v>47</v>
      </c>
    </row>
    <row r="3" spans="2:52" x14ac:dyDescent="0.2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D3" s="1" t="s">
        <v>12</v>
      </c>
      <c r="AE3" s="1" t="s">
        <v>13</v>
      </c>
      <c r="AF3" s="1" t="s">
        <v>14</v>
      </c>
      <c r="AG3" s="1" t="s">
        <v>15</v>
      </c>
      <c r="AH3" s="1" t="s">
        <v>16</v>
      </c>
      <c r="AK3" s="1" t="s">
        <v>12</v>
      </c>
      <c r="AL3" s="1" t="s">
        <v>43</v>
      </c>
      <c r="AM3" s="1" t="s">
        <v>14</v>
      </c>
      <c r="AN3" s="1" t="s">
        <v>15</v>
      </c>
      <c r="AO3" s="1" t="s">
        <v>9</v>
      </c>
      <c r="AQ3" s="1" t="s">
        <v>12</v>
      </c>
      <c r="AR3" s="1" t="s">
        <v>43</v>
      </c>
      <c r="AS3" s="1" t="s">
        <v>14</v>
      </c>
      <c r="AT3" s="1" t="s">
        <v>15</v>
      </c>
      <c r="AU3" s="1" t="s">
        <v>9</v>
      </c>
      <c r="AW3" s="1" t="s">
        <v>12</v>
      </c>
      <c r="AX3" s="1" t="s">
        <v>43</v>
      </c>
      <c r="AY3" s="1" t="s">
        <v>14</v>
      </c>
      <c r="AZ3" s="1" t="s">
        <v>48</v>
      </c>
    </row>
    <row r="4" spans="2:52" ht="16" x14ac:dyDescent="0.2">
      <c r="B4" s="4">
        <v>200.11103</v>
      </c>
      <c r="C4" s="1">
        <v>0</v>
      </c>
      <c r="D4" s="3">
        <v>98.873559999999998</v>
      </c>
      <c r="E4" s="3">
        <f>100-($D$4-D4)</f>
        <v>100</v>
      </c>
      <c r="F4" s="3"/>
      <c r="I4" s="4">
        <v>225.00028</v>
      </c>
      <c r="J4" s="1">
        <v>0</v>
      </c>
      <c r="K4" s="3">
        <v>96.412930000000003</v>
      </c>
      <c r="L4" s="3">
        <f>100-($K$4-K4)</f>
        <v>100</v>
      </c>
      <c r="M4" s="3"/>
      <c r="P4" s="4">
        <v>224.99323000000001</v>
      </c>
      <c r="Q4" s="1">
        <v>0</v>
      </c>
      <c r="R4" s="3">
        <v>100.07581999999999</v>
      </c>
      <c r="S4" s="3">
        <f>100-($R$4-R4)</f>
        <v>100</v>
      </c>
      <c r="T4" s="3"/>
      <c r="W4" s="4">
        <v>250.00303</v>
      </c>
      <c r="X4" s="1">
        <v>0</v>
      </c>
      <c r="Y4" s="5">
        <v>94.559169999999995</v>
      </c>
      <c r="Z4" s="3">
        <f>100-($Y$4-Y4)</f>
        <v>100</v>
      </c>
      <c r="AA4" s="3"/>
      <c r="AD4" s="4">
        <v>250.02995000000001</v>
      </c>
      <c r="AE4" s="1">
        <v>0</v>
      </c>
      <c r="AF4" s="5">
        <v>99.738510000000005</v>
      </c>
      <c r="AG4" s="3">
        <f>100-($AF$4-AF4)</f>
        <v>100</v>
      </c>
      <c r="AH4" s="3"/>
      <c r="AK4" s="11">
        <v>105.19646</v>
      </c>
      <c r="AL4" s="1">
        <v>0</v>
      </c>
      <c r="AM4" s="12">
        <v>97.413780000000003</v>
      </c>
      <c r="AN4" s="3">
        <f>100-($AM$4-AM4)</f>
        <v>100</v>
      </c>
      <c r="AO4" s="3"/>
      <c r="AQ4" s="11">
        <v>106.4888</v>
      </c>
      <c r="AR4" s="1">
        <v>0</v>
      </c>
      <c r="AS4" s="13">
        <v>97.041269999999997</v>
      </c>
      <c r="AT4" s="3">
        <f>100-($AS$4-AS4)</f>
        <v>100</v>
      </c>
      <c r="AU4" s="3"/>
      <c r="AW4" s="11">
        <v>88.621459999999999</v>
      </c>
      <c r="AX4" s="1">
        <v>0</v>
      </c>
      <c r="AY4" s="12">
        <v>98.334350000000001</v>
      </c>
      <c r="AZ4" s="3">
        <f>100-($AY$4-AY4)</f>
        <v>100</v>
      </c>
    </row>
    <row r="5" spans="2:52" ht="16" x14ac:dyDescent="0.2">
      <c r="B5" s="4">
        <v>202.31092000000001</v>
      </c>
      <c r="C5" s="1">
        <v>0.5</v>
      </c>
      <c r="D5" s="5">
        <v>98.940370000000001</v>
      </c>
      <c r="E5" s="3">
        <f t="shared" ref="E5:E68" si="0">100-($D$4-D5)</f>
        <v>100.06681</v>
      </c>
      <c r="I5" s="4">
        <v>225.21154999999999</v>
      </c>
      <c r="J5" s="1">
        <v>0.5</v>
      </c>
      <c r="K5" s="5">
        <v>96.48939</v>
      </c>
      <c r="L5" s="3">
        <f t="shared" ref="L5:L68" si="1">100-($K$4-K5)</f>
        <v>100.07646</v>
      </c>
      <c r="P5" s="4">
        <v>227.11912000000001</v>
      </c>
      <c r="Q5" s="1">
        <v>0.5</v>
      </c>
      <c r="R5" s="5">
        <v>99.771339999999995</v>
      </c>
      <c r="S5" s="3">
        <f t="shared" ref="S5:S68" si="2">100-($R$4-R5)</f>
        <v>99.695520000000002</v>
      </c>
      <c r="W5" s="4">
        <v>250.27969999999999</v>
      </c>
      <c r="X5" s="1">
        <v>0.5</v>
      </c>
      <c r="Y5" s="3">
        <v>94.692850000000007</v>
      </c>
      <c r="Z5" s="3">
        <f t="shared" ref="Z5:Z68" si="3">100-($Y$4-Y5)</f>
        <v>100.13368000000001</v>
      </c>
      <c r="AD5" s="4">
        <v>250.07247000000001</v>
      </c>
      <c r="AE5" s="1">
        <v>0.5</v>
      </c>
      <c r="AF5" s="3">
        <v>99.905969999999996</v>
      </c>
      <c r="AG5" s="3">
        <f t="shared" ref="AG5:AG68" si="4">100-($AF$4-AF5)</f>
        <v>100.16745999999999</v>
      </c>
      <c r="AK5" s="11">
        <v>106.44304</v>
      </c>
      <c r="AL5" s="1">
        <v>0.5</v>
      </c>
      <c r="AM5" s="13">
        <v>97.470280000000002</v>
      </c>
      <c r="AN5" s="3">
        <f t="shared" ref="AN5:AN68" si="5">100-($AM$4-AM5)</f>
        <v>100.0565</v>
      </c>
      <c r="AQ5" s="11">
        <v>108.3845</v>
      </c>
      <c r="AR5" s="1">
        <v>0.5</v>
      </c>
      <c r="AS5" s="12">
        <v>97.035979999999995</v>
      </c>
      <c r="AT5" s="3">
        <f t="shared" ref="AT5:AT68" si="6">100-($AS$4-AS5)</f>
        <v>99.994709999999998</v>
      </c>
      <c r="AW5" s="11">
        <v>91.15437</v>
      </c>
      <c r="AX5" s="1">
        <v>0.5</v>
      </c>
      <c r="AY5" s="13">
        <v>98.390460000000004</v>
      </c>
      <c r="AZ5" s="3">
        <f t="shared" ref="AZ5:AZ68" si="7">100-($AY$4-AY5)</f>
        <v>100.05611</v>
      </c>
    </row>
    <row r="6" spans="2:52" ht="16" x14ac:dyDescent="0.2">
      <c r="B6" s="4">
        <v>204.03914</v>
      </c>
      <c r="C6" s="1">
        <v>1</v>
      </c>
      <c r="D6" s="3">
        <v>99.043530000000004</v>
      </c>
      <c r="E6" s="3">
        <f t="shared" si="0"/>
        <v>100.16997000000001</v>
      </c>
      <c r="I6" s="4">
        <v>225.37519</v>
      </c>
      <c r="J6" s="1">
        <v>1</v>
      </c>
      <c r="K6" s="3">
        <v>96.643860000000004</v>
      </c>
      <c r="L6" s="3">
        <f t="shared" si="1"/>
        <v>100.23093</v>
      </c>
      <c r="P6" s="4">
        <v>228.69852</v>
      </c>
      <c r="Q6" s="1">
        <v>1</v>
      </c>
      <c r="R6" s="3">
        <v>100.08382</v>
      </c>
      <c r="S6" s="3">
        <f t="shared" si="2"/>
        <v>100.00800000000001</v>
      </c>
      <c r="W6" s="4">
        <v>250.52506</v>
      </c>
      <c r="X6" s="1">
        <v>1</v>
      </c>
      <c r="Y6" s="5">
        <v>94.857519999999994</v>
      </c>
      <c r="Z6" s="3">
        <f t="shared" si="3"/>
        <v>100.29835</v>
      </c>
      <c r="AD6" s="4">
        <v>250.14171999999999</v>
      </c>
      <c r="AE6" s="1">
        <v>1</v>
      </c>
      <c r="AF6" s="5">
        <v>100.12372999999999</v>
      </c>
      <c r="AG6" s="3">
        <f t="shared" si="4"/>
        <v>100.38521999999999</v>
      </c>
      <c r="AK6" s="11">
        <v>108.34565000000001</v>
      </c>
      <c r="AL6" s="1">
        <v>1</v>
      </c>
      <c r="AM6" s="12">
        <v>97.454599999999999</v>
      </c>
      <c r="AN6" s="3">
        <f t="shared" si="5"/>
        <v>100.04082</v>
      </c>
      <c r="AQ6" s="11">
        <v>110.69307999999999</v>
      </c>
      <c r="AR6" s="1">
        <v>1</v>
      </c>
      <c r="AS6" s="13">
        <v>97.028760000000005</v>
      </c>
      <c r="AT6" s="3">
        <f t="shared" si="6"/>
        <v>99.987490000000008</v>
      </c>
      <c r="AW6" s="11">
        <v>94.84196</v>
      </c>
      <c r="AX6" s="1">
        <v>1</v>
      </c>
      <c r="AY6" s="12">
        <v>98.349329999999995</v>
      </c>
      <c r="AZ6" s="3">
        <f t="shared" si="7"/>
        <v>100.01497999999999</v>
      </c>
    </row>
    <row r="7" spans="2:52" ht="16" x14ac:dyDescent="0.2">
      <c r="B7" s="4">
        <v>205.16368</v>
      </c>
      <c r="C7" s="1">
        <v>1.5</v>
      </c>
      <c r="D7" s="5">
        <v>99.101200000000006</v>
      </c>
      <c r="E7" s="3">
        <f t="shared" si="0"/>
        <v>100.22764000000001</v>
      </c>
      <c r="I7" s="4">
        <v>225.34948</v>
      </c>
      <c r="J7" s="1">
        <v>1.5</v>
      </c>
      <c r="K7" s="5">
        <v>96.727270000000004</v>
      </c>
      <c r="L7" s="3">
        <f t="shared" si="1"/>
        <v>100.31434</v>
      </c>
      <c r="P7" s="4">
        <v>229.64313999999999</v>
      </c>
      <c r="Q7" s="1">
        <v>1.5</v>
      </c>
      <c r="R7" s="5">
        <v>100.08121</v>
      </c>
      <c r="S7" s="3">
        <f t="shared" si="2"/>
        <v>100.00539000000001</v>
      </c>
      <c r="W7" s="4">
        <v>250.48582999999999</v>
      </c>
      <c r="X7" s="1">
        <v>1.5</v>
      </c>
      <c r="Y7" s="3">
        <v>94.961079999999995</v>
      </c>
      <c r="Z7" s="3">
        <f t="shared" si="3"/>
        <v>100.40191</v>
      </c>
      <c r="AD7" s="4">
        <v>250.17527000000001</v>
      </c>
      <c r="AE7" s="1">
        <v>1.5</v>
      </c>
      <c r="AF7" s="3">
        <v>100.19843</v>
      </c>
      <c r="AG7" s="3">
        <f t="shared" si="4"/>
        <v>100.45992</v>
      </c>
      <c r="AK7" s="11">
        <v>110.67225000000001</v>
      </c>
      <c r="AL7" s="1">
        <v>1.5</v>
      </c>
      <c r="AM7" s="13">
        <v>97.460639999999998</v>
      </c>
      <c r="AN7" s="3">
        <f t="shared" si="5"/>
        <v>100.04686</v>
      </c>
      <c r="AQ7" s="11">
        <v>113.24532000000001</v>
      </c>
      <c r="AR7" s="1">
        <v>1.5</v>
      </c>
      <c r="AS7" s="12">
        <v>97.043340000000001</v>
      </c>
      <c r="AT7" s="3">
        <f t="shared" si="6"/>
        <v>100.00207</v>
      </c>
      <c r="AU7" s="1">
        <f>($AT$7-AT7)/($AT$7*(1-$N$1))</f>
        <v>0</v>
      </c>
      <c r="AW7" s="11">
        <v>98.922430000000006</v>
      </c>
      <c r="AX7" s="1">
        <v>1.5</v>
      </c>
      <c r="AY7" s="13">
        <v>98.364570000000001</v>
      </c>
      <c r="AZ7" s="3">
        <f t="shared" si="7"/>
        <v>100.03022</v>
      </c>
    </row>
    <row r="8" spans="2:52" ht="16" x14ac:dyDescent="0.2">
      <c r="B8" s="4">
        <v>205.76915</v>
      </c>
      <c r="C8" s="1">
        <v>2</v>
      </c>
      <c r="D8" s="3">
        <v>99.165700000000001</v>
      </c>
      <c r="E8" s="3">
        <f t="shared" si="0"/>
        <v>100.29214</v>
      </c>
      <c r="I8" s="4">
        <v>225.25546</v>
      </c>
      <c r="J8" s="1">
        <v>2</v>
      </c>
      <c r="K8" s="3">
        <v>96.804040000000001</v>
      </c>
      <c r="L8" s="3">
        <f t="shared" si="1"/>
        <v>100.39111</v>
      </c>
      <c r="P8" s="4">
        <v>230.09608</v>
      </c>
      <c r="Q8" s="1">
        <v>2</v>
      </c>
      <c r="R8" s="3">
        <v>100.06466</v>
      </c>
      <c r="S8" s="3">
        <f t="shared" si="2"/>
        <v>99.98884000000001</v>
      </c>
      <c r="W8" s="4">
        <v>250.35082</v>
      </c>
      <c r="X8" s="1">
        <v>2</v>
      </c>
      <c r="Y8" s="5">
        <v>95.031899999999993</v>
      </c>
      <c r="Z8" s="3">
        <f t="shared" si="3"/>
        <v>100.47273</v>
      </c>
      <c r="AD8" s="4">
        <v>250.16636</v>
      </c>
      <c r="AE8" s="1">
        <v>2</v>
      </c>
      <c r="AF8" s="5">
        <v>100.15464</v>
      </c>
      <c r="AG8" s="3">
        <f t="shared" si="4"/>
        <v>100.41613</v>
      </c>
      <c r="AK8" s="11">
        <v>113.23278000000001</v>
      </c>
      <c r="AL8" s="1">
        <v>2</v>
      </c>
      <c r="AM8" s="12">
        <v>97.47775</v>
      </c>
      <c r="AN8" s="7">
        <f t="shared" si="5"/>
        <v>100.06397</v>
      </c>
      <c r="AO8" s="1">
        <f>($AN$8-AN8)/($AN$8*(1-$N$1))</f>
        <v>0</v>
      </c>
      <c r="AQ8" s="11">
        <v>115.92513</v>
      </c>
      <c r="AR8" s="1">
        <v>2</v>
      </c>
      <c r="AS8" s="13">
        <v>97.03246</v>
      </c>
      <c r="AT8" s="3">
        <f t="shared" si="6"/>
        <v>99.991190000000003</v>
      </c>
      <c r="AU8" s="1">
        <f t="shared" ref="AU8:AU71" si="8">($AT$7-AT8)/($AT$7*(1-$N$1))</f>
        <v>1.8157167537820592E-4</v>
      </c>
      <c r="AW8" s="11">
        <v>102.96055</v>
      </c>
      <c r="AX8" s="1">
        <v>2</v>
      </c>
      <c r="AY8" s="12">
        <v>98.373940000000005</v>
      </c>
      <c r="AZ8" s="3">
        <f t="shared" si="7"/>
        <v>100.03959</v>
      </c>
    </row>
    <row r="9" spans="2:52" ht="16" x14ac:dyDescent="0.2">
      <c r="B9" s="4">
        <v>206.02691999999999</v>
      </c>
      <c r="C9" s="1">
        <v>2.5</v>
      </c>
      <c r="D9" s="5">
        <v>99.207440000000005</v>
      </c>
      <c r="E9" s="3">
        <f t="shared" si="0"/>
        <v>100.33388000000001</v>
      </c>
      <c r="I9" s="4">
        <v>225.15756999999999</v>
      </c>
      <c r="J9" s="1">
        <v>2.5</v>
      </c>
      <c r="K9" s="5">
        <v>96.834879999999998</v>
      </c>
      <c r="L9" s="3">
        <f t="shared" si="1"/>
        <v>100.42195</v>
      </c>
      <c r="P9" s="4">
        <v>230.26029</v>
      </c>
      <c r="Q9" s="1">
        <v>2.5</v>
      </c>
      <c r="R9" s="5">
        <v>100.14502</v>
      </c>
      <c r="S9" s="3">
        <f t="shared" si="2"/>
        <v>100.06920000000001</v>
      </c>
      <c r="W9" s="4">
        <v>250.21381</v>
      </c>
      <c r="X9" s="1">
        <v>2.5</v>
      </c>
      <c r="Y9" s="3">
        <v>95.045370000000005</v>
      </c>
      <c r="Z9" s="3">
        <f t="shared" si="3"/>
        <v>100.48620000000001</v>
      </c>
      <c r="AD9" s="4">
        <v>250.13444999999999</v>
      </c>
      <c r="AE9" s="1">
        <v>2.5</v>
      </c>
      <c r="AF9" s="3">
        <v>100.26729</v>
      </c>
      <c r="AG9" s="7">
        <f t="shared" si="4"/>
        <v>100.52878</v>
      </c>
      <c r="AH9" s="1">
        <f>($AG$9-AG9)/($AG$9*(1-$N$1))</f>
        <v>0</v>
      </c>
      <c r="AK9" s="11">
        <v>115.91846</v>
      </c>
      <c r="AL9" s="1">
        <v>2.5</v>
      </c>
      <c r="AM9" s="13">
        <v>97.466380000000001</v>
      </c>
      <c r="AN9" s="3">
        <f t="shared" si="5"/>
        <v>100.0526</v>
      </c>
      <c r="AO9" s="1">
        <f t="shared" ref="AO9:AO72" si="9">($AN$8-AN9)/($AN$8*(1-$N$1))</f>
        <v>1.8963169660901028E-4</v>
      </c>
      <c r="AQ9" s="11">
        <v>118.6589</v>
      </c>
      <c r="AR9" s="1">
        <v>2.5</v>
      </c>
      <c r="AS9" s="12">
        <v>97.022649999999999</v>
      </c>
      <c r="AT9" s="3">
        <f t="shared" si="6"/>
        <v>99.981380000000001</v>
      </c>
      <c r="AU9" s="1">
        <f t="shared" si="8"/>
        <v>3.4528657753449846E-4</v>
      </c>
      <c r="AW9" s="11">
        <v>106.68785</v>
      </c>
      <c r="AX9" s="1">
        <v>2.5</v>
      </c>
      <c r="AY9" s="13">
        <v>98.391019999999997</v>
      </c>
      <c r="AZ9" s="3">
        <f t="shared" si="7"/>
        <v>100.05667</v>
      </c>
    </row>
    <row r="10" spans="2:52" ht="16" x14ac:dyDescent="0.2">
      <c r="B10" s="4">
        <v>206.08526000000001</v>
      </c>
      <c r="C10" s="1">
        <v>3</v>
      </c>
      <c r="D10" s="3">
        <v>99.292959999999994</v>
      </c>
      <c r="E10" s="3">
        <f t="shared" si="0"/>
        <v>100.4194</v>
      </c>
      <c r="I10" s="4">
        <v>225.07776999999999</v>
      </c>
      <c r="J10" s="1">
        <v>3</v>
      </c>
      <c r="K10" s="3">
        <v>96.838570000000004</v>
      </c>
      <c r="L10" s="3">
        <f t="shared" si="1"/>
        <v>100.42564</v>
      </c>
      <c r="P10" s="4">
        <v>230.29175000000001</v>
      </c>
      <c r="Q10" s="1">
        <v>3</v>
      </c>
      <c r="R10" s="3">
        <v>100.17519</v>
      </c>
      <c r="S10" s="3">
        <f t="shared" si="2"/>
        <v>100.09937000000001</v>
      </c>
      <c r="W10" s="4">
        <v>250.10078999999999</v>
      </c>
      <c r="X10" s="1">
        <v>3</v>
      </c>
      <c r="Y10" s="5">
        <v>95.060559999999995</v>
      </c>
      <c r="Z10" s="3">
        <f t="shared" si="3"/>
        <v>100.50139</v>
      </c>
      <c r="AD10" s="4">
        <v>250.10865999999999</v>
      </c>
      <c r="AE10" s="1">
        <v>3</v>
      </c>
      <c r="AF10" s="5">
        <v>100.10890999999999</v>
      </c>
      <c r="AG10" s="3">
        <f t="shared" si="4"/>
        <v>100.37039999999999</v>
      </c>
      <c r="AH10" s="1">
        <f t="shared" ref="AH10:AH73" si="10">($AG$9-AG10)/($AG$9*(1-$N$1))</f>
        <v>2.629287773340571E-3</v>
      </c>
      <c r="AK10" s="11">
        <v>118.65761000000001</v>
      </c>
      <c r="AL10" s="1">
        <v>3</v>
      </c>
      <c r="AM10" s="12">
        <v>97.467119999999994</v>
      </c>
      <c r="AN10" s="3">
        <f t="shared" si="5"/>
        <v>100.05333999999999</v>
      </c>
      <c r="AO10" s="1">
        <f t="shared" si="9"/>
        <v>1.7728979199252792E-4</v>
      </c>
      <c r="AQ10" s="11">
        <v>121.41116</v>
      </c>
      <c r="AR10" s="1">
        <v>3</v>
      </c>
      <c r="AS10" s="13">
        <v>97.000789999999995</v>
      </c>
      <c r="AT10" s="3">
        <f t="shared" si="6"/>
        <v>99.959519999999998</v>
      </c>
      <c r="AU10" s="1">
        <f t="shared" si="8"/>
        <v>7.1009878560142716E-4</v>
      </c>
      <c r="AW10" s="11">
        <v>110.01201</v>
      </c>
      <c r="AX10" s="1">
        <v>3</v>
      </c>
      <c r="AY10" s="12">
        <v>98.37021</v>
      </c>
      <c r="AZ10" s="3">
        <f t="shared" si="7"/>
        <v>100.03586</v>
      </c>
    </row>
    <row r="11" spans="2:52" ht="16" x14ac:dyDescent="0.2">
      <c r="B11" s="4">
        <v>206.03245999999999</v>
      </c>
      <c r="C11" s="1">
        <v>3.5</v>
      </c>
      <c r="D11" s="5">
        <v>99.256929999999997</v>
      </c>
      <c r="E11" s="3">
        <f t="shared" si="0"/>
        <v>100.38337</v>
      </c>
      <c r="I11" s="4">
        <v>225.02271999999999</v>
      </c>
      <c r="J11" s="1">
        <v>3.5</v>
      </c>
      <c r="K11" s="5">
        <v>96.886449999999996</v>
      </c>
      <c r="L11" s="3">
        <f t="shared" si="1"/>
        <v>100.47351999999999</v>
      </c>
      <c r="P11" s="4">
        <v>230.26491999999999</v>
      </c>
      <c r="Q11" s="1">
        <v>3.5</v>
      </c>
      <c r="R11" s="5">
        <v>100.1371</v>
      </c>
      <c r="S11" s="3">
        <f t="shared" si="2"/>
        <v>100.06128000000001</v>
      </c>
      <c r="W11" s="6">
        <v>250.01891000000001</v>
      </c>
      <c r="X11" s="1">
        <v>3.5</v>
      </c>
      <c r="Y11" s="6">
        <v>95.06653</v>
      </c>
      <c r="Z11" s="7">
        <f t="shared" si="3"/>
        <v>100.50736000000001</v>
      </c>
      <c r="AA11" s="1">
        <f>($Z$11-Z11)/($Z$11*(1-$N$1))</f>
        <v>0</v>
      </c>
      <c r="AD11" s="4">
        <v>250.09214</v>
      </c>
      <c r="AE11" s="1">
        <v>3.5</v>
      </c>
      <c r="AF11" s="3">
        <v>100.14182</v>
      </c>
      <c r="AG11" s="3">
        <f t="shared" si="4"/>
        <v>100.40330999999999</v>
      </c>
      <c r="AH11" s="1">
        <f t="shared" si="10"/>
        <v>2.0829444179886539E-3</v>
      </c>
      <c r="AK11" s="11">
        <v>121.41876999999999</v>
      </c>
      <c r="AL11" s="1">
        <v>3.5</v>
      </c>
      <c r="AM11" s="13">
        <v>97.448080000000004</v>
      </c>
      <c r="AN11" s="3">
        <f t="shared" si="5"/>
        <v>100.0343</v>
      </c>
      <c r="AO11" s="1">
        <f t="shared" si="9"/>
        <v>4.9484366212742572E-4</v>
      </c>
      <c r="AQ11" s="11">
        <v>124.15429</v>
      </c>
      <c r="AR11" s="1">
        <v>3.5</v>
      </c>
      <c r="AS11" s="12">
        <v>96.982140000000001</v>
      </c>
      <c r="AT11" s="3">
        <f t="shared" si="6"/>
        <v>99.940870000000004</v>
      </c>
      <c r="AU11" s="1">
        <f t="shared" si="8"/>
        <v>1.0213406740023786E-3</v>
      </c>
      <c r="AW11" s="11">
        <v>112.91452</v>
      </c>
      <c r="AX11" s="1">
        <v>3.5</v>
      </c>
      <c r="AY11" s="13">
        <v>98.318470000000005</v>
      </c>
      <c r="AZ11" s="3">
        <f t="shared" si="7"/>
        <v>99.984120000000004</v>
      </c>
    </row>
    <row r="12" spans="2:52" ht="16" x14ac:dyDescent="0.2">
      <c r="B12" s="4">
        <v>205.90749</v>
      </c>
      <c r="C12" s="1">
        <v>4</v>
      </c>
      <c r="D12" s="3">
        <v>99.285420000000002</v>
      </c>
      <c r="E12" s="3">
        <f t="shared" si="0"/>
        <v>100.41186</v>
      </c>
      <c r="I12" s="4">
        <v>224.98786000000001</v>
      </c>
      <c r="J12" s="1">
        <v>4</v>
      </c>
      <c r="K12" s="3">
        <v>96.906019999999998</v>
      </c>
      <c r="L12" s="3">
        <f t="shared" si="1"/>
        <v>100.49309</v>
      </c>
      <c r="P12" s="4">
        <v>230.19832</v>
      </c>
      <c r="Q12" s="1">
        <v>4</v>
      </c>
      <c r="R12" s="3">
        <v>100.13039999999999</v>
      </c>
      <c r="S12" s="3">
        <f t="shared" si="2"/>
        <v>100.05458</v>
      </c>
      <c r="W12" s="4">
        <v>249.96587</v>
      </c>
      <c r="X12" s="1">
        <v>4</v>
      </c>
      <c r="Y12" s="5">
        <v>95.064329999999998</v>
      </c>
      <c r="Z12" s="3">
        <f t="shared" si="3"/>
        <v>100.50516</v>
      </c>
      <c r="AA12" s="1">
        <f t="shared" ref="AA12:AA75" si="11">($Z$11-Z12)/($Z$11*(1-$N$1))</f>
        <v>3.6530280795161046E-5</v>
      </c>
      <c r="AD12" s="4">
        <v>250.07830999999999</v>
      </c>
      <c r="AE12" s="1">
        <v>4</v>
      </c>
      <c r="AF12" s="5">
        <v>100.25499000000001</v>
      </c>
      <c r="AG12" s="3">
        <f t="shared" si="4"/>
        <v>100.51648</v>
      </c>
      <c r="AH12" s="1">
        <f t="shared" si="10"/>
        <v>2.0419396143501307E-4</v>
      </c>
      <c r="AK12" s="11">
        <v>124.17375</v>
      </c>
      <c r="AL12" s="1">
        <v>4</v>
      </c>
      <c r="AM12" s="12">
        <v>97.426649999999995</v>
      </c>
      <c r="AN12" s="3">
        <f t="shared" si="5"/>
        <v>100.01286999999999</v>
      </c>
      <c r="AO12" s="1">
        <f t="shared" si="9"/>
        <v>8.522585485243537E-4</v>
      </c>
      <c r="AQ12" s="11">
        <v>126.86978999999999</v>
      </c>
      <c r="AR12" s="1">
        <v>4</v>
      </c>
      <c r="AS12" s="13">
        <v>96.973969999999994</v>
      </c>
      <c r="AT12" s="3">
        <f t="shared" si="6"/>
        <v>99.932699999999997</v>
      </c>
      <c r="AU12" s="1">
        <f t="shared" si="8"/>
        <v>1.1576863162671915E-3</v>
      </c>
      <c r="AW12" s="11">
        <v>115.42709000000001</v>
      </c>
      <c r="AX12" s="1">
        <v>4</v>
      </c>
      <c r="AY12" s="12">
        <v>98.308790000000002</v>
      </c>
      <c r="AZ12" s="3">
        <f t="shared" si="7"/>
        <v>99.974440000000001</v>
      </c>
    </row>
    <row r="13" spans="2:52" ht="16" x14ac:dyDescent="0.2">
      <c r="B13" s="4">
        <v>205.72273000000001</v>
      </c>
      <c r="C13" s="1">
        <v>4.5</v>
      </c>
      <c r="D13" s="5">
        <v>99.211240000000004</v>
      </c>
      <c r="E13" s="3">
        <f t="shared" si="0"/>
        <v>100.33768000000001</v>
      </c>
      <c r="I13" s="4">
        <v>224.96079</v>
      </c>
      <c r="J13" s="1">
        <v>4.5</v>
      </c>
      <c r="K13" s="5">
        <v>96.900170000000003</v>
      </c>
      <c r="L13" s="3">
        <f t="shared" si="1"/>
        <v>100.48724</v>
      </c>
      <c r="P13" s="4">
        <v>230.06881000000001</v>
      </c>
      <c r="Q13" s="1">
        <v>4.5</v>
      </c>
      <c r="R13" s="5">
        <v>100.24339000000001</v>
      </c>
      <c r="S13" s="7">
        <f t="shared" si="2"/>
        <v>100.16757000000001</v>
      </c>
      <c r="T13" s="1">
        <f>($S$13-S13)/($S$13*(1-$N$1))</f>
        <v>0</v>
      </c>
      <c r="W13" s="4">
        <v>249.94198</v>
      </c>
      <c r="X13" s="1">
        <v>4.5</v>
      </c>
      <c r="Y13" s="3">
        <v>95.052710000000005</v>
      </c>
      <c r="Z13" s="3">
        <f t="shared" si="3"/>
        <v>100.49354000000001</v>
      </c>
      <c r="AA13" s="1">
        <f t="shared" si="11"/>
        <v>2.2947658208568518E-4</v>
      </c>
      <c r="AD13" s="4">
        <v>250.07071999999999</v>
      </c>
      <c r="AE13" s="1">
        <v>4.5</v>
      </c>
      <c r="AF13" s="3">
        <v>100.13798</v>
      </c>
      <c r="AG13" s="3">
        <f t="shared" si="4"/>
        <v>100.39946999999999</v>
      </c>
      <c r="AH13" s="1">
        <f t="shared" si="10"/>
        <v>2.1466927766805258E-3</v>
      </c>
      <c r="AK13" s="11">
        <v>126.88092</v>
      </c>
      <c r="AL13" s="1">
        <v>4.5</v>
      </c>
      <c r="AM13" s="13">
        <v>97.424279999999996</v>
      </c>
      <c r="AN13" s="3">
        <f t="shared" si="5"/>
        <v>100.01049999999999</v>
      </c>
      <c r="AO13" s="1">
        <f t="shared" si="9"/>
        <v>8.9178599979640341E-4</v>
      </c>
      <c r="AQ13" s="11">
        <v>129.54725999999999</v>
      </c>
      <c r="AR13" s="1">
        <v>4.5</v>
      </c>
      <c r="AS13" s="12">
        <v>96.946060000000003</v>
      </c>
      <c r="AT13" s="3">
        <f t="shared" si="6"/>
        <v>99.904790000000006</v>
      </c>
      <c r="AU13" s="1">
        <f t="shared" si="8"/>
        <v>1.6234643916168301E-3</v>
      </c>
      <c r="AW13" s="11">
        <v>117.62746</v>
      </c>
      <c r="AX13" s="1">
        <v>4.5</v>
      </c>
      <c r="AY13" s="13">
        <v>98.299989999999994</v>
      </c>
      <c r="AZ13" s="3">
        <f t="shared" si="7"/>
        <v>99.965639999999993</v>
      </c>
    </row>
    <row r="14" spans="2:52" ht="16" x14ac:dyDescent="0.2">
      <c r="B14" s="4">
        <v>205.48319000000001</v>
      </c>
      <c r="C14" s="1">
        <v>5</v>
      </c>
      <c r="D14" s="3">
        <v>99.246899999999997</v>
      </c>
      <c r="E14" s="3">
        <f t="shared" si="0"/>
        <v>100.37334</v>
      </c>
      <c r="I14" s="4">
        <v>224.95097000000001</v>
      </c>
      <c r="J14" s="1">
        <v>5</v>
      </c>
      <c r="K14" s="3">
        <v>96.902519999999996</v>
      </c>
      <c r="L14" s="3">
        <f t="shared" si="1"/>
        <v>100.48958999999999</v>
      </c>
      <c r="P14" s="4">
        <v>229.86067</v>
      </c>
      <c r="Q14" s="1">
        <v>5</v>
      </c>
      <c r="R14" s="3">
        <v>99.962789999999998</v>
      </c>
      <c r="S14" s="3">
        <f t="shared" si="2"/>
        <v>99.886970000000005</v>
      </c>
      <c r="T14" s="1">
        <f t="shared" ref="T14:T77" si="12">($S$13-S14)/($S$13*(1-$N$1))</f>
        <v>4.6750765216692809E-3</v>
      </c>
      <c r="W14" s="4">
        <v>249.93098000000001</v>
      </c>
      <c r="X14" s="1">
        <v>5</v>
      </c>
      <c r="Y14" s="5">
        <v>95.031620000000004</v>
      </c>
      <c r="Z14" s="3">
        <f t="shared" si="3"/>
        <v>100.47245000000001</v>
      </c>
      <c r="AA14" s="1">
        <f t="shared" si="11"/>
        <v>5.7966913752627064E-4</v>
      </c>
      <c r="AD14" s="4">
        <v>250.05874</v>
      </c>
      <c r="AE14" s="1">
        <v>5</v>
      </c>
      <c r="AF14" s="5">
        <v>100.17148</v>
      </c>
      <c r="AG14" s="3">
        <f t="shared" si="4"/>
        <v>100.43297</v>
      </c>
      <c r="AH14" s="1">
        <f t="shared" si="10"/>
        <v>1.5905547516337135E-3</v>
      </c>
      <c r="AK14" s="11">
        <v>129.54263</v>
      </c>
      <c r="AL14" s="1">
        <v>5</v>
      </c>
      <c r="AM14" s="12">
        <v>97.400170000000003</v>
      </c>
      <c r="AN14" s="3">
        <f t="shared" si="5"/>
        <v>99.98639</v>
      </c>
      <c r="AO14" s="1">
        <f t="shared" si="9"/>
        <v>1.2938985948045103E-3</v>
      </c>
      <c r="AQ14" s="11">
        <v>132.16341</v>
      </c>
      <c r="AR14" s="1">
        <v>5</v>
      </c>
      <c r="AS14" s="13">
        <v>96.939570000000003</v>
      </c>
      <c r="AT14" s="3">
        <f t="shared" si="6"/>
        <v>99.898300000000006</v>
      </c>
      <c r="AU14" s="1">
        <f t="shared" si="8"/>
        <v>1.7317732310657668E-3</v>
      </c>
      <c r="AW14" s="11">
        <v>119.57438999999999</v>
      </c>
      <c r="AX14" s="1">
        <v>5</v>
      </c>
      <c r="AY14" s="12">
        <v>98.291219999999996</v>
      </c>
      <c r="AZ14" s="3">
        <f t="shared" si="7"/>
        <v>99.956869999999995</v>
      </c>
    </row>
    <row r="15" spans="2:52" ht="16" x14ac:dyDescent="0.2">
      <c r="B15" s="4">
        <v>205.18277</v>
      </c>
      <c r="C15" s="1">
        <v>5.5</v>
      </c>
      <c r="D15" s="5">
        <v>99.179010000000005</v>
      </c>
      <c r="E15" s="3">
        <f t="shared" si="0"/>
        <v>100.30545000000001</v>
      </c>
      <c r="I15" s="6">
        <v>224.94900000000001</v>
      </c>
      <c r="J15" s="1">
        <v>5.5</v>
      </c>
      <c r="K15" s="6">
        <v>96.930459999999997</v>
      </c>
      <c r="L15" s="7">
        <f t="shared" si="1"/>
        <v>100.51752999999999</v>
      </c>
      <c r="M15" s="1">
        <f>($L$15-L15)/($L$15*(1-$N$1))</f>
        <v>0</v>
      </c>
      <c r="P15" s="4">
        <v>229.58063000000001</v>
      </c>
      <c r="Q15" s="1">
        <v>5.5</v>
      </c>
      <c r="R15" s="5">
        <v>100.04909000000001</v>
      </c>
      <c r="S15" s="3">
        <f t="shared" si="2"/>
        <v>99.973270000000014</v>
      </c>
      <c r="T15" s="1">
        <f t="shared" si="12"/>
        <v>3.2372322457601978E-3</v>
      </c>
      <c r="W15" s="4">
        <v>249.92099999999999</v>
      </c>
      <c r="X15" s="1">
        <v>5.5</v>
      </c>
      <c r="Y15" s="3">
        <v>95.012730000000005</v>
      </c>
      <c r="Z15" s="3">
        <f t="shared" si="3"/>
        <v>100.45356000000001</v>
      </c>
      <c r="AA15" s="1">
        <f t="shared" si="11"/>
        <v>8.9333141217169513E-4</v>
      </c>
      <c r="AD15" s="4">
        <v>250.04786999999999</v>
      </c>
      <c r="AE15" s="1">
        <v>5.5</v>
      </c>
      <c r="AF15" s="3">
        <v>100.15102</v>
      </c>
      <c r="AG15" s="3">
        <f t="shared" si="4"/>
        <v>100.41251</v>
      </c>
      <c r="AH15" s="1">
        <f t="shared" si="10"/>
        <v>1.9302139752891314E-3</v>
      </c>
      <c r="AK15" s="11">
        <v>132.15598</v>
      </c>
      <c r="AL15" s="1">
        <v>5.5</v>
      </c>
      <c r="AM15" s="13">
        <v>97.398300000000006</v>
      </c>
      <c r="AN15" s="3">
        <f t="shared" si="5"/>
        <v>99.984520000000003</v>
      </c>
      <c r="AO15" s="1">
        <f t="shared" si="9"/>
        <v>1.3250869213355782E-3</v>
      </c>
      <c r="AQ15" s="11">
        <v>134.76291000000001</v>
      </c>
      <c r="AR15" s="1">
        <v>5.5</v>
      </c>
      <c r="AS15" s="12">
        <v>96.915400000000005</v>
      </c>
      <c r="AT15" s="3">
        <f t="shared" si="6"/>
        <v>99.874130000000008</v>
      </c>
      <c r="AU15" s="1">
        <f t="shared" si="8"/>
        <v>2.1351360430042583E-3</v>
      </c>
      <c r="AW15" s="11">
        <v>121.35183000000001</v>
      </c>
      <c r="AX15" s="1">
        <v>5.5</v>
      </c>
      <c r="AY15" s="13">
        <v>98.237359999999995</v>
      </c>
      <c r="AZ15" s="3">
        <f t="shared" si="7"/>
        <v>99.903009999999995</v>
      </c>
    </row>
    <row r="16" spans="2:52" ht="16" x14ac:dyDescent="0.2">
      <c r="B16" s="4">
        <v>204.8312</v>
      </c>
      <c r="C16" s="1">
        <v>6</v>
      </c>
      <c r="D16" s="3">
        <v>99.221379999999996</v>
      </c>
      <c r="E16" s="3">
        <f t="shared" si="0"/>
        <v>100.34782</v>
      </c>
      <c r="I16" s="4">
        <v>224.95199</v>
      </c>
      <c r="J16" s="1">
        <v>6</v>
      </c>
      <c r="K16" s="3">
        <v>96.907830000000004</v>
      </c>
      <c r="L16" s="3">
        <f t="shared" si="1"/>
        <v>100.4949</v>
      </c>
      <c r="M16" s="1">
        <f t="shared" ref="M16:M79" si="13">($L$15-L16)/($L$15*(1-$N$1))</f>
        <v>3.7572573358016784E-4</v>
      </c>
      <c r="P16" s="4">
        <v>229.24638999999999</v>
      </c>
      <c r="Q16" s="1">
        <v>6</v>
      </c>
      <c r="R16" s="3">
        <v>100.13445</v>
      </c>
      <c r="S16" s="3">
        <f t="shared" si="2"/>
        <v>100.05863000000001</v>
      </c>
      <c r="T16" s="1">
        <f t="shared" si="12"/>
        <v>1.815049309588945E-3</v>
      </c>
      <c r="W16" s="4">
        <v>249.92001999999999</v>
      </c>
      <c r="X16" s="1">
        <v>6</v>
      </c>
      <c r="Y16" s="5">
        <v>94.991669999999999</v>
      </c>
      <c r="Z16" s="3">
        <f t="shared" si="3"/>
        <v>100.4325</v>
      </c>
      <c r="AA16" s="1">
        <f t="shared" si="11"/>
        <v>1.2430258274196977E-3</v>
      </c>
      <c r="AD16" s="4">
        <v>250.03592</v>
      </c>
      <c r="AE16" s="1">
        <v>6</v>
      </c>
      <c r="AF16" s="5">
        <v>100.0791</v>
      </c>
      <c r="AG16" s="3">
        <f t="shared" si="4"/>
        <v>100.34058999999999</v>
      </c>
      <c r="AH16" s="1">
        <f t="shared" si="10"/>
        <v>3.1241676099567615E-3</v>
      </c>
      <c r="AK16" s="11">
        <v>134.77178000000001</v>
      </c>
      <c r="AL16" s="1">
        <v>6</v>
      </c>
      <c r="AM16" s="12">
        <v>97.369749999999996</v>
      </c>
      <c r="AN16" s="3">
        <f t="shared" si="5"/>
        <v>99.955969999999994</v>
      </c>
      <c r="AO16" s="1">
        <f t="shared" si="9"/>
        <v>1.8012509440435271E-3</v>
      </c>
      <c r="AQ16" s="11">
        <v>137.35828000000001</v>
      </c>
      <c r="AR16" s="1">
        <v>6</v>
      </c>
      <c r="AS16" s="13">
        <v>96.864509999999996</v>
      </c>
      <c r="AT16" s="3">
        <f t="shared" si="6"/>
        <v>99.823239999999998</v>
      </c>
      <c r="AU16" s="1">
        <f t="shared" si="8"/>
        <v>2.9844175282982346E-3</v>
      </c>
      <c r="AW16" s="11">
        <v>122.99551</v>
      </c>
      <c r="AX16" s="1">
        <v>6</v>
      </c>
      <c r="AY16" s="12">
        <v>98.236429999999999</v>
      </c>
      <c r="AZ16" s="3">
        <f t="shared" si="7"/>
        <v>99.902079999999998</v>
      </c>
    </row>
    <row r="17" spans="2:52" ht="16" x14ac:dyDescent="0.2">
      <c r="B17" s="4">
        <v>204.44404</v>
      </c>
      <c r="C17" s="1">
        <v>6.5</v>
      </c>
      <c r="D17" s="5">
        <v>99.278469999999999</v>
      </c>
      <c r="E17" s="3">
        <f t="shared" si="0"/>
        <v>100.40491</v>
      </c>
      <c r="I17" s="4">
        <v>224.95696000000001</v>
      </c>
      <c r="J17" s="1">
        <v>6.5</v>
      </c>
      <c r="K17" s="5">
        <v>96.891589999999994</v>
      </c>
      <c r="L17" s="3">
        <f t="shared" si="1"/>
        <v>100.47865999999999</v>
      </c>
      <c r="M17" s="1">
        <f t="shared" si="13"/>
        <v>6.4535834132863946E-4</v>
      </c>
      <c r="P17" s="4">
        <v>228.88247999999999</v>
      </c>
      <c r="Q17" s="1">
        <v>6.5</v>
      </c>
      <c r="R17" s="5">
        <v>100.00054</v>
      </c>
      <c r="S17" s="3">
        <f t="shared" si="2"/>
        <v>99.924720000000008</v>
      </c>
      <c r="T17" s="1">
        <f t="shared" si="12"/>
        <v>4.0461237822073306E-3</v>
      </c>
      <c r="W17" s="4">
        <v>249.93305000000001</v>
      </c>
      <c r="X17" s="1">
        <v>6.5</v>
      </c>
      <c r="Y17" s="3">
        <v>94.961010000000002</v>
      </c>
      <c r="Z17" s="3">
        <f t="shared" si="3"/>
        <v>100.40184000000001</v>
      </c>
      <c r="AA17" s="1">
        <f t="shared" si="11"/>
        <v>1.752125104319033E-3</v>
      </c>
      <c r="AD17" s="4">
        <v>250.02594999999999</v>
      </c>
      <c r="AE17" s="1">
        <v>6.5</v>
      </c>
      <c r="AF17" s="3">
        <v>100.20910000000001</v>
      </c>
      <c r="AG17" s="3">
        <f t="shared" si="4"/>
        <v>100.47059</v>
      </c>
      <c r="AH17" s="1">
        <f t="shared" si="10"/>
        <v>9.6602005007368288E-4</v>
      </c>
      <c r="AK17" s="11">
        <v>137.36559</v>
      </c>
      <c r="AL17" s="1">
        <v>6.5</v>
      </c>
      <c r="AM17" s="13">
        <v>97.340540000000004</v>
      </c>
      <c r="AN17" s="3">
        <f t="shared" si="5"/>
        <v>99.926760000000002</v>
      </c>
      <c r="AO17" s="1">
        <f t="shared" si="9"/>
        <v>2.288422611409221E-3</v>
      </c>
      <c r="AQ17" s="11">
        <v>139.92604</v>
      </c>
      <c r="AR17" s="1">
        <v>6.5</v>
      </c>
      <c r="AS17" s="12">
        <v>96.870009999999994</v>
      </c>
      <c r="AT17" s="3">
        <f t="shared" si="6"/>
        <v>99.828739999999996</v>
      </c>
      <c r="AU17" s="1">
        <f t="shared" si="8"/>
        <v>2.8926303762228929E-3</v>
      </c>
      <c r="AW17" s="11">
        <v>124.56314</v>
      </c>
      <c r="AX17" s="1">
        <v>6.5</v>
      </c>
      <c r="AY17" s="13">
        <v>98.203800000000001</v>
      </c>
      <c r="AZ17" s="3">
        <f t="shared" si="7"/>
        <v>99.869450000000001</v>
      </c>
    </row>
    <row r="18" spans="2:52" ht="16" x14ac:dyDescent="0.2">
      <c r="B18" s="4">
        <v>204.04245</v>
      </c>
      <c r="C18" s="1">
        <v>7</v>
      </c>
      <c r="D18" s="3">
        <v>99.30095</v>
      </c>
      <c r="E18" s="3">
        <f t="shared" si="0"/>
        <v>100.42739</v>
      </c>
      <c r="I18" s="4">
        <v>224.96493000000001</v>
      </c>
      <c r="J18" s="1">
        <v>7</v>
      </c>
      <c r="K18" s="3">
        <v>96.924440000000004</v>
      </c>
      <c r="L18" s="3">
        <f t="shared" si="1"/>
        <v>100.51151</v>
      </c>
      <c r="M18" s="1">
        <f t="shared" si="13"/>
        <v>9.9950018389328475E-5</v>
      </c>
      <c r="P18" s="4">
        <v>228.51752999999999</v>
      </c>
      <c r="Q18" s="1">
        <v>7</v>
      </c>
      <c r="R18" s="3">
        <v>100.19450000000001</v>
      </c>
      <c r="S18" s="3">
        <f t="shared" si="2"/>
        <v>100.11868000000001</v>
      </c>
      <c r="T18" s="1">
        <f t="shared" si="12"/>
        <v>8.1455627635212426E-4</v>
      </c>
      <c r="W18" s="4">
        <v>249.93805</v>
      </c>
      <c r="X18" s="1">
        <v>7</v>
      </c>
      <c r="Y18" s="5">
        <v>94.955100000000002</v>
      </c>
      <c r="Z18" s="3">
        <f t="shared" si="3"/>
        <v>100.39593000000001</v>
      </c>
      <c r="AA18" s="1">
        <f t="shared" si="11"/>
        <v>1.8502587222732198E-3</v>
      </c>
      <c r="AD18" s="4">
        <v>250.02296999999999</v>
      </c>
      <c r="AE18" s="1">
        <v>7</v>
      </c>
      <c r="AF18" s="5">
        <v>100.06921</v>
      </c>
      <c r="AG18" s="3">
        <f t="shared" si="4"/>
        <v>100.33069999999999</v>
      </c>
      <c r="AH18" s="1">
        <f t="shared" si="10"/>
        <v>3.2883528358586007E-3</v>
      </c>
      <c r="AK18" s="11">
        <v>139.9297</v>
      </c>
      <c r="AL18" s="1">
        <v>7</v>
      </c>
      <c r="AM18" s="12">
        <v>97.33466</v>
      </c>
      <c r="AN18" s="3">
        <f t="shared" si="5"/>
        <v>99.920879999999997</v>
      </c>
      <c r="AO18" s="1">
        <f t="shared" si="9"/>
        <v>2.3864907183627779E-3</v>
      </c>
      <c r="AQ18" s="11">
        <v>142.45750000000001</v>
      </c>
      <c r="AR18" s="1">
        <v>7</v>
      </c>
      <c r="AS18" s="13">
        <v>96.846019999999996</v>
      </c>
      <c r="AT18" s="3">
        <f t="shared" si="6"/>
        <v>99.804749999999999</v>
      </c>
      <c r="AU18" s="1">
        <f t="shared" si="8"/>
        <v>3.2929892450025487E-3</v>
      </c>
      <c r="AW18" s="11">
        <v>126.08906</v>
      </c>
      <c r="AX18" s="1">
        <v>7</v>
      </c>
      <c r="AY18" s="12">
        <v>98.185479999999998</v>
      </c>
      <c r="AZ18" s="3">
        <f t="shared" si="7"/>
        <v>99.851129999999998</v>
      </c>
    </row>
    <row r="19" spans="2:52" ht="16" x14ac:dyDescent="0.2">
      <c r="B19" s="4">
        <v>203.64420000000001</v>
      </c>
      <c r="C19" s="1">
        <v>7.5</v>
      </c>
      <c r="D19" s="5">
        <v>99.320269999999994</v>
      </c>
      <c r="E19" s="3">
        <f t="shared" si="0"/>
        <v>100.44671</v>
      </c>
      <c r="I19" s="4">
        <v>224.96706</v>
      </c>
      <c r="J19" s="1">
        <v>7.5</v>
      </c>
      <c r="K19" s="5">
        <v>96.902780000000007</v>
      </c>
      <c r="L19" s="3">
        <f t="shared" si="1"/>
        <v>100.48985</v>
      </c>
      <c r="M19" s="1">
        <f t="shared" si="13"/>
        <v>4.5957084867426424E-4</v>
      </c>
      <c r="P19" s="4">
        <v>228.17219</v>
      </c>
      <c r="Q19" s="1">
        <v>7.5</v>
      </c>
      <c r="R19" s="5">
        <v>100.10457</v>
      </c>
      <c r="S19" s="3">
        <f t="shared" si="2"/>
        <v>100.02875</v>
      </c>
      <c r="T19" s="1">
        <f t="shared" si="12"/>
        <v>2.3128799812478945E-3</v>
      </c>
      <c r="W19" s="4">
        <v>249.94702000000001</v>
      </c>
      <c r="X19" s="1">
        <v>7.5</v>
      </c>
      <c r="Y19" s="3">
        <v>94.935929999999999</v>
      </c>
      <c r="Z19" s="3">
        <f t="shared" si="3"/>
        <v>100.37676</v>
      </c>
      <c r="AA19" s="1">
        <f t="shared" si="11"/>
        <v>2.1685703053835386E-3</v>
      </c>
      <c r="AD19" s="4">
        <v>250.01794000000001</v>
      </c>
      <c r="AE19" s="1">
        <v>7.5</v>
      </c>
      <c r="AF19" s="3">
        <v>100.11503</v>
      </c>
      <c r="AG19" s="3">
        <f t="shared" si="4"/>
        <v>100.37652</v>
      </c>
      <c r="AH19" s="1">
        <f t="shared" si="10"/>
        <v>2.5276888266751495E-3</v>
      </c>
      <c r="AK19" s="11">
        <v>142.45760999999999</v>
      </c>
      <c r="AL19" s="1">
        <v>7.5</v>
      </c>
      <c r="AM19" s="13">
        <v>97.310900000000004</v>
      </c>
      <c r="AN19" s="3">
        <f t="shared" si="5"/>
        <v>99.897120000000001</v>
      </c>
      <c r="AO19" s="1">
        <f t="shared" si="9"/>
        <v>2.7827659260522683E-3</v>
      </c>
      <c r="AQ19" s="11">
        <v>144.99692999999999</v>
      </c>
      <c r="AR19" s="1">
        <v>7.5</v>
      </c>
      <c r="AS19" s="12">
        <v>96.825100000000006</v>
      </c>
      <c r="AT19" s="3">
        <f t="shared" si="6"/>
        <v>99.783830000000009</v>
      </c>
      <c r="AU19" s="1">
        <f t="shared" si="8"/>
        <v>3.642114194350904E-3</v>
      </c>
      <c r="AW19" s="11">
        <v>127.59048</v>
      </c>
      <c r="AX19" s="1">
        <v>7.5</v>
      </c>
      <c r="AY19" s="13">
        <v>98.201080000000005</v>
      </c>
      <c r="AZ19" s="3">
        <f t="shared" si="7"/>
        <v>99.866730000000004</v>
      </c>
    </row>
    <row r="20" spans="2:52" ht="16" x14ac:dyDescent="0.2">
      <c r="B20" s="4">
        <v>203.27386000000001</v>
      </c>
      <c r="C20" s="1">
        <v>8</v>
      </c>
      <c r="D20" s="3">
        <v>99.373320000000007</v>
      </c>
      <c r="E20" s="3">
        <f t="shared" si="0"/>
        <v>100.49976000000001</v>
      </c>
      <c r="I20" s="4">
        <v>224.97107</v>
      </c>
      <c r="J20" s="1">
        <v>8</v>
      </c>
      <c r="K20" s="3">
        <v>96.896640000000005</v>
      </c>
      <c r="L20" s="3">
        <f t="shared" si="1"/>
        <v>100.48371</v>
      </c>
      <c r="M20" s="1">
        <f t="shared" si="13"/>
        <v>5.6151322623430714E-4</v>
      </c>
      <c r="P20" s="4">
        <v>227.84817000000001</v>
      </c>
      <c r="Q20" s="1">
        <v>8</v>
      </c>
      <c r="R20" s="3">
        <v>99.995819999999995</v>
      </c>
      <c r="S20" s="3">
        <f t="shared" si="2"/>
        <v>99.92</v>
      </c>
      <c r="T20" s="1">
        <f t="shared" si="12"/>
        <v>4.124763700889821E-3</v>
      </c>
      <c r="W20" s="4">
        <v>249.95301000000001</v>
      </c>
      <c r="X20" s="1">
        <v>8</v>
      </c>
      <c r="Y20" s="5">
        <v>94.90531</v>
      </c>
      <c r="Z20" s="3">
        <f t="shared" si="3"/>
        <v>100.34614000000001</v>
      </c>
      <c r="AA20" s="1">
        <f t="shared" si="11"/>
        <v>2.6770053953593513E-3</v>
      </c>
      <c r="AD20" s="4">
        <v>250.00979000000001</v>
      </c>
      <c r="AE20" s="1">
        <v>8</v>
      </c>
      <c r="AF20" s="5">
        <v>100.11665000000001</v>
      </c>
      <c r="AG20" s="3">
        <f t="shared" si="4"/>
        <v>100.37814</v>
      </c>
      <c r="AH20" s="1">
        <f t="shared" si="10"/>
        <v>2.5007949878519493E-3</v>
      </c>
      <c r="AK20" s="11">
        <v>145.00373999999999</v>
      </c>
      <c r="AL20" s="1">
        <v>8</v>
      </c>
      <c r="AM20" s="12">
        <v>97.301540000000003</v>
      </c>
      <c r="AN20" s="3">
        <f t="shared" si="5"/>
        <v>99.88776</v>
      </c>
      <c r="AO20" s="1">
        <f t="shared" si="9"/>
        <v>2.9388743412027169E-3</v>
      </c>
      <c r="AQ20" s="11">
        <v>147.55414999999999</v>
      </c>
      <c r="AR20" s="1">
        <v>8</v>
      </c>
      <c r="AS20" s="13">
        <v>96.806960000000004</v>
      </c>
      <c r="AT20" s="3">
        <f t="shared" si="6"/>
        <v>99.765690000000006</v>
      </c>
      <c r="AU20" s="1">
        <f t="shared" si="8"/>
        <v>3.944844910468647E-3</v>
      </c>
      <c r="AW20" s="11">
        <v>129.05264</v>
      </c>
      <c r="AX20" s="1">
        <v>8</v>
      </c>
      <c r="AY20" s="12">
        <v>98.149199999999993</v>
      </c>
      <c r="AZ20" s="3">
        <f t="shared" si="7"/>
        <v>99.814849999999993</v>
      </c>
    </row>
    <row r="21" spans="2:52" ht="16" x14ac:dyDescent="0.2">
      <c r="B21" s="4">
        <v>202.93733</v>
      </c>
      <c r="C21" s="1">
        <v>8.5</v>
      </c>
      <c r="D21" s="5">
        <v>99.367339999999999</v>
      </c>
      <c r="E21" s="3">
        <f t="shared" si="0"/>
        <v>100.49378</v>
      </c>
      <c r="I21" s="4">
        <v>224.97413</v>
      </c>
      <c r="J21" s="1">
        <v>8.5</v>
      </c>
      <c r="K21" s="5">
        <v>96.869860000000003</v>
      </c>
      <c r="L21" s="3">
        <f t="shared" si="1"/>
        <v>100.45693</v>
      </c>
      <c r="M21" s="1">
        <f t="shared" si="13"/>
        <v>1.0061413811296286E-3</v>
      </c>
      <c r="P21" s="4">
        <v>227.54401999999999</v>
      </c>
      <c r="Q21" s="1">
        <v>8.5</v>
      </c>
      <c r="R21" s="5">
        <v>99.978070000000002</v>
      </c>
      <c r="S21" s="3">
        <f t="shared" si="2"/>
        <v>99.902250000000009</v>
      </c>
      <c r="T21" s="1">
        <f t="shared" si="12"/>
        <v>4.4204964459346966E-3</v>
      </c>
      <c r="W21" s="4">
        <v>249.95797999999999</v>
      </c>
      <c r="X21" s="1">
        <v>8.5</v>
      </c>
      <c r="Y21" s="3">
        <v>94.886099999999999</v>
      </c>
      <c r="Z21" s="3">
        <f t="shared" si="3"/>
        <v>100.32693</v>
      </c>
      <c r="AA21" s="1">
        <f t="shared" si="11"/>
        <v>2.9959811653931931E-3</v>
      </c>
      <c r="AD21" s="4">
        <v>250.01222999999999</v>
      </c>
      <c r="AE21" s="1">
        <v>8.5</v>
      </c>
      <c r="AF21" s="3">
        <v>100.03751</v>
      </c>
      <c r="AG21" s="3">
        <f t="shared" si="4"/>
        <v>100.29899999999999</v>
      </c>
      <c r="AH21" s="1">
        <f t="shared" si="10"/>
        <v>3.8146088177685241E-3</v>
      </c>
      <c r="AK21" s="11">
        <v>147.55356</v>
      </c>
      <c r="AL21" s="1">
        <v>8.5</v>
      </c>
      <c r="AM21" s="13">
        <v>97.286720000000003</v>
      </c>
      <c r="AN21" s="3">
        <f t="shared" si="5"/>
        <v>99.87294</v>
      </c>
      <c r="AO21" s="1">
        <f t="shared" si="9"/>
        <v>3.1860459985242405E-3</v>
      </c>
      <c r="AQ21" s="11">
        <v>150.07486</v>
      </c>
      <c r="AR21" s="1">
        <v>8.5</v>
      </c>
      <c r="AS21" s="12">
        <v>96.800870000000003</v>
      </c>
      <c r="AT21" s="3">
        <f t="shared" si="6"/>
        <v>99.759600000000006</v>
      </c>
      <c r="AU21" s="1">
        <f t="shared" si="8"/>
        <v>4.0464783206757534E-3</v>
      </c>
      <c r="AW21" s="11">
        <v>130.51246</v>
      </c>
      <c r="AX21" s="1">
        <v>8.5</v>
      </c>
      <c r="AY21" s="13">
        <v>98.134060000000005</v>
      </c>
      <c r="AZ21" s="3">
        <f t="shared" si="7"/>
        <v>99.799710000000005</v>
      </c>
    </row>
    <row r="22" spans="2:52" ht="16" x14ac:dyDescent="0.2">
      <c r="B22" s="4">
        <v>202.62302</v>
      </c>
      <c r="C22" s="1">
        <v>9</v>
      </c>
      <c r="D22" s="3">
        <v>99.299300000000002</v>
      </c>
      <c r="E22" s="3">
        <f t="shared" si="0"/>
        <v>100.42574</v>
      </c>
      <c r="I22" s="4">
        <v>224.98101</v>
      </c>
      <c r="J22" s="1">
        <v>9</v>
      </c>
      <c r="K22" s="3">
        <v>96.886080000000007</v>
      </c>
      <c r="L22" s="3">
        <f t="shared" si="1"/>
        <v>100.47315</v>
      </c>
      <c r="M22" s="1">
        <f t="shared" si="13"/>
        <v>7.3684083324302146E-4</v>
      </c>
      <c r="P22" s="4">
        <v>227.26118</v>
      </c>
      <c r="Q22" s="1">
        <v>9</v>
      </c>
      <c r="R22" s="3">
        <v>100.00991999999999</v>
      </c>
      <c r="S22" s="3">
        <f t="shared" si="2"/>
        <v>99.934100000000001</v>
      </c>
      <c r="T22" s="1">
        <f t="shared" si="12"/>
        <v>3.8898436048259185E-3</v>
      </c>
      <c r="W22" s="4">
        <v>249.964</v>
      </c>
      <c r="X22" s="1">
        <v>9</v>
      </c>
      <c r="Y22" s="5">
        <v>94.841999999999999</v>
      </c>
      <c r="Z22" s="3">
        <f t="shared" si="3"/>
        <v>100.28283</v>
      </c>
      <c r="AA22" s="1">
        <f t="shared" si="11"/>
        <v>3.7282472486046304E-3</v>
      </c>
      <c r="AD22" s="4">
        <v>250.01089999999999</v>
      </c>
      <c r="AE22" s="1">
        <v>9</v>
      </c>
      <c r="AF22" s="5">
        <v>100.12275</v>
      </c>
      <c r="AG22" s="3">
        <f t="shared" si="4"/>
        <v>100.38423999999999</v>
      </c>
      <c r="AH22" s="1">
        <f t="shared" si="10"/>
        <v>2.3995280638883895E-3</v>
      </c>
      <c r="AK22" s="11">
        <v>150.06545</v>
      </c>
      <c r="AL22" s="1">
        <v>9</v>
      </c>
      <c r="AM22" s="12">
        <v>97.275480000000002</v>
      </c>
      <c r="AN22" s="3">
        <f t="shared" si="5"/>
        <v>99.861699999999999</v>
      </c>
      <c r="AO22" s="1">
        <f t="shared" si="9"/>
        <v>3.3735095227006287E-3</v>
      </c>
      <c r="AQ22" s="11">
        <v>152.59187</v>
      </c>
      <c r="AR22" s="1">
        <v>9</v>
      </c>
      <c r="AS22" s="13">
        <v>96.775620000000004</v>
      </c>
      <c r="AT22" s="3">
        <f t="shared" si="6"/>
        <v>99.734350000000006</v>
      </c>
      <c r="AU22" s="1">
        <f t="shared" si="8"/>
        <v>4.4678647915672573E-3</v>
      </c>
      <c r="AW22" s="11">
        <v>131.97880000000001</v>
      </c>
      <c r="AX22" s="1">
        <v>9</v>
      </c>
      <c r="AY22" s="12">
        <v>98.183880000000002</v>
      </c>
      <c r="AZ22" s="3">
        <f t="shared" si="7"/>
        <v>99.849530000000001</v>
      </c>
    </row>
    <row r="23" spans="2:52" ht="16" x14ac:dyDescent="0.2">
      <c r="B23" s="4">
        <v>202.31540000000001</v>
      </c>
      <c r="C23" s="1">
        <v>9.5</v>
      </c>
      <c r="D23" s="5">
        <v>99.348929999999996</v>
      </c>
      <c r="E23" s="3">
        <f t="shared" si="0"/>
        <v>100.47537</v>
      </c>
      <c r="I23" s="4">
        <v>224.98102</v>
      </c>
      <c r="J23" s="1">
        <v>9.5</v>
      </c>
      <c r="K23" s="5">
        <v>96.845849999999999</v>
      </c>
      <c r="L23" s="3">
        <f t="shared" si="1"/>
        <v>100.43292</v>
      </c>
      <c r="M23" s="1">
        <f t="shared" si="13"/>
        <v>1.404779245171361E-3</v>
      </c>
      <c r="P23" s="4">
        <v>226.99897000000001</v>
      </c>
      <c r="Q23" s="1">
        <v>9.5</v>
      </c>
      <c r="R23" s="5">
        <v>99.967010000000002</v>
      </c>
      <c r="S23" s="3">
        <f t="shared" si="2"/>
        <v>99.891190000000009</v>
      </c>
      <c r="T23" s="1">
        <f t="shared" si="12"/>
        <v>4.6047671028472533E-3</v>
      </c>
      <c r="W23" s="4">
        <v>249.96902</v>
      </c>
      <c r="X23" s="1">
        <v>9.5</v>
      </c>
      <c r="Y23" s="3">
        <v>94.830520000000007</v>
      </c>
      <c r="Z23" s="3">
        <f t="shared" si="3"/>
        <v>100.27135000000001</v>
      </c>
      <c r="AA23" s="1">
        <f t="shared" si="11"/>
        <v>3.918868895662707E-3</v>
      </c>
      <c r="AD23" s="4">
        <v>250.01214999999999</v>
      </c>
      <c r="AE23" s="1">
        <v>9.5</v>
      </c>
      <c r="AF23" s="3">
        <v>100.08249000000001</v>
      </c>
      <c r="AG23" s="3">
        <f t="shared" si="4"/>
        <v>100.34398</v>
      </c>
      <c r="AH23" s="1">
        <f t="shared" si="10"/>
        <v>3.0678897620488757E-3</v>
      </c>
      <c r="AK23" s="11">
        <v>152.60160999999999</v>
      </c>
      <c r="AL23" s="1">
        <v>9.5</v>
      </c>
      <c r="AM23" s="13">
        <v>97.244870000000006</v>
      </c>
      <c r="AN23" s="3">
        <f t="shared" si="5"/>
        <v>99.831090000000003</v>
      </c>
      <c r="AO23" s="1">
        <f t="shared" si="9"/>
        <v>3.8840307393410243E-3</v>
      </c>
      <c r="AQ23" s="11">
        <v>155.14275000000001</v>
      </c>
      <c r="AR23" s="1">
        <v>9.5</v>
      </c>
      <c r="AS23" s="12">
        <v>96.754649999999998</v>
      </c>
      <c r="AT23" s="3">
        <f t="shared" si="6"/>
        <v>99.713380000000001</v>
      </c>
      <c r="AU23" s="1">
        <f t="shared" si="8"/>
        <v>4.8178241695711081E-3</v>
      </c>
      <c r="AW23" s="11">
        <v>133.45459</v>
      </c>
      <c r="AX23" s="1">
        <v>9.5</v>
      </c>
      <c r="AY23" s="13">
        <v>98.122640000000004</v>
      </c>
      <c r="AZ23" s="3">
        <f t="shared" si="7"/>
        <v>99.788290000000003</v>
      </c>
    </row>
    <row r="24" spans="2:52" ht="16" x14ac:dyDescent="0.2">
      <c r="B24" s="4">
        <v>202.00353999999999</v>
      </c>
      <c r="C24" s="1">
        <v>10</v>
      </c>
      <c r="D24" s="3">
        <v>99.337310000000002</v>
      </c>
      <c r="E24" s="3">
        <f t="shared" si="0"/>
        <v>100.46375</v>
      </c>
      <c r="I24" s="4">
        <v>224.98217</v>
      </c>
      <c r="J24" s="1">
        <v>10</v>
      </c>
      <c r="K24" s="3">
        <v>96.848370000000003</v>
      </c>
      <c r="L24" s="3">
        <f t="shared" si="1"/>
        <v>100.43544</v>
      </c>
      <c r="M24" s="1">
        <f t="shared" si="13"/>
        <v>1.362939702589661E-3</v>
      </c>
      <c r="P24" s="4">
        <v>226.75583</v>
      </c>
      <c r="Q24" s="1">
        <v>10</v>
      </c>
      <c r="R24" s="3">
        <v>100.15365</v>
      </c>
      <c r="S24" s="3">
        <f t="shared" si="2"/>
        <v>100.07783000000001</v>
      </c>
      <c r="T24" s="1">
        <f t="shared" si="12"/>
        <v>1.495158114948752E-3</v>
      </c>
      <c r="W24" s="4">
        <v>249.97202999999999</v>
      </c>
      <c r="X24" s="1">
        <v>10</v>
      </c>
      <c r="Y24" s="5">
        <v>94.788309999999996</v>
      </c>
      <c r="Z24" s="3">
        <f t="shared" si="3"/>
        <v>100.22914</v>
      </c>
      <c r="AA24" s="1">
        <f t="shared" si="11"/>
        <v>4.619752146736697E-3</v>
      </c>
      <c r="AD24" s="4">
        <v>250.00521000000001</v>
      </c>
      <c r="AE24" s="1">
        <v>10</v>
      </c>
      <c r="AF24" s="5">
        <v>99.991519999999994</v>
      </c>
      <c r="AG24" s="3">
        <f t="shared" si="4"/>
        <v>100.25300999999999</v>
      </c>
      <c r="AH24" s="1">
        <f t="shared" si="10"/>
        <v>4.5780950199148518E-3</v>
      </c>
      <c r="AK24" s="11">
        <v>155.15547000000001</v>
      </c>
      <c r="AL24" s="1">
        <v>10</v>
      </c>
      <c r="AM24" s="12">
        <v>97.233289999999997</v>
      </c>
      <c r="AN24" s="3">
        <f t="shared" si="5"/>
        <v>99.819509999999994</v>
      </c>
      <c r="AO24" s="1">
        <f t="shared" si="9"/>
        <v>4.0771648683413939E-3</v>
      </c>
      <c r="AQ24" s="11">
        <v>157.66634999999999</v>
      </c>
      <c r="AR24" s="1">
        <v>10</v>
      </c>
      <c r="AS24" s="13">
        <v>96.723320000000001</v>
      </c>
      <c r="AT24" s="3">
        <f t="shared" si="6"/>
        <v>99.682050000000004</v>
      </c>
      <c r="AU24" s="1">
        <f t="shared" si="8"/>
        <v>5.3406771649386195E-3</v>
      </c>
      <c r="AW24" s="11">
        <v>134.94895</v>
      </c>
      <c r="AX24" s="1">
        <v>10</v>
      </c>
      <c r="AY24" s="12">
        <v>98.12039</v>
      </c>
      <c r="AZ24" s="3">
        <f t="shared" si="7"/>
        <v>99.78604</v>
      </c>
    </row>
    <row r="25" spans="2:52" ht="16" x14ac:dyDescent="0.2">
      <c r="B25" s="4">
        <v>201.69973999999999</v>
      </c>
      <c r="C25" s="1">
        <v>10.5</v>
      </c>
      <c r="D25" s="5">
        <v>99.421509999999998</v>
      </c>
      <c r="E25" s="3">
        <f t="shared" si="0"/>
        <v>100.54795</v>
      </c>
      <c r="I25" s="4">
        <v>224.98204000000001</v>
      </c>
      <c r="J25" s="1">
        <v>10.5</v>
      </c>
      <c r="K25" s="5">
        <v>96.837040000000002</v>
      </c>
      <c r="L25" s="3">
        <f t="shared" si="1"/>
        <v>100.42411</v>
      </c>
      <c r="M25" s="1">
        <f t="shared" si="13"/>
        <v>1.5510516142761431E-3</v>
      </c>
      <c r="P25" s="4">
        <v>226.5316</v>
      </c>
      <c r="Q25" s="1">
        <v>10.5</v>
      </c>
      <c r="R25" s="5">
        <v>100.02082</v>
      </c>
      <c r="S25" s="3">
        <f t="shared" si="2"/>
        <v>99.945000000000007</v>
      </c>
      <c r="T25" s="1">
        <f t="shared" si="12"/>
        <v>3.7082387078685962E-3</v>
      </c>
      <c r="W25" s="4">
        <v>249.97400999999999</v>
      </c>
      <c r="X25" s="1">
        <v>10.5</v>
      </c>
      <c r="Y25" s="3">
        <v>94.770960000000002</v>
      </c>
      <c r="Z25" s="3">
        <f t="shared" si="3"/>
        <v>100.21179000000001</v>
      </c>
      <c r="AA25" s="1">
        <f t="shared" si="11"/>
        <v>4.9078432248254381E-3</v>
      </c>
      <c r="AD25" s="4">
        <v>250.00295</v>
      </c>
      <c r="AE25" s="1">
        <v>10.5</v>
      </c>
      <c r="AF25" s="3">
        <v>100.05369</v>
      </c>
      <c r="AG25" s="3">
        <f t="shared" si="4"/>
        <v>100.31518</v>
      </c>
      <c r="AH25" s="1">
        <f t="shared" si="10"/>
        <v>3.5460024522383873E-3</v>
      </c>
      <c r="AK25" s="11">
        <v>157.66666000000001</v>
      </c>
      <c r="AL25" s="1">
        <v>10.5</v>
      </c>
      <c r="AM25" s="13">
        <v>97.209599999999995</v>
      </c>
      <c r="AN25" s="3">
        <f t="shared" si="5"/>
        <v>99.795819999999992</v>
      </c>
      <c r="AO25" s="1">
        <f t="shared" si="9"/>
        <v>4.4722725985672559E-3</v>
      </c>
      <c r="AQ25" s="11">
        <v>160.17913999999999</v>
      </c>
      <c r="AR25" s="1">
        <v>10.5</v>
      </c>
      <c r="AS25" s="12">
        <v>96.716340000000002</v>
      </c>
      <c r="AT25" s="3">
        <f t="shared" si="6"/>
        <v>99.675070000000005</v>
      </c>
      <c r="AU25" s="1">
        <f t="shared" si="8"/>
        <v>5.4571634052088041E-3</v>
      </c>
      <c r="AW25" s="11">
        <v>136.43742</v>
      </c>
      <c r="AX25" s="1">
        <v>10.5</v>
      </c>
      <c r="AY25" s="13">
        <v>98.078010000000006</v>
      </c>
      <c r="AZ25" s="3">
        <f t="shared" si="7"/>
        <v>99.743660000000006</v>
      </c>
    </row>
    <row r="26" spans="2:52" ht="16" x14ac:dyDescent="0.2">
      <c r="B26" s="4">
        <v>201.42119</v>
      </c>
      <c r="C26" s="1">
        <v>11</v>
      </c>
      <c r="D26" s="3">
        <v>99.443849999999998</v>
      </c>
      <c r="E26" s="3">
        <f t="shared" si="0"/>
        <v>100.57029</v>
      </c>
      <c r="I26" s="4">
        <v>224.98598999999999</v>
      </c>
      <c r="J26" s="1">
        <v>11</v>
      </c>
      <c r="K26" s="3">
        <v>96.825190000000006</v>
      </c>
      <c r="L26" s="3">
        <f t="shared" si="1"/>
        <v>100.41226</v>
      </c>
      <c r="M26" s="1">
        <f t="shared" si="13"/>
        <v>1.7477970823682682E-3</v>
      </c>
      <c r="P26" s="4">
        <v>226.32705000000001</v>
      </c>
      <c r="Q26" s="1">
        <v>11</v>
      </c>
      <c r="R26" s="3">
        <v>99.988169999999997</v>
      </c>
      <c r="S26" s="3">
        <f t="shared" si="2"/>
        <v>99.912350000000004</v>
      </c>
      <c r="T26" s="1">
        <f t="shared" si="12"/>
        <v>4.2522203487542565E-3</v>
      </c>
      <c r="W26" s="4">
        <v>249.98004</v>
      </c>
      <c r="X26" s="1">
        <v>11</v>
      </c>
      <c r="Y26" s="5">
        <v>94.74427</v>
      </c>
      <c r="Z26" s="3">
        <f t="shared" si="3"/>
        <v>100.18510000000001</v>
      </c>
      <c r="AA26" s="1">
        <f t="shared" si="11"/>
        <v>5.3510219495627332E-3</v>
      </c>
      <c r="AD26" s="4">
        <v>250.00106</v>
      </c>
      <c r="AE26" s="1">
        <v>11</v>
      </c>
      <c r="AF26" s="5">
        <v>100.01926</v>
      </c>
      <c r="AG26" s="3">
        <f t="shared" si="4"/>
        <v>100.28075</v>
      </c>
      <c r="AH26" s="1">
        <f t="shared" si="10"/>
        <v>4.1175795329058467E-3</v>
      </c>
      <c r="AK26" s="11">
        <v>160.18561</v>
      </c>
      <c r="AL26" s="1">
        <v>11</v>
      </c>
      <c r="AM26" s="12">
        <v>97.203460000000007</v>
      </c>
      <c r="AN26" s="3">
        <f t="shared" si="5"/>
        <v>99.789680000000004</v>
      </c>
      <c r="AO26" s="1">
        <f t="shared" si="9"/>
        <v>4.5746770503858197E-3</v>
      </c>
      <c r="AQ26" s="11">
        <v>162.70959999999999</v>
      </c>
      <c r="AR26" s="1">
        <v>11</v>
      </c>
      <c r="AS26" s="13">
        <v>96.674719999999994</v>
      </c>
      <c r="AT26" s="3">
        <f t="shared" si="6"/>
        <v>99.633449999999996</v>
      </c>
      <c r="AU26" s="1">
        <f t="shared" si="8"/>
        <v>6.1517418178229939E-3</v>
      </c>
      <c r="AW26" s="11">
        <v>137.93783999999999</v>
      </c>
      <c r="AX26" s="1">
        <v>11</v>
      </c>
      <c r="AY26" s="12">
        <v>98.097369999999998</v>
      </c>
      <c r="AZ26" s="3">
        <f t="shared" si="7"/>
        <v>99.763019999999997</v>
      </c>
    </row>
    <row r="27" spans="2:52" ht="16" x14ac:dyDescent="0.2">
      <c r="B27" s="4">
        <v>201.18457000000001</v>
      </c>
      <c r="C27" s="1">
        <v>11.5</v>
      </c>
      <c r="D27" s="5">
        <v>99.485110000000006</v>
      </c>
      <c r="E27" s="3">
        <f t="shared" si="0"/>
        <v>100.61155000000001</v>
      </c>
      <c r="I27" s="4">
        <v>224.99007</v>
      </c>
      <c r="J27" s="1">
        <v>11.5</v>
      </c>
      <c r="K27" s="5">
        <v>96.807100000000005</v>
      </c>
      <c r="L27" s="3">
        <f t="shared" si="1"/>
        <v>100.39417</v>
      </c>
      <c r="M27" s="1">
        <f t="shared" si="13"/>
        <v>2.048145227329286E-3</v>
      </c>
      <c r="P27" s="4">
        <v>226.14424</v>
      </c>
      <c r="Q27" s="1">
        <v>11.5</v>
      </c>
      <c r="R27" s="5">
        <v>100.19926</v>
      </c>
      <c r="S27" s="3">
        <f t="shared" si="2"/>
        <v>100.12344</v>
      </c>
      <c r="T27" s="1">
        <f t="shared" si="12"/>
        <v>7.352499176810621E-4</v>
      </c>
      <c r="W27" s="4">
        <v>249.98193000000001</v>
      </c>
      <c r="X27" s="1">
        <v>11.5</v>
      </c>
      <c r="Y27" s="3">
        <v>94.705439999999996</v>
      </c>
      <c r="Z27" s="3">
        <f t="shared" si="3"/>
        <v>100.14627</v>
      </c>
      <c r="AA27" s="1">
        <f t="shared" si="11"/>
        <v>5.9957814055968178E-3</v>
      </c>
      <c r="AD27" s="4">
        <v>250.00067000000001</v>
      </c>
      <c r="AE27" s="1">
        <v>11.5</v>
      </c>
      <c r="AF27" s="3">
        <v>100.05103</v>
      </c>
      <c r="AG27" s="3">
        <f t="shared" si="4"/>
        <v>100.31251999999999</v>
      </c>
      <c r="AH27" s="1">
        <f t="shared" si="10"/>
        <v>3.5901614715407046E-3</v>
      </c>
      <c r="AK27" s="11">
        <v>162.72389000000001</v>
      </c>
      <c r="AL27" s="1">
        <v>11.5</v>
      </c>
      <c r="AM27" s="13">
        <v>97.160480000000007</v>
      </c>
      <c r="AN27" s="3">
        <f t="shared" si="5"/>
        <v>99.746700000000004</v>
      </c>
      <c r="AO27" s="1">
        <f t="shared" si="9"/>
        <v>5.2915082131171891E-3</v>
      </c>
      <c r="AQ27" s="11">
        <v>165.21481</v>
      </c>
      <c r="AR27" s="1">
        <v>11.5</v>
      </c>
      <c r="AS27" s="12">
        <v>96.670270000000002</v>
      </c>
      <c r="AT27" s="3">
        <f t="shared" si="6"/>
        <v>99.629000000000005</v>
      </c>
      <c r="AU27" s="1">
        <f t="shared" si="8"/>
        <v>6.2260059681383834E-3</v>
      </c>
      <c r="AW27" s="11">
        <v>139.42662000000001</v>
      </c>
      <c r="AX27" s="1">
        <v>11.5</v>
      </c>
      <c r="AY27" s="13">
        <v>98.04889</v>
      </c>
      <c r="AZ27" s="3">
        <f t="shared" si="7"/>
        <v>99.71454</v>
      </c>
    </row>
    <row r="28" spans="2:52" ht="16" x14ac:dyDescent="0.2">
      <c r="B28" s="4">
        <v>200.98356999999999</v>
      </c>
      <c r="C28" s="1">
        <v>12</v>
      </c>
      <c r="D28" s="3">
        <v>99.271209999999996</v>
      </c>
      <c r="E28" s="3">
        <f t="shared" si="0"/>
        <v>100.39765</v>
      </c>
      <c r="I28" s="4">
        <v>224.98903999999999</v>
      </c>
      <c r="J28" s="1">
        <v>12</v>
      </c>
      <c r="K28" s="3">
        <v>96.778019999999998</v>
      </c>
      <c r="L28" s="3">
        <f t="shared" si="1"/>
        <v>100.36509</v>
      </c>
      <c r="M28" s="1">
        <f t="shared" si="13"/>
        <v>2.5309602663269792E-3</v>
      </c>
      <c r="P28" s="4">
        <v>225.98161999999999</v>
      </c>
      <c r="Q28" s="1">
        <v>12</v>
      </c>
      <c r="R28" s="3">
        <v>100.10898</v>
      </c>
      <c r="S28" s="3">
        <f t="shared" si="2"/>
        <v>100.03316000000001</v>
      </c>
      <c r="T28" s="1">
        <f t="shared" si="12"/>
        <v>2.2394049724788483E-3</v>
      </c>
      <c r="W28" s="4">
        <v>249.98602</v>
      </c>
      <c r="X28" s="1">
        <v>12</v>
      </c>
      <c r="Y28" s="5">
        <v>94.694280000000006</v>
      </c>
      <c r="Z28" s="3">
        <f t="shared" si="3"/>
        <v>100.13511000000001</v>
      </c>
      <c r="AA28" s="1">
        <f t="shared" si="11"/>
        <v>6.1810895572664776E-3</v>
      </c>
      <c r="AD28" s="4">
        <v>250.00003000000001</v>
      </c>
      <c r="AE28" s="1">
        <v>12</v>
      </c>
      <c r="AF28" s="5">
        <v>99.880700000000004</v>
      </c>
      <c r="AG28" s="3">
        <f t="shared" si="4"/>
        <v>100.14219</v>
      </c>
      <c r="AH28" s="1">
        <f t="shared" si="10"/>
        <v>6.4178328090394882E-3</v>
      </c>
      <c r="AK28" s="11">
        <v>165.21329</v>
      </c>
      <c r="AL28" s="1">
        <v>12</v>
      </c>
      <c r="AM28" s="12">
        <v>97.146439999999998</v>
      </c>
      <c r="AN28" s="3">
        <f t="shared" si="5"/>
        <v>99.732659999999996</v>
      </c>
      <c r="AO28" s="1">
        <f t="shared" si="9"/>
        <v>5.5256708358429807E-3</v>
      </c>
      <c r="AQ28" s="11">
        <v>167.73186000000001</v>
      </c>
      <c r="AR28" s="1">
        <v>12</v>
      </c>
      <c r="AS28" s="13">
        <v>96.64076</v>
      </c>
      <c r="AT28" s="3">
        <f t="shared" si="6"/>
        <v>99.599490000000003</v>
      </c>
      <c r="AU28" s="1">
        <f t="shared" si="8"/>
        <v>6.7184857604555793E-3</v>
      </c>
      <c r="AW28" s="11">
        <v>140.9273</v>
      </c>
      <c r="AX28" s="1">
        <v>12</v>
      </c>
      <c r="AY28" s="12">
        <v>98.071259999999995</v>
      </c>
      <c r="AZ28" s="3">
        <f t="shared" si="7"/>
        <v>99.736909999999995</v>
      </c>
    </row>
    <row r="29" spans="2:52" ht="16" x14ac:dyDescent="0.2">
      <c r="B29" s="4">
        <v>200.80101999999999</v>
      </c>
      <c r="C29" s="1">
        <v>12.5</v>
      </c>
      <c r="D29" s="5">
        <v>99.395870000000002</v>
      </c>
      <c r="E29" s="3">
        <f t="shared" si="0"/>
        <v>100.52231</v>
      </c>
      <c r="I29" s="4">
        <v>224.98989</v>
      </c>
      <c r="J29" s="1">
        <v>12.5</v>
      </c>
      <c r="K29" s="5">
        <v>96.775109999999998</v>
      </c>
      <c r="L29" s="3">
        <f t="shared" si="1"/>
        <v>100.36218</v>
      </c>
      <c r="M29" s="1">
        <f t="shared" si="13"/>
        <v>2.5792749762129112E-3</v>
      </c>
      <c r="P29" s="4">
        <v>225.84359000000001</v>
      </c>
      <c r="Q29" s="1">
        <v>12.5</v>
      </c>
      <c r="R29" s="5">
        <v>99.999369999999999</v>
      </c>
      <c r="S29" s="3">
        <f t="shared" si="2"/>
        <v>99.923550000000006</v>
      </c>
      <c r="T29" s="1">
        <f t="shared" si="12"/>
        <v>4.0656171518807516E-3</v>
      </c>
      <c r="W29" s="4">
        <v>249.98502999999999</v>
      </c>
      <c r="X29" s="1">
        <v>12.5</v>
      </c>
      <c r="Y29" s="3">
        <v>94.669460000000001</v>
      </c>
      <c r="Z29" s="3">
        <f t="shared" si="3"/>
        <v>100.11029000000001</v>
      </c>
      <c r="AA29" s="1">
        <f t="shared" si="11"/>
        <v>6.5932175433279679E-3</v>
      </c>
      <c r="AD29" s="4">
        <v>249.99850000000001</v>
      </c>
      <c r="AE29" s="1">
        <v>12.5</v>
      </c>
      <c r="AF29" s="3">
        <v>99.968389999999999</v>
      </c>
      <c r="AG29" s="3">
        <f t="shared" si="4"/>
        <v>100.22987999999999</v>
      </c>
      <c r="AH29" s="1">
        <f t="shared" si="10"/>
        <v>4.9620792742231636E-3</v>
      </c>
      <c r="AK29" s="11">
        <v>167.73227</v>
      </c>
      <c r="AL29" s="1">
        <v>12.5</v>
      </c>
      <c r="AM29" s="13">
        <v>97.137219999999999</v>
      </c>
      <c r="AN29" s="3">
        <f t="shared" si="5"/>
        <v>99.723439999999997</v>
      </c>
      <c r="AO29" s="1">
        <f t="shared" si="9"/>
        <v>5.6794442960659353E-3</v>
      </c>
      <c r="AQ29" s="11">
        <v>170.23657</v>
      </c>
      <c r="AR29" s="1">
        <v>12.5</v>
      </c>
      <c r="AS29" s="12">
        <v>96.614180000000005</v>
      </c>
      <c r="AT29" s="3">
        <f t="shared" si="6"/>
        <v>99.572910000000007</v>
      </c>
      <c r="AU29" s="1">
        <f t="shared" si="8"/>
        <v>7.1620680335761511E-3</v>
      </c>
      <c r="AW29" s="11">
        <v>142.44623000000001</v>
      </c>
      <c r="AX29" s="1">
        <v>12.5</v>
      </c>
      <c r="AY29" s="13">
        <v>98.097710000000006</v>
      </c>
      <c r="AZ29" s="3">
        <f t="shared" si="7"/>
        <v>99.763360000000006</v>
      </c>
    </row>
    <row r="30" spans="2:52" ht="16" x14ac:dyDescent="0.2">
      <c r="B30" s="4">
        <v>200.63310999999999</v>
      </c>
      <c r="C30" s="1">
        <v>13</v>
      </c>
      <c r="D30" s="3">
        <v>99.416079999999994</v>
      </c>
      <c r="E30" s="3">
        <f t="shared" si="0"/>
        <v>100.54252</v>
      </c>
      <c r="I30" s="4">
        <v>224.99293</v>
      </c>
      <c r="J30" s="1">
        <v>13</v>
      </c>
      <c r="K30" s="3">
        <v>96.754300000000001</v>
      </c>
      <c r="L30" s="3">
        <f t="shared" si="1"/>
        <v>100.34137</v>
      </c>
      <c r="M30" s="1">
        <f t="shared" si="13"/>
        <v>2.9247832623730935E-3</v>
      </c>
      <c r="P30" s="4">
        <v>225.71887000000001</v>
      </c>
      <c r="Q30" s="1">
        <v>13</v>
      </c>
      <c r="R30" s="3">
        <v>99.898430000000005</v>
      </c>
      <c r="S30" s="3">
        <f t="shared" si="2"/>
        <v>99.822610000000012</v>
      </c>
      <c r="T30" s="1">
        <f t="shared" si="12"/>
        <v>5.7473784637027715E-3</v>
      </c>
      <c r="W30" s="4">
        <v>249.98804000000001</v>
      </c>
      <c r="X30" s="1">
        <v>13</v>
      </c>
      <c r="Y30" s="5">
        <v>94.632930000000002</v>
      </c>
      <c r="Z30" s="3">
        <f t="shared" si="3"/>
        <v>100.07376000000001</v>
      </c>
      <c r="AA30" s="1">
        <f t="shared" si="11"/>
        <v>7.1997862512579672E-3</v>
      </c>
      <c r="AD30" s="4">
        <v>250.00361000000001</v>
      </c>
      <c r="AE30" s="1">
        <v>13</v>
      </c>
      <c r="AF30" s="5">
        <v>99.920860000000005</v>
      </c>
      <c r="AG30" s="3">
        <f t="shared" si="4"/>
        <v>100.18235</v>
      </c>
      <c r="AH30" s="1">
        <f t="shared" si="10"/>
        <v>5.7511312243864231E-3</v>
      </c>
      <c r="AK30" s="11">
        <v>170.24171999999999</v>
      </c>
      <c r="AL30" s="1">
        <v>13</v>
      </c>
      <c r="AM30" s="12">
        <v>97.115949999999998</v>
      </c>
      <c r="AN30" s="3">
        <f t="shared" si="5"/>
        <v>99.702169999999995</v>
      </c>
      <c r="AO30" s="1">
        <f t="shared" si="9"/>
        <v>6.034190662545626E-3</v>
      </c>
      <c r="AQ30" s="11">
        <v>172.74113</v>
      </c>
      <c r="AR30" s="1">
        <v>13</v>
      </c>
      <c r="AS30" s="13">
        <v>96.600040000000007</v>
      </c>
      <c r="AT30" s="3">
        <f t="shared" si="6"/>
        <v>99.55877000000001</v>
      </c>
      <c r="AU30" s="1">
        <f t="shared" si="8"/>
        <v>7.3980444572753551E-3</v>
      </c>
      <c r="AW30" s="11">
        <v>143.96737999999999</v>
      </c>
      <c r="AX30" s="1">
        <v>13</v>
      </c>
      <c r="AY30" s="12">
        <v>98.054670000000002</v>
      </c>
      <c r="AZ30" s="3">
        <f t="shared" si="7"/>
        <v>99.720320000000001</v>
      </c>
    </row>
    <row r="31" spans="2:52" ht="16" x14ac:dyDescent="0.2">
      <c r="B31" s="4">
        <v>200.49079</v>
      </c>
      <c r="C31" s="1">
        <v>13.5</v>
      </c>
      <c r="D31" s="5">
        <v>99.38409</v>
      </c>
      <c r="E31" s="3">
        <f t="shared" si="0"/>
        <v>100.51053</v>
      </c>
      <c r="I31" s="4">
        <v>224.99489</v>
      </c>
      <c r="J31" s="1">
        <v>13.5</v>
      </c>
      <c r="K31" s="5">
        <v>96.763620000000003</v>
      </c>
      <c r="L31" s="3">
        <f t="shared" si="1"/>
        <v>100.35069</v>
      </c>
      <c r="M31" s="1">
        <f t="shared" si="13"/>
        <v>2.770043366793365E-3</v>
      </c>
      <c r="P31" s="4">
        <v>225.60541000000001</v>
      </c>
      <c r="Q31" s="1">
        <v>13.5</v>
      </c>
      <c r="R31" s="5">
        <v>100.0784</v>
      </c>
      <c r="S31" s="3">
        <f t="shared" si="2"/>
        <v>100.00258000000001</v>
      </c>
      <c r="T31" s="1">
        <f t="shared" si="12"/>
        <v>2.7488983439423031E-3</v>
      </c>
      <c r="W31" s="4">
        <v>249.98795999999999</v>
      </c>
      <c r="X31" s="1">
        <v>13.5</v>
      </c>
      <c r="Y31" s="3">
        <v>94.611739999999998</v>
      </c>
      <c r="Z31" s="3">
        <f t="shared" si="3"/>
        <v>100.05257</v>
      </c>
      <c r="AA31" s="1">
        <f t="shared" si="11"/>
        <v>7.5516392740074779E-3</v>
      </c>
      <c r="AD31" s="4">
        <v>250.00814</v>
      </c>
      <c r="AE31" s="1">
        <v>13.5</v>
      </c>
      <c r="AF31" s="3">
        <v>99.922830000000005</v>
      </c>
      <c r="AG31" s="3">
        <f t="shared" si="4"/>
        <v>100.18432</v>
      </c>
      <c r="AH31" s="1">
        <f t="shared" si="10"/>
        <v>5.7184269882866587E-3</v>
      </c>
      <c r="AK31" s="11">
        <v>172.74267</v>
      </c>
      <c r="AL31" s="1">
        <v>13.5</v>
      </c>
      <c r="AM31" s="13">
        <v>97.111710000000002</v>
      </c>
      <c r="AN31" s="3">
        <f t="shared" si="5"/>
        <v>99.697929999999999</v>
      </c>
      <c r="AO31" s="1">
        <f t="shared" si="9"/>
        <v>6.1049064403487438E-3</v>
      </c>
      <c r="AQ31" s="11">
        <v>175.24235999999999</v>
      </c>
      <c r="AR31" s="1">
        <v>13.5</v>
      </c>
      <c r="AS31" s="12">
        <v>96.588340000000002</v>
      </c>
      <c r="AT31" s="3">
        <f t="shared" si="6"/>
        <v>99.547070000000005</v>
      </c>
      <c r="AU31" s="1">
        <f t="shared" si="8"/>
        <v>7.5933007625994201E-3</v>
      </c>
      <c r="AW31" s="11">
        <v>145.46193</v>
      </c>
      <c r="AX31" s="1">
        <v>13.5</v>
      </c>
      <c r="AY31" s="13">
        <v>98.034850000000006</v>
      </c>
      <c r="AZ31" s="3">
        <f t="shared" si="7"/>
        <v>99.700500000000005</v>
      </c>
    </row>
    <row r="32" spans="2:52" ht="16" x14ac:dyDescent="0.2">
      <c r="B32" s="4">
        <v>200.37730999999999</v>
      </c>
      <c r="C32" s="1">
        <v>14</v>
      </c>
      <c r="D32" s="3">
        <v>99.375500000000002</v>
      </c>
      <c r="E32" s="3">
        <f t="shared" si="0"/>
        <v>100.50194</v>
      </c>
      <c r="I32" s="4">
        <v>224.99395000000001</v>
      </c>
      <c r="J32" s="1">
        <v>14</v>
      </c>
      <c r="K32" s="3">
        <v>96.756190000000004</v>
      </c>
      <c r="L32" s="3">
        <f t="shared" si="1"/>
        <v>100.34326</v>
      </c>
      <c r="M32" s="1">
        <f t="shared" si="13"/>
        <v>2.8934036054368184E-3</v>
      </c>
      <c r="P32" s="4">
        <v>225.50656000000001</v>
      </c>
      <c r="Q32" s="1">
        <v>14</v>
      </c>
      <c r="R32" s="3">
        <v>100.06959999999999</v>
      </c>
      <c r="S32" s="3">
        <f t="shared" si="2"/>
        <v>99.993780000000001</v>
      </c>
      <c r="T32" s="1">
        <f t="shared" si="12"/>
        <v>2.8955151414858729E-3</v>
      </c>
      <c r="W32" s="4">
        <v>249.99301</v>
      </c>
      <c r="X32" s="1">
        <v>14</v>
      </c>
      <c r="Y32" s="5">
        <v>94.575699999999998</v>
      </c>
      <c r="Z32" s="3">
        <f t="shared" si="3"/>
        <v>100.01653</v>
      </c>
      <c r="AA32" s="1">
        <f t="shared" si="11"/>
        <v>8.15007169212403E-3</v>
      </c>
      <c r="AD32" s="4">
        <v>250.00530000000001</v>
      </c>
      <c r="AE32" s="1">
        <v>14</v>
      </c>
      <c r="AF32" s="5">
        <v>99.962909999999994</v>
      </c>
      <c r="AG32" s="3">
        <f t="shared" si="4"/>
        <v>100.22439999999999</v>
      </c>
      <c r="AH32" s="1">
        <f t="shared" si="10"/>
        <v>5.0530534944398615E-3</v>
      </c>
      <c r="AK32" s="11">
        <v>175.23782</v>
      </c>
      <c r="AL32" s="1">
        <v>14</v>
      </c>
      <c r="AM32" s="12">
        <v>97.100020000000001</v>
      </c>
      <c r="AN32" s="3">
        <f t="shared" si="5"/>
        <v>99.686239999999998</v>
      </c>
      <c r="AO32" s="1">
        <f t="shared" si="9"/>
        <v>6.2998751767919916E-3</v>
      </c>
      <c r="AQ32" s="11">
        <v>177.74345</v>
      </c>
      <c r="AR32" s="1">
        <v>14</v>
      </c>
      <c r="AS32" s="13">
        <v>96.552999999999997</v>
      </c>
      <c r="AT32" s="3">
        <f t="shared" si="6"/>
        <v>99.51173</v>
      </c>
      <c r="AU32" s="1">
        <f t="shared" si="8"/>
        <v>8.1830749361165682E-3</v>
      </c>
      <c r="AW32" s="11">
        <v>146.96541999999999</v>
      </c>
      <c r="AX32" s="1">
        <v>14</v>
      </c>
      <c r="AY32" s="12">
        <v>98.066800000000001</v>
      </c>
      <c r="AZ32" s="3">
        <f t="shared" si="7"/>
        <v>99.73245</v>
      </c>
    </row>
    <row r="33" spans="2:52" ht="16" x14ac:dyDescent="0.2">
      <c r="B33" s="4">
        <v>200.30010999999999</v>
      </c>
      <c r="C33" s="1">
        <v>14.5</v>
      </c>
      <c r="D33" s="5">
        <v>99.478369999999998</v>
      </c>
      <c r="E33" s="3">
        <f t="shared" si="0"/>
        <v>100.60481</v>
      </c>
      <c r="I33" s="4">
        <v>224.99408</v>
      </c>
      <c r="J33" s="1">
        <v>14.5</v>
      </c>
      <c r="K33" s="5">
        <v>96.718239999999994</v>
      </c>
      <c r="L33" s="3">
        <f t="shared" si="1"/>
        <v>100.30530999999999</v>
      </c>
      <c r="M33" s="1">
        <f t="shared" si="13"/>
        <v>3.5234871931246509E-3</v>
      </c>
      <c r="P33" s="4">
        <v>225.42752999999999</v>
      </c>
      <c r="Q33" s="1">
        <v>14.5</v>
      </c>
      <c r="R33" s="5">
        <v>99.837159999999997</v>
      </c>
      <c r="S33" s="3">
        <f t="shared" si="2"/>
        <v>99.761340000000004</v>
      </c>
      <c r="T33" s="1">
        <f t="shared" si="12"/>
        <v>6.7681979165990823E-3</v>
      </c>
      <c r="W33" s="4">
        <v>249.98902000000001</v>
      </c>
      <c r="X33" s="1">
        <v>14.5</v>
      </c>
      <c r="Y33" s="3">
        <v>94.552629999999994</v>
      </c>
      <c r="Z33" s="3">
        <f t="shared" si="3"/>
        <v>99.993459999999999</v>
      </c>
      <c r="AA33" s="1">
        <f t="shared" si="11"/>
        <v>8.5331415002802835E-3</v>
      </c>
      <c r="AD33" s="4">
        <v>249.99921000000001</v>
      </c>
      <c r="AE33" s="1">
        <v>14.5</v>
      </c>
      <c r="AF33" s="3">
        <v>99.896860000000004</v>
      </c>
      <c r="AG33" s="3">
        <f t="shared" si="4"/>
        <v>100.15835</v>
      </c>
      <c r="AH33" s="1">
        <f t="shared" si="10"/>
        <v>6.1495584662109772E-3</v>
      </c>
      <c r="AK33" s="11">
        <v>177.74196000000001</v>
      </c>
      <c r="AL33" s="1">
        <v>14.5</v>
      </c>
      <c r="AM33" s="13">
        <v>97.068989999999999</v>
      </c>
      <c r="AN33" s="3">
        <f t="shared" si="5"/>
        <v>99.655209999999997</v>
      </c>
      <c r="AO33" s="1">
        <f t="shared" si="9"/>
        <v>6.8174012582148686E-3</v>
      </c>
      <c r="AQ33" s="11">
        <v>180.25765999999999</v>
      </c>
      <c r="AR33" s="1">
        <v>14.5</v>
      </c>
      <c r="AS33" s="12">
        <v>96.533370000000005</v>
      </c>
      <c r="AT33" s="3">
        <f t="shared" si="6"/>
        <v>99.492100000000008</v>
      </c>
      <c r="AU33" s="1">
        <f t="shared" si="8"/>
        <v>8.5106716261600154E-3</v>
      </c>
      <c r="AW33" s="11">
        <v>148.49404999999999</v>
      </c>
      <c r="AX33" s="1">
        <v>14.5</v>
      </c>
      <c r="AY33" s="13">
        <v>98.026089999999996</v>
      </c>
      <c r="AZ33" s="3">
        <f t="shared" si="7"/>
        <v>99.691739999999996</v>
      </c>
    </row>
    <row r="34" spans="2:52" ht="16" x14ac:dyDescent="0.2">
      <c r="B34" s="4">
        <v>200.24753000000001</v>
      </c>
      <c r="C34" s="1">
        <v>15</v>
      </c>
      <c r="D34" s="3">
        <v>99.404790000000006</v>
      </c>
      <c r="E34" s="3">
        <f t="shared" si="0"/>
        <v>100.53123000000001</v>
      </c>
      <c r="I34" s="4">
        <v>224.99501000000001</v>
      </c>
      <c r="J34" s="1">
        <v>15</v>
      </c>
      <c r="K34" s="3">
        <v>96.705200000000005</v>
      </c>
      <c r="L34" s="3">
        <f t="shared" si="1"/>
        <v>100.29227</v>
      </c>
      <c r="M34" s="1">
        <f t="shared" si="13"/>
        <v>3.7399902229913367E-3</v>
      </c>
      <c r="P34" s="4">
        <v>225.35889</v>
      </c>
      <c r="Q34" s="1">
        <v>15</v>
      </c>
      <c r="R34" s="3">
        <v>99.973200000000006</v>
      </c>
      <c r="S34" s="3">
        <f t="shared" si="2"/>
        <v>99.897380000000013</v>
      </c>
      <c r="T34" s="1">
        <f t="shared" si="12"/>
        <v>4.5016355145751598E-3</v>
      </c>
      <c r="W34" s="4">
        <v>249.99498</v>
      </c>
      <c r="X34" s="1">
        <v>15</v>
      </c>
      <c r="Y34" s="5">
        <v>94.525509999999997</v>
      </c>
      <c r="Z34" s="3">
        <f t="shared" si="3"/>
        <v>99.966340000000002</v>
      </c>
      <c r="AA34" s="1">
        <f t="shared" si="11"/>
        <v>8.9834602344456248E-3</v>
      </c>
      <c r="AD34" s="4">
        <v>249.99790999999999</v>
      </c>
      <c r="AE34" s="1">
        <v>15</v>
      </c>
      <c r="AF34" s="5">
        <v>99.952960000000004</v>
      </c>
      <c r="AG34" s="3">
        <f t="shared" si="4"/>
        <v>100.21445</v>
      </c>
      <c r="AH34" s="1">
        <f t="shared" si="10"/>
        <v>5.2182347884461066E-3</v>
      </c>
      <c r="AK34" s="11">
        <v>180.25409999999999</v>
      </c>
      <c r="AL34" s="1">
        <v>15</v>
      </c>
      <c r="AM34" s="12">
        <v>97.046959999999999</v>
      </c>
      <c r="AN34" s="3">
        <f t="shared" si="5"/>
        <v>99.633179999999996</v>
      </c>
      <c r="AO34" s="1">
        <f t="shared" si="9"/>
        <v>7.184823094300785E-3</v>
      </c>
      <c r="AQ34" s="11">
        <v>182.76036999999999</v>
      </c>
      <c r="AR34" s="1">
        <v>15</v>
      </c>
      <c r="AS34" s="13">
        <v>96.541319999999999</v>
      </c>
      <c r="AT34" s="3">
        <f t="shared" si="6"/>
        <v>99.500050000000002</v>
      </c>
      <c r="AU34" s="1">
        <f t="shared" si="8"/>
        <v>8.3779974699784345E-3</v>
      </c>
      <c r="AW34" s="11">
        <v>150.01951</v>
      </c>
      <c r="AX34" s="1">
        <v>15</v>
      </c>
      <c r="AY34" s="12">
        <v>98.017359999999996</v>
      </c>
      <c r="AZ34" s="3">
        <f t="shared" si="7"/>
        <v>99.683009999999996</v>
      </c>
    </row>
    <row r="35" spans="2:52" ht="16" x14ac:dyDescent="0.2">
      <c r="B35" s="4">
        <v>200.20774</v>
      </c>
      <c r="C35" s="1">
        <v>15.5</v>
      </c>
      <c r="D35" s="5">
        <v>99.537229999999994</v>
      </c>
      <c r="E35" s="3">
        <f t="shared" si="0"/>
        <v>100.66367</v>
      </c>
      <c r="I35" s="4">
        <v>224.99687</v>
      </c>
      <c r="J35" s="1">
        <v>15.5</v>
      </c>
      <c r="K35" s="5">
        <v>96.69623</v>
      </c>
      <c r="L35" s="3">
        <f t="shared" si="1"/>
        <v>100.2833</v>
      </c>
      <c r="M35" s="1">
        <f t="shared" si="13"/>
        <v>3.8889190709903258E-3</v>
      </c>
      <c r="P35" s="4">
        <v>225.29812000000001</v>
      </c>
      <c r="Q35" s="1">
        <v>15.5</v>
      </c>
      <c r="R35" s="5">
        <v>100.10295000000001</v>
      </c>
      <c r="S35" s="3">
        <f t="shared" si="2"/>
        <v>100.02713000000001</v>
      </c>
      <c r="T35" s="1">
        <f t="shared" si="12"/>
        <v>2.3398708007954707E-3</v>
      </c>
      <c r="W35" s="4">
        <v>249.99297999999999</v>
      </c>
      <c r="X35" s="1">
        <v>15.5</v>
      </c>
      <c r="Y35" s="3">
        <v>94.500510000000006</v>
      </c>
      <c r="Z35" s="3">
        <f t="shared" si="3"/>
        <v>99.941340000000011</v>
      </c>
      <c r="AA35" s="1">
        <f t="shared" si="11"/>
        <v>9.3985770616628484E-3</v>
      </c>
      <c r="AD35" s="4">
        <v>249.99923999999999</v>
      </c>
      <c r="AE35" s="1">
        <v>15.5</v>
      </c>
      <c r="AF35" s="3">
        <v>99.868920000000003</v>
      </c>
      <c r="AG35" s="3">
        <f t="shared" si="4"/>
        <v>100.13041</v>
      </c>
      <c r="AH35" s="1">
        <f t="shared" si="10"/>
        <v>6.6133941802350603E-3</v>
      </c>
      <c r="AK35" s="11">
        <v>182.76048</v>
      </c>
      <c r="AL35" s="1">
        <v>15.5</v>
      </c>
      <c r="AM35" s="13">
        <v>97.052760000000006</v>
      </c>
      <c r="AN35" s="3">
        <f t="shared" si="5"/>
        <v>99.638980000000004</v>
      </c>
      <c r="AO35" s="1">
        <f t="shared" si="9"/>
        <v>7.0880892473057285E-3</v>
      </c>
      <c r="AQ35" s="11">
        <v>185.26157000000001</v>
      </c>
      <c r="AR35" s="1">
        <v>15.5</v>
      </c>
      <c r="AS35" s="12">
        <v>96.539590000000004</v>
      </c>
      <c r="AT35" s="3">
        <f t="shared" si="6"/>
        <v>99.498320000000007</v>
      </c>
      <c r="AU35" s="1">
        <f t="shared" si="8"/>
        <v>8.4068687014493323E-3</v>
      </c>
      <c r="AW35" s="11">
        <v>151.50975</v>
      </c>
      <c r="AX35" s="1">
        <v>15.5</v>
      </c>
      <c r="AY35" s="13">
        <v>97.996110000000002</v>
      </c>
      <c r="AZ35" s="3">
        <f t="shared" si="7"/>
        <v>99.661760000000001</v>
      </c>
    </row>
    <row r="36" spans="2:52" ht="16" x14ac:dyDescent="0.2">
      <c r="B36" s="4">
        <v>200.17178000000001</v>
      </c>
      <c r="C36" s="1">
        <v>16</v>
      </c>
      <c r="D36" s="3">
        <v>99.388419999999996</v>
      </c>
      <c r="E36" s="3">
        <f t="shared" si="0"/>
        <v>100.51486</v>
      </c>
      <c r="I36" s="4">
        <v>224.99292</v>
      </c>
      <c r="J36" s="1">
        <v>16</v>
      </c>
      <c r="K36" s="3">
        <v>96.677109999999999</v>
      </c>
      <c r="L36" s="3">
        <f t="shared" si="1"/>
        <v>100.26418</v>
      </c>
      <c r="M36" s="1">
        <f t="shared" si="13"/>
        <v>4.2063682988319334E-3</v>
      </c>
      <c r="P36" s="4">
        <v>225.24592000000001</v>
      </c>
      <c r="Q36" s="1">
        <v>16</v>
      </c>
      <c r="R36" s="3">
        <v>100.08857999999999</v>
      </c>
      <c r="S36" s="3">
        <f t="shared" si="2"/>
        <v>100.01276</v>
      </c>
      <c r="T36" s="1">
        <f t="shared" si="12"/>
        <v>2.5792893667842456E-3</v>
      </c>
      <c r="W36" s="4">
        <v>249.99799999999999</v>
      </c>
      <c r="X36" s="1">
        <v>16</v>
      </c>
      <c r="Y36" s="5">
        <v>94.454539999999994</v>
      </c>
      <c r="Z36" s="3">
        <f t="shared" si="3"/>
        <v>99.89537</v>
      </c>
      <c r="AA36" s="1">
        <f t="shared" si="11"/>
        <v>1.0161893883550327E-2</v>
      </c>
      <c r="AD36" s="4">
        <v>250.00264999999999</v>
      </c>
      <c r="AE36" s="1">
        <v>16</v>
      </c>
      <c r="AF36" s="5">
        <v>99.868700000000004</v>
      </c>
      <c r="AG36" s="3">
        <f t="shared" si="4"/>
        <v>100.13019</v>
      </c>
      <c r="AH36" s="1">
        <f t="shared" si="10"/>
        <v>6.6170464299517649E-3</v>
      </c>
      <c r="AK36" s="11">
        <v>185.26684</v>
      </c>
      <c r="AL36" s="1">
        <v>16</v>
      </c>
      <c r="AM36" s="12">
        <v>97.045670000000001</v>
      </c>
      <c r="AN36" s="3">
        <f t="shared" si="5"/>
        <v>99.631889999999999</v>
      </c>
      <c r="AO36" s="1">
        <f t="shared" si="9"/>
        <v>7.206338036132371E-3</v>
      </c>
      <c r="AQ36" s="11">
        <v>187.77054000000001</v>
      </c>
      <c r="AR36" s="1">
        <v>16</v>
      </c>
      <c r="AS36" s="13">
        <v>96.525670000000005</v>
      </c>
      <c r="AT36" s="3">
        <f t="shared" si="6"/>
        <v>99.484400000000008</v>
      </c>
      <c r="AU36" s="1">
        <f t="shared" si="8"/>
        <v>8.6391736390655418E-3</v>
      </c>
      <c r="AW36" s="11">
        <v>153.01125999999999</v>
      </c>
      <c r="AX36" s="1">
        <v>16</v>
      </c>
      <c r="AY36" s="12">
        <v>98.010099999999994</v>
      </c>
      <c r="AZ36" s="3">
        <f t="shared" si="7"/>
        <v>99.675749999999994</v>
      </c>
    </row>
    <row r="37" spans="2:52" ht="16" x14ac:dyDescent="0.2">
      <c r="B37" s="4">
        <v>200.14080999999999</v>
      </c>
      <c r="C37" s="1">
        <v>16.5</v>
      </c>
      <c r="D37" s="5">
        <v>99.483360000000005</v>
      </c>
      <c r="E37" s="3">
        <f t="shared" si="0"/>
        <v>100.60980000000001</v>
      </c>
      <c r="I37" s="4">
        <v>224.99786</v>
      </c>
      <c r="J37" s="1">
        <v>16.5</v>
      </c>
      <c r="K37" s="5">
        <v>96.678089999999997</v>
      </c>
      <c r="L37" s="3">
        <f t="shared" si="1"/>
        <v>100.26515999999999</v>
      </c>
      <c r="M37" s="1">
        <f t="shared" si="13"/>
        <v>4.190097365605769E-3</v>
      </c>
      <c r="P37" s="4">
        <v>225.20442</v>
      </c>
      <c r="Q37" s="1">
        <v>16.5</v>
      </c>
      <c r="R37" s="5">
        <v>100.10449</v>
      </c>
      <c r="S37" s="3">
        <f t="shared" si="2"/>
        <v>100.02867000000001</v>
      </c>
      <c r="T37" s="1">
        <f t="shared" si="12"/>
        <v>2.3142128612255119E-3</v>
      </c>
      <c r="W37" s="4">
        <v>249.99699000000001</v>
      </c>
      <c r="X37" s="1">
        <v>16.5</v>
      </c>
      <c r="Y37" s="3">
        <v>94.427769999999995</v>
      </c>
      <c r="Z37" s="3">
        <f t="shared" si="3"/>
        <v>99.868600000000001</v>
      </c>
      <c r="AA37" s="1">
        <f t="shared" si="11"/>
        <v>1.0606400982134665E-2</v>
      </c>
      <c r="AD37" s="4">
        <v>250.00622999999999</v>
      </c>
      <c r="AE37" s="1">
        <v>16.5</v>
      </c>
      <c r="AF37" s="3">
        <v>99.887200000000007</v>
      </c>
      <c r="AG37" s="3">
        <f t="shared" si="4"/>
        <v>100.14869</v>
      </c>
      <c r="AH37" s="1">
        <f t="shared" si="10"/>
        <v>6.3099254310452985E-3</v>
      </c>
      <c r="AK37" s="11">
        <v>187.77023</v>
      </c>
      <c r="AL37" s="1">
        <v>16.5</v>
      </c>
      <c r="AM37" s="13">
        <v>97.037840000000003</v>
      </c>
      <c r="AN37" s="3">
        <f t="shared" si="5"/>
        <v>99.62406</v>
      </c>
      <c r="AO37" s="1">
        <f t="shared" si="9"/>
        <v>7.3369287295754959E-3</v>
      </c>
      <c r="AQ37" s="11">
        <v>190.26957999999999</v>
      </c>
      <c r="AR37" s="1">
        <v>16.5</v>
      </c>
      <c r="AS37" s="12">
        <v>96.45205</v>
      </c>
      <c r="AT37" s="3">
        <f t="shared" si="6"/>
        <v>99.410780000000003</v>
      </c>
      <c r="AU37" s="1">
        <f t="shared" si="8"/>
        <v>9.8677863910273268E-3</v>
      </c>
      <c r="AW37" s="11">
        <v>154.54542000000001</v>
      </c>
      <c r="AX37" s="1">
        <v>16.5</v>
      </c>
      <c r="AY37" s="13">
        <v>97.99727</v>
      </c>
      <c r="AZ37" s="3">
        <f t="shared" si="7"/>
        <v>99.66292</v>
      </c>
    </row>
    <row r="38" spans="2:52" ht="16" x14ac:dyDescent="0.2">
      <c r="B38" s="4">
        <v>200.11722</v>
      </c>
      <c r="C38" s="1">
        <v>17</v>
      </c>
      <c r="D38" s="3">
        <v>99.396680000000003</v>
      </c>
      <c r="E38" s="3">
        <f t="shared" si="0"/>
        <v>100.52312000000001</v>
      </c>
      <c r="I38" s="4">
        <v>224.99697</v>
      </c>
      <c r="J38" s="1">
        <v>17</v>
      </c>
      <c r="K38" s="3">
        <v>96.659450000000007</v>
      </c>
      <c r="L38" s="3">
        <f t="shared" si="1"/>
        <v>100.24652</v>
      </c>
      <c r="M38" s="1">
        <f t="shared" si="13"/>
        <v>4.4995771567649901E-3</v>
      </c>
      <c r="P38" s="4">
        <v>225.16552999999999</v>
      </c>
      <c r="Q38" s="1">
        <v>17</v>
      </c>
      <c r="R38" s="3">
        <v>100.08759000000001</v>
      </c>
      <c r="S38" s="3">
        <f t="shared" si="2"/>
        <v>100.01177000000001</v>
      </c>
      <c r="T38" s="1">
        <f t="shared" si="12"/>
        <v>2.5957837565076724E-3</v>
      </c>
      <c r="W38" s="4">
        <v>249.99401</v>
      </c>
      <c r="X38" s="1">
        <v>17</v>
      </c>
      <c r="Y38" s="5">
        <v>94.406570000000002</v>
      </c>
      <c r="Z38" s="3">
        <f t="shared" si="3"/>
        <v>99.847400000000007</v>
      </c>
      <c r="AA38" s="1">
        <f t="shared" si="11"/>
        <v>1.0958420051614879E-2</v>
      </c>
      <c r="AD38" s="4">
        <v>250.00339</v>
      </c>
      <c r="AE38" s="1">
        <v>17</v>
      </c>
      <c r="AF38" s="5">
        <v>99.826070000000001</v>
      </c>
      <c r="AG38" s="3">
        <f t="shared" si="4"/>
        <v>100.08756</v>
      </c>
      <c r="AH38" s="1">
        <f t="shared" si="10"/>
        <v>7.324752818242645E-3</v>
      </c>
      <c r="AK38" s="11">
        <v>190.26402999999999</v>
      </c>
      <c r="AL38" s="1">
        <v>17</v>
      </c>
      <c r="AM38" s="12">
        <v>96.983369999999994</v>
      </c>
      <c r="AN38" s="3">
        <f t="shared" si="5"/>
        <v>99.569589999999991</v>
      </c>
      <c r="AO38" s="1">
        <f t="shared" si="9"/>
        <v>8.2453929788538632E-3</v>
      </c>
      <c r="AQ38" s="11">
        <v>192.76997</v>
      </c>
      <c r="AR38" s="1">
        <v>17</v>
      </c>
      <c r="AS38" s="13">
        <v>96.466909999999999</v>
      </c>
      <c r="AT38" s="3">
        <f t="shared" si="6"/>
        <v>99.425640000000001</v>
      </c>
      <c r="AU38" s="1">
        <f t="shared" si="8"/>
        <v>9.6197941946927802E-3</v>
      </c>
      <c r="AW38" s="11">
        <v>156.05680000000001</v>
      </c>
      <c r="AX38" s="1">
        <v>17</v>
      </c>
      <c r="AY38" s="12">
        <v>97.994450000000001</v>
      </c>
      <c r="AZ38" s="3">
        <f t="shared" si="7"/>
        <v>99.6601</v>
      </c>
    </row>
    <row r="39" spans="2:52" ht="16" x14ac:dyDescent="0.2">
      <c r="B39" s="4">
        <v>200.09100000000001</v>
      </c>
      <c r="C39" s="1">
        <v>17.5</v>
      </c>
      <c r="D39" s="5">
        <v>99.271640000000005</v>
      </c>
      <c r="E39" s="3">
        <f t="shared" si="0"/>
        <v>100.39808000000001</v>
      </c>
      <c r="I39" s="4">
        <v>224.99498</v>
      </c>
      <c r="J39" s="1">
        <v>17.5</v>
      </c>
      <c r="K39" s="5">
        <v>96.644970000000001</v>
      </c>
      <c r="L39" s="3">
        <f t="shared" si="1"/>
        <v>100.23204</v>
      </c>
      <c r="M39" s="1">
        <f t="shared" si="13"/>
        <v>4.7399884966785972E-3</v>
      </c>
      <c r="P39" s="4">
        <v>225.13215</v>
      </c>
      <c r="Q39" s="1">
        <v>17.5</v>
      </c>
      <c r="R39" s="5">
        <v>99.920680000000004</v>
      </c>
      <c r="S39" s="3">
        <f t="shared" si="2"/>
        <v>99.844860000000011</v>
      </c>
      <c r="T39" s="1">
        <f t="shared" si="12"/>
        <v>5.3766712199139711E-3</v>
      </c>
      <c r="W39" s="4">
        <v>249.98895999999999</v>
      </c>
      <c r="X39" s="1">
        <v>17.5</v>
      </c>
      <c r="Y39" s="3">
        <v>94.381870000000006</v>
      </c>
      <c r="Z39" s="3">
        <f t="shared" si="3"/>
        <v>99.822700000000012</v>
      </c>
      <c r="AA39" s="1">
        <f t="shared" si="11"/>
        <v>1.1368555476905566E-2</v>
      </c>
      <c r="AD39" s="4">
        <v>250.00538</v>
      </c>
      <c r="AE39" s="1">
        <v>17.5</v>
      </c>
      <c r="AF39" s="3">
        <v>99.835750000000004</v>
      </c>
      <c r="AG39" s="3">
        <f t="shared" si="4"/>
        <v>100.09724</v>
      </c>
      <c r="AH39" s="1">
        <f t="shared" si="10"/>
        <v>7.164053830706698E-3</v>
      </c>
      <c r="AK39" s="11">
        <v>192.76925</v>
      </c>
      <c r="AL39" s="1">
        <v>17.5</v>
      </c>
      <c r="AM39" s="13">
        <v>97.000489999999999</v>
      </c>
      <c r="AN39" s="3">
        <f t="shared" si="5"/>
        <v>99.586709999999997</v>
      </c>
      <c r="AO39" s="1">
        <f t="shared" si="9"/>
        <v>7.9598613477239177E-3</v>
      </c>
      <c r="AQ39" s="11">
        <v>195.2766</v>
      </c>
      <c r="AR39" s="1">
        <v>17.5</v>
      </c>
      <c r="AS39" s="12">
        <v>96.447130000000001</v>
      </c>
      <c r="AT39" s="3">
        <f t="shared" si="6"/>
        <v>99.405860000000004</v>
      </c>
      <c r="AU39" s="1">
        <f t="shared" si="8"/>
        <v>9.9498941707020019E-3</v>
      </c>
      <c r="AW39" s="11">
        <v>157.53773000000001</v>
      </c>
      <c r="AX39" s="1">
        <v>17.5</v>
      </c>
      <c r="AY39" s="13">
        <v>97.954130000000006</v>
      </c>
      <c r="AZ39" s="3">
        <f t="shared" si="7"/>
        <v>99.619780000000006</v>
      </c>
    </row>
    <row r="40" spans="2:52" ht="16" x14ac:dyDescent="0.2">
      <c r="B40" s="4">
        <v>200.07266000000001</v>
      </c>
      <c r="C40" s="1">
        <v>18</v>
      </c>
      <c r="D40" s="3">
        <v>99.431740000000005</v>
      </c>
      <c r="E40" s="3">
        <f t="shared" si="0"/>
        <v>100.55818000000001</v>
      </c>
      <c r="I40" s="4">
        <v>224.99901</v>
      </c>
      <c r="J40" s="1">
        <v>18</v>
      </c>
      <c r="K40" s="3">
        <v>96.627129999999994</v>
      </c>
      <c r="L40" s="3">
        <f t="shared" si="1"/>
        <v>100.21419999999999</v>
      </c>
      <c r="M40" s="1">
        <f t="shared" si="13"/>
        <v>5.0361858933677265E-3</v>
      </c>
      <c r="P40" s="4">
        <v>225.10579999999999</v>
      </c>
      <c r="Q40" s="1">
        <v>18</v>
      </c>
      <c r="R40" s="3">
        <v>100.16233</v>
      </c>
      <c r="S40" s="3">
        <f t="shared" si="2"/>
        <v>100.08651</v>
      </c>
      <c r="T40" s="1">
        <f t="shared" si="12"/>
        <v>1.3505406373718449E-3</v>
      </c>
      <c r="W40" s="4">
        <v>249.99100999999999</v>
      </c>
      <c r="X40" s="1">
        <v>18</v>
      </c>
      <c r="Y40" s="5">
        <v>94.343389999999999</v>
      </c>
      <c r="Z40" s="3">
        <f t="shared" si="3"/>
        <v>99.784220000000005</v>
      </c>
      <c r="AA40" s="1">
        <f t="shared" si="11"/>
        <v>1.2007503297358651E-2</v>
      </c>
      <c r="AD40" s="4">
        <v>250.00948</v>
      </c>
      <c r="AE40" s="1">
        <v>18</v>
      </c>
      <c r="AF40" s="5">
        <v>99.88946</v>
      </c>
      <c r="AG40" s="3">
        <f t="shared" si="4"/>
        <v>100.15094999999999</v>
      </c>
      <c r="AH40" s="1">
        <f t="shared" si="10"/>
        <v>6.2724068657736111E-3</v>
      </c>
      <c r="AK40" s="11">
        <v>195.27035000000001</v>
      </c>
      <c r="AL40" s="1">
        <v>18</v>
      </c>
      <c r="AM40" s="12">
        <v>96.977239999999995</v>
      </c>
      <c r="AN40" s="3">
        <f t="shared" si="5"/>
        <v>99.563459999999992</v>
      </c>
      <c r="AO40" s="1">
        <f t="shared" si="9"/>
        <v>8.3476306481777927E-3</v>
      </c>
      <c r="AQ40" s="11">
        <v>197.77988999999999</v>
      </c>
      <c r="AR40" s="1">
        <v>18</v>
      </c>
      <c r="AS40" s="13">
        <v>96.427949999999996</v>
      </c>
      <c r="AT40" s="3">
        <f t="shared" si="6"/>
        <v>99.386679999999998</v>
      </c>
      <c r="AU40" s="1">
        <f t="shared" si="8"/>
        <v>1.0269981002848599E-2</v>
      </c>
      <c r="AW40" s="11">
        <v>159.05595</v>
      </c>
      <c r="AX40" s="1">
        <v>18</v>
      </c>
      <c r="AY40" s="12">
        <v>97.959119999999999</v>
      </c>
      <c r="AZ40" s="3">
        <f t="shared" si="7"/>
        <v>99.624769999999998</v>
      </c>
    </row>
    <row r="41" spans="2:52" ht="16" x14ac:dyDescent="0.2">
      <c r="B41" s="4">
        <v>200.06287</v>
      </c>
      <c r="C41" s="1">
        <v>18.5</v>
      </c>
      <c r="D41" s="5">
        <v>99.449659999999994</v>
      </c>
      <c r="E41" s="3">
        <f t="shared" si="0"/>
        <v>100.5761</v>
      </c>
      <c r="I41" s="4">
        <v>224.99904000000001</v>
      </c>
      <c r="J41" s="1">
        <v>18.5</v>
      </c>
      <c r="K41" s="5">
        <v>96.617940000000004</v>
      </c>
      <c r="L41" s="3">
        <f t="shared" si="1"/>
        <v>100.20501</v>
      </c>
      <c r="M41" s="1">
        <f t="shared" si="13"/>
        <v>5.1887673998458079E-3</v>
      </c>
      <c r="P41" s="4">
        <v>225.08937</v>
      </c>
      <c r="Q41" s="1">
        <v>18.5</v>
      </c>
      <c r="R41" s="5">
        <v>99.995320000000007</v>
      </c>
      <c r="S41" s="3">
        <f t="shared" si="2"/>
        <v>99.919500000000014</v>
      </c>
      <c r="T41" s="1">
        <f t="shared" si="12"/>
        <v>4.1330942007500471E-3</v>
      </c>
      <c r="W41" s="4">
        <v>249.99200999999999</v>
      </c>
      <c r="X41" s="1">
        <v>18.5</v>
      </c>
      <c r="Y41" s="3">
        <v>94.316559999999996</v>
      </c>
      <c r="Z41" s="3">
        <f t="shared" si="3"/>
        <v>99.757390000000001</v>
      </c>
      <c r="AA41" s="1">
        <f t="shared" si="11"/>
        <v>1.2453006676328393E-2</v>
      </c>
      <c r="AD41" s="4">
        <v>250.00637</v>
      </c>
      <c r="AE41" s="1">
        <v>18.5</v>
      </c>
      <c r="AF41" s="3">
        <v>99.793459999999996</v>
      </c>
      <c r="AG41" s="3">
        <f t="shared" si="4"/>
        <v>100.05494999999999</v>
      </c>
      <c r="AH41" s="1">
        <f t="shared" si="10"/>
        <v>7.8661158330718267E-3</v>
      </c>
      <c r="AK41" s="11">
        <v>197.77481</v>
      </c>
      <c r="AL41" s="1">
        <v>18.5</v>
      </c>
      <c r="AM41" s="13">
        <v>96.945490000000007</v>
      </c>
      <c r="AN41" s="3">
        <f t="shared" si="5"/>
        <v>99.531710000000004</v>
      </c>
      <c r="AO41" s="1">
        <f t="shared" si="9"/>
        <v>8.8771650692274079E-3</v>
      </c>
      <c r="AQ41" s="11">
        <v>200.28272000000001</v>
      </c>
      <c r="AR41" s="1">
        <v>18.5</v>
      </c>
      <c r="AS41" s="12">
        <v>96.395120000000006</v>
      </c>
      <c r="AT41" s="3">
        <f t="shared" si="6"/>
        <v>99.353850000000008</v>
      </c>
      <c r="AU41" s="1">
        <f t="shared" si="8"/>
        <v>1.0817866857872914E-2</v>
      </c>
      <c r="AW41" s="11">
        <v>160.56272000000001</v>
      </c>
      <c r="AX41" s="1">
        <v>18.5</v>
      </c>
      <c r="AY41" s="13">
        <v>97.956450000000004</v>
      </c>
      <c r="AZ41" s="3">
        <f t="shared" si="7"/>
        <v>99.622100000000003</v>
      </c>
    </row>
    <row r="42" spans="2:52" ht="16" x14ac:dyDescent="0.2">
      <c r="B42" s="4">
        <v>200.04934</v>
      </c>
      <c r="C42" s="1">
        <v>19</v>
      </c>
      <c r="D42" s="3">
        <v>99.423739999999995</v>
      </c>
      <c r="E42" s="3">
        <f t="shared" si="0"/>
        <v>100.55018</v>
      </c>
      <c r="I42" s="4">
        <v>224.99997999999999</v>
      </c>
      <c r="J42" s="1">
        <v>19</v>
      </c>
      <c r="K42" s="3">
        <v>96.593890000000002</v>
      </c>
      <c r="L42" s="3">
        <f t="shared" si="1"/>
        <v>100.18096</v>
      </c>
      <c r="M42" s="1">
        <f t="shared" si="13"/>
        <v>5.5880693836110338E-3</v>
      </c>
      <c r="P42" s="4">
        <v>225.07410999999999</v>
      </c>
      <c r="Q42" s="1">
        <v>19</v>
      </c>
      <c r="R42" s="3">
        <v>100.10939999999999</v>
      </c>
      <c r="S42" s="3">
        <f t="shared" si="2"/>
        <v>100.03358</v>
      </c>
      <c r="T42" s="1">
        <f t="shared" si="12"/>
        <v>2.23240735259624E-3</v>
      </c>
      <c r="W42" s="4">
        <v>249.99799999999999</v>
      </c>
      <c r="X42" s="1">
        <v>19</v>
      </c>
      <c r="Y42" s="5">
        <v>94.285899999999998</v>
      </c>
      <c r="Z42" s="3">
        <f t="shared" si="3"/>
        <v>99.726730000000003</v>
      </c>
      <c r="AA42" s="1">
        <f t="shared" si="11"/>
        <v>1.2962105953227729E-2</v>
      </c>
      <c r="AD42" s="4">
        <v>250.00560999999999</v>
      </c>
      <c r="AE42" s="1">
        <v>19</v>
      </c>
      <c r="AF42" s="5">
        <v>99.818169999999995</v>
      </c>
      <c r="AG42" s="3">
        <f t="shared" si="4"/>
        <v>100.07965999999999</v>
      </c>
      <c r="AH42" s="1">
        <f t="shared" si="10"/>
        <v>7.4559017853433295E-3</v>
      </c>
      <c r="AK42" s="11">
        <v>200.27491000000001</v>
      </c>
      <c r="AL42" s="1">
        <v>19</v>
      </c>
      <c r="AM42" s="12">
        <v>96.926990000000004</v>
      </c>
      <c r="AN42" s="3">
        <f t="shared" si="5"/>
        <v>99.513210000000001</v>
      </c>
      <c r="AO42" s="1">
        <f t="shared" si="9"/>
        <v>9.1857126846423102E-3</v>
      </c>
      <c r="AQ42" s="11">
        <v>202.78352000000001</v>
      </c>
      <c r="AR42" s="1">
        <v>19</v>
      </c>
      <c r="AS42" s="13">
        <v>96.391379999999998</v>
      </c>
      <c r="AT42" s="3">
        <f t="shared" si="6"/>
        <v>99.350110000000001</v>
      </c>
      <c r="AU42" s="1">
        <f t="shared" si="8"/>
        <v>1.0880282121284298E-2</v>
      </c>
      <c r="AW42" s="11">
        <v>162.04451</v>
      </c>
      <c r="AX42" s="1">
        <v>19</v>
      </c>
      <c r="AY42" s="12">
        <v>97.998480000000001</v>
      </c>
      <c r="AZ42" s="3">
        <f t="shared" si="7"/>
        <v>99.66413</v>
      </c>
    </row>
    <row r="43" spans="2:52" ht="16" x14ac:dyDescent="0.2">
      <c r="B43" s="4">
        <v>200.03645</v>
      </c>
      <c r="C43" s="1">
        <v>19.5</v>
      </c>
      <c r="D43" s="5">
        <v>99.284270000000006</v>
      </c>
      <c r="E43" s="3">
        <f t="shared" si="0"/>
        <v>100.41071000000001</v>
      </c>
      <c r="I43" s="4">
        <v>224.99896000000001</v>
      </c>
      <c r="J43" s="1">
        <v>19.5</v>
      </c>
      <c r="K43" s="5">
        <v>96.587959999999995</v>
      </c>
      <c r="L43" s="3">
        <f t="shared" si="1"/>
        <v>100.17502999999999</v>
      </c>
      <c r="M43" s="1">
        <f t="shared" si="13"/>
        <v>5.6865251326226798E-3</v>
      </c>
      <c r="P43" s="4">
        <v>225.06073000000001</v>
      </c>
      <c r="Q43" s="1">
        <v>19.5</v>
      </c>
      <c r="R43" s="5">
        <v>99.941339999999997</v>
      </c>
      <c r="S43" s="3">
        <f t="shared" si="2"/>
        <v>99.865520000000004</v>
      </c>
      <c r="T43" s="1">
        <f t="shared" si="12"/>
        <v>5.0324549656814363E-3</v>
      </c>
      <c r="W43" s="4">
        <v>249.99804</v>
      </c>
      <c r="X43" s="1">
        <v>19.5</v>
      </c>
      <c r="Y43" s="3">
        <v>94.251350000000002</v>
      </c>
      <c r="Z43" s="3">
        <f t="shared" si="3"/>
        <v>99.692180000000008</v>
      </c>
      <c r="AA43" s="1">
        <f t="shared" si="11"/>
        <v>1.353579740844206E-2</v>
      </c>
      <c r="AD43" s="4">
        <v>250.00101000000001</v>
      </c>
      <c r="AE43" s="1">
        <v>19.5</v>
      </c>
      <c r="AF43" s="3">
        <v>99.744299999999996</v>
      </c>
      <c r="AG43" s="3">
        <f t="shared" si="4"/>
        <v>100.00578999999999</v>
      </c>
      <c r="AH43" s="1">
        <f t="shared" si="10"/>
        <v>8.6822276334090984E-3</v>
      </c>
      <c r="AK43" s="11">
        <v>202.77635000000001</v>
      </c>
      <c r="AL43" s="1">
        <v>19.5</v>
      </c>
      <c r="AM43" s="13">
        <v>96.917630000000003</v>
      </c>
      <c r="AN43" s="3">
        <f t="shared" si="5"/>
        <v>99.50385</v>
      </c>
      <c r="AO43" s="1">
        <f t="shared" si="9"/>
        <v>9.3418210997927593E-3</v>
      </c>
      <c r="AQ43" s="11">
        <v>205.28268</v>
      </c>
      <c r="AR43" s="1">
        <v>19.5</v>
      </c>
      <c r="AS43" s="12">
        <v>96.37585</v>
      </c>
      <c r="AT43" s="3">
        <f t="shared" si="6"/>
        <v>99.334580000000003</v>
      </c>
      <c r="AU43" s="1">
        <f t="shared" si="8"/>
        <v>1.1139455661598926E-2</v>
      </c>
      <c r="AW43" s="11">
        <v>163.55713</v>
      </c>
      <c r="AX43" s="1">
        <v>19.5</v>
      </c>
      <c r="AY43" s="13">
        <v>97.899990000000003</v>
      </c>
      <c r="AZ43" s="3">
        <f t="shared" si="7"/>
        <v>99.565640000000002</v>
      </c>
    </row>
    <row r="44" spans="2:52" ht="16" x14ac:dyDescent="0.2">
      <c r="B44" s="4">
        <v>200.02247</v>
      </c>
      <c r="C44" s="1">
        <v>20</v>
      </c>
      <c r="D44" s="3">
        <v>99.401240000000001</v>
      </c>
      <c r="E44" s="3">
        <f t="shared" si="0"/>
        <v>100.52768</v>
      </c>
      <c r="I44" s="4">
        <v>225.00088</v>
      </c>
      <c r="J44" s="1">
        <v>20</v>
      </c>
      <c r="K44" s="3">
        <v>96.560389999999998</v>
      </c>
      <c r="L44" s="3">
        <f t="shared" si="1"/>
        <v>100.14746</v>
      </c>
      <c r="M44" s="1">
        <f t="shared" si="13"/>
        <v>6.1442696520573976E-3</v>
      </c>
      <c r="P44" s="4">
        <v>225.04811000000001</v>
      </c>
      <c r="Q44" s="1">
        <v>20</v>
      </c>
      <c r="R44" s="3">
        <v>99.954300000000003</v>
      </c>
      <c r="S44" s="3">
        <f t="shared" si="2"/>
        <v>99.87848000000001</v>
      </c>
      <c r="T44" s="1">
        <f t="shared" si="12"/>
        <v>4.8165284092991706E-3</v>
      </c>
      <c r="W44" s="4">
        <v>249.99399</v>
      </c>
      <c r="X44" s="1">
        <v>20</v>
      </c>
      <c r="Y44" s="5">
        <v>94.214969999999994</v>
      </c>
      <c r="Z44" s="3">
        <f t="shared" si="3"/>
        <v>99.655799999999999</v>
      </c>
      <c r="AA44" s="1">
        <f t="shared" si="11"/>
        <v>1.4139875415408908E-2</v>
      </c>
      <c r="AD44" s="4">
        <v>250.00396000000001</v>
      </c>
      <c r="AE44" s="1">
        <v>20</v>
      </c>
      <c r="AF44" s="5">
        <v>99.797269999999997</v>
      </c>
      <c r="AG44" s="3">
        <f t="shared" si="4"/>
        <v>100.05875999999999</v>
      </c>
      <c r="AH44" s="1">
        <f t="shared" si="10"/>
        <v>7.8028655084321566E-3</v>
      </c>
      <c r="AK44" s="11">
        <v>205.27651</v>
      </c>
      <c r="AL44" s="1">
        <v>20</v>
      </c>
      <c r="AM44" s="12">
        <v>96.896950000000004</v>
      </c>
      <c r="AN44" s="3">
        <f t="shared" si="5"/>
        <v>99.483170000000001</v>
      </c>
      <c r="AO44" s="1">
        <f t="shared" si="9"/>
        <v>9.6867272990780965E-3</v>
      </c>
      <c r="AQ44" s="11">
        <v>207.78085999999999</v>
      </c>
      <c r="AR44" s="1">
        <v>20</v>
      </c>
      <c r="AS44" s="13">
        <v>96.358090000000004</v>
      </c>
      <c r="AT44" s="3">
        <f t="shared" si="6"/>
        <v>99.316820000000007</v>
      </c>
      <c r="AU44" s="1">
        <f t="shared" si="8"/>
        <v>1.14358447199368E-2</v>
      </c>
      <c r="AW44" s="11">
        <v>165.09609</v>
      </c>
      <c r="AX44" s="1">
        <v>20</v>
      </c>
      <c r="AY44" s="12">
        <v>97.957279999999997</v>
      </c>
      <c r="AZ44" s="3">
        <f t="shared" si="7"/>
        <v>99.622929999999997</v>
      </c>
    </row>
    <row r="45" spans="2:52" ht="16" x14ac:dyDescent="0.2">
      <c r="B45" s="4">
        <v>200.00360000000001</v>
      </c>
      <c r="C45" s="1">
        <v>20.5</v>
      </c>
      <c r="D45" s="5">
        <v>99.482439999999997</v>
      </c>
      <c r="E45" s="3">
        <f t="shared" si="0"/>
        <v>100.60888</v>
      </c>
      <c r="I45" s="4">
        <v>225.00599</v>
      </c>
      <c r="J45" s="1">
        <v>20.5</v>
      </c>
      <c r="K45" s="5">
        <v>96.552530000000004</v>
      </c>
      <c r="L45" s="3">
        <f t="shared" si="1"/>
        <v>100.1396</v>
      </c>
      <c r="M45" s="1">
        <f t="shared" si="13"/>
        <v>6.2747691777285761E-3</v>
      </c>
      <c r="P45" s="4">
        <v>225.03962000000001</v>
      </c>
      <c r="Q45" s="1">
        <v>20.5</v>
      </c>
      <c r="R45" s="5">
        <v>100.02202</v>
      </c>
      <c r="S45" s="3">
        <f t="shared" si="2"/>
        <v>99.946200000000005</v>
      </c>
      <c r="T45" s="1">
        <f t="shared" si="12"/>
        <v>3.6882455082036282E-3</v>
      </c>
      <c r="W45" s="4">
        <v>249.99203</v>
      </c>
      <c r="X45" s="1">
        <v>20.5</v>
      </c>
      <c r="Y45" s="3">
        <v>94.188029999999998</v>
      </c>
      <c r="Z45" s="3">
        <f t="shared" si="3"/>
        <v>99.628860000000003</v>
      </c>
      <c r="AA45" s="1">
        <f t="shared" si="11"/>
        <v>1.4587205308418278E-2</v>
      </c>
      <c r="AD45" s="4">
        <v>250.00226000000001</v>
      </c>
      <c r="AE45" s="1">
        <v>20.5</v>
      </c>
      <c r="AF45" s="3">
        <v>99.643439999999998</v>
      </c>
      <c r="AG45" s="3">
        <f t="shared" si="4"/>
        <v>99.904929999999993</v>
      </c>
      <c r="AH45" s="1">
        <f t="shared" si="10"/>
        <v>1.0356618117176678E-2</v>
      </c>
      <c r="AK45" s="11">
        <v>207.77934999999999</v>
      </c>
      <c r="AL45" s="1">
        <v>20.5</v>
      </c>
      <c r="AM45" s="13">
        <v>96.881709999999998</v>
      </c>
      <c r="AN45" s="3">
        <f t="shared" si="5"/>
        <v>99.467929999999996</v>
      </c>
      <c r="AO45" s="1">
        <f t="shared" si="9"/>
        <v>9.9409038211821024E-3</v>
      </c>
      <c r="AQ45" s="11">
        <v>210.28471999999999</v>
      </c>
      <c r="AR45" s="1">
        <v>20.5</v>
      </c>
      <c r="AS45" s="12">
        <v>96.322019999999995</v>
      </c>
      <c r="AT45" s="3">
        <f t="shared" si="6"/>
        <v>99.280749999999998</v>
      </c>
      <c r="AU45" s="1">
        <f t="shared" si="8"/>
        <v>1.203780155182039E-2</v>
      </c>
      <c r="AW45" s="11">
        <v>166.59102999999999</v>
      </c>
      <c r="AX45" s="1">
        <v>20.5</v>
      </c>
      <c r="AY45" s="13">
        <v>97.947699999999998</v>
      </c>
      <c r="AZ45" s="3">
        <f t="shared" si="7"/>
        <v>99.613349999999997</v>
      </c>
    </row>
    <row r="46" spans="2:52" ht="16" x14ac:dyDescent="0.2">
      <c r="B46" s="4">
        <v>199.97774999999999</v>
      </c>
      <c r="C46" s="1">
        <v>21</v>
      </c>
      <c r="D46" s="3">
        <v>99.429040000000001</v>
      </c>
      <c r="E46" s="3">
        <f t="shared" si="0"/>
        <v>100.55548</v>
      </c>
      <c r="I46" s="4">
        <v>225.00091</v>
      </c>
      <c r="J46" s="1">
        <v>21</v>
      </c>
      <c r="K46" s="3">
        <v>96.530320000000003</v>
      </c>
      <c r="L46" s="3">
        <f t="shared" si="1"/>
        <v>100.11739</v>
      </c>
      <c r="M46" s="1">
        <f t="shared" si="13"/>
        <v>6.6435216542119514E-3</v>
      </c>
      <c r="P46" s="4">
        <v>225.03448</v>
      </c>
      <c r="Q46" s="1">
        <v>21</v>
      </c>
      <c r="R46" s="3">
        <v>99.902969999999996</v>
      </c>
      <c r="S46" s="3">
        <f t="shared" si="2"/>
        <v>99.827150000000003</v>
      </c>
      <c r="T46" s="1">
        <f t="shared" si="12"/>
        <v>5.6717375249702752E-3</v>
      </c>
      <c r="W46" s="4">
        <v>249.99703</v>
      </c>
      <c r="X46" s="1">
        <v>21</v>
      </c>
      <c r="Y46" s="5">
        <v>94.166989999999998</v>
      </c>
      <c r="Z46" s="3">
        <f t="shared" si="3"/>
        <v>99.607820000000004</v>
      </c>
      <c r="AA46" s="1">
        <f t="shared" si="11"/>
        <v>1.4936567630204402E-2</v>
      </c>
      <c r="AD46" s="4">
        <v>250.00264999999999</v>
      </c>
      <c r="AE46" s="1">
        <v>21</v>
      </c>
      <c r="AF46" s="5">
        <v>99.741780000000006</v>
      </c>
      <c r="AG46" s="3">
        <f t="shared" si="4"/>
        <v>100.00327</v>
      </c>
      <c r="AH46" s="1">
        <f t="shared" si="10"/>
        <v>8.7240624938005069E-3</v>
      </c>
      <c r="AK46" s="11">
        <v>210.27988999999999</v>
      </c>
      <c r="AL46" s="1">
        <v>21</v>
      </c>
      <c r="AM46" s="12">
        <v>96.853909999999999</v>
      </c>
      <c r="AN46" s="3">
        <f t="shared" si="5"/>
        <v>99.440129999999996</v>
      </c>
      <c r="AO46" s="1">
        <f t="shared" si="9"/>
        <v>1.0404559156778459E-2</v>
      </c>
      <c r="AQ46" s="11">
        <v>212.78883999999999</v>
      </c>
      <c r="AR46" s="1">
        <v>21</v>
      </c>
      <c r="AS46" s="13">
        <v>96.324259999999995</v>
      </c>
      <c r="AT46" s="3">
        <f t="shared" si="6"/>
        <v>99.282989999999998</v>
      </c>
      <c r="AU46" s="1">
        <f t="shared" si="8"/>
        <v>1.2000419148066047E-2</v>
      </c>
      <c r="AW46" s="11">
        <v>168.09128999999999</v>
      </c>
      <c r="AX46" s="1">
        <v>21</v>
      </c>
      <c r="AY46" s="12">
        <v>97.95599</v>
      </c>
      <c r="AZ46" s="3">
        <f t="shared" si="7"/>
        <v>99.621639999999999</v>
      </c>
    </row>
    <row r="47" spans="2:52" ht="16" x14ac:dyDescent="0.2">
      <c r="B47" s="4">
        <v>199.94002</v>
      </c>
      <c r="C47" s="1">
        <v>21.5</v>
      </c>
      <c r="D47" s="5">
        <v>99.379130000000004</v>
      </c>
      <c r="E47" s="3">
        <f t="shared" si="0"/>
        <v>100.50557000000001</v>
      </c>
      <c r="I47" s="4">
        <v>224.99898999999999</v>
      </c>
      <c r="J47" s="1">
        <v>21.5</v>
      </c>
      <c r="K47" s="5">
        <v>96.512680000000003</v>
      </c>
      <c r="L47" s="3">
        <f t="shared" si="1"/>
        <v>100.09975</v>
      </c>
      <c r="M47" s="1">
        <f t="shared" si="13"/>
        <v>6.9363984522833799E-3</v>
      </c>
      <c r="P47" s="4">
        <v>225.02906999999999</v>
      </c>
      <c r="Q47" s="1">
        <v>21.5</v>
      </c>
      <c r="R47" s="5">
        <v>100.00346999999999</v>
      </c>
      <c r="S47" s="3">
        <f t="shared" si="2"/>
        <v>99.92765</v>
      </c>
      <c r="T47" s="1">
        <f t="shared" si="12"/>
        <v>3.9973070530253856E-3</v>
      </c>
      <c r="W47" s="4">
        <v>249.99508</v>
      </c>
      <c r="X47" s="1">
        <v>21.5</v>
      </c>
      <c r="Y47" s="3">
        <v>94.138409999999993</v>
      </c>
      <c r="Z47" s="3">
        <f t="shared" si="3"/>
        <v>99.579239999999999</v>
      </c>
      <c r="AA47" s="1">
        <f t="shared" si="11"/>
        <v>1.5411129187079381E-2</v>
      </c>
      <c r="AD47" s="4">
        <v>250.00683000000001</v>
      </c>
      <c r="AE47" s="1">
        <v>21.5</v>
      </c>
      <c r="AF47" s="3">
        <v>99.591480000000004</v>
      </c>
      <c r="AG47" s="3">
        <f t="shared" si="4"/>
        <v>99.852969999999999</v>
      </c>
      <c r="AH47" s="1">
        <f t="shared" si="10"/>
        <v>1.1219213095726705E-2</v>
      </c>
      <c r="AK47" s="11">
        <v>212.78213</v>
      </c>
      <c r="AL47" s="1">
        <v>21.5</v>
      </c>
      <c r="AM47" s="13">
        <v>96.841409999999996</v>
      </c>
      <c r="AN47" s="3">
        <f t="shared" si="5"/>
        <v>99.427629999999994</v>
      </c>
      <c r="AO47" s="1">
        <f t="shared" si="9"/>
        <v>1.0613037275302056E-2</v>
      </c>
      <c r="AQ47" s="11">
        <v>215.28632999999999</v>
      </c>
      <c r="AR47" s="1">
        <v>21.5</v>
      </c>
      <c r="AS47" s="12">
        <v>96.275289999999998</v>
      </c>
      <c r="AT47" s="3">
        <f t="shared" si="6"/>
        <v>99.234020000000001</v>
      </c>
      <c r="AU47" s="1">
        <f t="shared" si="8"/>
        <v>1.2817658572998953E-2</v>
      </c>
      <c r="AW47" s="11">
        <v>169.61795000000001</v>
      </c>
      <c r="AX47" s="1">
        <v>21.5</v>
      </c>
      <c r="AY47" s="13">
        <v>97.913799999999995</v>
      </c>
      <c r="AZ47" s="3">
        <f t="shared" si="7"/>
        <v>99.579449999999994</v>
      </c>
    </row>
    <row r="48" spans="2:52" ht="16" x14ac:dyDescent="0.2">
      <c r="B48" s="4">
        <v>199.90665000000001</v>
      </c>
      <c r="C48" s="1">
        <v>22</v>
      </c>
      <c r="D48" s="3">
        <v>99.32302</v>
      </c>
      <c r="E48" s="3">
        <f t="shared" si="0"/>
        <v>100.44946</v>
      </c>
      <c r="I48" s="4">
        <v>224.99504999999999</v>
      </c>
      <c r="J48" s="1">
        <v>22</v>
      </c>
      <c r="K48" s="3">
        <v>96.493309999999994</v>
      </c>
      <c r="L48" s="3">
        <f t="shared" si="1"/>
        <v>100.08037999999999</v>
      </c>
      <c r="M48" s="1">
        <f t="shared" si="13"/>
        <v>7.2579984283971128E-3</v>
      </c>
      <c r="P48" s="4">
        <v>225.02819</v>
      </c>
      <c r="Q48" s="1">
        <v>22</v>
      </c>
      <c r="R48" s="3">
        <v>99.936710000000005</v>
      </c>
      <c r="S48" s="3">
        <f t="shared" si="2"/>
        <v>99.860890000000012</v>
      </c>
      <c r="T48" s="1">
        <f t="shared" si="12"/>
        <v>5.1095953943888113E-3</v>
      </c>
      <c r="W48" s="4">
        <v>249.99898999999999</v>
      </c>
      <c r="X48" s="1">
        <v>22</v>
      </c>
      <c r="Y48" s="5">
        <v>94.107680000000002</v>
      </c>
      <c r="Z48" s="3">
        <f t="shared" si="3"/>
        <v>99.548510000000007</v>
      </c>
      <c r="AA48" s="1">
        <f t="shared" si="11"/>
        <v>1.5921390791094822E-2</v>
      </c>
      <c r="AD48" s="4">
        <v>250.00819000000001</v>
      </c>
      <c r="AE48" s="1">
        <v>22</v>
      </c>
      <c r="AF48" s="5">
        <v>99.690190000000001</v>
      </c>
      <c r="AG48" s="3">
        <f t="shared" si="4"/>
        <v>99.951679999999996</v>
      </c>
      <c r="AH48" s="1">
        <f t="shared" si="10"/>
        <v>9.5805150523725797E-3</v>
      </c>
      <c r="AK48" s="11">
        <v>215.2861</v>
      </c>
      <c r="AL48" s="1">
        <v>22</v>
      </c>
      <c r="AM48" s="12">
        <v>96.807590000000005</v>
      </c>
      <c r="AN48" s="3">
        <f t="shared" si="5"/>
        <v>99.393810000000002</v>
      </c>
      <c r="AO48" s="1">
        <f t="shared" si="9"/>
        <v>1.1177095672779226E-2</v>
      </c>
      <c r="AQ48" s="11">
        <v>217.7903</v>
      </c>
      <c r="AR48" s="1">
        <v>22</v>
      </c>
      <c r="AS48" s="13">
        <v>96.242699999999999</v>
      </c>
      <c r="AT48" s="3">
        <f t="shared" si="6"/>
        <v>99.201430000000002</v>
      </c>
      <c r="AU48" s="1">
        <f t="shared" si="8"/>
        <v>1.3361539170478312E-2</v>
      </c>
      <c r="AW48" s="11">
        <v>171.11189999999999</v>
      </c>
      <c r="AX48" s="1">
        <v>22</v>
      </c>
      <c r="AY48" s="12">
        <v>97.943240000000003</v>
      </c>
      <c r="AZ48" s="3">
        <f t="shared" si="7"/>
        <v>99.608890000000002</v>
      </c>
    </row>
    <row r="49" spans="2:52" ht="16" x14ac:dyDescent="0.2">
      <c r="B49" s="4">
        <v>199.88918000000001</v>
      </c>
      <c r="C49" s="1">
        <v>22.5</v>
      </c>
      <c r="D49" s="5">
        <v>99.475300000000004</v>
      </c>
      <c r="E49" s="3">
        <f t="shared" si="0"/>
        <v>100.60174000000001</v>
      </c>
      <c r="I49" s="4">
        <v>224.99993000000001</v>
      </c>
      <c r="J49" s="1">
        <v>22.5</v>
      </c>
      <c r="K49" s="5">
        <v>96.473129999999998</v>
      </c>
      <c r="L49" s="3">
        <f t="shared" si="1"/>
        <v>100.06019999999999</v>
      </c>
      <c r="M49" s="1">
        <f t="shared" si="13"/>
        <v>7.5930468289118697E-3</v>
      </c>
      <c r="P49" s="4">
        <v>225.02808999999999</v>
      </c>
      <c r="Q49" s="1">
        <v>22.5</v>
      </c>
      <c r="R49" s="5">
        <v>100.06253</v>
      </c>
      <c r="S49" s="3">
        <f t="shared" si="2"/>
        <v>99.986710000000002</v>
      </c>
      <c r="T49" s="1">
        <f t="shared" si="12"/>
        <v>3.0133084095122285E-3</v>
      </c>
      <c r="W49" s="4">
        <v>249.994</v>
      </c>
      <c r="X49" s="1">
        <v>22.5</v>
      </c>
      <c r="Y49" s="3">
        <v>94.078800000000001</v>
      </c>
      <c r="Z49" s="3">
        <f t="shared" si="3"/>
        <v>99.519630000000006</v>
      </c>
      <c r="AA49" s="1">
        <f t="shared" si="11"/>
        <v>1.6400933749896335E-2</v>
      </c>
      <c r="AD49" s="4">
        <v>250.01192</v>
      </c>
      <c r="AE49" s="1">
        <v>22.5</v>
      </c>
      <c r="AF49" s="3">
        <v>99.668340000000001</v>
      </c>
      <c r="AG49" s="3">
        <f t="shared" si="4"/>
        <v>99.929829999999995</v>
      </c>
      <c r="AH49" s="1">
        <f t="shared" si="10"/>
        <v>9.9432498537836787E-3</v>
      </c>
      <c r="AK49" s="11">
        <v>217.78992</v>
      </c>
      <c r="AL49" s="1">
        <v>22.5</v>
      </c>
      <c r="AM49" s="13">
        <v>96.771259999999998</v>
      </c>
      <c r="AN49" s="3">
        <f t="shared" si="5"/>
        <v>99.357479999999995</v>
      </c>
      <c r="AO49" s="1">
        <f t="shared" si="9"/>
        <v>1.1783016476456179E-2</v>
      </c>
      <c r="AQ49" s="11">
        <v>220.28587999999999</v>
      </c>
      <c r="AR49" s="1">
        <v>22.5</v>
      </c>
      <c r="AS49" s="12">
        <v>96.226749999999996</v>
      </c>
      <c r="AT49" s="3">
        <f t="shared" si="6"/>
        <v>99.185479999999998</v>
      </c>
      <c r="AU49" s="1">
        <f t="shared" si="8"/>
        <v>1.3627721911496971E-2</v>
      </c>
      <c r="AW49" s="11">
        <v>172.61527000000001</v>
      </c>
      <c r="AX49" s="1">
        <v>22.5</v>
      </c>
      <c r="AY49" s="13">
        <v>97.896820000000005</v>
      </c>
      <c r="AZ49" s="3">
        <f t="shared" si="7"/>
        <v>99.562470000000005</v>
      </c>
    </row>
    <row r="50" spans="2:52" ht="16" x14ac:dyDescent="0.2">
      <c r="B50" s="4">
        <v>199.89019999999999</v>
      </c>
      <c r="C50" s="1">
        <v>23</v>
      </c>
      <c r="D50" s="3">
        <v>99.480810000000005</v>
      </c>
      <c r="E50" s="3">
        <f t="shared" si="0"/>
        <v>100.60725000000001</v>
      </c>
      <c r="I50" s="4">
        <v>224.99992</v>
      </c>
      <c r="J50" s="1">
        <v>23</v>
      </c>
      <c r="K50" s="3">
        <v>96.444159999999997</v>
      </c>
      <c r="L50" s="3">
        <f t="shared" si="1"/>
        <v>100.03122999999999</v>
      </c>
      <c r="M50" s="1">
        <f t="shared" si="13"/>
        <v>8.0740355386697809E-3</v>
      </c>
      <c r="P50" s="4">
        <v>225.02447000000001</v>
      </c>
      <c r="Q50" s="1">
        <v>23</v>
      </c>
      <c r="R50" s="3">
        <v>100.00153</v>
      </c>
      <c r="S50" s="3">
        <f t="shared" si="2"/>
        <v>99.925710000000009</v>
      </c>
      <c r="T50" s="1">
        <f t="shared" si="12"/>
        <v>4.0296293924836678E-3</v>
      </c>
      <c r="W50" s="4">
        <v>249.99701999999999</v>
      </c>
      <c r="X50" s="1">
        <v>23</v>
      </c>
      <c r="Y50" s="5">
        <v>94.044439999999994</v>
      </c>
      <c r="Z50" s="3">
        <f t="shared" si="3"/>
        <v>99.48527</v>
      </c>
      <c r="AA50" s="1">
        <f t="shared" si="11"/>
        <v>1.6971470317223996E-2</v>
      </c>
      <c r="AD50" s="4">
        <v>250.01358999999999</v>
      </c>
      <c r="AE50" s="1">
        <v>23</v>
      </c>
      <c r="AF50" s="5">
        <v>99.673649999999995</v>
      </c>
      <c r="AG50" s="3">
        <f t="shared" si="4"/>
        <v>99.93513999999999</v>
      </c>
      <c r="AH50" s="1">
        <f t="shared" si="10"/>
        <v>9.8550978265300928E-3</v>
      </c>
      <c r="AK50" s="11">
        <v>220.28456</v>
      </c>
      <c r="AL50" s="1">
        <v>23</v>
      </c>
      <c r="AM50" s="12">
        <v>96.752790000000005</v>
      </c>
      <c r="AN50" s="3">
        <f t="shared" si="5"/>
        <v>99.339010000000002</v>
      </c>
      <c r="AO50" s="1">
        <f t="shared" si="9"/>
        <v>1.2091063744386467E-2</v>
      </c>
      <c r="AQ50" s="11">
        <v>222.79595</v>
      </c>
      <c r="AR50" s="1">
        <v>23</v>
      </c>
      <c r="AS50" s="13">
        <v>96.220129999999997</v>
      </c>
      <c r="AT50" s="3">
        <f t="shared" si="6"/>
        <v>99.17886</v>
      </c>
      <c r="AU50" s="1">
        <f t="shared" si="8"/>
        <v>1.3738200265449484E-2</v>
      </c>
      <c r="AW50" s="11">
        <v>174.13255000000001</v>
      </c>
      <c r="AX50" s="1">
        <v>23</v>
      </c>
      <c r="AY50" s="12">
        <v>97.929450000000003</v>
      </c>
      <c r="AZ50" s="3">
        <f t="shared" si="7"/>
        <v>99.595100000000002</v>
      </c>
    </row>
    <row r="51" spans="2:52" ht="16" x14ac:dyDescent="0.2">
      <c r="B51" s="4">
        <v>199.90530000000001</v>
      </c>
      <c r="C51" s="1">
        <v>23.5</v>
      </c>
      <c r="D51" s="5">
        <v>99.369590000000002</v>
      </c>
      <c r="E51" s="3">
        <f t="shared" si="0"/>
        <v>100.49603</v>
      </c>
      <c r="I51" s="4">
        <v>225.00094999999999</v>
      </c>
      <c r="J51" s="1">
        <v>23.5</v>
      </c>
      <c r="K51" s="5">
        <v>96.444509999999994</v>
      </c>
      <c r="L51" s="3">
        <f t="shared" si="1"/>
        <v>100.03157999999999</v>
      </c>
      <c r="M51" s="1">
        <f t="shared" si="13"/>
        <v>8.0682244910890415E-3</v>
      </c>
      <c r="P51" s="4">
        <v>225.02340000000001</v>
      </c>
      <c r="Q51" s="1">
        <v>23.5</v>
      </c>
      <c r="R51" s="5">
        <v>99.864369999999994</v>
      </c>
      <c r="S51" s="3">
        <f t="shared" si="2"/>
        <v>99.788550000000001</v>
      </c>
      <c r="T51" s="1">
        <f t="shared" si="12"/>
        <v>6.3148521141949401E-3</v>
      </c>
      <c r="W51" s="4">
        <v>249.99599000000001</v>
      </c>
      <c r="X51" s="1">
        <v>23.5</v>
      </c>
      <c r="Y51" s="3">
        <v>94.025040000000004</v>
      </c>
      <c r="Z51" s="3">
        <f t="shared" si="3"/>
        <v>99.46587000000001</v>
      </c>
      <c r="AA51" s="1">
        <f t="shared" si="11"/>
        <v>1.729360097514451E-2</v>
      </c>
      <c r="AD51" s="4">
        <v>250.01488000000001</v>
      </c>
      <c r="AE51" s="1">
        <v>23.5</v>
      </c>
      <c r="AF51" s="3">
        <v>99.654110000000003</v>
      </c>
      <c r="AG51" s="3">
        <f t="shared" si="4"/>
        <v>99.915599999999998</v>
      </c>
      <c r="AH51" s="1">
        <f t="shared" si="10"/>
        <v>1.0179484005915441E-2</v>
      </c>
      <c r="AK51" s="11">
        <v>222.79517999999999</v>
      </c>
      <c r="AL51" s="1">
        <v>23.5</v>
      </c>
      <c r="AM51" s="13">
        <v>96.737210000000005</v>
      </c>
      <c r="AN51" s="3">
        <f t="shared" si="5"/>
        <v>99.323430000000002</v>
      </c>
      <c r="AO51" s="1">
        <f t="shared" si="9"/>
        <v>1.2350910871314215E-2</v>
      </c>
      <c r="AQ51" s="11">
        <v>225.28918999999999</v>
      </c>
      <c r="AR51" s="1">
        <v>23.5</v>
      </c>
      <c r="AS51" s="12">
        <v>96.160560000000004</v>
      </c>
      <c r="AT51" s="3">
        <f t="shared" si="6"/>
        <v>99.119290000000007</v>
      </c>
      <c r="AU51" s="1">
        <f t="shared" si="8"/>
        <v>1.4732338565291245E-2</v>
      </c>
      <c r="AW51" s="11">
        <v>175.62545</v>
      </c>
      <c r="AX51" s="1">
        <v>23.5</v>
      </c>
      <c r="AY51" s="13">
        <v>97.927670000000006</v>
      </c>
      <c r="AZ51" s="3">
        <f t="shared" si="7"/>
        <v>99.593320000000006</v>
      </c>
    </row>
    <row r="52" spans="2:52" ht="16" x14ac:dyDescent="0.2">
      <c r="B52" s="4">
        <v>199.93181000000001</v>
      </c>
      <c r="C52" s="1">
        <v>24</v>
      </c>
      <c r="D52" s="3">
        <v>99.364469999999997</v>
      </c>
      <c r="E52" s="3">
        <f t="shared" si="0"/>
        <v>100.49091</v>
      </c>
      <c r="I52" s="4">
        <v>224.99897000000001</v>
      </c>
      <c r="J52" s="1">
        <v>24</v>
      </c>
      <c r="K52" s="3">
        <v>96.407960000000003</v>
      </c>
      <c r="L52" s="3">
        <f t="shared" si="1"/>
        <v>99.99503</v>
      </c>
      <c r="M52" s="1">
        <f t="shared" si="13"/>
        <v>8.6750638884534447E-3</v>
      </c>
      <c r="P52" s="4">
        <v>225.02028000000001</v>
      </c>
      <c r="Q52" s="1">
        <v>24</v>
      </c>
      <c r="R52" s="3">
        <v>100.01871</v>
      </c>
      <c r="S52" s="3">
        <f t="shared" si="2"/>
        <v>99.942890000000006</v>
      </c>
      <c r="T52" s="1">
        <f t="shared" si="12"/>
        <v>3.74339341727961E-3</v>
      </c>
      <c r="W52" s="4">
        <v>249.99601999999999</v>
      </c>
      <c r="X52" s="1">
        <v>24</v>
      </c>
      <c r="Y52" s="5">
        <v>93.990520000000004</v>
      </c>
      <c r="Z52" s="3">
        <f t="shared" si="3"/>
        <v>99.431350000000009</v>
      </c>
      <c r="AA52" s="1">
        <f t="shared" si="11"/>
        <v>1.7866794290166257E-2</v>
      </c>
      <c r="AD52" s="4">
        <v>250.01315</v>
      </c>
      <c r="AE52" s="1">
        <v>24</v>
      </c>
      <c r="AF52" s="5">
        <v>99.628550000000004</v>
      </c>
      <c r="AG52" s="3">
        <f t="shared" si="4"/>
        <v>99.890039999999999</v>
      </c>
      <c r="AH52" s="1">
        <f t="shared" si="10"/>
        <v>1.0603809018458553E-2</v>
      </c>
      <c r="AK52" s="11">
        <v>225.29387</v>
      </c>
      <c r="AL52" s="1">
        <v>24</v>
      </c>
      <c r="AM52" s="12">
        <v>96.706609999999998</v>
      </c>
      <c r="AN52" s="3">
        <f t="shared" si="5"/>
        <v>99.292829999999995</v>
      </c>
      <c r="AO52" s="1">
        <f t="shared" si="9"/>
        <v>1.2861265305459977E-2</v>
      </c>
      <c r="AQ52" s="11">
        <v>227.79991000000001</v>
      </c>
      <c r="AR52" s="1">
        <v>24</v>
      </c>
      <c r="AS52" s="13">
        <v>96.11309</v>
      </c>
      <c r="AT52" s="3">
        <f t="shared" si="6"/>
        <v>99.071820000000002</v>
      </c>
      <c r="AU52" s="1">
        <f t="shared" si="8"/>
        <v>1.5524545130567349E-2</v>
      </c>
      <c r="AW52" s="11">
        <v>177.12762000000001</v>
      </c>
      <c r="AX52" s="1">
        <v>24</v>
      </c>
      <c r="AY52" s="12">
        <v>97.916319999999999</v>
      </c>
      <c r="AZ52" s="3">
        <f t="shared" si="7"/>
        <v>99.581969999999998</v>
      </c>
    </row>
    <row r="53" spans="2:52" ht="16" x14ac:dyDescent="0.2">
      <c r="B53" s="4">
        <v>199.96362999999999</v>
      </c>
      <c r="C53" s="1">
        <v>24.5</v>
      </c>
      <c r="D53" s="5">
        <v>99.417060000000006</v>
      </c>
      <c r="E53" s="3">
        <f t="shared" si="0"/>
        <v>100.54350000000001</v>
      </c>
      <c r="I53" s="4">
        <v>225.00098</v>
      </c>
      <c r="J53" s="1">
        <v>24.5</v>
      </c>
      <c r="K53" s="5">
        <v>96.404399999999995</v>
      </c>
      <c r="L53" s="3">
        <f t="shared" si="1"/>
        <v>99.991469999999993</v>
      </c>
      <c r="M53" s="1">
        <f t="shared" si="13"/>
        <v>8.7341705438466668E-3</v>
      </c>
      <c r="P53" s="4">
        <v>225.01599999999999</v>
      </c>
      <c r="Q53" s="1">
        <v>24.5</v>
      </c>
      <c r="R53" s="5">
        <v>99.876670000000004</v>
      </c>
      <c r="S53" s="3">
        <f t="shared" si="2"/>
        <v>99.800850000000011</v>
      </c>
      <c r="T53" s="1">
        <f t="shared" si="12"/>
        <v>6.1099218176283712E-3</v>
      </c>
      <c r="W53" s="4">
        <v>249.994</v>
      </c>
      <c r="X53" s="1">
        <v>24.5</v>
      </c>
      <c r="Y53" s="3">
        <v>93.957819999999998</v>
      </c>
      <c r="Z53" s="3">
        <f t="shared" si="3"/>
        <v>99.398650000000004</v>
      </c>
      <c r="AA53" s="1">
        <f t="shared" si="11"/>
        <v>1.8409767100166664E-2</v>
      </c>
      <c r="AD53" s="4">
        <v>250.01102</v>
      </c>
      <c r="AE53" s="1">
        <v>24.5</v>
      </c>
      <c r="AF53" s="3">
        <v>99.535420000000002</v>
      </c>
      <c r="AG53" s="3">
        <f t="shared" si="4"/>
        <v>99.796909999999997</v>
      </c>
      <c r="AH53" s="1">
        <f t="shared" si="10"/>
        <v>1.2149872728088559E-2</v>
      </c>
      <c r="AK53" s="11">
        <v>227.79826</v>
      </c>
      <c r="AL53" s="1">
        <v>24.5</v>
      </c>
      <c r="AM53" s="13">
        <v>96.639340000000004</v>
      </c>
      <c r="AN53" s="3">
        <f t="shared" si="5"/>
        <v>99.225560000000002</v>
      </c>
      <c r="AO53" s="1">
        <f t="shared" si="9"/>
        <v>1.3983211148106196E-2</v>
      </c>
      <c r="AQ53" s="11">
        <v>230.30162000000001</v>
      </c>
      <c r="AR53" s="1">
        <v>24.5</v>
      </c>
      <c r="AS53" s="12">
        <v>96.119370000000004</v>
      </c>
      <c r="AT53" s="3">
        <f t="shared" si="6"/>
        <v>99.078100000000006</v>
      </c>
      <c r="AU53" s="1">
        <f t="shared" si="8"/>
        <v>1.5419740891470307E-2</v>
      </c>
      <c r="AW53" s="11">
        <v>178.61572000000001</v>
      </c>
      <c r="AX53" s="1">
        <v>24.5</v>
      </c>
      <c r="AY53" s="13">
        <v>97.869649999999993</v>
      </c>
      <c r="AZ53" s="3">
        <f t="shared" si="7"/>
        <v>99.535299999999992</v>
      </c>
    </row>
    <row r="54" spans="2:52" ht="16" x14ac:dyDescent="0.2">
      <c r="B54" s="4">
        <v>199.97596999999999</v>
      </c>
      <c r="C54" s="1">
        <v>25</v>
      </c>
      <c r="D54" s="3">
        <v>99.536199999999994</v>
      </c>
      <c r="E54" s="3">
        <f t="shared" si="0"/>
        <v>100.66264</v>
      </c>
      <c r="I54" s="4">
        <v>225.00304</v>
      </c>
      <c r="J54" s="1">
        <v>25</v>
      </c>
      <c r="K54" s="3">
        <v>96.384320000000002</v>
      </c>
      <c r="L54" s="3">
        <f t="shared" si="1"/>
        <v>99.97139</v>
      </c>
      <c r="M54" s="1">
        <f t="shared" si="13"/>
        <v>9.0675586450525737E-3</v>
      </c>
      <c r="P54" s="4">
        <v>225.01461</v>
      </c>
      <c r="Q54" s="1">
        <v>25</v>
      </c>
      <c r="R54" s="3">
        <v>99.749499999999998</v>
      </c>
      <c r="S54" s="3">
        <f t="shared" si="2"/>
        <v>99.673680000000004</v>
      </c>
      <c r="T54" s="1">
        <f t="shared" si="12"/>
        <v>8.2287011521283687E-3</v>
      </c>
      <c r="W54" s="4">
        <v>249.99600000000001</v>
      </c>
      <c r="X54" s="1">
        <v>25</v>
      </c>
      <c r="Y54" s="5">
        <v>93.930909999999997</v>
      </c>
      <c r="Z54" s="3">
        <f t="shared" si="3"/>
        <v>99.371740000000003</v>
      </c>
      <c r="AA54" s="1">
        <f t="shared" si="11"/>
        <v>1.885659885298345E-2</v>
      </c>
      <c r="AD54" s="4">
        <v>250.00921</v>
      </c>
      <c r="AE54" s="1">
        <v>25</v>
      </c>
      <c r="AF54" s="5">
        <v>99.492900000000006</v>
      </c>
      <c r="AG54" s="3">
        <f t="shared" si="4"/>
        <v>99.754390000000001</v>
      </c>
      <c r="AH54" s="1">
        <f t="shared" si="10"/>
        <v>1.2855752991520969E-2</v>
      </c>
      <c r="AK54" s="11">
        <v>230.30038999999999</v>
      </c>
      <c r="AL54" s="1">
        <v>25</v>
      </c>
      <c r="AM54" s="12">
        <v>96.657740000000004</v>
      </c>
      <c r="AN54" s="3">
        <f t="shared" si="5"/>
        <v>99.243960000000001</v>
      </c>
      <c r="AO54" s="1">
        <f t="shared" si="9"/>
        <v>1.3676331357639538E-2</v>
      </c>
      <c r="AQ54" s="11">
        <v>232.80485999999999</v>
      </c>
      <c r="AR54" s="1">
        <v>25</v>
      </c>
      <c r="AS54" s="13">
        <v>96.084400000000002</v>
      </c>
      <c r="AT54" s="3">
        <f t="shared" si="6"/>
        <v>99.043130000000005</v>
      </c>
      <c r="AU54" s="1">
        <f t="shared" si="8"/>
        <v>1.6003340292938685E-2</v>
      </c>
      <c r="AW54" s="11">
        <v>180.11641</v>
      </c>
      <c r="AX54" s="1">
        <v>25</v>
      </c>
      <c r="AY54" s="12">
        <v>97.892589999999998</v>
      </c>
      <c r="AZ54" s="3">
        <f t="shared" si="7"/>
        <v>99.558239999999998</v>
      </c>
    </row>
    <row r="55" spans="2:52" ht="16" x14ac:dyDescent="0.2">
      <c r="B55" s="4">
        <v>199.95774</v>
      </c>
      <c r="C55" s="1">
        <v>25.5</v>
      </c>
      <c r="D55" s="5">
        <v>99.45675</v>
      </c>
      <c r="E55" s="3">
        <f t="shared" si="0"/>
        <v>100.58319</v>
      </c>
      <c r="I55" s="4">
        <v>224.99897000000001</v>
      </c>
      <c r="J55" s="1">
        <v>25.5</v>
      </c>
      <c r="K55" s="5">
        <v>96.368780000000001</v>
      </c>
      <c r="L55" s="3">
        <f t="shared" si="1"/>
        <v>99.955849999999998</v>
      </c>
      <c r="M55" s="1">
        <f t="shared" si="13"/>
        <v>9.325569157639331E-3</v>
      </c>
      <c r="P55" s="4">
        <v>225.01322999999999</v>
      </c>
      <c r="Q55" s="1">
        <v>25.5</v>
      </c>
      <c r="R55" s="5">
        <v>99.910790000000006</v>
      </c>
      <c r="S55" s="3">
        <f t="shared" si="2"/>
        <v>99.834970000000013</v>
      </c>
      <c r="T55" s="1">
        <f t="shared" si="12"/>
        <v>5.5414485071531077E-3</v>
      </c>
      <c r="W55" s="4">
        <v>249.99700000000001</v>
      </c>
      <c r="X55" s="1">
        <v>25.5</v>
      </c>
      <c r="Y55" s="3">
        <v>93.900509999999997</v>
      </c>
      <c r="Z55" s="3">
        <f t="shared" si="3"/>
        <v>99.341340000000002</v>
      </c>
      <c r="AA55" s="1">
        <f t="shared" si="11"/>
        <v>1.936138091487977E-2</v>
      </c>
      <c r="AD55" s="4">
        <v>250.01255</v>
      </c>
      <c r="AE55" s="1">
        <v>25.5</v>
      </c>
      <c r="AF55" s="3">
        <v>99.503739999999993</v>
      </c>
      <c r="AG55" s="3">
        <f t="shared" si="4"/>
        <v>99.765229999999988</v>
      </c>
      <c r="AH55" s="1">
        <f t="shared" si="10"/>
        <v>1.2675796687297094E-2</v>
      </c>
      <c r="AK55" s="11">
        <v>232.80912000000001</v>
      </c>
      <c r="AL55" s="1">
        <v>25.5</v>
      </c>
      <c r="AM55" s="13">
        <v>96.592079999999996</v>
      </c>
      <c r="AN55" s="3">
        <f t="shared" si="5"/>
        <v>99.178299999999993</v>
      </c>
      <c r="AO55" s="1">
        <f t="shared" si="9"/>
        <v>1.477142521862017E-2</v>
      </c>
      <c r="AQ55" s="11">
        <v>235.30839</v>
      </c>
      <c r="AR55" s="1">
        <v>25.5</v>
      </c>
      <c r="AS55" s="12">
        <v>96.034130000000005</v>
      </c>
      <c r="AT55" s="3">
        <f t="shared" si="6"/>
        <v>98.992860000000007</v>
      </c>
      <c r="AU55" s="1">
        <f t="shared" si="8"/>
        <v>1.68422748629076E-2</v>
      </c>
      <c r="AW55" s="11">
        <v>181.61626999999999</v>
      </c>
      <c r="AX55" s="1">
        <v>25.5</v>
      </c>
      <c r="AY55" s="13">
        <v>97.927049999999994</v>
      </c>
      <c r="AZ55" s="3">
        <f t="shared" si="7"/>
        <v>99.592699999999994</v>
      </c>
    </row>
    <row r="56" spans="2:52" ht="16" x14ac:dyDescent="0.2">
      <c r="B56" s="4">
        <v>199.91352000000001</v>
      </c>
      <c r="C56" s="1">
        <v>26</v>
      </c>
      <c r="D56" s="3">
        <v>99.393190000000004</v>
      </c>
      <c r="E56" s="3">
        <f t="shared" si="0"/>
        <v>100.51963000000001</v>
      </c>
      <c r="I56" s="4">
        <v>225.00711999999999</v>
      </c>
      <c r="J56" s="1">
        <v>26</v>
      </c>
      <c r="K56" s="3">
        <v>96.392560000000003</v>
      </c>
      <c r="L56" s="3">
        <f t="shared" si="1"/>
        <v>99.97963</v>
      </c>
      <c r="M56" s="1">
        <f t="shared" si="13"/>
        <v>8.9307499820078587E-3</v>
      </c>
      <c r="P56" s="4">
        <v>225.01034999999999</v>
      </c>
      <c r="Q56" s="1">
        <v>26</v>
      </c>
      <c r="R56" s="3">
        <v>99.902320000000003</v>
      </c>
      <c r="S56" s="3">
        <f t="shared" si="2"/>
        <v>99.82650000000001</v>
      </c>
      <c r="T56" s="1">
        <f t="shared" si="12"/>
        <v>5.6825671747887108E-3</v>
      </c>
      <c r="W56" s="4">
        <v>249.999</v>
      </c>
      <c r="X56" s="1">
        <v>26</v>
      </c>
      <c r="Y56" s="5">
        <v>93.873689999999996</v>
      </c>
      <c r="Z56" s="3">
        <f t="shared" si="3"/>
        <v>99.314520000000002</v>
      </c>
      <c r="AA56" s="1">
        <f t="shared" si="11"/>
        <v>1.9806718247118573E-2</v>
      </c>
      <c r="AD56" s="4">
        <v>250.01014000000001</v>
      </c>
      <c r="AE56" s="1">
        <v>26</v>
      </c>
      <c r="AF56" s="5">
        <v>99.477119999999999</v>
      </c>
      <c r="AG56" s="3">
        <f t="shared" si="4"/>
        <v>99.738609999999994</v>
      </c>
      <c r="AH56" s="1">
        <f t="shared" si="10"/>
        <v>1.3117718903020712E-2</v>
      </c>
      <c r="AK56" s="11">
        <v>235.30911</v>
      </c>
      <c r="AL56" s="1">
        <v>26</v>
      </c>
      <c r="AM56" s="12">
        <v>96.547870000000003</v>
      </c>
      <c r="AN56" s="3">
        <f t="shared" si="5"/>
        <v>99.13409</v>
      </c>
      <c r="AO56" s="1">
        <f t="shared" si="9"/>
        <v>1.5508770628214132E-2</v>
      </c>
      <c r="AQ56" s="11">
        <v>237.81263999999999</v>
      </c>
      <c r="AR56" s="1">
        <v>26</v>
      </c>
      <c r="AS56" s="13">
        <v>96.007670000000005</v>
      </c>
      <c r="AT56" s="3">
        <f t="shared" si="6"/>
        <v>98.966400000000007</v>
      </c>
      <c r="AU56" s="1">
        <f t="shared" si="8"/>
        <v>1.7283854507255694E-2</v>
      </c>
      <c r="AW56" s="11">
        <v>183.12359000000001</v>
      </c>
      <c r="AX56" s="1">
        <v>26</v>
      </c>
      <c r="AY56" s="12">
        <v>97.861819999999994</v>
      </c>
      <c r="AZ56" s="3">
        <f t="shared" si="7"/>
        <v>99.527469999999994</v>
      </c>
    </row>
    <row r="57" spans="2:52" ht="16" x14ac:dyDescent="0.2">
      <c r="B57" s="4">
        <v>199.86389</v>
      </c>
      <c r="C57" s="1">
        <v>26.5</v>
      </c>
      <c r="D57" s="5">
        <v>99.453360000000004</v>
      </c>
      <c r="E57" s="3">
        <f t="shared" si="0"/>
        <v>100.57980000000001</v>
      </c>
      <c r="I57" s="4">
        <v>225.00886</v>
      </c>
      <c r="J57" s="1">
        <v>26.5</v>
      </c>
      <c r="K57" s="5">
        <v>96.331879999999998</v>
      </c>
      <c r="L57" s="3">
        <f t="shared" si="1"/>
        <v>99.918949999999995</v>
      </c>
      <c r="M57" s="1">
        <f t="shared" si="13"/>
        <v>9.9382196025847094E-3</v>
      </c>
      <c r="P57" s="4">
        <v>225.00692000000001</v>
      </c>
      <c r="Q57" s="1">
        <v>26.5</v>
      </c>
      <c r="R57" s="5">
        <v>99.920879999999997</v>
      </c>
      <c r="S57" s="3">
        <f t="shared" si="2"/>
        <v>99.845060000000004</v>
      </c>
      <c r="T57" s="1">
        <f t="shared" si="12"/>
        <v>5.373339019969928E-3</v>
      </c>
      <c r="W57" s="4">
        <v>250.005</v>
      </c>
      <c r="X57" s="1">
        <v>26.5</v>
      </c>
      <c r="Y57" s="3">
        <v>93.841130000000007</v>
      </c>
      <c r="Z57" s="3">
        <f t="shared" si="3"/>
        <v>99.281960000000012</v>
      </c>
      <c r="AA57" s="1">
        <f t="shared" si="11"/>
        <v>2.0347366402886296E-2</v>
      </c>
      <c r="AD57" s="4">
        <v>250.00550999999999</v>
      </c>
      <c r="AE57" s="1">
        <v>26.5</v>
      </c>
      <c r="AF57" s="3">
        <v>99.54495</v>
      </c>
      <c r="AG57" s="3">
        <f t="shared" si="4"/>
        <v>99.806439999999995</v>
      </c>
      <c r="AH57" s="1">
        <f t="shared" si="10"/>
        <v>1.1991663910814099E-2</v>
      </c>
      <c r="AK57" s="11">
        <v>237.81761</v>
      </c>
      <c r="AL57" s="1">
        <v>26.5</v>
      </c>
      <c r="AM57" s="13">
        <v>96.542770000000004</v>
      </c>
      <c r="AN57" s="3">
        <f t="shared" si="5"/>
        <v>99.128990000000002</v>
      </c>
      <c r="AO57" s="1">
        <f t="shared" si="9"/>
        <v>1.5593829700571719E-2</v>
      </c>
      <c r="AQ57" s="11">
        <v>240.31725</v>
      </c>
      <c r="AR57" s="1">
        <v>26.5</v>
      </c>
      <c r="AS57" s="12">
        <v>95.971810000000005</v>
      </c>
      <c r="AT57" s="3">
        <f t="shared" si="6"/>
        <v>98.930540000000008</v>
      </c>
      <c r="AU57" s="1">
        <f t="shared" si="8"/>
        <v>1.788230673878715E-2</v>
      </c>
      <c r="AW57" s="11">
        <v>184.61806000000001</v>
      </c>
      <c r="AX57" s="1">
        <v>26.5</v>
      </c>
      <c r="AY57" s="13">
        <v>97.881860000000003</v>
      </c>
      <c r="AZ57" s="3">
        <f t="shared" si="7"/>
        <v>99.547510000000003</v>
      </c>
    </row>
    <row r="58" spans="2:52" ht="16" x14ac:dyDescent="0.2">
      <c r="B58" s="4">
        <v>199.82795999999999</v>
      </c>
      <c r="C58" s="1">
        <v>27</v>
      </c>
      <c r="D58" s="3">
        <v>99.453519999999997</v>
      </c>
      <c r="E58" s="3">
        <f t="shared" si="0"/>
        <v>100.57996</v>
      </c>
      <c r="I58" s="4">
        <v>225.00287</v>
      </c>
      <c r="J58" s="1">
        <v>27</v>
      </c>
      <c r="K58" s="3">
        <v>96.319710000000001</v>
      </c>
      <c r="L58" s="3">
        <f t="shared" si="1"/>
        <v>99.906779999999998</v>
      </c>
      <c r="M58" s="1">
        <f t="shared" si="13"/>
        <v>1.0140278028465012E-2</v>
      </c>
      <c r="P58" s="4">
        <v>225.00406000000001</v>
      </c>
      <c r="Q58" s="1">
        <v>27</v>
      </c>
      <c r="R58" s="3">
        <v>99.913679999999999</v>
      </c>
      <c r="S58" s="3">
        <f t="shared" si="2"/>
        <v>99.837860000000006</v>
      </c>
      <c r="T58" s="1">
        <f t="shared" si="12"/>
        <v>5.493298217959971E-3</v>
      </c>
      <c r="W58" s="4">
        <v>250.00399999999999</v>
      </c>
      <c r="X58" s="1">
        <v>27</v>
      </c>
      <c r="Y58" s="5">
        <v>93.819890000000001</v>
      </c>
      <c r="Z58" s="3">
        <f t="shared" si="3"/>
        <v>99.260720000000006</v>
      </c>
      <c r="AA58" s="1">
        <f t="shared" si="11"/>
        <v>2.070004965929027E-2</v>
      </c>
      <c r="AD58" s="4">
        <v>250.00757999999999</v>
      </c>
      <c r="AE58" s="1">
        <v>27</v>
      </c>
      <c r="AF58" s="5">
        <v>99.484070000000003</v>
      </c>
      <c r="AG58" s="3">
        <f t="shared" si="4"/>
        <v>99.745559999999998</v>
      </c>
      <c r="AH58" s="1">
        <f t="shared" si="10"/>
        <v>1.3002341014242301E-2</v>
      </c>
      <c r="AK58" s="11">
        <v>240.32202000000001</v>
      </c>
      <c r="AL58" s="1">
        <v>27</v>
      </c>
      <c r="AM58" s="12">
        <v>96.511099999999999</v>
      </c>
      <c r="AN58" s="3">
        <f t="shared" si="5"/>
        <v>99.097319999999996</v>
      </c>
      <c r="AO58" s="1">
        <f t="shared" si="9"/>
        <v>1.6122029861663074E-2</v>
      </c>
      <c r="AQ58" s="11">
        <v>242.82882000000001</v>
      </c>
      <c r="AR58" s="1">
        <v>27</v>
      </c>
      <c r="AS58" s="13">
        <v>95.918139999999994</v>
      </c>
      <c r="AT58" s="3">
        <f t="shared" si="6"/>
        <v>98.876869999999997</v>
      </c>
      <c r="AU58" s="1">
        <f t="shared" si="8"/>
        <v>1.8777982457311979E-2</v>
      </c>
      <c r="AW58" s="11">
        <v>186.12101999999999</v>
      </c>
      <c r="AX58" s="1">
        <v>27</v>
      </c>
      <c r="AY58" s="12">
        <v>97.870480000000001</v>
      </c>
      <c r="AZ58" s="3">
        <f t="shared" si="7"/>
        <v>99.53613</v>
      </c>
    </row>
    <row r="59" spans="2:52" ht="16" x14ac:dyDescent="0.2">
      <c r="B59" s="4">
        <v>199.83024</v>
      </c>
      <c r="C59" s="1">
        <v>27.5</v>
      </c>
      <c r="D59" s="5">
        <v>99.453969999999998</v>
      </c>
      <c r="E59" s="3">
        <f t="shared" si="0"/>
        <v>100.58041</v>
      </c>
      <c r="I59" s="4">
        <v>224.99988999999999</v>
      </c>
      <c r="J59" s="1">
        <v>27.5</v>
      </c>
      <c r="K59" s="5">
        <v>96.303460000000001</v>
      </c>
      <c r="L59" s="3">
        <f t="shared" si="1"/>
        <v>99.890529999999998</v>
      </c>
      <c r="M59" s="1">
        <f t="shared" si="13"/>
        <v>1.041007666614418E-2</v>
      </c>
      <c r="P59" s="4">
        <v>225.00384</v>
      </c>
      <c r="Q59" s="1">
        <v>27.5</v>
      </c>
      <c r="R59" s="5">
        <v>99.866079999999997</v>
      </c>
      <c r="S59" s="3">
        <f t="shared" si="2"/>
        <v>99.790260000000004</v>
      </c>
      <c r="T59" s="1">
        <f t="shared" si="12"/>
        <v>6.2863618046722488E-3</v>
      </c>
      <c r="W59" s="4">
        <v>249.99999</v>
      </c>
      <c r="X59" s="1">
        <v>27.5</v>
      </c>
      <c r="Y59" s="3">
        <v>93.773949999999999</v>
      </c>
      <c r="Z59" s="3">
        <f t="shared" si="3"/>
        <v>99.214780000000005</v>
      </c>
      <c r="AA59" s="1">
        <f t="shared" si="11"/>
        <v>2.1462868340984927E-2</v>
      </c>
      <c r="AD59" s="4">
        <v>250.01309000000001</v>
      </c>
      <c r="AE59" s="1">
        <v>27.5</v>
      </c>
      <c r="AF59" s="3">
        <v>99.415940000000006</v>
      </c>
      <c r="AG59" s="3">
        <f t="shared" si="4"/>
        <v>99.677430000000001</v>
      </c>
      <c r="AH59" s="1">
        <f t="shared" si="10"/>
        <v>1.4133376346971652E-2</v>
      </c>
      <c r="AK59" s="11">
        <v>242.82436000000001</v>
      </c>
      <c r="AL59" s="1">
        <v>27.5</v>
      </c>
      <c r="AM59" s="13">
        <v>96.451599999999999</v>
      </c>
      <c r="AN59" s="3">
        <f t="shared" si="5"/>
        <v>99.037819999999996</v>
      </c>
      <c r="AO59" s="1">
        <f t="shared" si="9"/>
        <v>1.711438570583516E-2</v>
      </c>
      <c r="AQ59" s="11">
        <v>245.33937</v>
      </c>
      <c r="AR59" s="1">
        <v>27.5</v>
      </c>
      <c r="AS59" s="12">
        <v>95.867159999999998</v>
      </c>
      <c r="AT59" s="3">
        <f t="shared" si="6"/>
        <v>98.825890000000001</v>
      </c>
      <c r="AU59" s="1">
        <f t="shared" si="8"/>
        <v>1.9628765914185133E-2</v>
      </c>
      <c r="AW59" s="11">
        <v>187.62766999999999</v>
      </c>
      <c r="AX59" s="1">
        <v>27.5</v>
      </c>
      <c r="AY59" s="13">
        <v>97.873500000000007</v>
      </c>
      <c r="AZ59" s="3">
        <f t="shared" si="7"/>
        <v>99.539150000000006</v>
      </c>
    </row>
    <row r="60" spans="2:52" ht="16" x14ac:dyDescent="0.2">
      <c r="B60" s="4">
        <v>199.88507000000001</v>
      </c>
      <c r="C60" s="1">
        <v>28</v>
      </c>
      <c r="D60" s="3">
        <v>99.339479999999995</v>
      </c>
      <c r="E60" s="3">
        <f t="shared" si="0"/>
        <v>100.46592</v>
      </c>
      <c r="I60" s="4">
        <v>225.00398999999999</v>
      </c>
      <c r="J60" s="1">
        <v>28</v>
      </c>
      <c r="K60" s="3">
        <v>96.280029999999996</v>
      </c>
      <c r="L60" s="3">
        <f t="shared" si="1"/>
        <v>99.867099999999994</v>
      </c>
      <c r="M60" s="1">
        <f t="shared" si="13"/>
        <v>1.0799084794194913E-2</v>
      </c>
      <c r="P60" s="4">
        <v>225.00475</v>
      </c>
      <c r="Q60" s="1">
        <v>28</v>
      </c>
      <c r="R60" s="3">
        <v>99.925439999999995</v>
      </c>
      <c r="S60" s="3">
        <f t="shared" si="2"/>
        <v>99.849620000000002</v>
      </c>
      <c r="T60" s="1">
        <f t="shared" si="12"/>
        <v>5.2973648612429092E-3</v>
      </c>
      <c r="W60" s="4">
        <v>250.00303</v>
      </c>
      <c r="X60" s="1">
        <v>28</v>
      </c>
      <c r="Y60" s="5">
        <v>93.754750000000001</v>
      </c>
      <c r="Z60" s="3">
        <f t="shared" si="3"/>
        <v>99.195580000000007</v>
      </c>
      <c r="AA60" s="1">
        <f t="shared" si="11"/>
        <v>2.1781678064287827E-2</v>
      </c>
      <c r="AD60" s="4">
        <v>250.01600999999999</v>
      </c>
      <c r="AE60" s="1">
        <v>28</v>
      </c>
      <c r="AF60" s="5">
        <v>99.466189999999997</v>
      </c>
      <c r="AG60" s="3">
        <f t="shared" si="4"/>
        <v>99.727679999999992</v>
      </c>
      <c r="AH60" s="1">
        <f t="shared" si="10"/>
        <v>1.3299169309401669E-2</v>
      </c>
      <c r="AK60" s="11">
        <v>245.33109999999999</v>
      </c>
      <c r="AL60" s="1">
        <v>28</v>
      </c>
      <c r="AM60" s="12">
        <v>96.412570000000002</v>
      </c>
      <c r="AN60" s="3">
        <f t="shared" si="5"/>
        <v>98.99879</v>
      </c>
      <c r="AO60" s="1">
        <f t="shared" si="9"/>
        <v>1.7765337783113035E-2</v>
      </c>
      <c r="AQ60" s="11">
        <v>247.84425999999999</v>
      </c>
      <c r="AR60" s="1">
        <v>28</v>
      </c>
      <c r="AS60" s="13">
        <v>95.807810000000003</v>
      </c>
      <c r="AT60" s="3">
        <f t="shared" si="6"/>
        <v>98.766540000000006</v>
      </c>
      <c r="AU60" s="1">
        <f t="shared" si="8"/>
        <v>2.0619232727943901E-2</v>
      </c>
      <c r="AW60" s="11">
        <v>189.12886</v>
      </c>
      <c r="AX60" s="1">
        <v>28</v>
      </c>
      <c r="AY60" s="12">
        <v>97.86448</v>
      </c>
      <c r="AZ60" s="3">
        <f t="shared" si="7"/>
        <v>99.53013</v>
      </c>
    </row>
    <row r="61" spans="2:52" ht="16" x14ac:dyDescent="0.2">
      <c r="B61" s="4">
        <v>199.96812</v>
      </c>
      <c r="C61" s="1">
        <v>28.5</v>
      </c>
      <c r="D61" s="5">
        <v>99.441640000000007</v>
      </c>
      <c r="E61" s="3">
        <f t="shared" si="0"/>
        <v>100.56808000000001</v>
      </c>
      <c r="I61" s="4">
        <v>225.00296</v>
      </c>
      <c r="J61" s="1">
        <v>28.5</v>
      </c>
      <c r="K61" s="5">
        <v>96.274060000000006</v>
      </c>
      <c r="L61" s="3">
        <f t="shared" si="1"/>
        <v>99.861130000000003</v>
      </c>
      <c r="M61" s="1">
        <f t="shared" si="13"/>
        <v>1.0898204662929817E-2</v>
      </c>
      <c r="P61" s="4">
        <v>225.00810999999999</v>
      </c>
      <c r="Q61" s="1">
        <v>28.5</v>
      </c>
      <c r="R61" s="5">
        <v>99.849909999999994</v>
      </c>
      <c r="S61" s="3">
        <f t="shared" si="2"/>
        <v>99.774090000000001</v>
      </c>
      <c r="T61" s="1">
        <f t="shared" si="12"/>
        <v>6.5557701701583568E-3</v>
      </c>
      <c r="W61" s="4">
        <v>250.00393</v>
      </c>
      <c r="X61" s="1">
        <v>28.5</v>
      </c>
      <c r="Y61" s="3">
        <v>93.704840000000004</v>
      </c>
      <c r="Z61" s="3">
        <f t="shared" si="3"/>
        <v>99.14567000000001</v>
      </c>
      <c r="AA61" s="1">
        <f t="shared" si="11"/>
        <v>2.2610417298144527E-2</v>
      </c>
      <c r="AD61" s="4">
        <v>250.01659000000001</v>
      </c>
      <c r="AE61" s="1">
        <v>28.5</v>
      </c>
      <c r="AF61" s="3">
        <v>99.467969999999994</v>
      </c>
      <c r="AG61" s="3">
        <f t="shared" si="4"/>
        <v>99.729459999999989</v>
      </c>
      <c r="AH61" s="1">
        <f t="shared" si="10"/>
        <v>1.3269619288966406E-2</v>
      </c>
      <c r="AK61" s="11">
        <v>247.83497</v>
      </c>
      <c r="AL61" s="1">
        <v>28.5</v>
      </c>
      <c r="AM61" s="13">
        <v>96.341239999999999</v>
      </c>
      <c r="AN61" s="3">
        <f t="shared" si="5"/>
        <v>98.927459999999996</v>
      </c>
      <c r="AO61" s="1">
        <f t="shared" si="9"/>
        <v>1.8954997318655867E-2</v>
      </c>
      <c r="AQ61" s="11">
        <v>250.33475000000001</v>
      </c>
      <c r="AR61" s="1">
        <v>28.5</v>
      </c>
      <c r="AS61" s="12">
        <v>95.746979999999994</v>
      </c>
      <c r="AT61" s="3">
        <f t="shared" si="6"/>
        <v>98.705709999999996</v>
      </c>
      <c r="AU61" s="1">
        <f t="shared" si="8"/>
        <v>2.1634398629897744E-2</v>
      </c>
      <c r="AW61" s="11">
        <v>190.62832</v>
      </c>
      <c r="AX61" s="1">
        <v>28.5</v>
      </c>
      <c r="AY61" s="13">
        <v>97.857039999999998</v>
      </c>
      <c r="AZ61" s="3">
        <f t="shared" si="7"/>
        <v>99.522689999999997</v>
      </c>
    </row>
    <row r="62" spans="2:52" ht="16" x14ac:dyDescent="0.2">
      <c r="B62" s="4">
        <v>200.04366999999999</v>
      </c>
      <c r="C62" s="1">
        <v>29</v>
      </c>
      <c r="D62" s="3">
        <v>99.335449999999994</v>
      </c>
      <c r="E62" s="3">
        <f t="shared" si="0"/>
        <v>100.46189</v>
      </c>
      <c r="I62" s="4">
        <v>225.00291000000001</v>
      </c>
      <c r="J62" s="1">
        <v>29</v>
      </c>
      <c r="K62" s="3">
        <v>96.255120000000005</v>
      </c>
      <c r="L62" s="3">
        <f t="shared" si="1"/>
        <v>99.842190000000002</v>
      </c>
      <c r="M62" s="1">
        <f t="shared" si="13"/>
        <v>1.1212665352015589E-2</v>
      </c>
      <c r="P62" s="4">
        <v>225.01211000000001</v>
      </c>
      <c r="Q62" s="1">
        <v>29</v>
      </c>
      <c r="R62" s="3">
        <v>99.862769999999998</v>
      </c>
      <c r="S62" s="3">
        <f t="shared" si="2"/>
        <v>99.786950000000004</v>
      </c>
      <c r="T62" s="1">
        <f t="shared" si="12"/>
        <v>6.341509713748231E-3</v>
      </c>
      <c r="W62" s="4">
        <v>250.00397000000001</v>
      </c>
      <c r="X62" s="1">
        <v>29</v>
      </c>
      <c r="Y62" s="5">
        <v>93.69153</v>
      </c>
      <c r="Z62" s="3">
        <f t="shared" si="3"/>
        <v>99.132360000000006</v>
      </c>
      <c r="AA62" s="1">
        <f t="shared" si="11"/>
        <v>2.2831425496955122E-2</v>
      </c>
      <c r="AD62" s="4">
        <v>250.01618999999999</v>
      </c>
      <c r="AE62" s="1">
        <v>29</v>
      </c>
      <c r="AF62" s="5">
        <v>99.411799999999999</v>
      </c>
      <c r="AG62" s="3">
        <f t="shared" si="4"/>
        <v>99.673289999999994</v>
      </c>
      <c r="AH62" s="1">
        <f t="shared" si="10"/>
        <v>1.4202105046186497E-2</v>
      </c>
      <c r="AK62" s="11">
        <v>250.33242999999999</v>
      </c>
      <c r="AL62" s="1">
        <v>29</v>
      </c>
      <c r="AM62" s="12">
        <v>96.300250000000005</v>
      </c>
      <c r="AN62" s="3">
        <f t="shared" si="5"/>
        <v>98.886470000000003</v>
      </c>
      <c r="AO62" s="1">
        <f t="shared" si="9"/>
        <v>1.9638638764918181E-2</v>
      </c>
      <c r="AQ62" s="11">
        <v>252.84082000000001</v>
      </c>
      <c r="AR62" s="1">
        <v>29</v>
      </c>
      <c r="AS62" s="13">
        <v>95.689949999999996</v>
      </c>
      <c r="AT62" s="3">
        <f t="shared" si="6"/>
        <v>98.648679999999999</v>
      </c>
      <c r="AU62" s="1">
        <f t="shared" si="8"/>
        <v>2.2586147954053851E-2</v>
      </c>
      <c r="AW62" s="11">
        <v>192.12965</v>
      </c>
      <c r="AX62" s="1">
        <v>29</v>
      </c>
      <c r="AY62" s="12">
        <v>97.890060000000005</v>
      </c>
      <c r="AZ62" s="3">
        <f t="shared" si="7"/>
        <v>99.555710000000005</v>
      </c>
    </row>
    <row r="63" spans="2:52" ht="16" x14ac:dyDescent="0.2">
      <c r="B63" s="4">
        <v>200.08932999999999</v>
      </c>
      <c r="C63" s="1">
        <v>29.5</v>
      </c>
      <c r="D63" s="5">
        <v>99.461690000000004</v>
      </c>
      <c r="E63" s="3">
        <f t="shared" si="0"/>
        <v>100.58813000000001</v>
      </c>
      <c r="I63" s="4">
        <v>225.00403</v>
      </c>
      <c r="J63" s="1">
        <v>29.5</v>
      </c>
      <c r="K63" s="5">
        <v>96.226780000000005</v>
      </c>
      <c r="L63" s="3">
        <f t="shared" si="1"/>
        <v>99.813850000000002</v>
      </c>
      <c r="M63" s="1">
        <f t="shared" si="13"/>
        <v>1.1683194176128075E-2</v>
      </c>
      <c r="P63" s="4">
        <v>225.01591999999999</v>
      </c>
      <c r="Q63" s="1">
        <v>29.5</v>
      </c>
      <c r="R63" s="5">
        <v>99.927030000000002</v>
      </c>
      <c r="S63" s="3">
        <f t="shared" si="2"/>
        <v>99.851210000000009</v>
      </c>
      <c r="T63" s="1">
        <f t="shared" si="12"/>
        <v>5.2708738716866436E-3</v>
      </c>
      <c r="W63" s="4">
        <v>249.99795</v>
      </c>
      <c r="X63" s="1">
        <v>29.5</v>
      </c>
      <c r="Y63" s="3">
        <v>93.668459999999996</v>
      </c>
      <c r="Z63" s="3">
        <f t="shared" si="3"/>
        <v>99.109290000000001</v>
      </c>
      <c r="AA63" s="1">
        <f t="shared" si="11"/>
        <v>2.3214495305111375E-2</v>
      </c>
      <c r="AD63" s="4">
        <v>250.01452</v>
      </c>
      <c r="AE63" s="1">
        <v>29.5</v>
      </c>
      <c r="AF63" s="3">
        <v>99.33972</v>
      </c>
      <c r="AG63" s="3">
        <f t="shared" si="4"/>
        <v>99.601209999999995</v>
      </c>
      <c r="AH63" s="1">
        <f t="shared" si="10"/>
        <v>1.539871486246619E-2</v>
      </c>
      <c r="AK63" s="11">
        <v>252.83992000000001</v>
      </c>
      <c r="AL63" s="1">
        <v>29.5</v>
      </c>
      <c r="AM63" s="13">
        <v>96.250150000000005</v>
      </c>
      <c r="AN63" s="3">
        <f t="shared" si="5"/>
        <v>98.836370000000002</v>
      </c>
      <c r="AO63" s="1">
        <f t="shared" si="9"/>
        <v>2.0474219063960571E-2</v>
      </c>
      <c r="AQ63" s="11">
        <v>255.34766999999999</v>
      </c>
      <c r="AR63" s="1">
        <v>29.5</v>
      </c>
      <c r="AS63" s="12">
        <v>95.630330000000001</v>
      </c>
      <c r="AT63" s="3">
        <f t="shared" si="6"/>
        <v>98.589060000000003</v>
      </c>
      <c r="AU63" s="1">
        <f t="shared" si="8"/>
        <v>2.3581120682550871E-2</v>
      </c>
      <c r="AW63" s="11">
        <v>193.62449000000001</v>
      </c>
      <c r="AX63" s="1">
        <v>29.5</v>
      </c>
      <c r="AY63" s="13">
        <v>97.825900000000004</v>
      </c>
      <c r="AZ63" s="3">
        <f t="shared" si="7"/>
        <v>99.491550000000004</v>
      </c>
    </row>
    <row r="64" spans="2:52" ht="16" x14ac:dyDescent="0.2">
      <c r="B64" s="4">
        <v>200.1052</v>
      </c>
      <c r="C64" s="1">
        <v>30</v>
      </c>
      <c r="D64" s="3">
        <v>99.494169999999997</v>
      </c>
      <c r="E64" s="3">
        <f t="shared" si="0"/>
        <v>100.62061</v>
      </c>
      <c r="I64" s="4">
        <v>225.00409999999999</v>
      </c>
      <c r="J64" s="1">
        <v>30</v>
      </c>
      <c r="K64" s="3">
        <v>96.196269999999998</v>
      </c>
      <c r="L64" s="3">
        <f t="shared" si="1"/>
        <v>99.783339999999995</v>
      </c>
      <c r="M64" s="1">
        <f t="shared" si="13"/>
        <v>1.218975149524152E-2</v>
      </c>
      <c r="P64" s="4">
        <v>225.01884000000001</v>
      </c>
      <c r="Q64" s="1">
        <v>30</v>
      </c>
      <c r="R64" s="3">
        <v>99.862380000000002</v>
      </c>
      <c r="S64" s="3">
        <f t="shared" si="2"/>
        <v>99.786560000000009</v>
      </c>
      <c r="T64" s="1">
        <f t="shared" si="12"/>
        <v>6.3480075036392919E-3</v>
      </c>
      <c r="W64" s="4">
        <v>250.00299999999999</v>
      </c>
      <c r="X64" s="1">
        <v>30</v>
      </c>
      <c r="Y64" s="5">
        <v>93.647490000000005</v>
      </c>
      <c r="Z64" s="3">
        <f t="shared" si="3"/>
        <v>99.08832000000001</v>
      </c>
      <c r="AA64" s="1">
        <f t="shared" si="11"/>
        <v>2.356269529978116E-2</v>
      </c>
      <c r="AD64" s="4">
        <v>250.01414</v>
      </c>
      <c r="AE64" s="1">
        <v>30</v>
      </c>
      <c r="AF64" s="5">
        <v>99.337999999999994</v>
      </c>
      <c r="AG64" s="3">
        <f t="shared" si="4"/>
        <v>99.599489999999989</v>
      </c>
      <c r="AH64" s="1">
        <f t="shared" si="10"/>
        <v>1.5427268814797047E-2</v>
      </c>
      <c r="AK64" s="11">
        <v>255.34442000000001</v>
      </c>
      <c r="AL64" s="1">
        <v>30</v>
      </c>
      <c r="AM64" s="12">
        <v>96.190770000000001</v>
      </c>
      <c r="AN64" s="3">
        <f t="shared" si="5"/>
        <v>98.776989999999998</v>
      </c>
      <c r="AO64" s="1">
        <f t="shared" si="9"/>
        <v>2.1464573518194908E-2</v>
      </c>
      <c r="AQ64" s="11">
        <v>257.85548</v>
      </c>
      <c r="AR64" s="1">
        <v>30</v>
      </c>
      <c r="AS64" s="13">
        <v>95.554360000000003</v>
      </c>
      <c r="AT64" s="3">
        <f t="shared" si="6"/>
        <v>98.513090000000005</v>
      </c>
      <c r="AU64" s="1">
        <f t="shared" si="8"/>
        <v>2.4848951581308374E-2</v>
      </c>
      <c r="AW64" s="11">
        <v>195.12372999999999</v>
      </c>
      <c r="AX64" s="1">
        <v>30</v>
      </c>
      <c r="AY64" s="12">
        <v>97.82423</v>
      </c>
      <c r="AZ64" s="3">
        <f t="shared" si="7"/>
        <v>99.489879999999999</v>
      </c>
    </row>
    <row r="65" spans="2:52" ht="16" x14ac:dyDescent="0.2">
      <c r="B65" s="4">
        <v>200.11276000000001</v>
      </c>
      <c r="C65" s="1">
        <v>30.5</v>
      </c>
      <c r="D65" s="5">
        <v>99.365790000000004</v>
      </c>
      <c r="E65" s="3">
        <f t="shared" si="0"/>
        <v>100.49223000000001</v>
      </c>
      <c r="I65" s="4">
        <v>225.00199000000001</v>
      </c>
      <c r="J65" s="1">
        <v>30.5</v>
      </c>
      <c r="K65" s="5">
        <v>96.212090000000003</v>
      </c>
      <c r="L65" s="3">
        <f t="shared" si="1"/>
        <v>99.799160000000001</v>
      </c>
      <c r="M65" s="1">
        <f t="shared" si="13"/>
        <v>1.1927092144590078E-2</v>
      </c>
      <c r="P65" s="4">
        <v>225.02116000000001</v>
      </c>
      <c r="Q65" s="1">
        <v>30.5</v>
      </c>
      <c r="R65" s="5">
        <v>99.980620000000002</v>
      </c>
      <c r="S65" s="3">
        <f t="shared" si="2"/>
        <v>99.904800000000009</v>
      </c>
      <c r="T65" s="1">
        <f t="shared" si="12"/>
        <v>4.378010896646552E-3</v>
      </c>
      <c r="W65" s="4">
        <v>250.00202999999999</v>
      </c>
      <c r="X65" s="1">
        <v>30.5</v>
      </c>
      <c r="Y65" s="3">
        <v>93.626220000000004</v>
      </c>
      <c r="Z65" s="3">
        <f t="shared" si="3"/>
        <v>99.067050000000009</v>
      </c>
      <c r="AA65" s="1">
        <f t="shared" si="11"/>
        <v>2.3915876696377715E-2</v>
      </c>
      <c r="AD65" s="4">
        <v>250.01590999999999</v>
      </c>
      <c r="AE65" s="1">
        <v>30.5</v>
      </c>
      <c r="AF65" s="3">
        <v>99.371470000000002</v>
      </c>
      <c r="AG65" s="3">
        <f t="shared" si="4"/>
        <v>99.632959999999997</v>
      </c>
      <c r="AH65" s="1">
        <f t="shared" si="10"/>
        <v>1.4871628823802437E-2</v>
      </c>
      <c r="AK65" s="11">
        <v>257.85185999999999</v>
      </c>
      <c r="AL65" s="1">
        <v>30.5</v>
      </c>
      <c r="AM65" s="13">
        <v>96.115290000000002</v>
      </c>
      <c r="AN65" s="3">
        <f t="shared" si="5"/>
        <v>98.701509999999999</v>
      </c>
      <c r="AO65" s="1">
        <f t="shared" si="9"/>
        <v>2.2723447789087484E-2</v>
      </c>
      <c r="AQ65" s="11">
        <v>260.36158999999998</v>
      </c>
      <c r="AR65" s="1">
        <v>30.5</v>
      </c>
      <c r="AS65" s="12">
        <v>95.485129999999998</v>
      </c>
      <c r="AT65" s="3">
        <f t="shared" si="6"/>
        <v>98.443860000000001</v>
      </c>
      <c r="AU65" s="1">
        <f t="shared" si="8"/>
        <v>2.6004301497340891E-2</v>
      </c>
      <c r="AW65" s="11">
        <v>196.62146000000001</v>
      </c>
      <c r="AX65" s="1">
        <v>30.5</v>
      </c>
      <c r="AY65" s="13">
        <v>97.824389999999994</v>
      </c>
      <c r="AZ65" s="3">
        <f t="shared" si="7"/>
        <v>99.490039999999993</v>
      </c>
    </row>
    <row r="66" spans="2:52" ht="16" x14ac:dyDescent="0.2">
      <c r="B66" s="4">
        <v>200.11704</v>
      </c>
      <c r="C66" s="1">
        <v>31</v>
      </c>
      <c r="D66" s="3">
        <v>99.417649999999995</v>
      </c>
      <c r="E66" s="3">
        <f t="shared" si="0"/>
        <v>100.54409</v>
      </c>
      <c r="I66" s="4">
        <v>225.00683000000001</v>
      </c>
      <c r="J66" s="1">
        <v>31</v>
      </c>
      <c r="K66" s="3">
        <v>96.186959999999999</v>
      </c>
      <c r="L66" s="3">
        <f t="shared" si="1"/>
        <v>99.774029999999996</v>
      </c>
      <c r="M66" s="1">
        <f t="shared" si="13"/>
        <v>1.2344325360890317E-2</v>
      </c>
      <c r="P66" s="4">
        <v>225.02168</v>
      </c>
      <c r="Q66" s="1">
        <v>31</v>
      </c>
      <c r="R66" s="3">
        <v>99.884050000000002</v>
      </c>
      <c r="S66" s="3">
        <f t="shared" si="2"/>
        <v>99.808230000000009</v>
      </c>
      <c r="T66" s="1">
        <f t="shared" si="12"/>
        <v>5.9869636396885709E-3</v>
      </c>
      <c r="W66" s="4">
        <v>249.99999</v>
      </c>
      <c r="X66" s="1">
        <v>31</v>
      </c>
      <c r="Y66" s="5">
        <v>93.589759999999998</v>
      </c>
      <c r="Z66" s="3">
        <f t="shared" si="3"/>
        <v>99.030590000000004</v>
      </c>
      <c r="AA66" s="1">
        <f t="shared" si="11"/>
        <v>2.4521283077191609E-2</v>
      </c>
      <c r="AD66" s="4">
        <v>250.01845</v>
      </c>
      <c r="AE66" s="1">
        <v>31</v>
      </c>
      <c r="AF66" s="5">
        <v>99.343459999999993</v>
      </c>
      <c r="AG66" s="3">
        <f t="shared" si="4"/>
        <v>99.604949999999988</v>
      </c>
      <c r="AH66" s="1">
        <f t="shared" si="10"/>
        <v>1.5336626617281975E-2</v>
      </c>
      <c r="AK66" s="11">
        <v>260.35899000000001</v>
      </c>
      <c r="AL66" s="1">
        <v>31</v>
      </c>
      <c r="AM66" s="12">
        <v>96.066680000000005</v>
      </c>
      <c r="AN66" s="3">
        <f t="shared" si="5"/>
        <v>98.652900000000002</v>
      </c>
      <c r="AO66" s="1">
        <f t="shared" si="9"/>
        <v>2.3534177496401801E-2</v>
      </c>
      <c r="AQ66" s="11">
        <v>262.86932000000002</v>
      </c>
      <c r="AR66" s="1">
        <v>31</v>
      </c>
      <c r="AS66" s="13">
        <v>95.389709999999994</v>
      </c>
      <c r="AT66" s="3">
        <f t="shared" si="6"/>
        <v>98.348439999999997</v>
      </c>
      <c r="AU66" s="1">
        <f t="shared" si="8"/>
        <v>2.7596725142983246E-2</v>
      </c>
      <c r="AW66" s="11">
        <v>198.12585999999999</v>
      </c>
      <c r="AX66" s="1">
        <v>31</v>
      </c>
      <c r="AY66" s="12">
        <v>97.849360000000004</v>
      </c>
      <c r="AZ66" s="3">
        <f t="shared" si="7"/>
        <v>99.515010000000004</v>
      </c>
    </row>
    <row r="67" spans="2:52" ht="16" x14ac:dyDescent="0.2">
      <c r="B67" s="4">
        <v>200.11874</v>
      </c>
      <c r="C67" s="1">
        <v>31.5</v>
      </c>
      <c r="D67" s="5">
        <v>99.358109999999996</v>
      </c>
      <c r="E67" s="3">
        <f t="shared" si="0"/>
        <v>100.48455</v>
      </c>
      <c r="I67" s="4">
        <v>225.00173000000001</v>
      </c>
      <c r="J67" s="1">
        <v>31.5</v>
      </c>
      <c r="K67" s="5">
        <v>96.149559999999994</v>
      </c>
      <c r="L67" s="3">
        <f t="shared" si="1"/>
        <v>99.736629999999991</v>
      </c>
      <c r="M67" s="1">
        <f t="shared" si="13"/>
        <v>1.2965277302379711E-2</v>
      </c>
      <c r="P67" s="4">
        <v>225.02117999999999</v>
      </c>
      <c r="Q67" s="1">
        <v>31.5</v>
      </c>
      <c r="R67" s="5">
        <v>99.848780000000005</v>
      </c>
      <c r="S67" s="3">
        <f t="shared" si="2"/>
        <v>99.772960000000012</v>
      </c>
      <c r="T67" s="1">
        <f t="shared" si="12"/>
        <v>6.5745970998427319E-3</v>
      </c>
      <c r="W67" s="4">
        <v>250.00003000000001</v>
      </c>
      <c r="X67" s="1">
        <v>31.5</v>
      </c>
      <c r="Y67" s="3">
        <v>93.559079999999994</v>
      </c>
      <c r="Z67" s="3">
        <f t="shared" si="3"/>
        <v>98.99991</v>
      </c>
      <c r="AA67" s="1">
        <f t="shared" si="11"/>
        <v>2.5030714447552824E-2</v>
      </c>
      <c r="AD67" s="4">
        <v>250.01889</v>
      </c>
      <c r="AE67" s="1">
        <v>31.5</v>
      </c>
      <c r="AF67" s="3">
        <v>99.359110000000001</v>
      </c>
      <c r="AG67" s="3">
        <f t="shared" si="4"/>
        <v>99.620599999999996</v>
      </c>
      <c r="AH67" s="1">
        <f t="shared" si="10"/>
        <v>1.5076818853342092E-2</v>
      </c>
      <c r="AK67" s="11">
        <v>262.86585000000002</v>
      </c>
      <c r="AL67" s="1">
        <v>31.5</v>
      </c>
      <c r="AM67" s="13">
        <v>95.965699999999998</v>
      </c>
      <c r="AN67" s="3">
        <f t="shared" si="5"/>
        <v>98.551919999999996</v>
      </c>
      <c r="AO67" s="1">
        <f t="shared" si="9"/>
        <v>2.5218347129082552E-2</v>
      </c>
      <c r="AQ67" s="11">
        <v>265.38116000000002</v>
      </c>
      <c r="AR67" s="1">
        <v>31.5</v>
      </c>
      <c r="AS67" s="12">
        <v>95.327299999999994</v>
      </c>
      <c r="AT67" s="3">
        <f t="shared" si="6"/>
        <v>98.286029999999997</v>
      </c>
      <c r="AU67" s="1">
        <f t="shared" si="8"/>
        <v>2.8638258990442214E-2</v>
      </c>
      <c r="AW67" s="11">
        <v>199.62476000000001</v>
      </c>
      <c r="AX67" s="1">
        <v>31.5</v>
      </c>
      <c r="AY67" s="13">
        <v>97.803989999999999</v>
      </c>
      <c r="AZ67" s="3">
        <f t="shared" si="7"/>
        <v>99.469639999999998</v>
      </c>
    </row>
    <row r="68" spans="2:52" ht="16" x14ac:dyDescent="0.2">
      <c r="B68" s="4">
        <v>200.11364</v>
      </c>
      <c r="C68" s="1">
        <v>32</v>
      </c>
      <c r="D68" s="3">
        <v>99.391760000000005</v>
      </c>
      <c r="E68" s="3">
        <f t="shared" si="0"/>
        <v>100.51820000000001</v>
      </c>
      <c r="I68" s="4">
        <v>225.00210999999999</v>
      </c>
      <c r="J68" s="1">
        <v>32</v>
      </c>
      <c r="K68" s="3">
        <v>96.13176</v>
      </c>
      <c r="L68" s="3">
        <f t="shared" si="1"/>
        <v>99.718829999999997</v>
      </c>
      <c r="M68" s="1">
        <f t="shared" si="13"/>
        <v>1.326081057934511E-2</v>
      </c>
      <c r="P68" s="4">
        <v>225.01922999999999</v>
      </c>
      <c r="Q68" s="1">
        <v>32</v>
      </c>
      <c r="R68" s="3">
        <v>99.963669999999993</v>
      </c>
      <c r="S68" s="3">
        <f t="shared" si="2"/>
        <v>99.88785</v>
      </c>
      <c r="T68" s="1">
        <f t="shared" si="12"/>
        <v>4.6604148419150193E-3</v>
      </c>
      <c r="W68" s="4">
        <v>250.00299000000001</v>
      </c>
      <c r="X68" s="1">
        <v>32</v>
      </c>
      <c r="Y68" s="5">
        <v>93.536119999999997</v>
      </c>
      <c r="Z68" s="3">
        <f t="shared" si="3"/>
        <v>98.976950000000002</v>
      </c>
      <c r="AA68" s="1">
        <f t="shared" si="11"/>
        <v>2.5411957741669211E-2</v>
      </c>
      <c r="AD68" s="4">
        <v>250.01692</v>
      </c>
      <c r="AE68" s="1">
        <v>32</v>
      </c>
      <c r="AF68" s="5">
        <v>99.325909999999993</v>
      </c>
      <c r="AG68" s="3">
        <f t="shared" si="4"/>
        <v>99.587399999999988</v>
      </c>
      <c r="AH68" s="1">
        <f t="shared" si="10"/>
        <v>1.5627976537866167E-2</v>
      </c>
      <c r="AK68" s="11">
        <v>265.37513999999999</v>
      </c>
      <c r="AL68" s="1">
        <v>32</v>
      </c>
      <c r="AM68" s="12">
        <v>95.91489</v>
      </c>
      <c r="AN68" s="3">
        <f t="shared" si="5"/>
        <v>98.501109999999997</v>
      </c>
      <c r="AO68" s="1">
        <f t="shared" si="9"/>
        <v>2.6065768985257046E-2</v>
      </c>
      <c r="AQ68" s="11">
        <v>267.88448</v>
      </c>
      <c r="AR68" s="1">
        <v>32</v>
      </c>
      <c r="AS68" s="13">
        <v>95.225170000000006</v>
      </c>
      <c r="AT68" s="3">
        <f t="shared" si="6"/>
        <v>98.183900000000008</v>
      </c>
      <c r="AU68" s="1">
        <f t="shared" si="8"/>
        <v>3.0342662961616265E-2</v>
      </c>
      <c r="AW68" s="11">
        <v>201.12743</v>
      </c>
      <c r="AX68" s="1">
        <v>32</v>
      </c>
      <c r="AY68" s="12">
        <v>97.806340000000006</v>
      </c>
      <c r="AZ68" s="3">
        <f t="shared" si="7"/>
        <v>99.471990000000005</v>
      </c>
    </row>
    <row r="69" spans="2:52" ht="16" x14ac:dyDescent="0.2">
      <c r="B69" s="4">
        <v>200.09604999999999</v>
      </c>
      <c r="C69" s="1">
        <v>32.5</v>
      </c>
      <c r="D69" s="5">
        <v>99.473569999999995</v>
      </c>
      <c r="E69" s="3">
        <f t="shared" ref="E69:E132" si="14">100-($D$4-D69)</f>
        <v>100.60001</v>
      </c>
      <c r="I69" s="4">
        <v>225.00491</v>
      </c>
      <c r="J69" s="1">
        <v>32.5</v>
      </c>
      <c r="K69" s="5">
        <v>96.124290000000002</v>
      </c>
      <c r="L69" s="3">
        <f t="shared" ref="L69:L132" si="15">100-($K$4-K69)</f>
        <v>99.711359999999999</v>
      </c>
      <c r="M69" s="1">
        <f t="shared" si="13"/>
        <v>1.3384834937712057E-2</v>
      </c>
      <c r="P69" s="4">
        <v>225.01926</v>
      </c>
      <c r="Q69" s="1">
        <v>32.5</v>
      </c>
      <c r="R69" s="5">
        <v>99.986109999999996</v>
      </c>
      <c r="S69" s="3">
        <f t="shared" ref="S69:S132" si="16">100-($R$4-R69)</f>
        <v>99.910290000000003</v>
      </c>
      <c r="T69" s="1">
        <f t="shared" si="12"/>
        <v>4.2865420081792003E-3</v>
      </c>
      <c r="W69" s="4">
        <v>250.00595000000001</v>
      </c>
      <c r="X69" s="1">
        <v>32.5</v>
      </c>
      <c r="Y69" s="3">
        <v>93.497860000000003</v>
      </c>
      <c r="Z69" s="3">
        <f t="shared" ref="Z69:Z132" si="17">100-($Y$4-Y69)</f>
        <v>98.938690000000008</v>
      </c>
      <c r="AA69" s="1">
        <f t="shared" si="11"/>
        <v>2.604725253404257E-2</v>
      </c>
      <c r="AD69" s="4">
        <v>250.01599999999999</v>
      </c>
      <c r="AE69" s="1">
        <v>32.5</v>
      </c>
      <c r="AF69" s="3">
        <v>99.328569999999999</v>
      </c>
      <c r="AG69" s="3">
        <f t="shared" ref="AG69:AG132" si="18">100-($AF$4-AF69)</f>
        <v>99.590059999999994</v>
      </c>
      <c r="AH69" s="1">
        <f t="shared" si="10"/>
        <v>1.558381751856385E-2</v>
      </c>
      <c r="AK69" s="11">
        <v>267.87678</v>
      </c>
      <c r="AL69" s="1">
        <v>32.5</v>
      </c>
      <c r="AM69" s="13">
        <v>95.813090000000003</v>
      </c>
      <c r="AN69" s="3">
        <f t="shared" ref="AN69:AN132" si="19">100-($AM$4-AM69)</f>
        <v>98.39931</v>
      </c>
      <c r="AO69" s="1">
        <f t="shared" si="9"/>
        <v>2.7763614782512779E-2</v>
      </c>
      <c r="AQ69" s="11">
        <v>270.39057000000003</v>
      </c>
      <c r="AR69" s="1">
        <v>32.5</v>
      </c>
      <c r="AS69" s="12">
        <v>95.146289999999993</v>
      </c>
      <c r="AT69" s="3">
        <f t="shared" ref="AT69:AT132" si="20">100-($AS$4-AS69)</f>
        <v>98.105019999999996</v>
      </c>
      <c r="AU69" s="1">
        <f t="shared" si="8"/>
        <v>3.1659057608108436E-2</v>
      </c>
      <c r="AW69" s="11">
        <v>202.62748999999999</v>
      </c>
      <c r="AX69" s="1">
        <v>32.5</v>
      </c>
      <c r="AY69" s="13">
        <v>97.812889999999996</v>
      </c>
      <c r="AZ69" s="3">
        <f t="shared" ref="AZ69:AZ132" si="21">100-($AY$4-AY69)</f>
        <v>99.478539999999995</v>
      </c>
    </row>
    <row r="70" spans="2:52" ht="16" x14ac:dyDescent="0.2">
      <c r="B70" s="4">
        <v>200.06558999999999</v>
      </c>
      <c r="C70" s="1">
        <v>33</v>
      </c>
      <c r="D70" s="3">
        <v>99.408860000000004</v>
      </c>
      <c r="E70" s="3">
        <f t="shared" si="14"/>
        <v>100.53530000000001</v>
      </c>
      <c r="I70" s="4">
        <v>225.00484</v>
      </c>
      <c r="J70" s="1">
        <v>33</v>
      </c>
      <c r="K70" s="3">
        <v>96.089410000000001</v>
      </c>
      <c r="L70" s="3">
        <f t="shared" si="15"/>
        <v>99.676479999999998</v>
      </c>
      <c r="M70" s="1">
        <f t="shared" si="13"/>
        <v>1.396394733661975E-2</v>
      </c>
      <c r="P70" s="4">
        <v>225.02118999999999</v>
      </c>
      <c r="Q70" s="1">
        <v>33</v>
      </c>
      <c r="R70" s="3">
        <v>99.779650000000004</v>
      </c>
      <c r="S70" s="3">
        <f t="shared" si="16"/>
        <v>99.703830000000011</v>
      </c>
      <c r="T70" s="1">
        <f t="shared" si="12"/>
        <v>7.7263720105447825E-3</v>
      </c>
      <c r="W70" s="4">
        <v>250.005</v>
      </c>
      <c r="X70" s="1">
        <v>33</v>
      </c>
      <c r="Y70" s="5">
        <v>93.468999999999994</v>
      </c>
      <c r="Z70" s="3">
        <f t="shared" si="17"/>
        <v>98.909829999999999</v>
      </c>
      <c r="AA70" s="1">
        <f t="shared" si="11"/>
        <v>2.652646339938244E-2</v>
      </c>
      <c r="AD70" s="4">
        <v>250.01434</v>
      </c>
      <c r="AE70" s="1">
        <v>33</v>
      </c>
      <c r="AF70" s="5">
        <v>99.347080000000005</v>
      </c>
      <c r="AG70" s="3">
        <f t="shared" si="18"/>
        <v>99.60857</v>
      </c>
      <c r="AH70" s="1">
        <f t="shared" si="10"/>
        <v>1.527653050830657E-2</v>
      </c>
      <c r="AK70" s="11">
        <v>270.38148999999999</v>
      </c>
      <c r="AL70" s="1">
        <v>33</v>
      </c>
      <c r="AM70" s="12">
        <v>95.750200000000007</v>
      </c>
      <c r="AN70" s="3">
        <f t="shared" si="19"/>
        <v>98.336420000000004</v>
      </c>
      <c r="AO70" s="1">
        <f t="shared" si="9"/>
        <v>2.8812509892428388E-2</v>
      </c>
      <c r="AQ70" s="11">
        <v>272.88947000000002</v>
      </c>
      <c r="AR70" s="1">
        <v>33</v>
      </c>
      <c r="AS70" s="13">
        <v>95.011489999999995</v>
      </c>
      <c r="AT70" s="3">
        <f t="shared" si="20"/>
        <v>97.970219999999998</v>
      </c>
      <c r="AU70" s="1">
        <f t="shared" si="8"/>
        <v>3.3908677262610397E-2</v>
      </c>
      <c r="AW70" s="11">
        <v>204.13476</v>
      </c>
      <c r="AX70" s="1">
        <v>33</v>
      </c>
      <c r="AY70" s="12">
        <v>97.774649999999994</v>
      </c>
      <c r="AZ70" s="3">
        <f t="shared" si="21"/>
        <v>99.440299999999993</v>
      </c>
    </row>
    <row r="71" spans="2:52" ht="16" x14ac:dyDescent="0.2">
      <c r="B71" s="4">
        <v>200.02741</v>
      </c>
      <c r="C71" s="1">
        <v>33.5</v>
      </c>
      <c r="D71" s="5">
        <v>99.466130000000007</v>
      </c>
      <c r="E71" s="3">
        <f t="shared" si="14"/>
        <v>100.59257000000001</v>
      </c>
      <c r="I71" s="4">
        <v>225.00604999999999</v>
      </c>
      <c r="J71" s="1">
        <v>33.5</v>
      </c>
      <c r="K71" s="5">
        <v>96.075140000000005</v>
      </c>
      <c r="L71" s="3">
        <f t="shared" si="15"/>
        <v>99.662210000000002</v>
      </c>
      <c r="M71" s="1">
        <f t="shared" si="13"/>
        <v>1.4200872047984725E-2</v>
      </c>
      <c r="P71" s="4">
        <v>225.01861</v>
      </c>
      <c r="Q71" s="1">
        <v>33.5</v>
      </c>
      <c r="R71" s="5">
        <v>99.953159999999997</v>
      </c>
      <c r="S71" s="3">
        <f t="shared" si="16"/>
        <v>99.877340000000004</v>
      </c>
      <c r="T71" s="1">
        <f t="shared" si="12"/>
        <v>4.8355219489810437E-3</v>
      </c>
      <c r="W71" s="4">
        <v>250.00597999999999</v>
      </c>
      <c r="X71" s="1">
        <v>33.5</v>
      </c>
      <c r="Y71" s="3">
        <v>93.430679999999995</v>
      </c>
      <c r="Z71" s="3">
        <f t="shared" si="17"/>
        <v>98.871510000000001</v>
      </c>
      <c r="AA71" s="1">
        <f t="shared" si="11"/>
        <v>2.7162754472141198E-2</v>
      </c>
      <c r="AD71" s="4">
        <v>250.01167000000001</v>
      </c>
      <c r="AE71" s="1">
        <v>33.5</v>
      </c>
      <c r="AF71" s="3">
        <v>99.30395</v>
      </c>
      <c r="AG71" s="3">
        <f t="shared" si="18"/>
        <v>99.565439999999995</v>
      </c>
      <c r="AH71" s="1">
        <f t="shared" si="10"/>
        <v>1.5992537464135502E-2</v>
      </c>
      <c r="AK71" s="11">
        <v>272.89067</v>
      </c>
      <c r="AL71" s="1">
        <v>33.5</v>
      </c>
      <c r="AM71" s="13">
        <v>95.616100000000003</v>
      </c>
      <c r="AN71" s="3">
        <f t="shared" si="19"/>
        <v>98.20232</v>
      </c>
      <c r="AO71" s="1">
        <f t="shared" si="9"/>
        <v>3.1049063147949075E-2</v>
      </c>
      <c r="AQ71" s="11">
        <v>275.40006</v>
      </c>
      <c r="AR71" s="1">
        <v>33.5</v>
      </c>
      <c r="AS71" s="12">
        <v>94.902850000000001</v>
      </c>
      <c r="AT71" s="3">
        <f t="shared" si="20"/>
        <v>97.861580000000004</v>
      </c>
      <c r="AU71" s="1">
        <f t="shared" si="8"/>
        <v>3.5721723844695588E-2</v>
      </c>
      <c r="AW71" s="11">
        <v>205.63759999999999</v>
      </c>
      <c r="AX71" s="1">
        <v>33.5</v>
      </c>
      <c r="AY71" s="13">
        <v>97.739789999999999</v>
      </c>
      <c r="AZ71" s="3">
        <f t="shared" si="21"/>
        <v>99.405439999999999</v>
      </c>
    </row>
    <row r="72" spans="2:52" ht="16" x14ac:dyDescent="0.2">
      <c r="B72" s="4">
        <v>199.99572000000001</v>
      </c>
      <c r="C72" s="1">
        <v>34</v>
      </c>
      <c r="D72" s="3">
        <v>99.426569999999998</v>
      </c>
      <c r="E72" s="3">
        <f t="shared" si="14"/>
        <v>100.55301</v>
      </c>
      <c r="I72" s="4">
        <v>225.00707</v>
      </c>
      <c r="J72" s="1">
        <v>34</v>
      </c>
      <c r="K72" s="3">
        <v>96.062439999999995</v>
      </c>
      <c r="L72" s="3">
        <f t="shared" si="15"/>
        <v>99.649509999999992</v>
      </c>
      <c r="M72" s="1">
        <f t="shared" si="13"/>
        <v>1.4411730060201839E-2</v>
      </c>
      <c r="P72" s="4">
        <v>225.01947000000001</v>
      </c>
      <c r="Q72" s="1">
        <v>34</v>
      </c>
      <c r="R72" s="3">
        <v>99.880210000000005</v>
      </c>
      <c r="S72" s="3">
        <f t="shared" si="16"/>
        <v>99.804390000000012</v>
      </c>
      <c r="T72" s="1">
        <f t="shared" si="12"/>
        <v>6.0509418786165621E-3</v>
      </c>
      <c r="W72" s="4">
        <v>250.00102000000001</v>
      </c>
      <c r="X72" s="1">
        <v>34</v>
      </c>
      <c r="Y72" s="5">
        <v>93.407629999999997</v>
      </c>
      <c r="Z72" s="3">
        <f t="shared" si="17"/>
        <v>98.848460000000003</v>
      </c>
      <c r="AA72" s="1">
        <f t="shared" si="11"/>
        <v>2.7545492186835576E-2</v>
      </c>
      <c r="AD72" s="4">
        <v>250.00961000000001</v>
      </c>
      <c r="AE72" s="1">
        <v>34</v>
      </c>
      <c r="AF72" s="5">
        <v>99.258309999999994</v>
      </c>
      <c r="AG72" s="3">
        <f t="shared" si="18"/>
        <v>99.519799999999989</v>
      </c>
      <c r="AH72" s="1">
        <f t="shared" si="10"/>
        <v>1.6750213269005266E-2</v>
      </c>
      <c r="AK72" s="11">
        <v>275.39251000000002</v>
      </c>
      <c r="AL72" s="1">
        <v>34</v>
      </c>
      <c r="AM72" s="12">
        <v>95.514719999999997</v>
      </c>
      <c r="AN72" s="3">
        <f t="shared" si="19"/>
        <v>98.100939999999994</v>
      </c>
      <c r="AO72" s="1">
        <f t="shared" si="9"/>
        <v>3.2739904080422565E-2</v>
      </c>
      <c r="AQ72" s="11">
        <v>277.90514999999999</v>
      </c>
      <c r="AR72" s="1">
        <v>34</v>
      </c>
      <c r="AS72" s="13">
        <v>94.780749999999998</v>
      </c>
      <c r="AT72" s="3">
        <f t="shared" si="20"/>
        <v>97.73948</v>
      </c>
      <c r="AU72" s="1">
        <f t="shared" ref="AU72:AU135" si="22">($AT$7-AT72)/($AT$7*(1-$N$1))</f>
        <v>3.7759398620769026E-2</v>
      </c>
      <c r="AW72" s="11">
        <v>207.13525999999999</v>
      </c>
      <c r="AX72" s="1">
        <v>34</v>
      </c>
      <c r="AY72" s="12">
        <v>97.744029999999995</v>
      </c>
      <c r="AZ72" s="3">
        <f t="shared" si="21"/>
        <v>99.409679999999994</v>
      </c>
    </row>
    <row r="73" spans="2:52" ht="16" x14ac:dyDescent="0.2">
      <c r="B73" s="4">
        <v>199.97241</v>
      </c>
      <c r="C73" s="1">
        <v>34.5</v>
      </c>
      <c r="D73" s="5">
        <v>99.456940000000003</v>
      </c>
      <c r="E73" s="3">
        <f t="shared" si="14"/>
        <v>100.58338000000001</v>
      </c>
      <c r="I73" s="4">
        <v>225.00301999999999</v>
      </c>
      <c r="J73" s="1">
        <v>34.5</v>
      </c>
      <c r="K73" s="5">
        <v>96.036360000000002</v>
      </c>
      <c r="L73" s="3">
        <f t="shared" si="15"/>
        <v>99.623429999999999</v>
      </c>
      <c r="M73" s="1">
        <f t="shared" si="13"/>
        <v>1.4844736119935446E-2</v>
      </c>
      <c r="P73" s="4">
        <v>225.01993999999999</v>
      </c>
      <c r="Q73" s="1">
        <v>34.5</v>
      </c>
      <c r="R73" s="5">
        <v>99.874499999999998</v>
      </c>
      <c r="S73" s="3">
        <f t="shared" si="16"/>
        <v>99.798680000000004</v>
      </c>
      <c r="T73" s="1">
        <f t="shared" si="12"/>
        <v>6.1460761870227162E-3</v>
      </c>
      <c r="W73" s="4">
        <v>249.99898999999999</v>
      </c>
      <c r="X73" s="1">
        <v>34.5</v>
      </c>
      <c r="Y73" s="3">
        <v>93.382670000000005</v>
      </c>
      <c r="Z73" s="3">
        <f t="shared" si="17"/>
        <v>98.82350000000001</v>
      </c>
      <c r="AA73" s="1">
        <f t="shared" si="11"/>
        <v>2.7959944827129275E-2</v>
      </c>
      <c r="AD73" s="4">
        <v>250.01141999999999</v>
      </c>
      <c r="AE73" s="1">
        <v>34.5</v>
      </c>
      <c r="AF73" s="3">
        <v>99.252470000000002</v>
      </c>
      <c r="AG73" s="3">
        <f t="shared" si="18"/>
        <v>99.513959999999997</v>
      </c>
      <c r="AH73" s="1">
        <f t="shared" si="10"/>
        <v>1.6847163897849106E-2</v>
      </c>
      <c r="AK73" s="11">
        <v>277.90174000000002</v>
      </c>
      <c r="AL73" s="1">
        <v>34.5</v>
      </c>
      <c r="AM73" s="13">
        <v>95.407920000000004</v>
      </c>
      <c r="AN73" s="3">
        <f t="shared" si="19"/>
        <v>97.994140000000002</v>
      </c>
      <c r="AO73" s="1">
        <f t="shared" ref="AO73:AO136" si="23">($AN$8-AN73)/($AN$8*(1-$N$1))</f>
        <v>3.452114112508764E-2</v>
      </c>
      <c r="AQ73" s="11">
        <v>280.41041999999999</v>
      </c>
      <c r="AR73" s="1">
        <v>34.5</v>
      </c>
      <c r="AS73" s="12">
        <v>94.630309999999994</v>
      </c>
      <c r="AT73" s="3">
        <f t="shared" si="20"/>
        <v>97.589039999999997</v>
      </c>
      <c r="AU73" s="1">
        <f t="shared" si="22"/>
        <v>4.0270027558627242E-2</v>
      </c>
      <c r="AW73" s="11">
        <v>208.62943000000001</v>
      </c>
      <c r="AX73" s="1">
        <v>34.5</v>
      </c>
      <c r="AY73" s="13">
        <v>97.705780000000004</v>
      </c>
      <c r="AZ73" s="3">
        <f t="shared" si="21"/>
        <v>99.371430000000004</v>
      </c>
    </row>
    <row r="74" spans="2:52" ht="16" x14ac:dyDescent="0.2">
      <c r="B74" s="4">
        <v>199.95903999999999</v>
      </c>
      <c r="C74" s="1">
        <v>35</v>
      </c>
      <c r="D74" s="3">
        <v>99.452269999999999</v>
      </c>
      <c r="E74" s="3">
        <f t="shared" si="14"/>
        <v>100.57871</v>
      </c>
      <c r="I74" s="4">
        <v>225.01094000000001</v>
      </c>
      <c r="J74" s="1">
        <v>35</v>
      </c>
      <c r="K74" s="3">
        <v>96.022390000000001</v>
      </c>
      <c r="L74" s="3">
        <f t="shared" si="15"/>
        <v>99.609459999999999</v>
      </c>
      <c r="M74" s="1">
        <f t="shared" si="13"/>
        <v>1.5076679933374108E-2</v>
      </c>
      <c r="P74" s="4">
        <v>225.02190999999999</v>
      </c>
      <c r="Q74" s="1">
        <v>35</v>
      </c>
      <c r="R74" s="3">
        <v>99.81559</v>
      </c>
      <c r="S74" s="3">
        <f t="shared" si="16"/>
        <v>99.739770000000007</v>
      </c>
      <c r="T74" s="1">
        <f t="shared" si="12"/>
        <v>7.1275756805776634E-3</v>
      </c>
      <c r="W74" s="4">
        <v>250.00196</v>
      </c>
      <c r="X74" s="1">
        <v>35</v>
      </c>
      <c r="Y74" s="5">
        <v>93.340519999999998</v>
      </c>
      <c r="Z74" s="3">
        <f t="shared" si="17"/>
        <v>98.781350000000003</v>
      </c>
      <c r="AA74" s="1">
        <f t="shared" si="11"/>
        <v>2.8659831797817864E-2</v>
      </c>
      <c r="AD74" s="4">
        <v>250.01589999999999</v>
      </c>
      <c r="AE74" s="1">
        <v>35</v>
      </c>
      <c r="AF74" s="5">
        <v>99.326149999999998</v>
      </c>
      <c r="AG74" s="3">
        <f t="shared" si="18"/>
        <v>99.587639999999993</v>
      </c>
      <c r="AH74" s="1">
        <f t="shared" ref="AH74:AH137" si="24">($AG$9-AG74)/($AG$9*(1-$N$1))</f>
        <v>1.5623992265447837E-2</v>
      </c>
      <c r="AK74" s="11">
        <v>280.40778</v>
      </c>
      <c r="AL74" s="1">
        <v>35</v>
      </c>
      <c r="AM74" s="12">
        <v>95.271060000000006</v>
      </c>
      <c r="AN74" s="3">
        <f t="shared" si="19"/>
        <v>97.857280000000003</v>
      </c>
      <c r="AO74" s="1">
        <f t="shared" si="23"/>
        <v>3.6803726349178244E-2</v>
      </c>
      <c r="AQ74" s="11">
        <v>282.91617000000002</v>
      </c>
      <c r="AR74" s="1">
        <v>35</v>
      </c>
      <c r="AS74" s="13">
        <v>94.509510000000006</v>
      </c>
      <c r="AT74" s="3">
        <f t="shared" si="20"/>
        <v>97.468240000000009</v>
      </c>
      <c r="AU74" s="1">
        <f t="shared" si="22"/>
        <v>4.2286007189664437E-2</v>
      </c>
      <c r="AW74" s="11">
        <v>210.13648000000001</v>
      </c>
      <c r="AX74" s="1">
        <v>35</v>
      </c>
      <c r="AY74" s="12">
        <v>97.722840000000005</v>
      </c>
      <c r="AZ74" s="3">
        <f t="shared" si="21"/>
        <v>99.388490000000004</v>
      </c>
    </row>
    <row r="75" spans="2:52" ht="16" x14ac:dyDescent="0.2">
      <c r="B75" s="4">
        <v>199.94823</v>
      </c>
      <c r="C75" s="1">
        <v>35.5</v>
      </c>
      <c r="D75" s="5">
        <v>99.375829999999993</v>
      </c>
      <c r="E75" s="3">
        <f t="shared" si="14"/>
        <v>100.50227</v>
      </c>
      <c r="I75" s="4">
        <v>225.00798</v>
      </c>
      <c r="J75" s="1">
        <v>35.5</v>
      </c>
      <c r="K75" s="5">
        <v>96.031660000000002</v>
      </c>
      <c r="L75" s="3">
        <f t="shared" si="15"/>
        <v>99.618729999999999</v>
      </c>
      <c r="M75" s="1">
        <f t="shared" si="13"/>
        <v>1.4922770187448803E-2</v>
      </c>
      <c r="P75" s="4">
        <v>225.02203</v>
      </c>
      <c r="Q75" s="1">
        <v>35.5</v>
      </c>
      <c r="R75" s="5">
        <v>99.755809999999997</v>
      </c>
      <c r="S75" s="3">
        <f t="shared" si="16"/>
        <v>99.679990000000004</v>
      </c>
      <c r="T75" s="1">
        <f t="shared" si="12"/>
        <v>8.1235702438898494E-3</v>
      </c>
      <c r="W75" s="4">
        <v>250.00199000000001</v>
      </c>
      <c r="X75" s="1">
        <v>35.5</v>
      </c>
      <c r="Y75" s="3">
        <v>93.307820000000007</v>
      </c>
      <c r="Z75" s="3">
        <f t="shared" si="17"/>
        <v>98.748650000000012</v>
      </c>
      <c r="AA75" s="1">
        <f t="shared" si="11"/>
        <v>2.9202804607818034E-2</v>
      </c>
      <c r="AD75" s="4">
        <v>250.01595</v>
      </c>
      <c r="AE75" s="1">
        <v>35.5</v>
      </c>
      <c r="AF75" s="3">
        <v>99.273510000000002</v>
      </c>
      <c r="AG75" s="3">
        <f t="shared" si="18"/>
        <v>99.534999999999997</v>
      </c>
      <c r="AH75" s="1">
        <f t="shared" si="24"/>
        <v>1.6497876015849604E-2</v>
      </c>
      <c r="AK75" s="11">
        <v>282.91636999999997</v>
      </c>
      <c r="AL75" s="1">
        <v>35.5</v>
      </c>
      <c r="AM75" s="13">
        <v>95.168360000000007</v>
      </c>
      <c r="AN75" s="3">
        <f t="shared" si="19"/>
        <v>97.754580000000004</v>
      </c>
      <c r="AO75" s="1">
        <f t="shared" si="23"/>
        <v>3.8516582570967697E-2</v>
      </c>
      <c r="AQ75" s="11">
        <v>285.42291999999998</v>
      </c>
      <c r="AR75" s="1">
        <v>35.5</v>
      </c>
      <c r="AS75" s="12">
        <v>94.31474</v>
      </c>
      <c r="AT75" s="3">
        <f t="shared" si="20"/>
        <v>97.273470000000003</v>
      </c>
      <c r="AU75" s="1">
        <f t="shared" si="22"/>
        <v>4.5536440573250229E-2</v>
      </c>
      <c r="AW75" s="11">
        <v>211.64045999999999</v>
      </c>
      <c r="AX75" s="1">
        <v>35.5</v>
      </c>
      <c r="AY75" s="13">
        <v>97.714089999999999</v>
      </c>
      <c r="AZ75" s="3">
        <f t="shared" si="21"/>
        <v>99.379739999999998</v>
      </c>
    </row>
    <row r="76" spans="2:52" ht="16" x14ac:dyDescent="0.2">
      <c r="B76" s="4">
        <v>199.93788000000001</v>
      </c>
      <c r="C76" s="1">
        <v>36</v>
      </c>
      <c r="D76" s="3">
        <v>99.437420000000003</v>
      </c>
      <c r="E76" s="3">
        <f t="shared" si="14"/>
        <v>100.56386000000001</v>
      </c>
      <c r="I76" s="4">
        <v>225.00701000000001</v>
      </c>
      <c r="J76" s="1">
        <v>36</v>
      </c>
      <c r="K76" s="3">
        <v>95.982470000000006</v>
      </c>
      <c r="L76" s="3">
        <f t="shared" si="15"/>
        <v>99.569540000000003</v>
      </c>
      <c r="M76" s="1">
        <f t="shared" si="13"/>
        <v>1.5739471417444965E-2</v>
      </c>
      <c r="P76" s="4">
        <v>225.02145999999999</v>
      </c>
      <c r="Q76" s="1">
        <v>36</v>
      </c>
      <c r="R76" s="3">
        <v>99.935360000000003</v>
      </c>
      <c r="S76" s="3">
        <f t="shared" si="16"/>
        <v>99.85954000000001</v>
      </c>
      <c r="T76" s="1">
        <f t="shared" si="12"/>
        <v>5.1320877440119888E-3</v>
      </c>
      <c r="W76" s="4">
        <v>250.00596999999999</v>
      </c>
      <c r="X76" s="1">
        <v>36</v>
      </c>
      <c r="Y76" s="5">
        <v>93.286699999999996</v>
      </c>
      <c r="Z76" s="3">
        <f t="shared" si="17"/>
        <v>98.727530000000002</v>
      </c>
      <c r="AA76" s="1">
        <f t="shared" ref="AA76:AA139" si="25">($Z$11-Z76)/($Z$11*(1-$N$1))</f>
        <v>2.955349530345144E-2</v>
      </c>
      <c r="AD76" s="4">
        <v>250.01709</v>
      </c>
      <c r="AE76" s="1">
        <v>36</v>
      </c>
      <c r="AF76" s="5">
        <v>99.212119999999999</v>
      </c>
      <c r="AG76" s="3">
        <f t="shared" si="18"/>
        <v>99.473609999999994</v>
      </c>
      <c r="AH76" s="1">
        <f t="shared" si="24"/>
        <v>1.7517019698166672E-2</v>
      </c>
      <c r="AK76" s="11">
        <v>285.42282</v>
      </c>
      <c r="AL76" s="1">
        <v>36</v>
      </c>
      <c r="AM76" s="12">
        <v>94.987880000000004</v>
      </c>
      <c r="AN76" s="3">
        <f t="shared" si="19"/>
        <v>97.574100000000001</v>
      </c>
      <c r="AO76" s="1">
        <f t="shared" si="23"/>
        <v>4.1526673037458148E-2</v>
      </c>
      <c r="AQ76" s="11">
        <v>287.92842999999999</v>
      </c>
      <c r="AR76" s="1">
        <v>36</v>
      </c>
      <c r="AS76" s="13">
        <v>94.179609999999997</v>
      </c>
      <c r="AT76" s="3">
        <f t="shared" si="20"/>
        <v>97.138339999999999</v>
      </c>
      <c r="AU76" s="1">
        <f t="shared" si="22"/>
        <v>4.7791567456876807E-2</v>
      </c>
      <c r="AW76" s="11">
        <v>213.13941</v>
      </c>
      <c r="AX76" s="1">
        <v>36</v>
      </c>
      <c r="AY76" s="12">
        <v>97.704750000000004</v>
      </c>
      <c r="AZ76" s="3">
        <f t="shared" si="21"/>
        <v>99.370400000000004</v>
      </c>
    </row>
    <row r="77" spans="2:52" ht="16" x14ac:dyDescent="0.2">
      <c r="B77" s="4">
        <v>199.93573000000001</v>
      </c>
      <c r="C77" s="1">
        <v>36.5</v>
      </c>
      <c r="D77" s="5">
        <v>99.336740000000006</v>
      </c>
      <c r="E77" s="3">
        <f t="shared" si="14"/>
        <v>100.46318000000001</v>
      </c>
      <c r="I77" s="4">
        <v>225.00207</v>
      </c>
      <c r="J77" s="1">
        <v>36.5</v>
      </c>
      <c r="K77" s="5">
        <v>95.965350000000001</v>
      </c>
      <c r="L77" s="3">
        <f t="shared" si="15"/>
        <v>99.552419999999998</v>
      </c>
      <c r="M77" s="1">
        <f t="shared" si="13"/>
        <v>1.602371465911075E-2</v>
      </c>
      <c r="P77" s="4">
        <v>225.02127999999999</v>
      </c>
      <c r="Q77" s="1">
        <v>36.5</v>
      </c>
      <c r="R77" s="5">
        <v>99.860749999999996</v>
      </c>
      <c r="S77" s="3">
        <f t="shared" si="16"/>
        <v>99.784930000000003</v>
      </c>
      <c r="T77" s="1">
        <f t="shared" si="12"/>
        <v>6.3751649331843657E-3</v>
      </c>
      <c r="W77" s="4">
        <v>249.99901</v>
      </c>
      <c r="X77" s="1">
        <v>36.5</v>
      </c>
      <c r="Y77" s="3">
        <v>93.256200000000007</v>
      </c>
      <c r="Z77" s="3">
        <f t="shared" si="17"/>
        <v>98.697030000000012</v>
      </c>
      <c r="AA77" s="1">
        <f t="shared" si="25"/>
        <v>3.0059937832656449E-2</v>
      </c>
      <c r="AD77" s="4">
        <v>250.01804000000001</v>
      </c>
      <c r="AE77" s="1">
        <v>36.5</v>
      </c>
      <c r="AF77" s="3">
        <v>99.255340000000004</v>
      </c>
      <c r="AG77" s="3">
        <f t="shared" si="18"/>
        <v>99.516829999999999</v>
      </c>
      <c r="AH77" s="1">
        <f t="shared" si="24"/>
        <v>1.6799518640180894E-2</v>
      </c>
      <c r="AK77" s="11">
        <v>287.93315000000001</v>
      </c>
      <c r="AL77" s="1">
        <v>36.5</v>
      </c>
      <c r="AM77" s="13">
        <v>94.871600000000001</v>
      </c>
      <c r="AN77" s="3">
        <f t="shared" si="19"/>
        <v>97.457819999999998</v>
      </c>
      <c r="AO77" s="1">
        <f t="shared" si="23"/>
        <v>4.346601988721166E-2</v>
      </c>
      <c r="AQ77" s="11">
        <v>290.44513999999998</v>
      </c>
      <c r="AR77" s="1">
        <v>36.5</v>
      </c>
      <c r="AS77" s="12">
        <v>93.96705</v>
      </c>
      <c r="AT77" s="3">
        <f t="shared" si="20"/>
        <v>96.925780000000003</v>
      </c>
      <c r="AU77" s="1">
        <f t="shared" si="22"/>
        <v>5.1338890555993534E-2</v>
      </c>
      <c r="AW77" s="11">
        <v>214.64173</v>
      </c>
      <c r="AX77" s="1">
        <v>36.5</v>
      </c>
      <c r="AY77" s="13">
        <v>97.661469999999994</v>
      </c>
      <c r="AZ77" s="3">
        <f t="shared" si="21"/>
        <v>99.327119999999994</v>
      </c>
    </row>
    <row r="78" spans="2:52" ht="16" x14ac:dyDescent="0.2">
      <c r="B78" s="4">
        <v>199.93636000000001</v>
      </c>
      <c r="C78" s="1">
        <v>37</v>
      </c>
      <c r="D78" s="3">
        <v>99.345140000000001</v>
      </c>
      <c r="E78" s="3">
        <f t="shared" si="14"/>
        <v>100.47158</v>
      </c>
      <c r="I78" s="4">
        <v>225.00518</v>
      </c>
      <c r="J78" s="1">
        <v>37</v>
      </c>
      <c r="K78" s="3">
        <v>95.939930000000004</v>
      </c>
      <c r="L78" s="3">
        <f t="shared" si="15"/>
        <v>99.527000000000001</v>
      </c>
      <c r="M78" s="1">
        <f t="shared" si="13"/>
        <v>1.644576274340637E-2</v>
      </c>
      <c r="P78" s="4">
        <v>225.01895999999999</v>
      </c>
      <c r="Q78" s="1">
        <v>37</v>
      </c>
      <c r="R78" s="3">
        <v>99.799499999999995</v>
      </c>
      <c r="S78" s="3">
        <f t="shared" si="16"/>
        <v>99.723680000000002</v>
      </c>
      <c r="T78" s="1">
        <f t="shared" ref="T78:T141" si="26">($S$13-S78)/($S$13*(1-$N$1))</f>
        <v>7.3956511660861549E-3</v>
      </c>
      <c r="W78" s="4">
        <v>249.99798000000001</v>
      </c>
      <c r="X78" s="1">
        <v>37</v>
      </c>
      <c r="Y78" s="5">
        <v>93.221720000000005</v>
      </c>
      <c r="Z78" s="3">
        <f t="shared" si="17"/>
        <v>98.66255000000001</v>
      </c>
      <c r="AA78" s="1">
        <f t="shared" si="25"/>
        <v>3.0632466960754674E-2</v>
      </c>
      <c r="AD78" s="4">
        <v>250.01822999999999</v>
      </c>
      <c r="AE78" s="1">
        <v>37</v>
      </c>
      <c r="AF78" s="5">
        <v>99.21163</v>
      </c>
      <c r="AG78" s="3">
        <f t="shared" si="18"/>
        <v>99.473119999999994</v>
      </c>
      <c r="AH78" s="1">
        <f t="shared" si="24"/>
        <v>1.7525154254353907E-2</v>
      </c>
      <c r="AK78" s="11">
        <v>290.44378999999998</v>
      </c>
      <c r="AL78" s="1">
        <v>37</v>
      </c>
      <c r="AM78" s="12">
        <v>94.688820000000007</v>
      </c>
      <c r="AN78" s="3">
        <f t="shared" si="19"/>
        <v>97.275040000000004</v>
      </c>
      <c r="AO78" s="1">
        <f t="shared" si="23"/>
        <v>4.6514470327510292E-2</v>
      </c>
      <c r="AQ78" s="11">
        <v>292.95031</v>
      </c>
      <c r="AR78" s="1">
        <v>37</v>
      </c>
      <c r="AS78" s="13">
        <v>93.784049999999993</v>
      </c>
      <c r="AT78" s="3">
        <f t="shared" si="20"/>
        <v>96.742779999999996</v>
      </c>
      <c r="AU78" s="1">
        <f t="shared" si="22"/>
        <v>5.439289943413804E-2</v>
      </c>
      <c r="AW78" s="11">
        <v>216.14447000000001</v>
      </c>
      <c r="AX78" s="1">
        <v>37</v>
      </c>
      <c r="AY78" s="12">
        <v>97.692120000000003</v>
      </c>
      <c r="AZ78" s="3">
        <f t="shared" si="21"/>
        <v>99.357770000000002</v>
      </c>
    </row>
    <row r="79" spans="2:52" ht="16" x14ac:dyDescent="0.2">
      <c r="B79" s="4">
        <v>199.93786</v>
      </c>
      <c r="C79" s="1">
        <v>37.5</v>
      </c>
      <c r="D79" s="5">
        <v>99.411469999999994</v>
      </c>
      <c r="E79" s="3">
        <f t="shared" si="14"/>
        <v>100.53791</v>
      </c>
      <c r="I79" s="4">
        <v>225.0018</v>
      </c>
      <c r="J79" s="1">
        <v>37.5</v>
      </c>
      <c r="K79" s="5">
        <v>95.93065</v>
      </c>
      <c r="L79" s="3">
        <f t="shared" si="15"/>
        <v>99.517719999999997</v>
      </c>
      <c r="M79" s="1">
        <f t="shared" si="13"/>
        <v>1.6599838519262607E-2</v>
      </c>
      <c r="P79" s="4">
        <v>225.02086</v>
      </c>
      <c r="Q79" s="1">
        <v>37.5</v>
      </c>
      <c r="R79" s="5">
        <v>99.830590000000001</v>
      </c>
      <c r="S79" s="3">
        <f t="shared" si="16"/>
        <v>99.754770000000008</v>
      </c>
      <c r="T79" s="1">
        <f t="shared" si="26"/>
        <v>6.8776606847649755E-3</v>
      </c>
      <c r="W79" s="4">
        <v>250.00299999999999</v>
      </c>
      <c r="X79" s="1">
        <v>37.5</v>
      </c>
      <c r="Y79" s="3">
        <v>93.204470000000001</v>
      </c>
      <c r="Z79" s="3">
        <f t="shared" si="17"/>
        <v>98.645300000000006</v>
      </c>
      <c r="AA79" s="1">
        <f t="shared" si="25"/>
        <v>3.0918897571534727E-2</v>
      </c>
      <c r="AD79" s="4">
        <v>250.01783</v>
      </c>
      <c r="AE79" s="1">
        <v>37.5</v>
      </c>
      <c r="AF79" s="3">
        <v>99.257180000000005</v>
      </c>
      <c r="AG79" s="3">
        <f t="shared" si="18"/>
        <v>99.51867</v>
      </c>
      <c r="AH79" s="1">
        <f t="shared" si="24"/>
        <v>1.676897255164099E-2</v>
      </c>
      <c r="AK79" s="11">
        <v>292.95060999999998</v>
      </c>
      <c r="AL79" s="1">
        <v>37.5</v>
      </c>
      <c r="AM79" s="13">
        <v>94.505350000000007</v>
      </c>
      <c r="AN79" s="3">
        <f t="shared" si="19"/>
        <v>97.091570000000004</v>
      </c>
      <c r="AO79" s="1">
        <f t="shared" si="23"/>
        <v>4.9574428759951522E-2</v>
      </c>
      <c r="AQ79" s="11">
        <v>295.46537999999998</v>
      </c>
      <c r="AR79" s="1">
        <v>37.5</v>
      </c>
      <c r="AS79" s="12">
        <v>93.580560000000006</v>
      </c>
      <c r="AT79" s="3">
        <f t="shared" si="20"/>
        <v>96.539290000000008</v>
      </c>
      <c r="AU79" s="1">
        <f t="shared" si="22"/>
        <v>5.7788857175195781E-2</v>
      </c>
      <c r="AW79" s="11">
        <v>217.64348000000001</v>
      </c>
      <c r="AX79" s="1">
        <v>37.5</v>
      </c>
      <c r="AY79" s="13">
        <v>97.667519999999996</v>
      </c>
      <c r="AZ79" s="3">
        <f t="shared" si="21"/>
        <v>99.333169999999996</v>
      </c>
    </row>
    <row r="80" spans="2:52" ht="16" x14ac:dyDescent="0.2">
      <c r="B80" s="4">
        <v>199.94238999999999</v>
      </c>
      <c r="C80" s="1">
        <v>38</v>
      </c>
      <c r="D80" s="3">
        <v>99.416340000000005</v>
      </c>
      <c r="E80" s="3">
        <f t="shared" si="14"/>
        <v>100.54278000000001</v>
      </c>
      <c r="I80" s="4">
        <v>225.0069</v>
      </c>
      <c r="J80" s="1">
        <v>38</v>
      </c>
      <c r="K80" s="3">
        <v>95.935699999999997</v>
      </c>
      <c r="L80" s="3">
        <f t="shared" si="15"/>
        <v>99.522769999999994</v>
      </c>
      <c r="M80" s="1">
        <f t="shared" ref="M80:M143" si="27">($L$15-L80)/($L$15*(1-$N$1))</f>
        <v>1.6515993404168511E-2</v>
      </c>
      <c r="P80" s="4">
        <v>225.02054000000001</v>
      </c>
      <c r="Q80" s="1">
        <v>38</v>
      </c>
      <c r="R80" s="3">
        <v>99.752219999999994</v>
      </c>
      <c r="S80" s="3">
        <f t="shared" si="16"/>
        <v>99.676400000000001</v>
      </c>
      <c r="T80" s="1">
        <f t="shared" si="26"/>
        <v>8.1833832328877271E-3</v>
      </c>
      <c r="W80" s="4">
        <v>250.00301999999999</v>
      </c>
      <c r="X80" s="1">
        <v>38</v>
      </c>
      <c r="Y80" s="5">
        <v>93.173869999999994</v>
      </c>
      <c r="Z80" s="3">
        <f t="shared" si="17"/>
        <v>98.614699999999999</v>
      </c>
      <c r="AA80" s="1">
        <f t="shared" si="25"/>
        <v>3.1427000568048896E-2</v>
      </c>
      <c r="AD80" s="4">
        <v>250.01536999999999</v>
      </c>
      <c r="AE80" s="1">
        <v>38</v>
      </c>
      <c r="AF80" s="5">
        <v>99.010490000000004</v>
      </c>
      <c r="AG80" s="3">
        <f t="shared" si="18"/>
        <v>99.271979999999999</v>
      </c>
      <c r="AH80" s="1">
        <f t="shared" si="24"/>
        <v>2.0864306563544984E-2</v>
      </c>
      <c r="AK80" s="11">
        <v>295.45274000000001</v>
      </c>
      <c r="AL80" s="1">
        <v>38</v>
      </c>
      <c r="AM80" s="12">
        <v>94.333870000000005</v>
      </c>
      <c r="AN80" s="3">
        <f t="shared" si="19"/>
        <v>96.920090000000002</v>
      </c>
      <c r="AO80" s="1">
        <f t="shared" si="23"/>
        <v>5.2434414981105015E-2</v>
      </c>
      <c r="AQ80" s="11">
        <v>297.98165</v>
      </c>
      <c r="AR80" s="1">
        <v>38</v>
      </c>
      <c r="AS80" s="13">
        <v>93.343819999999994</v>
      </c>
      <c r="AT80" s="3">
        <f t="shared" si="20"/>
        <v>96.302549999999997</v>
      </c>
      <c r="AU80" s="1">
        <f t="shared" si="22"/>
        <v>6.1739709971982332E-2</v>
      </c>
      <c r="AW80" s="11">
        <v>219.14666</v>
      </c>
      <c r="AX80" s="1">
        <v>38</v>
      </c>
      <c r="AY80" s="12">
        <v>97.669330000000002</v>
      </c>
      <c r="AZ80" s="3">
        <f t="shared" si="21"/>
        <v>99.334980000000002</v>
      </c>
    </row>
    <row r="81" spans="2:52" ht="16" x14ac:dyDescent="0.2">
      <c r="B81" s="4">
        <v>199.94986</v>
      </c>
      <c r="C81" s="1">
        <v>38.5</v>
      </c>
      <c r="D81" s="5">
        <v>99.595060000000004</v>
      </c>
      <c r="E81" s="3">
        <f t="shared" si="14"/>
        <v>100.72150000000001</v>
      </c>
      <c r="I81" s="4">
        <v>225.00702000000001</v>
      </c>
      <c r="J81" s="1">
        <v>38.5</v>
      </c>
      <c r="K81" s="5">
        <v>95.893469999999994</v>
      </c>
      <c r="L81" s="3">
        <f t="shared" si="15"/>
        <v>99.480539999999991</v>
      </c>
      <c r="M81" s="1">
        <f t="shared" si="27"/>
        <v>1.7217137802272672E-2</v>
      </c>
      <c r="P81" s="4">
        <v>225.0162</v>
      </c>
      <c r="Q81" s="1">
        <v>38.5</v>
      </c>
      <c r="R81" s="5">
        <v>99.794359999999998</v>
      </c>
      <c r="S81" s="3">
        <f t="shared" si="16"/>
        <v>99.718540000000004</v>
      </c>
      <c r="T81" s="1">
        <f t="shared" si="26"/>
        <v>7.4812887046512531E-3</v>
      </c>
      <c r="W81" s="4">
        <v>249.99800999999999</v>
      </c>
      <c r="X81" s="1">
        <v>38.5</v>
      </c>
      <c r="Y81" s="3">
        <v>93.141270000000006</v>
      </c>
      <c r="Z81" s="3">
        <f t="shared" si="17"/>
        <v>98.582100000000011</v>
      </c>
      <c r="AA81" s="1">
        <f t="shared" si="25"/>
        <v>3.1968312910740142E-2</v>
      </c>
      <c r="AD81" s="4">
        <v>250.0112</v>
      </c>
      <c r="AE81" s="1">
        <v>38.5</v>
      </c>
      <c r="AF81" s="3">
        <v>99.045000000000002</v>
      </c>
      <c r="AG81" s="3">
        <f t="shared" si="18"/>
        <v>99.306489999999997</v>
      </c>
      <c r="AH81" s="1">
        <f t="shared" si="24"/>
        <v>2.0291401392071494E-2</v>
      </c>
      <c r="AK81" s="11">
        <v>297.96755000000002</v>
      </c>
      <c r="AL81" s="1">
        <v>38.5</v>
      </c>
      <c r="AM81" s="13">
        <v>94.134739999999994</v>
      </c>
      <c r="AN81" s="3">
        <f t="shared" si="19"/>
        <v>96.720959999999991</v>
      </c>
      <c r="AO81" s="1">
        <f t="shared" si="23"/>
        <v>5.5755554800432733E-2</v>
      </c>
      <c r="AQ81" s="11">
        <v>300.49982999999997</v>
      </c>
      <c r="AR81" s="1">
        <v>38.5</v>
      </c>
      <c r="AS81" s="12">
        <v>93.063929999999999</v>
      </c>
      <c r="AT81" s="3">
        <f t="shared" si="20"/>
        <v>96.022660000000002</v>
      </c>
      <c r="AU81" s="1">
        <f t="shared" si="22"/>
        <v>6.6410674698232711E-2</v>
      </c>
      <c r="AW81" s="11">
        <v>220.64559</v>
      </c>
      <c r="AX81" s="1">
        <v>38.5</v>
      </c>
      <c r="AY81" s="13">
        <v>97.667209999999997</v>
      </c>
      <c r="AZ81" s="3">
        <f t="shared" si="21"/>
        <v>99.332859999999997</v>
      </c>
    </row>
    <row r="82" spans="2:52" ht="16" x14ac:dyDescent="0.2">
      <c r="B82" s="4">
        <v>199.94709</v>
      </c>
      <c r="C82" s="1">
        <v>39</v>
      </c>
      <c r="D82" s="3">
        <v>99.395780000000002</v>
      </c>
      <c r="E82" s="3">
        <f t="shared" si="14"/>
        <v>100.52222</v>
      </c>
      <c r="I82" s="4">
        <v>225.0059</v>
      </c>
      <c r="J82" s="1">
        <v>39</v>
      </c>
      <c r="K82" s="3">
        <v>95.868560000000002</v>
      </c>
      <c r="L82" s="3">
        <f t="shared" si="15"/>
        <v>99.455629999999999</v>
      </c>
      <c r="M82" s="1">
        <f t="shared" si="27"/>
        <v>1.7630718360093348E-2</v>
      </c>
      <c r="P82" s="4">
        <v>225.01616999999999</v>
      </c>
      <c r="Q82" s="1">
        <v>39</v>
      </c>
      <c r="R82" s="3">
        <v>99.851420000000005</v>
      </c>
      <c r="S82" s="3">
        <f t="shared" si="16"/>
        <v>99.775600000000011</v>
      </c>
      <c r="T82" s="1">
        <f t="shared" si="26"/>
        <v>6.5306120605797087E-3</v>
      </c>
      <c r="W82" s="4">
        <v>249.99601000000001</v>
      </c>
      <c r="X82" s="1">
        <v>39</v>
      </c>
      <c r="Y82" s="5">
        <v>93.102800000000002</v>
      </c>
      <c r="Z82" s="3">
        <f t="shared" si="17"/>
        <v>98.543630000000007</v>
      </c>
      <c r="AA82" s="1">
        <f t="shared" si="25"/>
        <v>3.2607094684462289E-2</v>
      </c>
      <c r="AD82" s="4">
        <v>250.01107999999999</v>
      </c>
      <c r="AE82" s="1">
        <v>39</v>
      </c>
      <c r="AF82" s="5">
        <v>99.128309999999999</v>
      </c>
      <c r="AG82" s="3">
        <f t="shared" si="18"/>
        <v>99.389799999999994</v>
      </c>
      <c r="AH82" s="1">
        <f t="shared" si="24"/>
        <v>1.8908360828888107E-2</v>
      </c>
      <c r="AK82" s="11">
        <v>300.48444000000001</v>
      </c>
      <c r="AL82" s="1">
        <v>39</v>
      </c>
      <c r="AM82" s="12">
        <v>93.879189999999994</v>
      </c>
      <c r="AN82" s="3">
        <f t="shared" si="19"/>
        <v>96.465409999999991</v>
      </c>
      <c r="AO82" s="1">
        <f t="shared" si="23"/>
        <v>6.0017681455528146E-2</v>
      </c>
      <c r="AQ82" s="11">
        <v>303.00376999999997</v>
      </c>
      <c r="AR82" s="1">
        <v>39</v>
      </c>
      <c r="AS82" s="13">
        <v>92.800359999999998</v>
      </c>
      <c r="AT82" s="3">
        <f t="shared" si="20"/>
        <v>95.75909</v>
      </c>
      <c r="AU82" s="1">
        <f t="shared" si="22"/>
        <v>7.0809281911415889E-2</v>
      </c>
      <c r="AW82" s="11">
        <v>222.14340999999999</v>
      </c>
      <c r="AX82" s="1">
        <v>39</v>
      </c>
      <c r="AY82" s="12">
        <v>97.657849999999996</v>
      </c>
      <c r="AZ82" s="3">
        <f t="shared" si="21"/>
        <v>99.323499999999996</v>
      </c>
    </row>
    <row r="83" spans="2:52" ht="16" x14ac:dyDescent="0.2">
      <c r="B83" s="4">
        <v>199.93655000000001</v>
      </c>
      <c r="C83" s="1">
        <v>39.5</v>
      </c>
      <c r="D83" s="5">
        <v>99.457549999999998</v>
      </c>
      <c r="E83" s="3">
        <f t="shared" si="14"/>
        <v>100.58399</v>
      </c>
      <c r="I83" s="4">
        <v>225.00192000000001</v>
      </c>
      <c r="J83" s="1">
        <v>39.5</v>
      </c>
      <c r="K83" s="5">
        <v>95.843109999999996</v>
      </c>
      <c r="L83" s="3">
        <f t="shared" si="15"/>
        <v>99.430179999999993</v>
      </c>
      <c r="M83" s="1">
        <f t="shared" si="27"/>
        <v>1.8053264534181764E-2</v>
      </c>
      <c r="P83" s="4">
        <v>225.01347999999999</v>
      </c>
      <c r="Q83" s="1">
        <v>39.5</v>
      </c>
      <c r="R83" s="5">
        <v>99.749399999999994</v>
      </c>
      <c r="S83" s="3">
        <f t="shared" si="16"/>
        <v>99.673580000000001</v>
      </c>
      <c r="T83" s="1">
        <f t="shared" si="26"/>
        <v>8.2303672521005077E-3</v>
      </c>
      <c r="W83" s="4">
        <v>249.99700999999999</v>
      </c>
      <c r="X83" s="1">
        <v>39.5</v>
      </c>
      <c r="Y83" s="3">
        <v>93.072069999999997</v>
      </c>
      <c r="Z83" s="3">
        <f t="shared" si="17"/>
        <v>98.512900000000002</v>
      </c>
      <c r="AA83" s="1">
        <f t="shared" si="25"/>
        <v>3.3117356288477964E-2</v>
      </c>
      <c r="AD83" s="4">
        <v>250.01183</v>
      </c>
      <c r="AE83" s="1">
        <v>39.5</v>
      </c>
      <c r="AF83" s="3">
        <v>99.044039999999995</v>
      </c>
      <c r="AG83" s="3">
        <f t="shared" si="18"/>
        <v>99.30552999999999</v>
      </c>
      <c r="AH83" s="1">
        <f t="shared" si="24"/>
        <v>2.0307338481744579E-2</v>
      </c>
      <c r="AK83" s="11">
        <v>302.99624</v>
      </c>
      <c r="AL83" s="1">
        <v>39.5</v>
      </c>
      <c r="AM83" s="13">
        <v>93.645600000000002</v>
      </c>
      <c r="AN83" s="3">
        <f t="shared" si="19"/>
        <v>96.231819999999999</v>
      </c>
      <c r="AO83" s="1">
        <f t="shared" si="23"/>
        <v>6.3913553752001279E-2</v>
      </c>
      <c r="AQ83" s="11">
        <v>305.51647000000003</v>
      </c>
      <c r="AR83" s="1">
        <v>39.5</v>
      </c>
      <c r="AS83" s="12">
        <v>92.495850000000004</v>
      </c>
      <c r="AT83" s="3">
        <f t="shared" si="20"/>
        <v>95.454580000000007</v>
      </c>
      <c r="AU83" s="1">
        <f t="shared" si="22"/>
        <v>7.5891119307501836E-2</v>
      </c>
      <c r="AW83" s="11">
        <v>223.64832999999999</v>
      </c>
      <c r="AX83" s="1">
        <v>39.5</v>
      </c>
      <c r="AY83" s="13">
        <v>97.643900000000002</v>
      </c>
      <c r="AZ83" s="3">
        <f t="shared" si="21"/>
        <v>99.309550000000002</v>
      </c>
    </row>
    <row r="84" spans="2:52" ht="16" x14ac:dyDescent="0.2">
      <c r="B84" s="4">
        <v>199.92549</v>
      </c>
      <c r="C84" s="1">
        <v>40</v>
      </c>
      <c r="D84" s="3">
        <v>99.515910000000005</v>
      </c>
      <c r="E84" s="3">
        <f t="shared" si="14"/>
        <v>100.64235000000001</v>
      </c>
      <c r="I84" s="4">
        <v>225.005</v>
      </c>
      <c r="J84" s="1">
        <v>40</v>
      </c>
      <c r="K84" s="3">
        <v>95.820549999999997</v>
      </c>
      <c r="L84" s="3">
        <f t="shared" si="15"/>
        <v>99.407619999999994</v>
      </c>
      <c r="M84" s="1">
        <f t="shared" si="27"/>
        <v>1.8427828058245881E-2</v>
      </c>
      <c r="P84" s="4">
        <v>225.01155</v>
      </c>
      <c r="Q84" s="1">
        <v>40</v>
      </c>
      <c r="R84" s="3">
        <v>99.855860000000007</v>
      </c>
      <c r="S84" s="3">
        <f t="shared" si="16"/>
        <v>99.780040000000014</v>
      </c>
      <c r="T84" s="1">
        <f t="shared" si="26"/>
        <v>6.4566372218191155E-3</v>
      </c>
      <c r="W84" s="4">
        <v>249.99897999999999</v>
      </c>
      <c r="X84" s="1">
        <v>40</v>
      </c>
      <c r="Y84" s="5">
        <v>93.029949999999999</v>
      </c>
      <c r="Z84" s="3">
        <f t="shared" si="17"/>
        <v>98.470780000000005</v>
      </c>
      <c r="AA84" s="1">
        <f t="shared" si="25"/>
        <v>3.3816745118973729E-2</v>
      </c>
      <c r="AD84" s="4">
        <v>250.01156</v>
      </c>
      <c r="AE84" s="1">
        <v>40</v>
      </c>
      <c r="AF84" s="5">
        <v>98.990830000000003</v>
      </c>
      <c r="AG84" s="3">
        <f t="shared" si="18"/>
        <v>99.252319999999997</v>
      </c>
      <c r="AH84" s="1">
        <f t="shared" si="24"/>
        <v>2.1190684879139617E-2</v>
      </c>
      <c r="AK84" s="11">
        <v>305.50441000000001</v>
      </c>
      <c r="AL84" s="1">
        <v>40</v>
      </c>
      <c r="AM84" s="12">
        <v>93.320890000000006</v>
      </c>
      <c r="AN84" s="3">
        <f t="shared" si="19"/>
        <v>95.907110000000003</v>
      </c>
      <c r="AO84" s="1">
        <f t="shared" si="23"/>
        <v>6.932914814126373E-2</v>
      </c>
      <c r="AQ84" s="11">
        <v>308.03143</v>
      </c>
      <c r="AR84" s="1">
        <v>40</v>
      </c>
      <c r="AS84" s="13">
        <v>92.16525</v>
      </c>
      <c r="AT84" s="3">
        <f t="shared" si="20"/>
        <v>95.123980000000003</v>
      </c>
      <c r="AU84" s="1">
        <f t="shared" si="22"/>
        <v>8.140836157588735E-2</v>
      </c>
      <c r="AW84" s="11">
        <v>225.15063000000001</v>
      </c>
      <c r="AX84" s="1">
        <v>40</v>
      </c>
      <c r="AY84" s="12">
        <v>97.529250000000005</v>
      </c>
      <c r="AZ84" s="3">
        <f t="shared" si="21"/>
        <v>99.194900000000004</v>
      </c>
    </row>
    <row r="85" spans="2:52" ht="16" x14ac:dyDescent="0.2">
      <c r="B85" s="4">
        <v>199.9162</v>
      </c>
      <c r="C85" s="1">
        <v>40.5</v>
      </c>
      <c r="D85" s="5">
        <v>99.529300000000006</v>
      </c>
      <c r="E85" s="3">
        <f t="shared" si="14"/>
        <v>100.65574000000001</v>
      </c>
      <c r="I85" s="4">
        <v>225.00898000000001</v>
      </c>
      <c r="J85" s="1">
        <v>40.5</v>
      </c>
      <c r="K85" s="5">
        <v>95.822620000000001</v>
      </c>
      <c r="L85" s="3">
        <f t="shared" si="15"/>
        <v>99.409689999999998</v>
      </c>
      <c r="M85" s="1">
        <f t="shared" si="27"/>
        <v>1.8393459862553769E-2</v>
      </c>
      <c r="P85" s="4">
        <v>225.01088999999999</v>
      </c>
      <c r="Q85" s="1">
        <v>40.5</v>
      </c>
      <c r="R85" s="5">
        <v>99.724140000000006</v>
      </c>
      <c r="S85" s="3">
        <f t="shared" si="16"/>
        <v>99.648320000000012</v>
      </c>
      <c r="T85" s="1">
        <f t="shared" si="26"/>
        <v>8.6512241050488697E-3</v>
      </c>
      <c r="W85" s="4">
        <v>250.00498999999999</v>
      </c>
      <c r="X85" s="1">
        <v>40.5</v>
      </c>
      <c r="Y85" s="3">
        <v>93.012749999999997</v>
      </c>
      <c r="Z85" s="3">
        <f t="shared" si="17"/>
        <v>98.453580000000002</v>
      </c>
      <c r="AA85" s="1">
        <f t="shared" si="25"/>
        <v>3.4102345496099321E-2</v>
      </c>
      <c r="AD85" s="4">
        <v>250.01664</v>
      </c>
      <c r="AE85" s="1">
        <v>40.5</v>
      </c>
      <c r="AF85" s="3">
        <v>99.11748</v>
      </c>
      <c r="AG85" s="3">
        <f t="shared" si="18"/>
        <v>99.378969999999995</v>
      </c>
      <c r="AH85" s="1">
        <f t="shared" si="24"/>
        <v>1.9088151121761408E-2</v>
      </c>
      <c r="AK85" s="11">
        <v>308.01875000000001</v>
      </c>
      <c r="AL85" s="1">
        <v>40.5</v>
      </c>
      <c r="AM85" s="13">
        <v>93.042199999999994</v>
      </c>
      <c r="AN85" s="3">
        <f t="shared" si="19"/>
        <v>95.628419999999991</v>
      </c>
      <c r="AO85" s="1">
        <f t="shared" si="23"/>
        <v>7.3977209489370144E-2</v>
      </c>
      <c r="AQ85" s="11">
        <v>310.54304999999999</v>
      </c>
      <c r="AR85" s="1">
        <v>40.5</v>
      </c>
      <c r="AS85" s="12">
        <v>91.783910000000006</v>
      </c>
      <c r="AT85" s="3">
        <f t="shared" si="20"/>
        <v>94.742640000000009</v>
      </c>
      <c r="AU85" s="1">
        <f t="shared" si="22"/>
        <v>8.7772382043600827E-2</v>
      </c>
      <c r="AW85" s="11">
        <v>226.64859000000001</v>
      </c>
      <c r="AX85" s="1">
        <v>40.5</v>
      </c>
      <c r="AY85" s="13">
        <v>97.514719999999997</v>
      </c>
      <c r="AZ85" s="3">
        <f t="shared" si="21"/>
        <v>99.180369999999996</v>
      </c>
    </row>
    <row r="86" spans="2:52" ht="16" x14ac:dyDescent="0.2">
      <c r="B86" s="4">
        <v>199.91752</v>
      </c>
      <c r="C86" s="1">
        <v>41</v>
      </c>
      <c r="D86" s="3">
        <v>99.469380000000001</v>
      </c>
      <c r="E86" s="3">
        <f t="shared" si="14"/>
        <v>100.59582</v>
      </c>
      <c r="I86" s="4">
        <v>225.00503</v>
      </c>
      <c r="J86" s="1">
        <v>41</v>
      </c>
      <c r="K86" s="3">
        <v>95.791669999999996</v>
      </c>
      <c r="L86" s="3">
        <f t="shared" si="15"/>
        <v>99.378739999999993</v>
      </c>
      <c r="M86" s="1">
        <f t="shared" si="27"/>
        <v>1.8907322498625874E-2</v>
      </c>
      <c r="P86" s="4">
        <v>225.01188999999999</v>
      </c>
      <c r="Q86" s="1">
        <v>41</v>
      </c>
      <c r="R86" s="3">
        <v>99.664060000000006</v>
      </c>
      <c r="S86" s="3">
        <f t="shared" si="16"/>
        <v>99.588240000000013</v>
      </c>
      <c r="T86" s="1">
        <f t="shared" si="26"/>
        <v>9.6522169682772378E-3</v>
      </c>
      <c r="W86" s="4">
        <v>250.00301999999999</v>
      </c>
      <c r="X86" s="1">
        <v>41</v>
      </c>
      <c r="Y86" s="5">
        <v>92.981859999999998</v>
      </c>
      <c r="Z86" s="3">
        <f t="shared" si="17"/>
        <v>98.422690000000003</v>
      </c>
      <c r="AA86" s="1">
        <f t="shared" si="25"/>
        <v>3.4615263847809087E-2</v>
      </c>
      <c r="AD86" s="4">
        <v>250.01721000000001</v>
      </c>
      <c r="AE86" s="1">
        <v>41</v>
      </c>
      <c r="AF86" s="5">
        <v>99.033860000000004</v>
      </c>
      <c r="AG86" s="3">
        <f t="shared" si="18"/>
        <v>99.295349999999999</v>
      </c>
      <c r="AH86" s="1">
        <f t="shared" si="24"/>
        <v>2.047633803681834E-2</v>
      </c>
      <c r="AK86" s="11">
        <v>310.53223000000003</v>
      </c>
      <c r="AL86" s="1">
        <v>41</v>
      </c>
      <c r="AM86" s="12">
        <v>92.73048</v>
      </c>
      <c r="AN86" s="3">
        <f t="shared" si="19"/>
        <v>95.316699999999997</v>
      </c>
      <c r="AO86" s="1">
        <f t="shared" si="23"/>
        <v>7.9176153417862882E-2</v>
      </c>
      <c r="AQ86" s="11">
        <v>313.05077</v>
      </c>
      <c r="AR86" s="1">
        <v>41</v>
      </c>
      <c r="AS86" s="13">
        <v>91.362549999999999</v>
      </c>
      <c r="AT86" s="3">
        <f t="shared" si="20"/>
        <v>94.321280000000002</v>
      </c>
      <c r="AU86" s="1">
        <f t="shared" si="22"/>
        <v>9.4804279206961176E-2</v>
      </c>
      <c r="AW86" s="11">
        <v>228.15243000000001</v>
      </c>
      <c r="AX86" s="1">
        <v>41</v>
      </c>
      <c r="AY86" s="12">
        <v>97.550719999999998</v>
      </c>
      <c r="AZ86" s="3">
        <f t="shared" si="21"/>
        <v>99.216369999999998</v>
      </c>
    </row>
    <row r="87" spans="2:52" ht="16" x14ac:dyDescent="0.2">
      <c r="B87" s="4">
        <v>199.93911</v>
      </c>
      <c r="C87" s="1">
        <v>41.5</v>
      </c>
      <c r="D87" s="5">
        <v>99.46208</v>
      </c>
      <c r="E87" s="3">
        <f t="shared" si="14"/>
        <v>100.58852</v>
      </c>
      <c r="I87" s="4">
        <v>225.00599</v>
      </c>
      <c r="J87" s="1">
        <v>41.5</v>
      </c>
      <c r="K87" s="5">
        <v>95.795609999999996</v>
      </c>
      <c r="L87" s="3">
        <f t="shared" si="15"/>
        <v>99.382679999999993</v>
      </c>
      <c r="M87" s="1">
        <f t="shared" si="27"/>
        <v>1.8841906705859352E-2</v>
      </c>
      <c r="P87" s="4">
        <v>225.01481999999999</v>
      </c>
      <c r="Q87" s="1">
        <v>41.5</v>
      </c>
      <c r="R87" s="5">
        <v>99.655559999999994</v>
      </c>
      <c r="S87" s="3">
        <f t="shared" si="16"/>
        <v>99.579740000000001</v>
      </c>
      <c r="T87" s="1">
        <f t="shared" si="26"/>
        <v>9.7938354659046246E-3</v>
      </c>
      <c r="W87" s="4">
        <v>249.99796000000001</v>
      </c>
      <c r="X87" s="1">
        <v>41.5</v>
      </c>
      <c r="Y87" s="3">
        <v>92.97627</v>
      </c>
      <c r="Z87" s="3">
        <f t="shared" si="17"/>
        <v>98.417100000000005</v>
      </c>
      <c r="AA87" s="1">
        <f t="shared" si="25"/>
        <v>3.4708083970374858E-2</v>
      </c>
      <c r="AD87" s="4">
        <v>250.01629</v>
      </c>
      <c r="AE87" s="1">
        <v>41.5</v>
      </c>
      <c r="AF87" s="3">
        <v>99.045969999999997</v>
      </c>
      <c r="AG87" s="3">
        <f t="shared" si="18"/>
        <v>99.307459999999992</v>
      </c>
      <c r="AH87" s="1">
        <f t="shared" si="24"/>
        <v>2.0275298291047829E-2</v>
      </c>
      <c r="AK87" s="11">
        <v>313.05025000000001</v>
      </c>
      <c r="AL87" s="1">
        <v>41.5</v>
      </c>
      <c r="AM87" s="13">
        <v>92.36045</v>
      </c>
      <c r="AN87" s="3">
        <f t="shared" si="19"/>
        <v>94.946669999999997</v>
      </c>
      <c r="AO87" s="1">
        <f t="shared" si="23"/>
        <v>8.5347606073644375E-2</v>
      </c>
      <c r="AQ87" s="11">
        <v>315.57213000000002</v>
      </c>
      <c r="AR87" s="1">
        <v>41.5</v>
      </c>
      <c r="AS87" s="12">
        <v>90.936049999999994</v>
      </c>
      <c r="AT87" s="3">
        <f t="shared" si="20"/>
        <v>93.894779999999997</v>
      </c>
      <c r="AU87" s="1">
        <f t="shared" si="22"/>
        <v>0.10192195563607918</v>
      </c>
      <c r="AW87" s="11">
        <v>229.64769000000001</v>
      </c>
      <c r="AX87" s="1">
        <v>41.5</v>
      </c>
      <c r="AY87" s="13">
        <v>97.502780000000001</v>
      </c>
      <c r="AZ87" s="3">
        <f t="shared" si="21"/>
        <v>99.168430000000001</v>
      </c>
    </row>
    <row r="88" spans="2:52" ht="16" x14ac:dyDescent="0.2">
      <c r="B88" s="4">
        <v>199.98310000000001</v>
      </c>
      <c r="C88" s="1">
        <v>42</v>
      </c>
      <c r="D88" s="3">
        <v>99.427390000000003</v>
      </c>
      <c r="E88" s="3">
        <f t="shared" si="14"/>
        <v>100.55383</v>
      </c>
      <c r="I88" s="4">
        <v>225.00400999999999</v>
      </c>
      <c r="J88" s="1">
        <v>42</v>
      </c>
      <c r="K88" s="3">
        <v>95.753889999999998</v>
      </c>
      <c r="L88" s="3">
        <f t="shared" si="15"/>
        <v>99.340959999999995</v>
      </c>
      <c r="M88" s="1">
        <f t="shared" si="27"/>
        <v>1.9534583577488565E-2</v>
      </c>
      <c r="P88" s="4">
        <v>225.01857999999999</v>
      </c>
      <c r="Q88" s="1">
        <v>42</v>
      </c>
      <c r="R88" s="3">
        <v>99.542609999999996</v>
      </c>
      <c r="S88" s="3">
        <f t="shared" si="16"/>
        <v>99.466790000000003</v>
      </c>
      <c r="T88" s="1">
        <f t="shared" si="26"/>
        <v>1.1675695384374057E-2</v>
      </c>
      <c r="W88" s="4">
        <v>249.99600000000001</v>
      </c>
      <c r="X88" s="1">
        <v>42</v>
      </c>
      <c r="Y88" s="5">
        <v>92.947519999999997</v>
      </c>
      <c r="Z88" s="3">
        <f t="shared" si="17"/>
        <v>98.388350000000003</v>
      </c>
      <c r="AA88" s="1">
        <f t="shared" si="25"/>
        <v>3.5185468321674865E-2</v>
      </c>
      <c r="AD88" s="4">
        <v>250.01512</v>
      </c>
      <c r="AE88" s="1">
        <v>42</v>
      </c>
      <c r="AF88" s="5">
        <v>98.933359999999993</v>
      </c>
      <c r="AG88" s="3">
        <f t="shared" si="18"/>
        <v>99.194849999999988</v>
      </c>
      <c r="AH88" s="1">
        <f t="shared" si="24"/>
        <v>2.2144752111958779E-2</v>
      </c>
      <c r="AK88" s="11">
        <v>315.56031000000002</v>
      </c>
      <c r="AL88" s="1">
        <v>42</v>
      </c>
      <c r="AM88" s="12">
        <v>91.945999999999998</v>
      </c>
      <c r="AN88" s="3">
        <f t="shared" si="19"/>
        <v>94.532219999999995</v>
      </c>
      <c r="AO88" s="1">
        <f t="shared" si="23"/>
        <v>9.2259906571411171E-2</v>
      </c>
      <c r="AQ88" s="11">
        <v>318.09386000000001</v>
      </c>
      <c r="AR88" s="1">
        <v>42</v>
      </c>
      <c r="AS88" s="13">
        <v>90.477829999999997</v>
      </c>
      <c r="AT88" s="3">
        <f t="shared" si="20"/>
        <v>93.43656</v>
      </c>
      <c r="AU88" s="1">
        <f t="shared" si="22"/>
        <v>0.10956899360407545</v>
      </c>
      <c r="AW88" s="11">
        <v>231.14846</v>
      </c>
      <c r="AX88" s="1">
        <v>42</v>
      </c>
      <c r="AY88" s="12">
        <v>97.55001</v>
      </c>
      <c r="AZ88" s="3">
        <f t="shared" si="21"/>
        <v>99.21566</v>
      </c>
    </row>
    <row r="89" spans="2:52" ht="16" x14ac:dyDescent="0.2">
      <c r="B89" s="4">
        <v>200.03607</v>
      </c>
      <c r="C89" s="1">
        <v>42.5</v>
      </c>
      <c r="D89" s="5">
        <v>99.382739999999998</v>
      </c>
      <c r="E89" s="3">
        <f t="shared" si="14"/>
        <v>100.50918</v>
      </c>
      <c r="I89" s="4">
        <v>225.00502</v>
      </c>
      <c r="J89" s="1">
        <v>42.5</v>
      </c>
      <c r="K89" s="5">
        <v>95.744519999999994</v>
      </c>
      <c r="L89" s="3">
        <f t="shared" si="15"/>
        <v>99.331589999999991</v>
      </c>
      <c r="M89" s="1">
        <f t="shared" si="27"/>
        <v>1.9690153622722719E-2</v>
      </c>
      <c r="P89" s="4">
        <v>225.02205000000001</v>
      </c>
      <c r="Q89" s="1">
        <v>42.5</v>
      </c>
      <c r="R89" s="5">
        <v>99.834940000000003</v>
      </c>
      <c r="S89" s="3">
        <f t="shared" si="16"/>
        <v>99.75912000000001</v>
      </c>
      <c r="T89" s="1">
        <f t="shared" si="26"/>
        <v>6.805185335979261E-3</v>
      </c>
      <c r="W89" s="4">
        <v>249.99794</v>
      </c>
      <c r="X89" s="1">
        <v>42.5</v>
      </c>
      <c r="Y89" s="3">
        <v>92.90155</v>
      </c>
      <c r="Z89" s="3">
        <f t="shared" si="17"/>
        <v>98.342380000000006</v>
      </c>
      <c r="AA89" s="1">
        <f t="shared" si="25"/>
        <v>3.5948785143562111E-2</v>
      </c>
      <c r="AD89" s="4">
        <v>250.01267999999999</v>
      </c>
      <c r="AE89" s="1">
        <v>42.5</v>
      </c>
      <c r="AF89" s="3">
        <v>98.953159999999997</v>
      </c>
      <c r="AG89" s="3">
        <f t="shared" si="18"/>
        <v>99.214649999999992</v>
      </c>
      <c r="AH89" s="1">
        <f t="shared" si="24"/>
        <v>2.1816049637453476E-2</v>
      </c>
      <c r="AK89" s="11">
        <v>318.07330000000002</v>
      </c>
      <c r="AL89" s="1">
        <v>42.5</v>
      </c>
      <c r="AM89" s="13">
        <v>91.499030000000005</v>
      </c>
      <c r="AN89" s="3">
        <f t="shared" si="19"/>
        <v>94.085250000000002</v>
      </c>
      <c r="AO89" s="1">
        <f t="shared" si="23"/>
        <v>9.9714583742328694E-2</v>
      </c>
      <c r="AQ89" s="11">
        <v>320.61410000000001</v>
      </c>
      <c r="AR89" s="1">
        <v>42.5</v>
      </c>
      <c r="AS89" s="12">
        <v>89.947270000000003</v>
      </c>
      <c r="AT89" s="3">
        <f t="shared" si="20"/>
        <v>92.906000000000006</v>
      </c>
      <c r="AU89" s="1">
        <f t="shared" si="22"/>
        <v>0.11842328295045944</v>
      </c>
      <c r="AW89" s="11">
        <v>232.65036000000001</v>
      </c>
      <c r="AX89" s="1">
        <v>42.5</v>
      </c>
      <c r="AY89" s="13">
        <v>97.520420000000001</v>
      </c>
      <c r="AZ89" s="3">
        <f t="shared" si="21"/>
        <v>99.186070000000001</v>
      </c>
    </row>
    <row r="90" spans="2:52" ht="16" x14ac:dyDescent="0.2">
      <c r="B90" s="4">
        <v>200.07974999999999</v>
      </c>
      <c r="C90" s="1">
        <v>43</v>
      </c>
      <c r="D90" s="3">
        <v>99.5227</v>
      </c>
      <c r="E90" s="3">
        <f t="shared" si="14"/>
        <v>100.64914</v>
      </c>
      <c r="I90" s="4">
        <v>225.00697</v>
      </c>
      <c r="J90" s="1">
        <v>43</v>
      </c>
      <c r="K90" s="3">
        <v>95.728629999999995</v>
      </c>
      <c r="L90" s="3">
        <f t="shared" si="15"/>
        <v>99.315699999999993</v>
      </c>
      <c r="M90" s="1">
        <f t="shared" si="27"/>
        <v>1.9953975182890216E-2</v>
      </c>
      <c r="P90" s="4">
        <v>225.02348000000001</v>
      </c>
      <c r="Q90" s="1">
        <v>43</v>
      </c>
      <c r="R90" s="3">
        <v>99.726609999999994</v>
      </c>
      <c r="S90" s="3">
        <f t="shared" si="16"/>
        <v>99.650790000000001</v>
      </c>
      <c r="T90" s="1">
        <f t="shared" si="26"/>
        <v>8.6100714357385793E-3</v>
      </c>
      <c r="W90" s="4">
        <v>250.00507999999999</v>
      </c>
      <c r="X90" s="1">
        <v>43</v>
      </c>
      <c r="Y90" s="5">
        <v>92.872749999999996</v>
      </c>
      <c r="Z90" s="3">
        <f t="shared" si="17"/>
        <v>98.313580000000002</v>
      </c>
      <c r="AA90" s="1">
        <f t="shared" si="25"/>
        <v>3.6426999728516582E-2</v>
      </c>
      <c r="AD90" s="4">
        <v>250.01091</v>
      </c>
      <c r="AE90" s="1">
        <v>43</v>
      </c>
      <c r="AF90" s="5">
        <v>98.99597</v>
      </c>
      <c r="AG90" s="3">
        <f t="shared" si="18"/>
        <v>99.257459999999995</v>
      </c>
      <c r="AH90" s="1">
        <f t="shared" si="24"/>
        <v>2.1105355044848905E-2</v>
      </c>
      <c r="AK90" s="11">
        <v>320.59811000000002</v>
      </c>
      <c r="AL90" s="1">
        <v>43</v>
      </c>
      <c r="AM90" s="12">
        <v>91.042090000000002</v>
      </c>
      <c r="AN90" s="3">
        <f t="shared" si="19"/>
        <v>93.628309999999999</v>
      </c>
      <c r="AO90" s="1">
        <f t="shared" si="23"/>
        <v>0.10733554306058077</v>
      </c>
      <c r="AQ90" s="11">
        <v>323.13943</v>
      </c>
      <c r="AR90" s="1">
        <v>43</v>
      </c>
      <c r="AS90" s="13">
        <v>89.368260000000006</v>
      </c>
      <c r="AT90" s="3">
        <f t="shared" si="20"/>
        <v>92.326990000000009</v>
      </c>
      <c r="AU90" s="1">
        <f t="shared" si="22"/>
        <v>0.12808613366376204</v>
      </c>
      <c r="AW90" s="11">
        <v>234.14982000000001</v>
      </c>
      <c r="AX90" s="1">
        <v>43</v>
      </c>
      <c r="AY90" s="12">
        <v>97.430570000000003</v>
      </c>
      <c r="AZ90" s="3">
        <f t="shared" si="21"/>
        <v>99.096220000000002</v>
      </c>
    </row>
    <row r="91" spans="2:52" ht="16" x14ac:dyDescent="0.2">
      <c r="B91" s="4">
        <v>200.10410999999999</v>
      </c>
      <c r="C91" s="1">
        <v>43.5</v>
      </c>
      <c r="D91" s="5">
        <v>99.261070000000004</v>
      </c>
      <c r="E91" s="3">
        <f t="shared" si="14"/>
        <v>100.38751000000001</v>
      </c>
      <c r="I91" s="4">
        <v>225.00308000000001</v>
      </c>
      <c r="J91" s="1">
        <v>43.5</v>
      </c>
      <c r="K91" s="5">
        <v>95.694749999999999</v>
      </c>
      <c r="L91" s="3">
        <f t="shared" si="15"/>
        <v>99.281819999999996</v>
      </c>
      <c r="M91" s="1">
        <f t="shared" si="27"/>
        <v>2.0516484588709881E-2</v>
      </c>
      <c r="P91" s="4">
        <v>225.01437999999999</v>
      </c>
      <c r="Q91" s="1">
        <v>43.5</v>
      </c>
      <c r="R91" s="5">
        <v>99.767510000000001</v>
      </c>
      <c r="S91" s="3">
        <f t="shared" si="16"/>
        <v>99.691690000000008</v>
      </c>
      <c r="T91" s="1">
        <f t="shared" si="26"/>
        <v>7.9286365471558807E-3</v>
      </c>
      <c r="W91" s="4">
        <v>250.00199000000001</v>
      </c>
      <c r="X91" s="1">
        <v>43.5</v>
      </c>
      <c r="Y91" s="3">
        <v>92.853489999999994</v>
      </c>
      <c r="Z91" s="3">
        <f t="shared" si="17"/>
        <v>98.294319999999999</v>
      </c>
      <c r="AA91" s="1">
        <f t="shared" si="25"/>
        <v>3.6746805732204881E-2</v>
      </c>
      <c r="AD91" s="4">
        <v>250.0102</v>
      </c>
      <c r="AE91" s="1">
        <v>43.5</v>
      </c>
      <c r="AF91" s="3">
        <v>98.938929999999999</v>
      </c>
      <c r="AG91" s="3">
        <f t="shared" si="18"/>
        <v>99.200419999999994</v>
      </c>
      <c r="AH91" s="1">
        <f t="shared" si="24"/>
        <v>2.2052283789585236E-2</v>
      </c>
      <c r="AK91" s="11">
        <v>323.11387000000002</v>
      </c>
      <c r="AL91" s="1">
        <v>43.5</v>
      </c>
      <c r="AM91" s="13">
        <v>90.531620000000004</v>
      </c>
      <c r="AN91" s="3">
        <f t="shared" si="19"/>
        <v>93.117840000000001</v>
      </c>
      <c r="AO91" s="1">
        <f t="shared" si="23"/>
        <v>0.115849289073598</v>
      </c>
      <c r="AQ91" s="11">
        <v>325.66269999999997</v>
      </c>
      <c r="AR91" s="1">
        <v>43.5</v>
      </c>
      <c r="AS91" s="12">
        <v>88.751289999999997</v>
      </c>
      <c r="AT91" s="3">
        <f t="shared" si="20"/>
        <v>91.71002</v>
      </c>
      <c r="AU91" s="1">
        <f t="shared" si="22"/>
        <v>0.138382482612116</v>
      </c>
      <c r="AW91" s="11">
        <v>235.65527</v>
      </c>
      <c r="AX91" s="1">
        <v>43.5</v>
      </c>
      <c r="AY91" s="13">
        <v>97.433970000000002</v>
      </c>
      <c r="AZ91" s="3">
        <f t="shared" si="21"/>
        <v>99.099620000000002</v>
      </c>
    </row>
    <row r="92" spans="2:52" ht="16" x14ac:dyDescent="0.2">
      <c r="B92" s="4">
        <v>200.10308000000001</v>
      </c>
      <c r="C92" s="1">
        <v>44</v>
      </c>
      <c r="D92" s="3">
        <v>99.528009999999995</v>
      </c>
      <c r="E92" s="3">
        <f t="shared" si="14"/>
        <v>100.65445</v>
      </c>
      <c r="I92" s="4">
        <v>225.00409999999999</v>
      </c>
      <c r="J92" s="1">
        <v>44</v>
      </c>
      <c r="K92" s="3">
        <v>95.662450000000007</v>
      </c>
      <c r="L92" s="3">
        <f t="shared" si="15"/>
        <v>99.249520000000004</v>
      </c>
      <c r="M92" s="1">
        <f t="shared" si="27"/>
        <v>2.1052761265450515E-2</v>
      </c>
      <c r="P92" s="4">
        <v>225.01157000000001</v>
      </c>
      <c r="Q92" s="1">
        <v>44</v>
      </c>
      <c r="R92" s="3">
        <v>99.645669999999996</v>
      </c>
      <c r="S92" s="3">
        <f t="shared" si="16"/>
        <v>99.569850000000002</v>
      </c>
      <c r="T92" s="1">
        <f t="shared" si="26"/>
        <v>9.9586127531437613E-3</v>
      </c>
      <c r="W92" s="4">
        <v>250</v>
      </c>
      <c r="X92" s="1">
        <v>44</v>
      </c>
      <c r="Y92" s="5">
        <v>92.834320000000005</v>
      </c>
      <c r="Z92" s="3">
        <f t="shared" si="17"/>
        <v>98.275150000000011</v>
      </c>
      <c r="AA92" s="1">
        <f t="shared" si="25"/>
        <v>3.7065117315314963E-2</v>
      </c>
      <c r="AD92" s="4">
        <v>250.00572</v>
      </c>
      <c r="AE92" s="1">
        <v>44</v>
      </c>
      <c r="AF92" s="5">
        <v>98.972629999999995</v>
      </c>
      <c r="AG92" s="3">
        <f t="shared" si="18"/>
        <v>99.23411999999999</v>
      </c>
      <c r="AH92" s="1">
        <f t="shared" si="24"/>
        <v>2.1492825537523345E-2</v>
      </c>
      <c r="AK92" s="11">
        <v>325.64317999999997</v>
      </c>
      <c r="AL92" s="1">
        <v>44</v>
      </c>
      <c r="AM92" s="12">
        <v>89.929000000000002</v>
      </c>
      <c r="AN92" s="3">
        <f t="shared" si="19"/>
        <v>92.515219999999999</v>
      </c>
      <c r="AO92" s="1">
        <f t="shared" si="23"/>
        <v>0.1258999357763709</v>
      </c>
      <c r="AQ92" s="11">
        <v>328.18781000000001</v>
      </c>
      <c r="AR92" s="1">
        <v>44</v>
      </c>
      <c r="AS92" s="13">
        <v>88.035529999999994</v>
      </c>
      <c r="AT92" s="3">
        <f t="shared" si="20"/>
        <v>90.994259999999997</v>
      </c>
      <c r="AU92" s="1">
        <f t="shared" si="22"/>
        <v>0.15032749569747469</v>
      </c>
      <c r="AW92" s="11">
        <v>237.16457</v>
      </c>
      <c r="AX92" s="1">
        <v>44</v>
      </c>
      <c r="AY92" s="12">
        <v>97.401979999999995</v>
      </c>
      <c r="AZ92" s="3">
        <f t="shared" si="21"/>
        <v>99.067629999999994</v>
      </c>
    </row>
    <row r="93" spans="2:52" ht="16" x14ac:dyDescent="0.2">
      <c r="B93" s="4">
        <v>200.08676</v>
      </c>
      <c r="C93" s="1">
        <v>44.5</v>
      </c>
      <c r="D93" s="5">
        <v>99.486329999999995</v>
      </c>
      <c r="E93" s="3">
        <f t="shared" si="14"/>
        <v>100.61277</v>
      </c>
      <c r="I93" s="4">
        <v>225.00592</v>
      </c>
      <c r="J93" s="1">
        <v>44.5</v>
      </c>
      <c r="K93" s="5">
        <v>95.649500000000003</v>
      </c>
      <c r="L93" s="3">
        <f t="shared" si="15"/>
        <v>99.23657</v>
      </c>
      <c r="M93" s="1">
        <f t="shared" si="27"/>
        <v>2.126777002593952E-2</v>
      </c>
      <c r="P93" s="4">
        <v>225.01253</v>
      </c>
      <c r="Q93" s="1">
        <v>44.5</v>
      </c>
      <c r="R93" s="5">
        <v>99.782790000000006</v>
      </c>
      <c r="S93" s="3">
        <f t="shared" si="16"/>
        <v>99.706970000000013</v>
      </c>
      <c r="T93" s="1">
        <f t="shared" si="26"/>
        <v>7.6740564714212964E-3</v>
      </c>
      <c r="W93" s="4">
        <v>249.99802</v>
      </c>
      <c r="X93" s="1">
        <v>44.5</v>
      </c>
      <c r="Y93" s="3">
        <v>92.815179999999998</v>
      </c>
      <c r="Z93" s="3">
        <f t="shared" si="17"/>
        <v>98.256010000000003</v>
      </c>
      <c r="AA93" s="1">
        <f t="shared" si="25"/>
        <v>3.7382930758232701E-2</v>
      </c>
      <c r="AD93" s="4">
        <v>250.00758999999999</v>
      </c>
      <c r="AE93" s="1">
        <v>44.5</v>
      </c>
      <c r="AF93" s="3">
        <v>98.866699999999994</v>
      </c>
      <c r="AG93" s="3">
        <f t="shared" si="18"/>
        <v>99.128189999999989</v>
      </c>
      <c r="AH93" s="1">
        <f t="shared" si="24"/>
        <v>2.3251383776126417E-2</v>
      </c>
      <c r="AK93" s="11">
        <v>328.17275999999998</v>
      </c>
      <c r="AL93" s="1">
        <v>44.5</v>
      </c>
      <c r="AM93" s="13">
        <v>89.311239999999998</v>
      </c>
      <c r="AN93" s="3">
        <f t="shared" si="19"/>
        <v>91.897459999999995</v>
      </c>
      <c r="AO93" s="1">
        <f t="shared" si="23"/>
        <v>0.13620309117629953</v>
      </c>
      <c r="AQ93" s="11">
        <v>330.71364999999997</v>
      </c>
      <c r="AR93" s="1">
        <v>44.5</v>
      </c>
      <c r="AS93" s="12">
        <v>87.284530000000004</v>
      </c>
      <c r="AT93" s="3">
        <f t="shared" si="20"/>
        <v>90.243260000000006</v>
      </c>
      <c r="AU93" s="1">
        <f t="shared" si="22"/>
        <v>0.16286061409903976</v>
      </c>
      <c r="AW93" s="11">
        <v>238.66351</v>
      </c>
      <c r="AX93" s="1">
        <v>44.5</v>
      </c>
      <c r="AY93" s="13">
        <v>97.368610000000004</v>
      </c>
      <c r="AZ93" s="3">
        <f t="shared" si="21"/>
        <v>99.034260000000003</v>
      </c>
    </row>
    <row r="94" spans="2:52" ht="16" x14ac:dyDescent="0.2">
      <c r="B94" s="4">
        <v>200.06370999999999</v>
      </c>
      <c r="C94" s="1">
        <v>45</v>
      </c>
      <c r="D94" s="3">
        <v>99.426649999999995</v>
      </c>
      <c r="E94" s="3">
        <f t="shared" si="14"/>
        <v>100.55309</v>
      </c>
      <c r="I94" s="4">
        <v>225.00792000000001</v>
      </c>
      <c r="J94" s="1">
        <v>45</v>
      </c>
      <c r="K94" s="3">
        <v>95.650959999999998</v>
      </c>
      <c r="L94" s="3">
        <f t="shared" si="15"/>
        <v>99.238029999999995</v>
      </c>
      <c r="M94" s="1">
        <f t="shared" si="27"/>
        <v>2.1243529656031206E-2</v>
      </c>
      <c r="P94" s="4">
        <v>225.01844</v>
      </c>
      <c r="Q94" s="1">
        <v>45</v>
      </c>
      <c r="R94" s="3">
        <v>99.709569999999999</v>
      </c>
      <c r="S94" s="3">
        <f t="shared" si="16"/>
        <v>99.633750000000006</v>
      </c>
      <c r="T94" s="1">
        <f t="shared" si="26"/>
        <v>8.8939748709816885E-3</v>
      </c>
      <c r="W94" s="4">
        <v>249.99597</v>
      </c>
      <c r="X94" s="1">
        <v>45</v>
      </c>
      <c r="Y94" s="5">
        <v>92.788250000000005</v>
      </c>
      <c r="Z94" s="3">
        <f t="shared" si="17"/>
        <v>98.22908000000001</v>
      </c>
      <c r="AA94" s="1">
        <f t="shared" si="25"/>
        <v>3.783009460451113E-2</v>
      </c>
      <c r="AD94" s="4">
        <v>250.01213000000001</v>
      </c>
      <c r="AE94" s="1">
        <v>45</v>
      </c>
      <c r="AF94" s="5">
        <v>98.912310000000005</v>
      </c>
      <c r="AG94" s="3">
        <f t="shared" si="18"/>
        <v>99.1738</v>
      </c>
      <c r="AH94" s="1">
        <f t="shared" si="24"/>
        <v>2.2494206005308857E-2</v>
      </c>
      <c r="AK94" s="11">
        <v>330.69540999999998</v>
      </c>
      <c r="AL94" s="1">
        <v>45</v>
      </c>
      <c r="AM94" s="12">
        <v>88.628309999999999</v>
      </c>
      <c r="AN94" s="3">
        <f t="shared" si="19"/>
        <v>91.214529999999996</v>
      </c>
      <c r="AO94" s="1">
        <f t="shared" si="23"/>
        <v>0.14759316809496248</v>
      </c>
      <c r="AQ94" s="11">
        <v>333.24099000000001</v>
      </c>
      <c r="AR94" s="1">
        <v>45</v>
      </c>
      <c r="AS94" s="13">
        <v>86.445459999999997</v>
      </c>
      <c r="AT94" s="3">
        <f t="shared" si="20"/>
        <v>89.40419</v>
      </c>
      <c r="AU94" s="1">
        <f t="shared" si="22"/>
        <v>0.17686349513392849</v>
      </c>
      <c r="AW94" s="11">
        <v>240.16555</v>
      </c>
      <c r="AX94" s="1">
        <v>45</v>
      </c>
      <c r="AY94" s="12">
        <v>97.375129999999999</v>
      </c>
      <c r="AZ94" s="3">
        <f t="shared" si="21"/>
        <v>99.040779999999998</v>
      </c>
    </row>
    <row r="95" spans="2:52" ht="16" x14ac:dyDescent="0.2">
      <c r="B95" s="4">
        <v>200.03886</v>
      </c>
      <c r="C95" s="1">
        <v>45.5</v>
      </c>
      <c r="D95" s="5">
        <v>99.499449999999996</v>
      </c>
      <c r="E95" s="3">
        <f t="shared" si="14"/>
        <v>100.62589</v>
      </c>
      <c r="I95" s="4">
        <v>225.00505999999999</v>
      </c>
      <c r="J95" s="1">
        <v>45.5</v>
      </c>
      <c r="K95" s="5">
        <v>95.623630000000006</v>
      </c>
      <c r="L95" s="3">
        <f t="shared" si="15"/>
        <v>99.210700000000003</v>
      </c>
      <c r="M95" s="1">
        <f t="shared" si="27"/>
        <v>2.1697289457124729E-2</v>
      </c>
      <c r="P95" s="4">
        <v>225.02211</v>
      </c>
      <c r="Q95" s="1">
        <v>45.5</v>
      </c>
      <c r="R95" s="5">
        <v>99.798230000000004</v>
      </c>
      <c r="S95" s="3">
        <f t="shared" si="16"/>
        <v>99.722410000000011</v>
      </c>
      <c r="T95" s="1">
        <f t="shared" si="26"/>
        <v>7.4168106357314781E-3</v>
      </c>
      <c r="W95" s="4">
        <v>249.99701999999999</v>
      </c>
      <c r="X95" s="1">
        <v>45.5</v>
      </c>
      <c r="Y95" s="3">
        <v>92.759640000000005</v>
      </c>
      <c r="Z95" s="3">
        <f t="shared" si="17"/>
        <v>98.20047000000001</v>
      </c>
      <c r="AA95" s="1">
        <f t="shared" si="25"/>
        <v>3.8305154301578694E-2</v>
      </c>
      <c r="AD95" s="4">
        <v>250.01255</v>
      </c>
      <c r="AE95" s="1">
        <v>45.5</v>
      </c>
      <c r="AF95" s="3">
        <v>98.9024</v>
      </c>
      <c r="AG95" s="3">
        <f t="shared" si="18"/>
        <v>99.163889999999995</v>
      </c>
      <c r="AH95" s="1">
        <f t="shared" si="24"/>
        <v>2.265872325391232E-2</v>
      </c>
      <c r="AK95" s="11">
        <v>333.22293000000002</v>
      </c>
      <c r="AL95" s="1">
        <v>45.5</v>
      </c>
      <c r="AM95" s="13">
        <v>87.853700000000003</v>
      </c>
      <c r="AN95" s="3">
        <f t="shared" si="19"/>
        <v>90.439920000000001</v>
      </c>
      <c r="AO95" s="1">
        <f t="shared" si="23"/>
        <v>0.16051230692612448</v>
      </c>
      <c r="AQ95" s="11">
        <v>335.77361000000002</v>
      </c>
      <c r="AR95" s="1">
        <v>45.5</v>
      </c>
      <c r="AS95" s="12">
        <v>85.546819999999997</v>
      </c>
      <c r="AT95" s="3">
        <f t="shared" si="20"/>
        <v>88.505549999999999</v>
      </c>
      <c r="AU95" s="1">
        <f t="shared" si="22"/>
        <v>0.19186051446865898</v>
      </c>
      <c r="AW95" s="11">
        <v>241.66449</v>
      </c>
      <c r="AX95" s="1">
        <v>45.5</v>
      </c>
      <c r="AY95" s="13">
        <v>97.292689999999993</v>
      </c>
      <c r="AZ95" s="3">
        <f t="shared" si="21"/>
        <v>98.958339999999993</v>
      </c>
    </row>
    <row r="96" spans="2:52" ht="16" x14ac:dyDescent="0.2">
      <c r="B96" s="4">
        <v>200.02345</v>
      </c>
      <c r="C96" s="1">
        <v>46</v>
      </c>
      <c r="D96" s="3">
        <v>99.424760000000006</v>
      </c>
      <c r="E96" s="3">
        <f t="shared" si="14"/>
        <v>100.55120000000001</v>
      </c>
      <c r="I96" s="4">
        <v>225.00295</v>
      </c>
      <c r="J96" s="1">
        <v>46</v>
      </c>
      <c r="K96" s="3">
        <v>95.590980000000002</v>
      </c>
      <c r="L96" s="3">
        <f t="shared" si="15"/>
        <v>99.178049999999999</v>
      </c>
      <c r="M96" s="1">
        <f t="shared" si="27"/>
        <v>2.2239377181446342E-2</v>
      </c>
      <c r="P96" s="4">
        <v>225.02175</v>
      </c>
      <c r="Q96" s="1">
        <v>46</v>
      </c>
      <c r="R96" s="3">
        <v>99.735060000000004</v>
      </c>
      <c r="S96" s="3">
        <f t="shared" si="16"/>
        <v>99.659240000000011</v>
      </c>
      <c r="T96" s="1">
        <f t="shared" si="26"/>
        <v>8.469285988097262E-3</v>
      </c>
      <c r="W96" s="4">
        <v>250.00299000000001</v>
      </c>
      <c r="X96" s="1">
        <v>46</v>
      </c>
      <c r="Y96" s="5">
        <v>92.728899999999996</v>
      </c>
      <c r="Z96" s="3">
        <f t="shared" si="17"/>
        <v>98.169730000000001</v>
      </c>
      <c r="AA96" s="1">
        <f t="shared" si="25"/>
        <v>3.8815581952325311E-2</v>
      </c>
      <c r="AD96" s="4">
        <v>250.01233999999999</v>
      </c>
      <c r="AE96" s="1">
        <v>46</v>
      </c>
      <c r="AF96" s="5">
        <v>98.932469999999995</v>
      </c>
      <c r="AG96" s="3">
        <f t="shared" si="18"/>
        <v>99.19395999999999</v>
      </c>
      <c r="AH96" s="1">
        <f t="shared" si="24"/>
        <v>2.215952712217641E-2</v>
      </c>
      <c r="AK96" s="11">
        <v>335.74871000000002</v>
      </c>
      <c r="AL96" s="1">
        <v>46</v>
      </c>
      <c r="AM96" s="12">
        <v>87.030659999999997</v>
      </c>
      <c r="AN96" s="3">
        <f t="shared" si="19"/>
        <v>89.616879999999995</v>
      </c>
      <c r="AO96" s="1">
        <f t="shared" si="23"/>
        <v>0.17423917337969427</v>
      </c>
      <c r="AQ96" s="11">
        <v>338.30092999999999</v>
      </c>
      <c r="AR96" s="1">
        <v>46</v>
      </c>
      <c r="AS96" s="13">
        <v>84.526300000000006</v>
      </c>
      <c r="AT96" s="3">
        <f t="shared" si="20"/>
        <v>87.485030000000009</v>
      </c>
      <c r="AU96" s="1">
        <f t="shared" si="22"/>
        <v>0.20889153709337968</v>
      </c>
      <c r="AW96" s="11">
        <v>243.16433000000001</v>
      </c>
      <c r="AX96" s="1">
        <v>46</v>
      </c>
      <c r="AY96" s="12">
        <v>97.302750000000003</v>
      </c>
      <c r="AZ96" s="3">
        <f t="shared" si="21"/>
        <v>98.968400000000003</v>
      </c>
    </row>
    <row r="97" spans="2:52" ht="16" x14ac:dyDescent="0.2">
      <c r="B97" s="4">
        <v>200.00876</v>
      </c>
      <c r="C97" s="1">
        <v>46.5</v>
      </c>
      <c r="D97" s="5">
        <v>99.509929999999997</v>
      </c>
      <c r="E97" s="3">
        <f t="shared" si="14"/>
        <v>100.63637</v>
      </c>
      <c r="I97" s="4">
        <v>225.00606999999999</v>
      </c>
      <c r="J97" s="1">
        <v>46.5</v>
      </c>
      <c r="K97" s="5">
        <v>95.58229</v>
      </c>
      <c r="L97" s="3">
        <f t="shared" si="15"/>
        <v>99.169359999999998</v>
      </c>
      <c r="M97" s="1">
        <f t="shared" si="27"/>
        <v>2.2383657191380645E-2</v>
      </c>
      <c r="P97" s="4">
        <v>225.02091999999999</v>
      </c>
      <c r="Q97" s="1">
        <v>46.5</v>
      </c>
      <c r="R97" s="5">
        <v>99.764340000000004</v>
      </c>
      <c r="S97" s="3">
        <f t="shared" si="16"/>
        <v>99.688520000000011</v>
      </c>
      <c r="T97" s="1">
        <f t="shared" si="26"/>
        <v>7.9814519162709138E-3</v>
      </c>
      <c r="W97" s="4">
        <v>250.00699</v>
      </c>
      <c r="X97" s="1">
        <v>46.5</v>
      </c>
      <c r="Y97" s="3">
        <v>92.702079999999995</v>
      </c>
      <c r="Z97" s="3">
        <f t="shared" si="17"/>
        <v>98.142910000000001</v>
      </c>
      <c r="AA97" s="1">
        <f t="shared" si="25"/>
        <v>3.9260919284564114E-2</v>
      </c>
      <c r="AD97" s="4">
        <v>250.01199</v>
      </c>
      <c r="AE97" s="1">
        <v>46.5</v>
      </c>
      <c r="AF97" s="3">
        <v>98.861969999999999</v>
      </c>
      <c r="AG97" s="3">
        <f t="shared" si="18"/>
        <v>99.123459999999994</v>
      </c>
      <c r="AH97" s="1">
        <f t="shared" si="24"/>
        <v>2.3329907145035918E-2</v>
      </c>
      <c r="AK97" s="11">
        <v>338.2765</v>
      </c>
      <c r="AL97" s="1">
        <v>46.5</v>
      </c>
      <c r="AM97" s="13">
        <v>86.124679999999998</v>
      </c>
      <c r="AN97" s="3">
        <f t="shared" si="19"/>
        <v>88.710899999999995</v>
      </c>
      <c r="AO97" s="1">
        <f t="shared" si="23"/>
        <v>0.18934933384529143</v>
      </c>
      <c r="AQ97" s="11">
        <v>340.83080999999999</v>
      </c>
      <c r="AR97" s="1">
        <v>46.5</v>
      </c>
      <c r="AS97" s="12">
        <v>83.411820000000006</v>
      </c>
      <c r="AT97" s="3">
        <f t="shared" si="20"/>
        <v>86.370550000000009</v>
      </c>
      <c r="AU97" s="1">
        <f t="shared" si="22"/>
        <v>0.2274906180470101</v>
      </c>
      <c r="AW97" s="11">
        <v>244.66749999999999</v>
      </c>
      <c r="AX97" s="1">
        <v>46.5</v>
      </c>
      <c r="AY97" s="13">
        <v>97.252260000000007</v>
      </c>
      <c r="AZ97" s="3">
        <f t="shared" si="21"/>
        <v>98.917910000000006</v>
      </c>
    </row>
    <row r="98" spans="2:52" ht="16" x14ac:dyDescent="0.2">
      <c r="B98" s="4">
        <v>199.99112</v>
      </c>
      <c r="C98" s="1">
        <v>47</v>
      </c>
      <c r="D98" s="3">
        <v>99.491010000000003</v>
      </c>
      <c r="E98" s="3">
        <f t="shared" si="14"/>
        <v>100.61745000000001</v>
      </c>
      <c r="I98" s="4">
        <v>225.00702999999999</v>
      </c>
      <c r="J98" s="1">
        <v>47</v>
      </c>
      <c r="K98" s="3">
        <v>95.570629999999994</v>
      </c>
      <c r="L98" s="3">
        <f t="shared" si="15"/>
        <v>99.157699999999991</v>
      </c>
      <c r="M98" s="1">
        <f t="shared" si="27"/>
        <v>2.2577248090786237E-2</v>
      </c>
      <c r="P98" s="4">
        <v>225.02506</v>
      </c>
      <c r="Q98" s="1">
        <v>47</v>
      </c>
      <c r="R98" s="3">
        <v>99.726209999999995</v>
      </c>
      <c r="S98" s="3">
        <f t="shared" si="16"/>
        <v>99.650390000000002</v>
      </c>
      <c r="T98" s="1">
        <f t="shared" si="26"/>
        <v>8.6167358356269014E-3</v>
      </c>
      <c r="W98" s="4">
        <v>250.00099</v>
      </c>
      <c r="X98" s="1">
        <v>47</v>
      </c>
      <c r="Y98" s="5">
        <v>92.656090000000006</v>
      </c>
      <c r="Z98" s="3">
        <f t="shared" si="17"/>
        <v>98.096920000000011</v>
      </c>
      <c r="AA98" s="1">
        <f t="shared" si="25"/>
        <v>4.0024568199912999E-2</v>
      </c>
      <c r="AD98" s="4">
        <v>250.00821999999999</v>
      </c>
      <c r="AE98" s="1">
        <v>47</v>
      </c>
      <c r="AF98" s="5">
        <v>98.942089999999993</v>
      </c>
      <c r="AG98" s="3">
        <f t="shared" si="18"/>
        <v>99.203579999999988</v>
      </c>
      <c r="AH98" s="1">
        <f t="shared" si="24"/>
        <v>2.1999824202745103E-2</v>
      </c>
      <c r="AK98" s="11">
        <v>340.81040999999999</v>
      </c>
      <c r="AL98" s="1">
        <v>47</v>
      </c>
      <c r="AM98" s="12">
        <v>85.127440000000007</v>
      </c>
      <c r="AN98" s="3">
        <f t="shared" si="19"/>
        <v>87.713660000000004</v>
      </c>
      <c r="AO98" s="1">
        <f t="shared" si="23"/>
        <v>0.20598155135860516</v>
      </c>
      <c r="AQ98" s="11">
        <v>343.36178999999998</v>
      </c>
      <c r="AR98" s="1">
        <v>47</v>
      </c>
      <c r="AS98" s="13">
        <v>82.253150000000005</v>
      </c>
      <c r="AT98" s="3">
        <f t="shared" si="20"/>
        <v>85.211880000000008</v>
      </c>
      <c r="AU98" s="1">
        <f t="shared" si="22"/>
        <v>0.24682716704613339</v>
      </c>
      <c r="AW98" s="11">
        <v>246.17236</v>
      </c>
      <c r="AX98" s="1">
        <v>47</v>
      </c>
      <c r="AY98" s="12">
        <v>97.211500000000001</v>
      </c>
      <c r="AZ98" s="3">
        <f t="shared" si="21"/>
        <v>98.87715</v>
      </c>
    </row>
    <row r="99" spans="2:52" ht="16" x14ac:dyDescent="0.2">
      <c r="B99" s="4">
        <v>199.96964</v>
      </c>
      <c r="C99" s="1">
        <v>47.5</v>
      </c>
      <c r="D99" s="5">
        <v>99.388080000000002</v>
      </c>
      <c r="E99" s="3">
        <f t="shared" si="14"/>
        <v>100.51452</v>
      </c>
      <c r="I99" s="4">
        <v>225.00400999999999</v>
      </c>
      <c r="J99" s="1">
        <v>47.5</v>
      </c>
      <c r="K99" s="5">
        <v>95.530879999999996</v>
      </c>
      <c r="L99" s="3">
        <f t="shared" si="15"/>
        <v>99.117949999999993</v>
      </c>
      <c r="M99" s="1">
        <f t="shared" si="27"/>
        <v>2.3237217066032191E-2</v>
      </c>
      <c r="P99" s="4">
        <v>225.02529999999999</v>
      </c>
      <c r="Q99" s="1">
        <v>47.5</v>
      </c>
      <c r="R99" s="5">
        <v>99.734390000000005</v>
      </c>
      <c r="S99" s="3">
        <f t="shared" si="16"/>
        <v>99.658570000000012</v>
      </c>
      <c r="T99" s="1">
        <f t="shared" si="26"/>
        <v>8.4804488579102201E-3</v>
      </c>
      <c r="W99" s="4">
        <v>250.00601</v>
      </c>
      <c r="X99" s="1">
        <v>47.5</v>
      </c>
      <c r="Y99" s="3">
        <v>92.634870000000006</v>
      </c>
      <c r="Z99" s="3">
        <f t="shared" si="17"/>
        <v>98.075700000000012</v>
      </c>
      <c r="AA99" s="1">
        <f t="shared" si="25"/>
        <v>4.037691936285509E-2</v>
      </c>
      <c r="AD99" s="4">
        <v>250.00873000000001</v>
      </c>
      <c r="AE99" s="1">
        <v>47.5</v>
      </c>
      <c r="AF99" s="3">
        <v>98.849000000000004</v>
      </c>
      <c r="AG99" s="3">
        <f t="shared" si="18"/>
        <v>99.110489999999999</v>
      </c>
      <c r="AH99" s="1">
        <f t="shared" si="24"/>
        <v>2.3545223866971859E-2</v>
      </c>
      <c r="AK99" s="11">
        <v>343.33487000000002</v>
      </c>
      <c r="AL99" s="1">
        <v>47.5</v>
      </c>
      <c r="AM99" s="13">
        <v>84.07826</v>
      </c>
      <c r="AN99" s="3">
        <f t="shared" si="19"/>
        <v>86.664479999999998</v>
      </c>
      <c r="AO99" s="1">
        <f t="shared" si="23"/>
        <v>0.22348003715000819</v>
      </c>
      <c r="AQ99" s="11">
        <v>345.88168000000002</v>
      </c>
      <c r="AR99" s="1">
        <v>47.5</v>
      </c>
      <c r="AS99" s="12">
        <v>80.962649999999996</v>
      </c>
      <c r="AT99" s="3">
        <f t="shared" si="20"/>
        <v>83.921379999999999</v>
      </c>
      <c r="AU99" s="1">
        <f t="shared" si="22"/>
        <v>0.26836377063763811</v>
      </c>
      <c r="AW99" s="11">
        <v>247.67868000000001</v>
      </c>
      <c r="AX99" s="1">
        <v>47.5</v>
      </c>
      <c r="AY99" s="13">
        <v>97.179060000000007</v>
      </c>
      <c r="AZ99" s="3">
        <f t="shared" si="21"/>
        <v>98.844710000000006</v>
      </c>
    </row>
    <row r="100" spans="2:52" ht="16" x14ac:dyDescent="0.2">
      <c r="B100" s="4">
        <v>199.94871000000001</v>
      </c>
      <c r="C100" s="1">
        <v>48</v>
      </c>
      <c r="D100" s="3">
        <v>99.452129999999997</v>
      </c>
      <c r="E100" s="3">
        <f t="shared" si="14"/>
        <v>100.57857</v>
      </c>
      <c r="I100" s="4">
        <v>225.00198</v>
      </c>
      <c r="J100" s="1">
        <v>48</v>
      </c>
      <c r="K100" s="3">
        <v>95.519639999999995</v>
      </c>
      <c r="L100" s="3">
        <f t="shared" si="15"/>
        <v>99.106709999999993</v>
      </c>
      <c r="M100" s="1">
        <f t="shared" si="27"/>
        <v>2.3423834708340755E-2</v>
      </c>
      <c r="P100" s="4">
        <v>225.02436</v>
      </c>
      <c r="Q100" s="1">
        <v>48</v>
      </c>
      <c r="R100" s="3">
        <v>99.786169999999998</v>
      </c>
      <c r="S100" s="3">
        <f t="shared" si="16"/>
        <v>99.710350000000005</v>
      </c>
      <c r="T100" s="1">
        <f t="shared" si="26"/>
        <v>7.6177422923649598E-3</v>
      </c>
      <c r="W100" s="4">
        <v>250.00102999999999</v>
      </c>
      <c r="X100" s="1">
        <v>48</v>
      </c>
      <c r="Y100" s="5">
        <v>92.600440000000006</v>
      </c>
      <c r="Z100" s="3">
        <f t="shared" si="17"/>
        <v>98.041270000000011</v>
      </c>
      <c r="AA100" s="1">
        <f t="shared" si="25"/>
        <v>4.0948618257298855E-2</v>
      </c>
      <c r="AD100" s="4">
        <v>250.00943000000001</v>
      </c>
      <c r="AE100" s="1">
        <v>48</v>
      </c>
      <c r="AF100" s="5">
        <v>98.808139999999995</v>
      </c>
      <c r="AG100" s="3">
        <f t="shared" si="18"/>
        <v>99.069629999999989</v>
      </c>
      <c r="AH100" s="1">
        <f t="shared" si="24"/>
        <v>2.4223546246178288E-2</v>
      </c>
      <c r="AK100" s="11">
        <v>345.85514000000001</v>
      </c>
      <c r="AL100" s="1">
        <v>48</v>
      </c>
      <c r="AM100" s="12">
        <v>82.89385</v>
      </c>
      <c r="AN100" s="3">
        <f t="shared" si="19"/>
        <v>85.480069999999998</v>
      </c>
      <c r="AO100" s="1">
        <f t="shared" si="23"/>
        <v>0.24323392261884627</v>
      </c>
      <c r="AQ100" s="11">
        <v>348.39670000000001</v>
      </c>
      <c r="AR100" s="1">
        <v>48</v>
      </c>
      <c r="AS100" s="13">
        <v>79.555499999999995</v>
      </c>
      <c r="AT100" s="3">
        <f t="shared" si="20"/>
        <v>82.514229999999998</v>
      </c>
      <c r="AU100" s="1">
        <f t="shared" si="22"/>
        <v>0.291847096281796</v>
      </c>
      <c r="AW100" s="11">
        <v>249.18449000000001</v>
      </c>
      <c r="AX100" s="1">
        <v>48</v>
      </c>
      <c r="AY100" s="12">
        <v>97.180170000000004</v>
      </c>
      <c r="AZ100" s="3">
        <f t="shared" si="21"/>
        <v>98.845820000000003</v>
      </c>
    </row>
    <row r="101" spans="2:52" ht="16" x14ac:dyDescent="0.2">
      <c r="B101" s="4">
        <v>199.94092000000001</v>
      </c>
      <c r="C101" s="1">
        <v>48.5</v>
      </c>
      <c r="D101" s="5">
        <v>99.318299999999994</v>
      </c>
      <c r="E101" s="3">
        <f t="shared" si="14"/>
        <v>100.44474</v>
      </c>
      <c r="I101" s="4">
        <v>225.0042</v>
      </c>
      <c r="J101" s="1">
        <v>48.5</v>
      </c>
      <c r="K101" s="5">
        <v>95.517870000000002</v>
      </c>
      <c r="L101" s="3">
        <f t="shared" si="15"/>
        <v>99.104939999999999</v>
      </c>
      <c r="M101" s="1">
        <f t="shared" si="27"/>
        <v>2.3453222006106316E-2</v>
      </c>
      <c r="P101" s="4">
        <v>225.0231</v>
      </c>
      <c r="Q101" s="1">
        <v>48.5</v>
      </c>
      <c r="R101" s="5">
        <v>99.618819999999999</v>
      </c>
      <c r="S101" s="3">
        <f t="shared" si="16"/>
        <v>99.543000000000006</v>
      </c>
      <c r="T101" s="1">
        <f t="shared" si="26"/>
        <v>1.0405960595648389E-2</v>
      </c>
      <c r="W101" s="4">
        <v>250.00299999999999</v>
      </c>
      <c r="X101" s="1">
        <v>48.5</v>
      </c>
      <c r="Y101" s="3">
        <v>92.577439999999996</v>
      </c>
      <c r="Z101" s="3">
        <f t="shared" si="17"/>
        <v>98.018270000000001</v>
      </c>
      <c r="AA101" s="1">
        <f t="shared" si="25"/>
        <v>4.1330525738339001E-2</v>
      </c>
      <c r="AD101" s="4">
        <v>250.00917000000001</v>
      </c>
      <c r="AE101" s="1">
        <v>48.5</v>
      </c>
      <c r="AF101" s="3">
        <v>98.864099999999993</v>
      </c>
      <c r="AG101" s="3">
        <f t="shared" si="18"/>
        <v>99.125589999999988</v>
      </c>
      <c r="AH101" s="1">
        <f t="shared" si="24"/>
        <v>2.3294546727324093E-2</v>
      </c>
      <c r="AK101" s="11">
        <v>348.37362000000002</v>
      </c>
      <c r="AL101" s="1">
        <v>48.5</v>
      </c>
      <c r="AM101" s="13">
        <v>81.616159999999994</v>
      </c>
      <c r="AN101" s="3">
        <f t="shared" si="19"/>
        <v>84.202379999999991</v>
      </c>
      <c r="AO101" s="1">
        <f t="shared" si="23"/>
        <v>0.26454355519935457</v>
      </c>
      <c r="AQ101" s="11">
        <v>350.90271999999999</v>
      </c>
      <c r="AR101" s="1">
        <v>48.5</v>
      </c>
      <c r="AS101" s="12">
        <v>78.023629999999997</v>
      </c>
      <c r="AT101" s="3">
        <f t="shared" si="20"/>
        <v>80.98236</v>
      </c>
      <c r="AU101" s="1">
        <f t="shared" si="22"/>
        <v>0.31741182076356128</v>
      </c>
      <c r="AW101" s="11">
        <v>250.68557999999999</v>
      </c>
      <c r="AX101" s="1">
        <v>48.5</v>
      </c>
      <c r="AY101" s="13">
        <v>97.096140000000005</v>
      </c>
      <c r="AZ101" s="3">
        <f t="shared" si="21"/>
        <v>98.761790000000005</v>
      </c>
    </row>
    <row r="102" spans="2:52" ht="16" x14ac:dyDescent="0.2">
      <c r="B102" s="4">
        <v>199.95097000000001</v>
      </c>
      <c r="C102" s="1">
        <v>49</v>
      </c>
      <c r="D102" s="3">
        <v>99.499319999999997</v>
      </c>
      <c r="E102" s="3">
        <f t="shared" si="14"/>
        <v>100.62576</v>
      </c>
      <c r="I102" s="4">
        <v>225.0061</v>
      </c>
      <c r="J102" s="1">
        <v>49</v>
      </c>
      <c r="K102" s="3">
        <v>95.485240000000005</v>
      </c>
      <c r="L102" s="3">
        <f t="shared" si="15"/>
        <v>99.072310000000002</v>
      </c>
      <c r="M102" s="1">
        <f t="shared" si="27"/>
        <v>2.3994977670566062E-2</v>
      </c>
      <c r="P102" s="4">
        <v>225.02302</v>
      </c>
      <c r="Q102" s="1">
        <v>49</v>
      </c>
      <c r="R102" s="3">
        <v>99.694879999999998</v>
      </c>
      <c r="S102" s="3">
        <f t="shared" si="16"/>
        <v>99.619060000000005</v>
      </c>
      <c r="T102" s="1">
        <f t="shared" si="26"/>
        <v>9.1387249568809312E-3</v>
      </c>
      <c r="W102" s="4">
        <v>250.00109</v>
      </c>
      <c r="X102" s="1">
        <v>49</v>
      </c>
      <c r="Y102" s="5">
        <v>92.538910000000001</v>
      </c>
      <c r="Z102" s="3">
        <f t="shared" si="17"/>
        <v>97.979740000000007</v>
      </c>
      <c r="AA102" s="1">
        <f t="shared" si="25"/>
        <v>4.1970303792446317E-2</v>
      </c>
      <c r="AD102" s="4">
        <v>250.01522</v>
      </c>
      <c r="AE102" s="1">
        <v>49</v>
      </c>
      <c r="AF102" s="5">
        <v>98.752889999999994</v>
      </c>
      <c r="AG102" s="3">
        <f t="shared" si="18"/>
        <v>99.014379999999989</v>
      </c>
      <c r="AH102" s="1">
        <f t="shared" si="24"/>
        <v>2.5140758959128543E-2</v>
      </c>
      <c r="AK102" s="11">
        <v>350.87973</v>
      </c>
      <c r="AL102" s="1">
        <v>49</v>
      </c>
      <c r="AM102" s="12">
        <v>80.245779999999996</v>
      </c>
      <c r="AN102" s="3">
        <f t="shared" si="19"/>
        <v>82.831999999999994</v>
      </c>
      <c r="AO102" s="1">
        <f t="shared" si="23"/>
        <v>0.28739909472433856</v>
      </c>
      <c r="AQ102" s="11">
        <v>353.3938</v>
      </c>
      <c r="AR102" s="1">
        <v>49</v>
      </c>
      <c r="AS102" s="13">
        <v>76.417779999999993</v>
      </c>
      <c r="AT102" s="3">
        <f t="shared" si="20"/>
        <v>79.376509999999996</v>
      </c>
      <c r="AU102" s="1">
        <f t="shared" si="22"/>
        <v>0.34421116588360601</v>
      </c>
      <c r="AW102" s="11">
        <v>252.18948</v>
      </c>
      <c r="AX102" s="1">
        <v>49</v>
      </c>
      <c r="AY102" s="12">
        <v>97.070840000000004</v>
      </c>
      <c r="AZ102" s="3">
        <f t="shared" si="21"/>
        <v>98.736490000000003</v>
      </c>
    </row>
    <row r="103" spans="2:52" ht="16" x14ac:dyDescent="0.2">
      <c r="B103" s="4">
        <v>199.96312</v>
      </c>
      <c r="C103" s="1">
        <v>49.5</v>
      </c>
      <c r="D103" s="5">
        <v>99.448679999999996</v>
      </c>
      <c r="E103" s="3">
        <f t="shared" si="14"/>
        <v>100.57512</v>
      </c>
      <c r="I103" s="4">
        <v>225.01392000000001</v>
      </c>
      <c r="J103" s="1">
        <v>49.5</v>
      </c>
      <c r="K103" s="5">
        <v>95.475480000000005</v>
      </c>
      <c r="L103" s="3">
        <f t="shared" si="15"/>
        <v>99.062550000000002</v>
      </c>
      <c r="M103" s="1">
        <f t="shared" si="27"/>
        <v>2.4157022883104447E-2</v>
      </c>
      <c r="P103" s="4">
        <v>225.02501000000001</v>
      </c>
      <c r="Q103" s="1">
        <v>49.5</v>
      </c>
      <c r="R103" s="5">
        <v>99.741659999999996</v>
      </c>
      <c r="S103" s="3">
        <f t="shared" si="16"/>
        <v>99.665840000000003</v>
      </c>
      <c r="T103" s="1">
        <f t="shared" si="26"/>
        <v>8.3593233899398219E-3</v>
      </c>
      <c r="W103" s="4">
        <v>250.00296</v>
      </c>
      <c r="X103" s="1">
        <v>49.5</v>
      </c>
      <c r="Y103" s="3">
        <v>92.533259999999999</v>
      </c>
      <c r="Z103" s="3">
        <f t="shared" si="17"/>
        <v>97.974090000000004</v>
      </c>
      <c r="AA103" s="1">
        <f t="shared" si="25"/>
        <v>4.2064120195397486E-2</v>
      </c>
      <c r="AD103" s="4">
        <v>250.02309</v>
      </c>
      <c r="AE103" s="1">
        <v>49.5</v>
      </c>
      <c r="AF103" s="3">
        <v>98.735429999999994</v>
      </c>
      <c r="AG103" s="3">
        <f t="shared" si="18"/>
        <v>98.996919999999989</v>
      </c>
      <c r="AH103" s="1">
        <f t="shared" si="24"/>
        <v>2.5430614777555892E-2</v>
      </c>
      <c r="AK103" s="11">
        <v>353.38209000000001</v>
      </c>
      <c r="AL103" s="1">
        <v>49.5</v>
      </c>
      <c r="AM103" s="13">
        <v>78.764960000000002</v>
      </c>
      <c r="AN103" s="3">
        <f t="shared" si="19"/>
        <v>81.351179999999999</v>
      </c>
      <c r="AO103" s="1">
        <f t="shared" si="23"/>
        <v>0.31209658012210179</v>
      </c>
      <c r="AQ103" s="11">
        <v>355.87124999999997</v>
      </c>
      <c r="AR103" s="1">
        <v>49.5</v>
      </c>
      <c r="AS103" s="12">
        <v>74.690960000000004</v>
      </c>
      <c r="AT103" s="3">
        <f t="shared" si="20"/>
        <v>77.649690000000007</v>
      </c>
      <c r="AU103" s="1">
        <f t="shared" si="22"/>
        <v>0.37302932769211566</v>
      </c>
      <c r="AW103" s="11">
        <v>253.68849</v>
      </c>
      <c r="AX103" s="1">
        <v>49.5</v>
      </c>
      <c r="AY103" s="13">
        <v>96.951729999999998</v>
      </c>
      <c r="AZ103" s="3">
        <f t="shared" si="21"/>
        <v>98.617379999999997</v>
      </c>
    </row>
    <row r="104" spans="2:52" ht="16" x14ac:dyDescent="0.2">
      <c r="B104" s="4">
        <v>199.98047</v>
      </c>
      <c r="C104" s="1">
        <v>50</v>
      </c>
      <c r="D104" s="3">
        <v>99.554609999999997</v>
      </c>
      <c r="E104" s="3">
        <f t="shared" si="14"/>
        <v>100.68105</v>
      </c>
      <c r="I104" s="4">
        <v>225.0119</v>
      </c>
      <c r="J104" s="1">
        <v>50</v>
      </c>
      <c r="K104" s="3">
        <v>95.453609999999998</v>
      </c>
      <c r="L104" s="3">
        <f t="shared" si="15"/>
        <v>99.040679999999995</v>
      </c>
      <c r="M104" s="1">
        <f t="shared" si="27"/>
        <v>2.4520130341938017E-2</v>
      </c>
      <c r="P104" s="4">
        <v>225.02578</v>
      </c>
      <c r="Q104" s="1">
        <v>50</v>
      </c>
      <c r="R104" s="3">
        <v>99.765860000000004</v>
      </c>
      <c r="S104" s="3">
        <f t="shared" si="16"/>
        <v>99.69004000000001</v>
      </c>
      <c r="T104" s="1">
        <f t="shared" si="26"/>
        <v>7.956127196695242E-3</v>
      </c>
      <c r="W104" s="4">
        <v>249.99997999999999</v>
      </c>
      <c r="X104" s="1">
        <v>50</v>
      </c>
      <c r="Y104" s="5">
        <v>92.500709999999998</v>
      </c>
      <c r="Z104" s="3">
        <f t="shared" si="17"/>
        <v>97.941540000000003</v>
      </c>
      <c r="AA104" s="1">
        <f t="shared" si="25"/>
        <v>4.2604602304434504E-2</v>
      </c>
      <c r="AD104" s="4">
        <v>250.02268000000001</v>
      </c>
      <c r="AE104" s="1">
        <v>50</v>
      </c>
      <c r="AF104" s="5">
        <v>98.71799</v>
      </c>
      <c r="AG104" s="3">
        <f t="shared" si="18"/>
        <v>98.979479999999995</v>
      </c>
      <c r="AH104" s="1">
        <f t="shared" si="24"/>
        <v>2.5720138573281617E-2</v>
      </c>
      <c r="AK104" s="11">
        <v>355.86892999999998</v>
      </c>
      <c r="AL104" s="1">
        <v>50</v>
      </c>
      <c r="AM104" s="12">
        <v>77.257760000000005</v>
      </c>
      <c r="AN104" s="3">
        <f t="shared" si="19"/>
        <v>79.843980000000002</v>
      </c>
      <c r="AO104" s="1">
        <f t="shared" si="23"/>
        <v>0.33723403774119709</v>
      </c>
      <c r="AQ104" s="11">
        <v>358.33958000000001</v>
      </c>
      <c r="AR104" s="1">
        <v>50</v>
      </c>
      <c r="AS104" s="13">
        <v>72.870710000000003</v>
      </c>
      <c r="AT104" s="3">
        <f t="shared" si="20"/>
        <v>75.829440000000005</v>
      </c>
      <c r="AU104" s="1">
        <f t="shared" si="22"/>
        <v>0.40340670288578961</v>
      </c>
      <c r="AW104" s="11">
        <v>255.19544999999999</v>
      </c>
      <c r="AX104" s="1">
        <v>50</v>
      </c>
      <c r="AY104" s="12">
        <v>96.974459999999993</v>
      </c>
      <c r="AZ104" s="3">
        <f t="shared" si="21"/>
        <v>98.640109999999993</v>
      </c>
    </row>
    <row r="105" spans="2:52" ht="16" x14ac:dyDescent="0.2">
      <c r="B105" s="4">
        <v>200.01059000000001</v>
      </c>
      <c r="C105" s="1">
        <v>50.5</v>
      </c>
      <c r="D105" s="5">
        <v>99.367869999999996</v>
      </c>
      <c r="E105" s="3">
        <f t="shared" si="14"/>
        <v>100.49431</v>
      </c>
      <c r="I105" s="4">
        <v>225.01194000000001</v>
      </c>
      <c r="J105" s="1">
        <v>50.5</v>
      </c>
      <c r="K105" s="5">
        <v>95.457710000000006</v>
      </c>
      <c r="L105" s="3">
        <f t="shared" si="15"/>
        <v>99.044780000000003</v>
      </c>
      <c r="M105" s="1">
        <f t="shared" si="27"/>
        <v>2.445205807027729E-2</v>
      </c>
      <c r="P105" s="4">
        <v>225.02547999999999</v>
      </c>
      <c r="Q105" s="1">
        <v>50.5</v>
      </c>
      <c r="R105" s="5">
        <v>99.630129999999994</v>
      </c>
      <c r="S105" s="3">
        <f t="shared" si="16"/>
        <v>99.554310000000001</v>
      </c>
      <c r="T105" s="1">
        <f t="shared" si="26"/>
        <v>1.0217524688805719E-2</v>
      </c>
      <c r="W105" s="4">
        <v>250.00001</v>
      </c>
      <c r="X105" s="1">
        <v>50.5</v>
      </c>
      <c r="Y105" s="3">
        <v>92.473910000000004</v>
      </c>
      <c r="Z105" s="3">
        <f t="shared" si="17"/>
        <v>97.914740000000009</v>
      </c>
      <c r="AA105" s="1">
        <f t="shared" si="25"/>
        <v>4.3049607543211431E-2</v>
      </c>
      <c r="AD105" s="4">
        <v>250.02112</v>
      </c>
      <c r="AE105" s="1">
        <v>50.5</v>
      </c>
      <c r="AF105" s="3">
        <v>98.766819999999996</v>
      </c>
      <c r="AG105" s="3">
        <f t="shared" si="18"/>
        <v>99.028309999999991</v>
      </c>
      <c r="AH105" s="1">
        <f t="shared" si="24"/>
        <v>2.4909505147519519E-2</v>
      </c>
      <c r="AK105" s="11">
        <v>358.35386999999997</v>
      </c>
      <c r="AL105" s="1">
        <v>50.5</v>
      </c>
      <c r="AM105" s="13">
        <v>75.58</v>
      </c>
      <c r="AN105" s="3">
        <f t="shared" si="19"/>
        <v>78.166219999999996</v>
      </c>
      <c r="AO105" s="1">
        <f t="shared" si="23"/>
        <v>0.36521613759192273</v>
      </c>
      <c r="AQ105" s="11">
        <v>360.78212000000002</v>
      </c>
      <c r="AR105" s="1">
        <v>50.5</v>
      </c>
      <c r="AS105" s="12">
        <v>71.003280000000004</v>
      </c>
      <c r="AT105" s="3">
        <f t="shared" si="20"/>
        <v>73.962010000000006</v>
      </c>
      <c r="AU105" s="1">
        <f t="shared" si="22"/>
        <v>0.43457144495853928</v>
      </c>
      <c r="AW105" s="11">
        <v>256.69436000000002</v>
      </c>
      <c r="AX105" s="1">
        <v>50.5</v>
      </c>
      <c r="AY105" s="13">
        <v>96.865250000000003</v>
      </c>
      <c r="AZ105" s="3">
        <f t="shared" si="21"/>
        <v>98.530900000000003</v>
      </c>
    </row>
    <row r="106" spans="2:52" ht="16" x14ac:dyDescent="0.2">
      <c r="B106" s="4">
        <v>200.04139000000001</v>
      </c>
      <c r="C106" s="1">
        <v>51</v>
      </c>
      <c r="D106" s="3">
        <v>99.432689999999994</v>
      </c>
      <c r="E106" s="3">
        <f t="shared" si="14"/>
        <v>100.55913</v>
      </c>
      <c r="I106" s="4">
        <v>225.00702999999999</v>
      </c>
      <c r="J106" s="1">
        <v>51</v>
      </c>
      <c r="K106" s="3">
        <v>95.408510000000007</v>
      </c>
      <c r="L106" s="3">
        <f t="shared" si="15"/>
        <v>98.995580000000004</v>
      </c>
      <c r="M106" s="1">
        <f t="shared" si="27"/>
        <v>2.5268925330204382E-2</v>
      </c>
      <c r="P106" s="4">
        <v>225.02106000000001</v>
      </c>
      <c r="Q106" s="1">
        <v>51</v>
      </c>
      <c r="R106" s="3">
        <v>99.603560000000002</v>
      </c>
      <c r="S106" s="3">
        <f t="shared" si="16"/>
        <v>99.527740000000009</v>
      </c>
      <c r="T106" s="1">
        <f t="shared" si="26"/>
        <v>1.0660207451388451E-2</v>
      </c>
      <c r="W106" s="4">
        <v>250.00201999999999</v>
      </c>
      <c r="X106" s="1">
        <v>51</v>
      </c>
      <c r="Y106" s="5">
        <v>92.471869999999996</v>
      </c>
      <c r="Z106" s="3">
        <f t="shared" si="17"/>
        <v>97.912700000000001</v>
      </c>
      <c r="AA106" s="1">
        <f t="shared" si="25"/>
        <v>4.3083481076312498E-2</v>
      </c>
      <c r="AD106" s="4">
        <v>250.01969</v>
      </c>
      <c r="AE106" s="1">
        <v>51</v>
      </c>
      <c r="AF106" s="5">
        <v>98.679540000000003</v>
      </c>
      <c r="AG106" s="3">
        <f t="shared" si="18"/>
        <v>98.941029999999998</v>
      </c>
      <c r="AH106" s="1">
        <f t="shared" si="24"/>
        <v>2.6358452216954636E-2</v>
      </c>
      <c r="AK106" s="11">
        <v>360.80426</v>
      </c>
      <c r="AL106" s="1">
        <v>51</v>
      </c>
      <c r="AM106" s="12">
        <v>73.852630000000005</v>
      </c>
      <c r="AN106" s="3">
        <f t="shared" si="19"/>
        <v>76.438850000000002</v>
      </c>
      <c r="AO106" s="1">
        <f t="shared" si="23"/>
        <v>0.39402564539944435</v>
      </c>
      <c r="AQ106" s="11">
        <v>363.20645000000002</v>
      </c>
      <c r="AR106" s="1">
        <v>51</v>
      </c>
      <c r="AS106" s="13">
        <v>69.096410000000006</v>
      </c>
      <c r="AT106" s="3">
        <f t="shared" si="20"/>
        <v>72.055140000000009</v>
      </c>
      <c r="AU106" s="1">
        <f t="shared" si="22"/>
        <v>0.46639438435453484</v>
      </c>
      <c r="AW106" s="11">
        <v>258.19245999999998</v>
      </c>
      <c r="AX106" s="1">
        <v>51</v>
      </c>
      <c r="AY106" s="12">
        <v>96.8339</v>
      </c>
      <c r="AZ106" s="3">
        <f t="shared" si="21"/>
        <v>98.499549999999999</v>
      </c>
    </row>
    <row r="107" spans="2:52" ht="16" x14ac:dyDescent="0.2">
      <c r="B107" s="4">
        <v>200.06037000000001</v>
      </c>
      <c r="C107" s="1">
        <v>51.5</v>
      </c>
      <c r="D107" s="5">
        <v>99.457139999999995</v>
      </c>
      <c r="E107" s="3">
        <f t="shared" si="14"/>
        <v>100.58358</v>
      </c>
      <c r="I107" s="4">
        <v>225.00496999999999</v>
      </c>
      <c r="J107" s="1">
        <v>51.5</v>
      </c>
      <c r="K107" s="5">
        <v>95.395709999999994</v>
      </c>
      <c r="L107" s="3">
        <f t="shared" si="15"/>
        <v>98.982779999999991</v>
      </c>
      <c r="M107" s="1">
        <f t="shared" si="27"/>
        <v>2.5481443641730345E-2</v>
      </c>
      <c r="P107" s="4">
        <v>225.01586</v>
      </c>
      <c r="Q107" s="1">
        <v>51.5</v>
      </c>
      <c r="R107" s="5">
        <v>99.705330000000004</v>
      </c>
      <c r="S107" s="3">
        <f t="shared" si="16"/>
        <v>99.62951000000001</v>
      </c>
      <c r="T107" s="1">
        <f t="shared" si="26"/>
        <v>8.9646175097980018E-3</v>
      </c>
      <c r="W107" s="4">
        <v>250.00504000000001</v>
      </c>
      <c r="X107" s="1">
        <v>51.5</v>
      </c>
      <c r="Y107" s="3">
        <v>92.422190000000001</v>
      </c>
      <c r="Z107" s="3">
        <f t="shared" si="17"/>
        <v>97.863020000000006</v>
      </c>
      <c r="AA107" s="1">
        <f t="shared" si="25"/>
        <v>4.3908401235358767E-2</v>
      </c>
      <c r="AD107" s="4">
        <v>250.01799</v>
      </c>
      <c r="AE107" s="1">
        <v>51.5</v>
      </c>
      <c r="AF107" s="3">
        <v>98.754009999999994</v>
      </c>
      <c r="AG107" s="3">
        <f t="shared" si="18"/>
        <v>99.015499999999989</v>
      </c>
      <c r="AH107" s="1">
        <f t="shared" si="24"/>
        <v>2.5122165687843395E-2</v>
      </c>
      <c r="AK107" s="11">
        <v>363.23640999999998</v>
      </c>
      <c r="AL107" s="1">
        <v>51.5</v>
      </c>
      <c r="AM107" s="13">
        <v>72.081810000000004</v>
      </c>
      <c r="AN107" s="3">
        <f t="shared" si="19"/>
        <v>74.668030000000002</v>
      </c>
      <c r="AO107" s="1">
        <f t="shared" si="23"/>
        <v>0.42355982314695395</v>
      </c>
      <c r="AQ107" s="11">
        <v>365.59307999999999</v>
      </c>
      <c r="AR107" s="1">
        <v>51.5</v>
      </c>
      <c r="AS107" s="12">
        <v>67.172709999999995</v>
      </c>
      <c r="AT107" s="3">
        <f t="shared" si="20"/>
        <v>70.131439999999998</v>
      </c>
      <c r="AU107" s="1">
        <f t="shared" si="22"/>
        <v>0.49849819243588134</v>
      </c>
      <c r="AW107" s="11">
        <v>259.69245000000001</v>
      </c>
      <c r="AX107" s="1">
        <v>51.5</v>
      </c>
      <c r="AY107" s="13">
        <v>96.836429999999993</v>
      </c>
      <c r="AZ107" s="3">
        <f t="shared" si="21"/>
        <v>98.502079999999992</v>
      </c>
    </row>
    <row r="108" spans="2:52" ht="16" x14ac:dyDescent="0.2">
      <c r="B108" s="4">
        <v>200.06356</v>
      </c>
      <c r="C108" s="1">
        <v>52</v>
      </c>
      <c r="D108" s="3">
        <v>99.367040000000003</v>
      </c>
      <c r="E108" s="3">
        <f t="shared" si="14"/>
        <v>100.49348000000001</v>
      </c>
      <c r="I108" s="4">
        <v>225.00597999999999</v>
      </c>
      <c r="J108" s="1">
        <v>52</v>
      </c>
      <c r="K108" s="3">
        <v>95.386319999999998</v>
      </c>
      <c r="L108" s="3">
        <f t="shared" si="15"/>
        <v>98.973389999999995</v>
      </c>
      <c r="M108" s="1">
        <f t="shared" si="27"/>
        <v>2.5637345746826128E-2</v>
      </c>
      <c r="P108" s="4">
        <v>225.01497000000001</v>
      </c>
      <c r="Q108" s="1">
        <v>52</v>
      </c>
      <c r="R108" s="3">
        <v>99.628960000000006</v>
      </c>
      <c r="S108" s="3">
        <f t="shared" si="16"/>
        <v>99.553140000000013</v>
      </c>
      <c r="T108" s="1">
        <f t="shared" si="26"/>
        <v>1.0237018058478903E-2</v>
      </c>
      <c r="W108" s="4">
        <v>250.00300999999999</v>
      </c>
      <c r="X108" s="1">
        <v>52</v>
      </c>
      <c r="Y108" s="5">
        <v>92.404839999999993</v>
      </c>
      <c r="Z108" s="3">
        <f t="shared" si="17"/>
        <v>97.845669999999998</v>
      </c>
      <c r="AA108" s="1">
        <f t="shared" si="25"/>
        <v>4.4196492313447744E-2</v>
      </c>
      <c r="AD108" s="4">
        <v>250.01821000000001</v>
      </c>
      <c r="AE108" s="1">
        <v>52</v>
      </c>
      <c r="AF108" s="5">
        <v>98.787289999999999</v>
      </c>
      <c r="AG108" s="3">
        <f t="shared" si="18"/>
        <v>99.048779999999994</v>
      </c>
      <c r="AH108" s="1">
        <f t="shared" si="24"/>
        <v>2.4569679912513288E-2</v>
      </c>
      <c r="AK108" s="11">
        <v>365.64301999999998</v>
      </c>
      <c r="AL108" s="1">
        <v>52</v>
      </c>
      <c r="AM108" s="12">
        <v>70.313370000000006</v>
      </c>
      <c r="AN108" s="3">
        <f t="shared" si="19"/>
        <v>72.899590000000003</v>
      </c>
      <c r="AO108" s="1">
        <f t="shared" si="23"/>
        <v>0.45305430666069668</v>
      </c>
      <c r="AQ108" s="11">
        <v>367.94846000000001</v>
      </c>
      <c r="AR108" s="1">
        <v>52</v>
      </c>
      <c r="AS108" s="13">
        <v>65.307519999999997</v>
      </c>
      <c r="AT108" s="3">
        <f t="shared" si="20"/>
        <v>68.266249999999999</v>
      </c>
      <c r="AU108" s="1">
        <f t="shared" si="22"/>
        <v>0.52962555210487661</v>
      </c>
      <c r="AW108" s="11">
        <v>261.19148999999999</v>
      </c>
      <c r="AX108" s="1">
        <v>52</v>
      </c>
      <c r="AY108" s="12">
        <v>96.717140000000001</v>
      </c>
      <c r="AZ108" s="3">
        <f t="shared" si="21"/>
        <v>98.38279</v>
      </c>
    </row>
    <row r="109" spans="2:52" ht="16" x14ac:dyDescent="0.2">
      <c r="B109" s="4">
        <v>200.04763</v>
      </c>
      <c r="C109" s="1">
        <v>52.5</v>
      </c>
      <c r="D109" s="5">
        <v>99.568740000000005</v>
      </c>
      <c r="E109" s="3">
        <f t="shared" si="14"/>
        <v>100.69518000000001</v>
      </c>
      <c r="I109" s="4">
        <v>225.00700000000001</v>
      </c>
      <c r="J109" s="1">
        <v>52.5</v>
      </c>
      <c r="K109" s="5">
        <v>95.355270000000004</v>
      </c>
      <c r="L109" s="3">
        <f t="shared" si="15"/>
        <v>98.942340000000002</v>
      </c>
      <c r="M109" s="1">
        <f t="shared" si="27"/>
        <v>2.6152868682206846E-2</v>
      </c>
      <c r="P109" s="4">
        <v>225.01588000000001</v>
      </c>
      <c r="Q109" s="1">
        <v>52.5</v>
      </c>
      <c r="R109" s="5">
        <v>99.676240000000007</v>
      </c>
      <c r="S109" s="3">
        <f t="shared" si="16"/>
        <v>99.600420000000014</v>
      </c>
      <c r="T109" s="1">
        <f t="shared" si="26"/>
        <v>9.4492859916773305E-3</v>
      </c>
      <c r="W109" s="4">
        <v>250.00306</v>
      </c>
      <c r="X109" s="1">
        <v>52.5</v>
      </c>
      <c r="Y109" s="3">
        <v>92.375969999999995</v>
      </c>
      <c r="Z109" s="3">
        <f t="shared" si="17"/>
        <v>97.816800000000001</v>
      </c>
      <c r="AA109" s="1">
        <f t="shared" si="25"/>
        <v>4.4675869225518319E-2</v>
      </c>
      <c r="AD109" s="4">
        <v>250.01696999999999</v>
      </c>
      <c r="AE109" s="1">
        <v>52.5</v>
      </c>
      <c r="AF109" s="3">
        <v>98.754840000000002</v>
      </c>
      <c r="AG109" s="3">
        <f t="shared" si="18"/>
        <v>99.016329999999996</v>
      </c>
      <c r="AH109" s="1">
        <f t="shared" si="24"/>
        <v>2.5108386745730168E-2</v>
      </c>
      <c r="AK109" s="11">
        <v>368.02044999999998</v>
      </c>
      <c r="AL109" s="1">
        <v>52.5</v>
      </c>
      <c r="AM109" s="13">
        <v>68.503450000000001</v>
      </c>
      <c r="AN109" s="3">
        <f t="shared" si="19"/>
        <v>71.089669999999998</v>
      </c>
      <c r="AO109" s="1">
        <f t="shared" si="23"/>
        <v>0.48324060396294799</v>
      </c>
      <c r="AQ109" s="11">
        <v>370.27909</v>
      </c>
      <c r="AR109" s="1">
        <v>52.5</v>
      </c>
      <c r="AS109" s="12">
        <v>63.459820000000001</v>
      </c>
      <c r="AT109" s="3">
        <f t="shared" si="20"/>
        <v>66.41855000000001</v>
      </c>
      <c r="AU109" s="1">
        <f t="shared" si="22"/>
        <v>0.56046102863027203</v>
      </c>
      <c r="AW109" s="11">
        <v>262.69758000000002</v>
      </c>
      <c r="AX109" s="1">
        <v>52.5</v>
      </c>
      <c r="AY109" s="13">
        <v>96.664749999999998</v>
      </c>
      <c r="AZ109" s="3">
        <f t="shared" si="21"/>
        <v>98.330399999999997</v>
      </c>
    </row>
    <row r="110" spans="2:52" ht="16" x14ac:dyDescent="0.2">
      <c r="B110" s="4">
        <v>200.03021000000001</v>
      </c>
      <c r="C110" s="1">
        <v>53</v>
      </c>
      <c r="D110" s="3">
        <v>99.574960000000004</v>
      </c>
      <c r="E110" s="3">
        <f t="shared" si="14"/>
        <v>100.70140000000001</v>
      </c>
      <c r="I110" s="4">
        <v>225.00306</v>
      </c>
      <c r="J110" s="1">
        <v>53</v>
      </c>
      <c r="K110" s="3">
        <v>95.32647</v>
      </c>
      <c r="L110" s="3">
        <f t="shared" si="15"/>
        <v>98.913539999999998</v>
      </c>
      <c r="M110" s="1">
        <f t="shared" si="27"/>
        <v>2.6631034883139854E-2</v>
      </c>
      <c r="P110" s="4">
        <v>225.01468</v>
      </c>
      <c r="Q110" s="1">
        <v>53</v>
      </c>
      <c r="R110" s="3">
        <v>99.664349999999999</v>
      </c>
      <c r="S110" s="3">
        <f t="shared" si="16"/>
        <v>99.588530000000006</v>
      </c>
      <c r="T110" s="1">
        <f t="shared" si="26"/>
        <v>9.6473852783583169E-3</v>
      </c>
      <c r="W110" s="4">
        <v>250.00702999999999</v>
      </c>
      <c r="X110" s="1">
        <v>53</v>
      </c>
      <c r="Y110" s="5">
        <v>92.374319999999997</v>
      </c>
      <c r="Z110" s="3">
        <f t="shared" si="17"/>
        <v>97.815150000000003</v>
      </c>
      <c r="AA110" s="1">
        <f t="shared" si="25"/>
        <v>4.4703266936114629E-2</v>
      </c>
      <c r="AD110" s="4">
        <v>250.017</v>
      </c>
      <c r="AE110" s="1">
        <v>53</v>
      </c>
      <c r="AF110" s="5">
        <v>98.645070000000004</v>
      </c>
      <c r="AG110" s="3">
        <f t="shared" si="18"/>
        <v>98.906559999999999</v>
      </c>
      <c r="AH110" s="1">
        <f t="shared" si="24"/>
        <v>2.693069334302511E-2</v>
      </c>
      <c r="AK110" s="11">
        <v>370.36013000000003</v>
      </c>
      <c r="AL110" s="1">
        <v>53</v>
      </c>
      <c r="AM110" s="12">
        <v>66.75806</v>
      </c>
      <c r="AN110" s="3">
        <f t="shared" si="19"/>
        <v>69.344279999999998</v>
      </c>
      <c r="AO110" s="1">
        <f t="shared" si="23"/>
        <v>0.51235065382613332</v>
      </c>
      <c r="AQ110" s="11">
        <v>372.59834000000001</v>
      </c>
      <c r="AR110" s="1">
        <v>53</v>
      </c>
      <c r="AS110" s="13">
        <v>61.752560000000003</v>
      </c>
      <c r="AT110" s="3">
        <f t="shared" si="20"/>
        <v>64.711290000000005</v>
      </c>
      <c r="AU110" s="1">
        <f t="shared" si="22"/>
        <v>0.58895276194885571</v>
      </c>
      <c r="AW110" s="11">
        <v>264.19044000000002</v>
      </c>
      <c r="AX110" s="1">
        <v>53</v>
      </c>
      <c r="AY110" s="12">
        <v>96.581069999999997</v>
      </c>
      <c r="AZ110" s="3">
        <f t="shared" si="21"/>
        <v>98.246719999999996</v>
      </c>
    </row>
    <row r="111" spans="2:52" ht="16" x14ac:dyDescent="0.2">
      <c r="B111" s="4">
        <v>200.01327000000001</v>
      </c>
      <c r="C111" s="1">
        <v>53.5</v>
      </c>
      <c r="D111" s="5">
        <v>99.346810000000005</v>
      </c>
      <c r="E111" s="3">
        <f t="shared" si="14"/>
        <v>100.47325000000001</v>
      </c>
      <c r="I111" s="4">
        <v>225.00008</v>
      </c>
      <c r="J111" s="1">
        <v>53.5</v>
      </c>
      <c r="K111" s="5">
        <v>95.309299999999993</v>
      </c>
      <c r="L111" s="3">
        <f t="shared" si="15"/>
        <v>98.89636999999999</v>
      </c>
      <c r="M111" s="1">
        <f t="shared" si="27"/>
        <v>2.6916108274460063E-2</v>
      </c>
      <c r="P111" s="4">
        <v>225.01193000000001</v>
      </c>
      <c r="Q111" s="1">
        <v>53.5</v>
      </c>
      <c r="R111" s="5">
        <v>99.655600000000007</v>
      </c>
      <c r="S111" s="3">
        <f t="shared" si="16"/>
        <v>99.579780000000014</v>
      </c>
      <c r="T111" s="1">
        <f t="shared" si="26"/>
        <v>9.7931690259155796E-3</v>
      </c>
      <c r="W111" s="4">
        <v>250.00403</v>
      </c>
      <c r="X111" s="1">
        <v>53.5</v>
      </c>
      <c r="Y111" s="3">
        <v>92.318550000000002</v>
      </c>
      <c r="Z111" s="3">
        <f t="shared" si="17"/>
        <v>97.759380000000007</v>
      </c>
      <c r="AA111" s="1">
        <f t="shared" si="25"/>
        <v>4.5629309554271053E-2</v>
      </c>
      <c r="AD111" s="4">
        <v>250.02033</v>
      </c>
      <c r="AE111" s="1">
        <v>53.5</v>
      </c>
      <c r="AF111" s="3">
        <v>98.669200000000004</v>
      </c>
      <c r="AG111" s="3">
        <f t="shared" si="18"/>
        <v>98.930689999999998</v>
      </c>
      <c r="AH111" s="1">
        <f t="shared" si="24"/>
        <v>2.6530107953640698E-2</v>
      </c>
      <c r="AK111" s="11">
        <v>372.67766999999998</v>
      </c>
      <c r="AL111" s="1">
        <v>53.5</v>
      </c>
      <c r="AM111" s="13">
        <v>65.126279999999994</v>
      </c>
      <c r="AN111" s="3">
        <f t="shared" si="19"/>
        <v>67.712499999999991</v>
      </c>
      <c r="AO111" s="1">
        <f t="shared" si="23"/>
        <v>0.53956588776568193</v>
      </c>
      <c r="AQ111" s="11">
        <v>374.91570999999999</v>
      </c>
      <c r="AR111" s="1">
        <v>53.5</v>
      </c>
      <c r="AS111" s="12">
        <v>60.151249999999997</v>
      </c>
      <c r="AT111" s="3">
        <f t="shared" si="20"/>
        <v>63.10998</v>
      </c>
      <c r="AU111" s="1">
        <f t="shared" si="22"/>
        <v>0.61567634094700552</v>
      </c>
      <c r="AW111" s="11">
        <v>265.69639000000001</v>
      </c>
      <c r="AX111" s="1">
        <v>53.5</v>
      </c>
      <c r="AY111" s="13">
        <v>96.550960000000003</v>
      </c>
      <c r="AZ111" s="3">
        <f t="shared" si="21"/>
        <v>98.216610000000003</v>
      </c>
    </row>
    <row r="112" spans="2:52" ht="16" x14ac:dyDescent="0.2">
      <c r="B112" s="4">
        <v>199.99847</v>
      </c>
      <c r="C112" s="1">
        <v>54</v>
      </c>
      <c r="D112" s="3">
        <v>99.488600000000005</v>
      </c>
      <c r="E112" s="3">
        <f t="shared" si="14"/>
        <v>100.61504000000001</v>
      </c>
      <c r="I112" s="4">
        <v>225.00604999999999</v>
      </c>
      <c r="J112" s="1">
        <v>54</v>
      </c>
      <c r="K112" s="3">
        <v>95.299170000000004</v>
      </c>
      <c r="L112" s="3">
        <f t="shared" si="15"/>
        <v>98.886240000000001</v>
      </c>
      <c r="M112" s="1">
        <f t="shared" si="27"/>
        <v>2.7084296594440817E-2</v>
      </c>
      <c r="P112" s="4">
        <v>225.01078999999999</v>
      </c>
      <c r="Q112" s="1">
        <v>54</v>
      </c>
      <c r="R112" s="3">
        <v>99.707700000000003</v>
      </c>
      <c r="S112" s="3">
        <f t="shared" si="16"/>
        <v>99.63188000000001</v>
      </c>
      <c r="T112" s="1">
        <f t="shared" si="26"/>
        <v>8.9251309404596146E-3</v>
      </c>
      <c r="W112" s="4">
        <v>249.99999</v>
      </c>
      <c r="X112" s="1">
        <v>54</v>
      </c>
      <c r="Y112" s="5">
        <v>92.291719999999998</v>
      </c>
      <c r="Z112" s="3">
        <f t="shared" si="17"/>
        <v>97.732550000000003</v>
      </c>
      <c r="AA112" s="1">
        <f t="shared" si="25"/>
        <v>4.6074812933240797E-2</v>
      </c>
      <c r="AD112" s="4">
        <v>250.02181999999999</v>
      </c>
      <c r="AE112" s="1">
        <v>54</v>
      </c>
      <c r="AF112" s="5">
        <v>98.631900000000002</v>
      </c>
      <c r="AG112" s="3">
        <f t="shared" si="18"/>
        <v>98.893389999999997</v>
      </c>
      <c r="AH112" s="1">
        <f t="shared" si="24"/>
        <v>2.7149330291976366E-2</v>
      </c>
      <c r="AK112" s="11">
        <v>374.99248999999998</v>
      </c>
      <c r="AL112" s="1">
        <v>54</v>
      </c>
      <c r="AM112" s="12">
        <v>63.599679999999999</v>
      </c>
      <c r="AN112" s="3">
        <f t="shared" si="19"/>
        <v>66.185900000000004</v>
      </c>
      <c r="AO112" s="1">
        <f t="shared" si="23"/>
        <v>0.56502690342472561</v>
      </c>
      <c r="AQ112" s="11">
        <v>377.26283000000001</v>
      </c>
      <c r="AR112" s="1">
        <v>54</v>
      </c>
      <c r="AS112" s="13">
        <v>58.765729999999998</v>
      </c>
      <c r="AT112" s="3">
        <f t="shared" si="20"/>
        <v>61.724460000000001</v>
      </c>
      <c r="AU112" s="1">
        <f t="shared" si="22"/>
        <v>0.63879869275491052</v>
      </c>
      <c r="AW112" s="11">
        <v>267.19625000000002</v>
      </c>
      <c r="AX112" s="1">
        <v>54</v>
      </c>
      <c r="AY112" s="12">
        <v>96.454130000000006</v>
      </c>
      <c r="AZ112" s="3">
        <f t="shared" si="21"/>
        <v>98.119780000000006</v>
      </c>
    </row>
    <row r="113" spans="2:52" ht="16" x14ac:dyDescent="0.2">
      <c r="B113" s="4">
        <v>200.00205</v>
      </c>
      <c r="C113" s="1">
        <v>54.5</v>
      </c>
      <c r="D113" s="5">
        <v>99.416920000000005</v>
      </c>
      <c r="E113" s="3">
        <f t="shared" si="14"/>
        <v>100.54336000000001</v>
      </c>
      <c r="I113" s="4">
        <v>225.00191000000001</v>
      </c>
      <c r="J113" s="1">
        <v>54.5</v>
      </c>
      <c r="K113" s="5">
        <v>95.271640000000005</v>
      </c>
      <c r="L113" s="3">
        <f t="shared" si="15"/>
        <v>98.858710000000002</v>
      </c>
      <c r="M113" s="1">
        <f t="shared" si="27"/>
        <v>2.7541376994152041E-2</v>
      </c>
      <c r="P113" s="4">
        <v>225.01481999999999</v>
      </c>
      <c r="Q113" s="1">
        <v>54.5</v>
      </c>
      <c r="R113" s="5">
        <v>99.602339999999998</v>
      </c>
      <c r="S113" s="3">
        <f t="shared" si="16"/>
        <v>99.526520000000005</v>
      </c>
      <c r="T113" s="1">
        <f t="shared" si="26"/>
        <v>1.0680533871047941E-2</v>
      </c>
      <c r="W113" s="4">
        <v>250.00502</v>
      </c>
      <c r="X113" s="1">
        <v>54.5</v>
      </c>
      <c r="Y113" s="3">
        <v>92.289990000000003</v>
      </c>
      <c r="Z113" s="3">
        <f t="shared" si="17"/>
        <v>97.730820000000008</v>
      </c>
      <c r="AA113" s="1">
        <f t="shared" si="25"/>
        <v>4.6103539017684152E-2</v>
      </c>
      <c r="AD113" s="4">
        <v>250.02167</v>
      </c>
      <c r="AE113" s="1">
        <v>54.5</v>
      </c>
      <c r="AF113" s="3">
        <v>98.610240000000005</v>
      </c>
      <c r="AG113" s="3">
        <f t="shared" si="18"/>
        <v>98.871729999999999</v>
      </c>
      <c r="AH113" s="1">
        <f t="shared" si="24"/>
        <v>2.7508910877722965E-2</v>
      </c>
      <c r="AK113" s="11">
        <v>377.31130999999999</v>
      </c>
      <c r="AL113" s="1">
        <v>54.5</v>
      </c>
      <c r="AM113" s="13">
        <v>62.23075</v>
      </c>
      <c r="AN113" s="3">
        <f t="shared" si="19"/>
        <v>64.816969999999998</v>
      </c>
      <c r="AO113" s="1">
        <f t="shared" si="23"/>
        <v>0.587858259487961</v>
      </c>
      <c r="AQ113" s="11">
        <v>379.63351</v>
      </c>
      <c r="AR113" s="1">
        <v>54.5</v>
      </c>
      <c r="AS113" s="12">
        <v>57.492159999999998</v>
      </c>
      <c r="AT113" s="3">
        <f t="shared" si="20"/>
        <v>60.450890000000001</v>
      </c>
      <c r="AU113" s="1">
        <f t="shared" si="22"/>
        <v>0.66005275880375402</v>
      </c>
      <c r="AW113" s="11">
        <v>268.69846999999999</v>
      </c>
      <c r="AX113" s="1">
        <v>54.5</v>
      </c>
      <c r="AY113" s="13">
        <v>96.386380000000003</v>
      </c>
      <c r="AZ113" s="3">
        <f t="shared" si="21"/>
        <v>98.052030000000002</v>
      </c>
    </row>
    <row r="114" spans="2:52" ht="16" x14ac:dyDescent="0.2">
      <c r="B114" s="4">
        <v>200.01846</v>
      </c>
      <c r="C114" s="1">
        <v>55</v>
      </c>
      <c r="D114" s="3">
        <v>99.432929999999999</v>
      </c>
      <c r="E114" s="3">
        <f t="shared" si="14"/>
        <v>100.55937</v>
      </c>
      <c r="I114" s="4">
        <v>225.00103999999999</v>
      </c>
      <c r="J114" s="1">
        <v>55</v>
      </c>
      <c r="K114" s="3">
        <v>95.254480000000001</v>
      </c>
      <c r="L114" s="3">
        <f t="shared" si="15"/>
        <v>98.841549999999998</v>
      </c>
      <c r="M114" s="1">
        <f t="shared" si="27"/>
        <v>2.7826284355541322E-2</v>
      </c>
      <c r="P114" s="4">
        <v>225.01531</v>
      </c>
      <c r="Q114" s="1">
        <v>55</v>
      </c>
      <c r="R114" s="3">
        <v>99.733069999999998</v>
      </c>
      <c r="S114" s="3">
        <f t="shared" si="16"/>
        <v>99.657250000000005</v>
      </c>
      <c r="T114" s="1">
        <f t="shared" si="26"/>
        <v>8.5024413775418497E-3</v>
      </c>
      <c r="W114" s="4">
        <v>249.99800999999999</v>
      </c>
      <c r="X114" s="1">
        <v>55</v>
      </c>
      <c r="Y114" s="5">
        <v>92.251499999999993</v>
      </c>
      <c r="Z114" s="3">
        <f t="shared" si="17"/>
        <v>97.692329999999998</v>
      </c>
      <c r="AA114" s="1">
        <f t="shared" si="25"/>
        <v>4.6742652884868181E-2</v>
      </c>
      <c r="AD114" s="4">
        <v>250.02437</v>
      </c>
      <c r="AE114" s="1">
        <v>55</v>
      </c>
      <c r="AF114" s="5">
        <v>98.626440000000002</v>
      </c>
      <c r="AG114" s="3">
        <f t="shared" si="18"/>
        <v>98.887929999999997</v>
      </c>
      <c r="AH114" s="1">
        <f t="shared" si="24"/>
        <v>2.7239972489491438E-2</v>
      </c>
      <c r="AK114" s="11">
        <v>379.66653000000002</v>
      </c>
      <c r="AL114" s="1">
        <v>55</v>
      </c>
      <c r="AM114" s="12">
        <v>61.01435</v>
      </c>
      <c r="AN114" s="3">
        <f t="shared" si="19"/>
        <v>63.600569999999998</v>
      </c>
      <c r="AO114" s="1">
        <f t="shared" si="23"/>
        <v>0.60814568215772458</v>
      </c>
      <c r="AQ114" s="11">
        <v>382.06353999999999</v>
      </c>
      <c r="AR114" s="1">
        <v>55</v>
      </c>
      <c r="AS114" s="13">
        <v>56.402859999999997</v>
      </c>
      <c r="AT114" s="3">
        <f t="shared" si="20"/>
        <v>59.36159</v>
      </c>
      <c r="AU114" s="1">
        <f t="shared" si="22"/>
        <v>0.6782316214866102</v>
      </c>
      <c r="AW114" s="11">
        <v>270.19947000000002</v>
      </c>
      <c r="AX114" s="1">
        <v>55</v>
      </c>
      <c r="AY114" s="12">
        <v>96.292569999999998</v>
      </c>
      <c r="AZ114" s="3">
        <f t="shared" si="21"/>
        <v>97.958219999999997</v>
      </c>
    </row>
    <row r="115" spans="2:52" ht="16" x14ac:dyDescent="0.2">
      <c r="B115" s="4">
        <v>200.03921</v>
      </c>
      <c r="C115" s="1">
        <v>55.5</v>
      </c>
      <c r="D115" s="5">
        <v>99.412210000000002</v>
      </c>
      <c r="E115" s="3">
        <f t="shared" si="14"/>
        <v>100.53865</v>
      </c>
      <c r="I115" s="4">
        <v>225.00103999999999</v>
      </c>
      <c r="J115" s="1">
        <v>55.5</v>
      </c>
      <c r="K115" s="5">
        <v>95.207530000000006</v>
      </c>
      <c r="L115" s="3">
        <f t="shared" si="15"/>
        <v>98.794600000000003</v>
      </c>
      <c r="M115" s="1">
        <f t="shared" si="27"/>
        <v>2.8605794881020469E-2</v>
      </c>
      <c r="P115" s="4">
        <v>225.01428000000001</v>
      </c>
      <c r="Q115" s="1">
        <v>55.5</v>
      </c>
      <c r="R115" s="5">
        <v>99.664810000000003</v>
      </c>
      <c r="S115" s="3">
        <f t="shared" si="16"/>
        <v>99.58899000000001</v>
      </c>
      <c r="T115" s="1">
        <f t="shared" si="26"/>
        <v>9.6397212184866632E-3</v>
      </c>
      <c r="W115" s="4">
        <v>249.99901</v>
      </c>
      <c r="X115" s="1">
        <v>55.5</v>
      </c>
      <c r="Y115" s="3">
        <v>92.211280000000002</v>
      </c>
      <c r="Z115" s="3">
        <f t="shared" si="17"/>
        <v>97.652110000000008</v>
      </c>
      <c r="AA115" s="1">
        <f t="shared" si="25"/>
        <v>4.7410492836495323E-2</v>
      </c>
      <c r="AD115" s="4">
        <v>250.02718999999999</v>
      </c>
      <c r="AE115" s="1">
        <v>55.5</v>
      </c>
      <c r="AF115" s="3">
        <v>98.630470000000003</v>
      </c>
      <c r="AG115" s="3">
        <f t="shared" si="18"/>
        <v>98.891959999999997</v>
      </c>
      <c r="AH115" s="1">
        <f t="shared" si="24"/>
        <v>2.7173069915135066E-2</v>
      </c>
      <c r="AK115" s="11">
        <v>382.08035999999998</v>
      </c>
      <c r="AL115" s="1">
        <v>55.5</v>
      </c>
      <c r="AM115" s="13">
        <v>59.959870000000002</v>
      </c>
      <c r="AN115" s="3">
        <f t="shared" si="19"/>
        <v>62.54609</v>
      </c>
      <c r="AO115" s="1">
        <f t="shared" si="23"/>
        <v>0.62573256267138144</v>
      </c>
      <c r="AQ115" s="11">
        <v>384.54469999999998</v>
      </c>
      <c r="AR115" s="1">
        <v>55.5</v>
      </c>
      <c r="AS115" s="12">
        <v>55.442399999999999</v>
      </c>
      <c r="AT115" s="3">
        <f t="shared" si="20"/>
        <v>58.401130000000002</v>
      </c>
      <c r="AU115" s="1">
        <f t="shared" si="22"/>
        <v>0.69426032841066787</v>
      </c>
      <c r="AW115" s="11">
        <v>271.70454000000001</v>
      </c>
      <c r="AX115" s="1">
        <v>55.5</v>
      </c>
      <c r="AY115" s="13">
        <v>96.180239999999998</v>
      </c>
      <c r="AZ115" s="3">
        <f t="shared" si="21"/>
        <v>97.845889999999997</v>
      </c>
    </row>
    <row r="116" spans="2:52" ht="16" x14ac:dyDescent="0.2">
      <c r="B116" s="4">
        <v>200.06591</v>
      </c>
      <c r="C116" s="1">
        <v>56</v>
      </c>
      <c r="D116" s="3">
        <v>99.421040000000005</v>
      </c>
      <c r="E116" s="3">
        <f t="shared" si="14"/>
        <v>100.54748000000001</v>
      </c>
      <c r="I116" s="4">
        <v>225.00897000000001</v>
      </c>
      <c r="J116" s="1">
        <v>56</v>
      </c>
      <c r="K116" s="3">
        <v>95.224029999999999</v>
      </c>
      <c r="L116" s="3">
        <f t="shared" si="15"/>
        <v>98.811099999999996</v>
      </c>
      <c r="M116" s="1">
        <f t="shared" si="27"/>
        <v>2.833184549506941E-2</v>
      </c>
      <c r="P116" s="4">
        <v>225.01338999999999</v>
      </c>
      <c r="Q116" s="1">
        <v>56</v>
      </c>
      <c r="R116" s="3">
        <v>99.625659999999996</v>
      </c>
      <c r="S116" s="3">
        <f t="shared" si="16"/>
        <v>99.549840000000003</v>
      </c>
      <c r="T116" s="1">
        <f t="shared" si="26"/>
        <v>1.0291999357557861E-2</v>
      </c>
      <c r="W116" s="4">
        <v>249.99996999999999</v>
      </c>
      <c r="X116" s="1">
        <v>56</v>
      </c>
      <c r="Y116" s="5">
        <v>92.195890000000006</v>
      </c>
      <c r="Z116" s="3">
        <f t="shared" si="17"/>
        <v>97.636720000000011</v>
      </c>
      <c r="AA116" s="1">
        <f t="shared" si="25"/>
        <v>4.7666038755330278E-2</v>
      </c>
      <c r="AD116" s="4">
        <v>250.02698000000001</v>
      </c>
      <c r="AE116" s="1">
        <v>56</v>
      </c>
      <c r="AF116" s="5">
        <v>98.484669999999994</v>
      </c>
      <c r="AG116" s="3">
        <f t="shared" si="18"/>
        <v>98.746159999999989</v>
      </c>
      <c r="AH116" s="1">
        <f t="shared" si="24"/>
        <v>2.9593515409219277E-2</v>
      </c>
      <c r="AK116" s="11">
        <v>384.55122</v>
      </c>
      <c r="AL116" s="1">
        <v>56</v>
      </c>
      <c r="AM116" s="12">
        <v>59.02214</v>
      </c>
      <c r="AN116" s="3">
        <f t="shared" si="19"/>
        <v>61.608359999999998</v>
      </c>
      <c r="AO116" s="1">
        <f t="shared" si="23"/>
        <v>0.6413722575580284</v>
      </c>
      <c r="AQ116" s="11">
        <v>387.08087999999998</v>
      </c>
      <c r="AR116" s="1">
        <v>56</v>
      </c>
      <c r="AS116" s="13">
        <v>54.638080000000002</v>
      </c>
      <c r="AT116" s="3">
        <f t="shared" si="20"/>
        <v>57.596810000000005</v>
      </c>
      <c r="AU116" s="1">
        <f t="shared" si="22"/>
        <v>0.70768328153017113</v>
      </c>
      <c r="AW116" s="11">
        <v>273.20630999999997</v>
      </c>
      <c r="AX116" s="1">
        <v>56</v>
      </c>
      <c r="AY116" s="12">
        <v>96.109049999999996</v>
      </c>
      <c r="AZ116" s="3">
        <f t="shared" si="21"/>
        <v>97.774699999999996</v>
      </c>
    </row>
    <row r="117" spans="2:52" ht="16" x14ac:dyDescent="0.2">
      <c r="B117" s="4">
        <v>200.08393000000001</v>
      </c>
      <c r="C117" s="1">
        <v>56.5</v>
      </c>
      <c r="D117" s="5">
        <v>99.471010000000007</v>
      </c>
      <c r="E117" s="3">
        <f t="shared" si="14"/>
        <v>100.59745000000001</v>
      </c>
      <c r="I117" s="4">
        <v>225.00599</v>
      </c>
      <c r="J117" s="1">
        <v>56.5</v>
      </c>
      <c r="K117" s="5">
        <v>95.188699999999997</v>
      </c>
      <c r="L117" s="3">
        <f t="shared" si="15"/>
        <v>98.775769999999994</v>
      </c>
      <c r="M117" s="1">
        <f t="shared" si="27"/>
        <v>2.8918429240866694E-2</v>
      </c>
      <c r="P117" s="4">
        <v>225.01279</v>
      </c>
      <c r="Q117" s="1">
        <v>56.5</v>
      </c>
      <c r="R117" s="5">
        <v>99.484949999999998</v>
      </c>
      <c r="S117" s="3">
        <f t="shared" si="16"/>
        <v>99.409130000000005</v>
      </c>
      <c r="T117" s="1">
        <f t="shared" si="26"/>
        <v>1.2636368628277966E-2</v>
      </c>
      <c r="W117" s="4">
        <v>249.99895000000001</v>
      </c>
      <c r="X117" s="1">
        <v>56.5</v>
      </c>
      <c r="Y117" s="3">
        <v>92.144000000000005</v>
      </c>
      <c r="Z117" s="3">
        <f t="shared" si="17"/>
        <v>97.584830000000011</v>
      </c>
      <c r="AA117" s="1">
        <f t="shared" si="25"/>
        <v>4.8527655241902647E-2</v>
      </c>
      <c r="AD117" s="4">
        <v>250.02726999999999</v>
      </c>
      <c r="AE117" s="1">
        <v>56.5</v>
      </c>
      <c r="AF117" s="3">
        <v>98.575159999999997</v>
      </c>
      <c r="AG117" s="3">
        <f t="shared" si="18"/>
        <v>98.836649999999992</v>
      </c>
      <c r="AH117" s="1">
        <f t="shared" si="24"/>
        <v>2.8091278696189961E-2</v>
      </c>
      <c r="AK117" s="11">
        <v>387.07925999999998</v>
      </c>
      <c r="AL117" s="1">
        <v>56.5</v>
      </c>
      <c r="AM117" s="13">
        <v>58.278820000000003</v>
      </c>
      <c r="AN117" s="3">
        <f t="shared" si="19"/>
        <v>60.86504</v>
      </c>
      <c r="AO117" s="1">
        <f t="shared" si="23"/>
        <v>0.65376953396290227</v>
      </c>
      <c r="AQ117" s="11">
        <v>389.65744000000001</v>
      </c>
      <c r="AR117" s="1">
        <v>56.5</v>
      </c>
      <c r="AS117" s="12">
        <v>53.927070000000001</v>
      </c>
      <c r="AT117" s="3">
        <f t="shared" si="20"/>
        <v>56.885800000000003</v>
      </c>
      <c r="AU117" s="1">
        <f t="shared" si="22"/>
        <v>0.7195490238932829</v>
      </c>
      <c r="AW117" s="11">
        <v>274.71242000000001</v>
      </c>
      <c r="AX117" s="1">
        <v>56.5</v>
      </c>
      <c r="AY117" s="13">
        <v>96.039270000000002</v>
      </c>
      <c r="AZ117" s="3">
        <f t="shared" si="21"/>
        <v>97.704920000000001</v>
      </c>
    </row>
    <row r="118" spans="2:52" ht="16" x14ac:dyDescent="0.2">
      <c r="B118" s="4">
        <v>200.08772999999999</v>
      </c>
      <c r="C118" s="1">
        <v>57</v>
      </c>
      <c r="D118" s="3">
        <v>99.452860000000001</v>
      </c>
      <c r="E118" s="3">
        <f t="shared" si="14"/>
        <v>100.5793</v>
      </c>
      <c r="I118" s="4">
        <v>225.00989000000001</v>
      </c>
      <c r="J118" s="1">
        <v>57</v>
      </c>
      <c r="K118" s="3">
        <v>95.192949999999996</v>
      </c>
      <c r="L118" s="3">
        <f t="shared" si="15"/>
        <v>98.780019999999993</v>
      </c>
      <c r="M118" s="1">
        <f t="shared" si="27"/>
        <v>2.8847866520242925E-2</v>
      </c>
      <c r="P118" s="4">
        <v>225.01034000000001</v>
      </c>
      <c r="Q118" s="1">
        <v>57</v>
      </c>
      <c r="R118" s="3">
        <v>99.651669999999996</v>
      </c>
      <c r="S118" s="3">
        <f t="shared" si="16"/>
        <v>99.575850000000003</v>
      </c>
      <c r="T118" s="1">
        <f t="shared" si="26"/>
        <v>9.8586467548186854E-3</v>
      </c>
      <c r="W118" s="4">
        <v>250.00101000000001</v>
      </c>
      <c r="X118" s="1">
        <v>57</v>
      </c>
      <c r="Y118" s="5">
        <v>92.121039999999994</v>
      </c>
      <c r="Z118" s="3">
        <f t="shared" si="17"/>
        <v>97.561869999999999</v>
      </c>
      <c r="AA118" s="1">
        <f t="shared" si="25"/>
        <v>4.890889853601927E-2</v>
      </c>
      <c r="AD118" s="4">
        <v>250.02867000000001</v>
      </c>
      <c r="AE118" s="1">
        <v>57</v>
      </c>
      <c r="AF118" s="5">
        <v>98.522009999999995</v>
      </c>
      <c r="AG118" s="3">
        <f t="shared" si="18"/>
        <v>98.783499999999989</v>
      </c>
      <c r="AH118" s="1">
        <f t="shared" si="24"/>
        <v>2.8973629025480591E-2</v>
      </c>
      <c r="AK118" s="11">
        <v>389.65273000000002</v>
      </c>
      <c r="AL118" s="1">
        <v>57</v>
      </c>
      <c r="AM118" s="12">
        <v>57.617550000000001</v>
      </c>
      <c r="AN118" s="3">
        <f t="shared" si="19"/>
        <v>60.203769999999999</v>
      </c>
      <c r="AO118" s="1">
        <f t="shared" si="23"/>
        <v>0.66479835999778769</v>
      </c>
      <c r="AQ118" s="11">
        <v>392.27148</v>
      </c>
      <c r="AR118" s="1">
        <v>57</v>
      </c>
      <c r="AS118" s="13">
        <v>53.280920000000002</v>
      </c>
      <c r="AT118" s="3">
        <f t="shared" si="20"/>
        <v>56.239650000000005</v>
      </c>
      <c r="AU118" s="1">
        <f t="shared" si="22"/>
        <v>0.73033234540482928</v>
      </c>
      <c r="AW118" s="11">
        <v>276.21235000000001</v>
      </c>
      <c r="AX118" s="1">
        <v>57</v>
      </c>
      <c r="AY118" s="12">
        <v>95.922300000000007</v>
      </c>
      <c r="AZ118" s="3">
        <f t="shared" si="21"/>
        <v>97.587950000000006</v>
      </c>
    </row>
    <row r="119" spans="2:52" ht="16" x14ac:dyDescent="0.2">
      <c r="B119" s="4">
        <v>200.07603</v>
      </c>
      <c r="C119" s="1">
        <v>57.5</v>
      </c>
      <c r="D119" s="5">
        <v>99.598100000000002</v>
      </c>
      <c r="E119" s="7">
        <f t="shared" si="14"/>
        <v>100.72454</v>
      </c>
      <c r="F119" s="1">
        <f>($E$119-E119)/($E$119*(1-$N$1))</f>
        <v>0</v>
      </c>
      <c r="I119" s="4">
        <v>225.00395</v>
      </c>
      <c r="J119" s="1">
        <v>57.5</v>
      </c>
      <c r="K119" s="5">
        <v>95.152990000000003</v>
      </c>
      <c r="L119" s="3">
        <f t="shared" si="15"/>
        <v>98.74006</v>
      </c>
      <c r="M119" s="1">
        <f t="shared" si="27"/>
        <v>2.9511322124037277E-2</v>
      </c>
      <c r="P119" s="4">
        <v>225.00906000000001</v>
      </c>
      <c r="Q119" s="1">
        <v>57.5</v>
      </c>
      <c r="R119" s="5">
        <v>99.762540000000001</v>
      </c>
      <c r="S119" s="3">
        <f t="shared" si="16"/>
        <v>99.686720000000008</v>
      </c>
      <c r="T119" s="1">
        <f t="shared" si="26"/>
        <v>8.0114417157684838E-3</v>
      </c>
      <c r="W119" s="4">
        <v>250.00101000000001</v>
      </c>
      <c r="X119" s="1">
        <v>57.5</v>
      </c>
      <c r="Y119" s="3">
        <v>92.092380000000006</v>
      </c>
      <c r="Z119" s="3">
        <f t="shared" si="17"/>
        <v>97.533210000000011</v>
      </c>
      <c r="AA119" s="1">
        <f t="shared" si="25"/>
        <v>4.9384788466741054E-2</v>
      </c>
      <c r="AD119" s="4">
        <v>250.02501000000001</v>
      </c>
      <c r="AE119" s="1">
        <v>57.5</v>
      </c>
      <c r="AF119" s="3">
        <v>98.496880000000004</v>
      </c>
      <c r="AG119" s="3">
        <f t="shared" si="18"/>
        <v>98.758369999999999</v>
      </c>
      <c r="AH119" s="1">
        <f t="shared" si="24"/>
        <v>2.9390815549940871E-2</v>
      </c>
      <c r="AK119" s="11">
        <v>392.26526000000001</v>
      </c>
      <c r="AL119" s="1">
        <v>57.5</v>
      </c>
      <c r="AM119" s="13">
        <v>56.998510000000003</v>
      </c>
      <c r="AN119" s="3">
        <f t="shared" si="19"/>
        <v>59.58473</v>
      </c>
      <c r="AO119" s="1">
        <f t="shared" si="23"/>
        <v>0.67512286355705309</v>
      </c>
      <c r="AQ119" s="11">
        <v>394.90102000000002</v>
      </c>
      <c r="AR119" s="1">
        <v>57.5</v>
      </c>
      <c r="AS119" s="12">
        <v>52.70881</v>
      </c>
      <c r="AT119" s="3">
        <f t="shared" si="20"/>
        <v>55.667540000000002</v>
      </c>
      <c r="AU119" s="1">
        <f t="shared" si="22"/>
        <v>0.73988004496371018</v>
      </c>
      <c r="AW119" s="11">
        <v>277.71877000000001</v>
      </c>
      <c r="AX119" s="1">
        <v>57.5</v>
      </c>
      <c r="AY119" s="13">
        <v>95.870760000000004</v>
      </c>
      <c r="AZ119" s="3">
        <f t="shared" si="21"/>
        <v>97.536410000000004</v>
      </c>
    </row>
    <row r="120" spans="2:52" ht="16" x14ac:dyDescent="0.2">
      <c r="B120" s="4">
        <v>200.05831000000001</v>
      </c>
      <c r="C120" s="1">
        <v>58</v>
      </c>
      <c r="D120" s="3">
        <v>99.405060000000006</v>
      </c>
      <c r="E120" s="3">
        <f t="shared" si="14"/>
        <v>100.53150000000001</v>
      </c>
      <c r="F120" s="1">
        <f t="shared" ref="F120:F183" si="28">($E$119-E120)/($E$119*(1-$N$1))</f>
        <v>3.1984547543738666E-3</v>
      </c>
      <c r="I120" s="4">
        <v>225.00814</v>
      </c>
      <c r="J120" s="1">
        <v>58</v>
      </c>
      <c r="K120" s="3">
        <v>95.125540000000001</v>
      </c>
      <c r="L120" s="3">
        <f t="shared" si="15"/>
        <v>98.712609999999998</v>
      </c>
      <c r="M120" s="1">
        <f t="shared" si="27"/>
        <v>2.9967074284301513E-2</v>
      </c>
      <c r="P120" s="4">
        <v>225.00844000000001</v>
      </c>
      <c r="Q120" s="1">
        <v>58</v>
      </c>
      <c r="R120" s="3">
        <v>99.634219999999999</v>
      </c>
      <c r="S120" s="3">
        <f t="shared" si="16"/>
        <v>99.558400000000006</v>
      </c>
      <c r="T120" s="1">
        <f t="shared" si="26"/>
        <v>1.0149381199947379E-2</v>
      </c>
      <c r="W120" s="4">
        <v>249.999</v>
      </c>
      <c r="X120" s="1">
        <v>58</v>
      </c>
      <c r="Y120" s="5">
        <v>92.06362</v>
      </c>
      <c r="Z120" s="3">
        <f t="shared" si="17"/>
        <v>97.504450000000006</v>
      </c>
      <c r="AA120" s="1">
        <f t="shared" si="25"/>
        <v>4.9862338864772003E-2</v>
      </c>
      <c r="AD120" s="4">
        <v>250.02322000000001</v>
      </c>
      <c r="AE120" s="1">
        <v>58</v>
      </c>
      <c r="AF120" s="5">
        <v>98.480189999999993</v>
      </c>
      <c r="AG120" s="3">
        <f t="shared" si="18"/>
        <v>98.741679999999988</v>
      </c>
      <c r="AH120" s="1">
        <f t="shared" si="24"/>
        <v>2.9667888494359872E-2</v>
      </c>
      <c r="AK120" s="11">
        <v>394.89294000000001</v>
      </c>
      <c r="AL120" s="1">
        <v>58</v>
      </c>
      <c r="AM120" s="12">
        <v>56.451120000000003</v>
      </c>
      <c r="AN120" s="3">
        <f t="shared" si="19"/>
        <v>59.03734</v>
      </c>
      <c r="AO120" s="1">
        <f t="shared" si="23"/>
        <v>0.68425237054094146</v>
      </c>
      <c r="AQ120" s="11">
        <v>397.53753999999998</v>
      </c>
      <c r="AR120" s="1">
        <v>58</v>
      </c>
      <c r="AS120" s="13">
        <v>52.144880000000001</v>
      </c>
      <c r="AT120" s="3">
        <f t="shared" si="20"/>
        <v>55.103610000000003</v>
      </c>
      <c r="AU120" s="1">
        <f t="shared" si="22"/>
        <v>0.74929123199459524</v>
      </c>
      <c r="AW120" s="11">
        <v>279.22376000000003</v>
      </c>
      <c r="AX120" s="1">
        <v>58</v>
      </c>
      <c r="AY120" s="12">
        <v>95.763189999999994</v>
      </c>
      <c r="AZ120" s="3">
        <f t="shared" si="21"/>
        <v>97.428839999999994</v>
      </c>
    </row>
    <row r="121" spans="2:52" ht="16" x14ac:dyDescent="0.2">
      <c r="B121" s="4">
        <v>200.03953000000001</v>
      </c>
      <c r="C121" s="1">
        <v>58.5</v>
      </c>
      <c r="D121" s="5">
        <v>99.538139999999999</v>
      </c>
      <c r="E121" s="3">
        <f t="shared" si="14"/>
        <v>100.66458</v>
      </c>
      <c r="F121" s="1">
        <f t="shared" si="28"/>
        <v>9.9346947302254873E-4</v>
      </c>
      <c r="I121" s="4">
        <v>225.00497999999999</v>
      </c>
      <c r="J121" s="1">
        <v>58.5</v>
      </c>
      <c r="K121" s="5">
        <v>95.090180000000004</v>
      </c>
      <c r="L121" s="3">
        <f t="shared" si="15"/>
        <v>98.677250000000001</v>
      </c>
      <c r="M121" s="1">
        <f t="shared" si="27"/>
        <v>3.0554156119891356E-2</v>
      </c>
      <c r="P121" s="4">
        <v>225.00845000000001</v>
      </c>
      <c r="Q121" s="1">
        <v>58.5</v>
      </c>
      <c r="R121" s="5">
        <v>99.571849999999998</v>
      </c>
      <c r="S121" s="3">
        <f t="shared" si="16"/>
        <v>99.496030000000005</v>
      </c>
      <c r="T121" s="1">
        <f t="shared" si="26"/>
        <v>1.1188527752536518E-2</v>
      </c>
      <c r="W121" s="4">
        <v>249.99798000000001</v>
      </c>
      <c r="X121" s="1">
        <v>58.5</v>
      </c>
      <c r="Y121" s="3">
        <v>92.031149999999997</v>
      </c>
      <c r="Z121" s="3">
        <f t="shared" si="17"/>
        <v>97.471980000000002</v>
      </c>
      <c r="AA121" s="1">
        <f t="shared" si="25"/>
        <v>5.0401492599961982E-2</v>
      </c>
      <c r="AD121" s="4">
        <v>250.01736</v>
      </c>
      <c r="AE121" s="1">
        <v>58.5</v>
      </c>
      <c r="AF121" s="3">
        <v>98.497020000000006</v>
      </c>
      <c r="AG121" s="3">
        <f t="shared" si="18"/>
        <v>98.758510000000001</v>
      </c>
      <c r="AH121" s="1">
        <f t="shared" si="24"/>
        <v>2.9388491391030197E-2</v>
      </c>
      <c r="AK121" s="11">
        <v>397.53352000000001</v>
      </c>
      <c r="AL121" s="1">
        <v>58.5</v>
      </c>
      <c r="AM121" s="13">
        <v>55.900930000000002</v>
      </c>
      <c r="AN121" s="3">
        <f t="shared" si="19"/>
        <v>58.48715</v>
      </c>
      <c r="AO121" s="1">
        <f t="shared" si="23"/>
        <v>0.6934285766233792</v>
      </c>
      <c r="AQ121" s="11">
        <v>400.18497000000002</v>
      </c>
      <c r="AR121" s="1">
        <v>58.5</v>
      </c>
      <c r="AS121" s="12">
        <v>51.549770000000002</v>
      </c>
      <c r="AT121" s="3">
        <f t="shared" si="20"/>
        <v>54.508500000000005</v>
      </c>
      <c r="AU121" s="1">
        <f t="shared" si="22"/>
        <v>0.75922276873488215</v>
      </c>
      <c r="AW121" s="11">
        <v>280.72372999999999</v>
      </c>
      <c r="AX121" s="1">
        <v>58.5</v>
      </c>
      <c r="AY121" s="13">
        <v>95.643820000000005</v>
      </c>
      <c r="AZ121" s="3">
        <f t="shared" si="21"/>
        <v>97.309470000000005</v>
      </c>
    </row>
    <row r="122" spans="2:52" ht="16" x14ac:dyDescent="0.2">
      <c r="B122" s="4">
        <v>200.02089000000001</v>
      </c>
      <c r="C122" s="1">
        <v>59</v>
      </c>
      <c r="D122" s="3">
        <v>99.44932</v>
      </c>
      <c r="E122" s="3">
        <f t="shared" si="14"/>
        <v>100.57576</v>
      </c>
      <c r="F122" s="1">
        <f t="shared" si="28"/>
        <v>2.4651165476365505E-3</v>
      </c>
      <c r="I122" s="4">
        <v>225.00403</v>
      </c>
      <c r="J122" s="1">
        <v>59</v>
      </c>
      <c r="K122" s="3">
        <v>95.079909999999998</v>
      </c>
      <c r="L122" s="3">
        <f t="shared" si="15"/>
        <v>98.666979999999995</v>
      </c>
      <c r="M122" s="1">
        <f t="shared" si="27"/>
        <v>3.0724668858904691E-2</v>
      </c>
      <c r="P122" s="4">
        <v>225.00897000000001</v>
      </c>
      <c r="Q122" s="1">
        <v>59</v>
      </c>
      <c r="R122" s="3">
        <v>99.615579999999994</v>
      </c>
      <c r="S122" s="3">
        <f t="shared" si="16"/>
        <v>99.539760000000001</v>
      </c>
      <c r="T122" s="1">
        <f t="shared" si="26"/>
        <v>1.0459942234744016E-2</v>
      </c>
      <c r="W122" s="4">
        <v>250.00498999999999</v>
      </c>
      <c r="X122" s="1">
        <v>59</v>
      </c>
      <c r="Y122" s="5">
        <v>92.007829999999998</v>
      </c>
      <c r="Z122" s="3">
        <f t="shared" si="17"/>
        <v>97.448660000000004</v>
      </c>
      <c r="AA122" s="1">
        <f t="shared" si="25"/>
        <v>5.078871357639031E-2</v>
      </c>
      <c r="AD122" s="4">
        <v>250.01335</v>
      </c>
      <c r="AE122" s="1">
        <v>59</v>
      </c>
      <c r="AF122" s="5">
        <v>98.551509999999993</v>
      </c>
      <c r="AG122" s="3">
        <f t="shared" si="18"/>
        <v>98.812999999999988</v>
      </c>
      <c r="AH122" s="1">
        <f t="shared" si="24"/>
        <v>2.848389554073795E-2</v>
      </c>
      <c r="AK122" s="11">
        <v>400.17559</v>
      </c>
      <c r="AL122" s="1">
        <v>59</v>
      </c>
      <c r="AM122" s="12">
        <v>55.345170000000003</v>
      </c>
      <c r="AN122" s="3">
        <f t="shared" si="19"/>
        <v>57.93139</v>
      </c>
      <c r="AO122" s="1">
        <f t="shared" si="23"/>
        <v>0.70269768055543091</v>
      </c>
      <c r="AQ122" s="11">
        <v>402.84068000000002</v>
      </c>
      <c r="AR122" s="1">
        <v>59</v>
      </c>
      <c r="AS122" s="13">
        <v>50.926690000000001</v>
      </c>
      <c r="AT122" s="3">
        <f t="shared" si="20"/>
        <v>53.885420000000003</v>
      </c>
      <c r="AU122" s="1">
        <f t="shared" si="22"/>
        <v>0.7696210848649051</v>
      </c>
      <c r="AW122" s="11">
        <v>282.21865000000003</v>
      </c>
      <c r="AX122" s="1">
        <v>59</v>
      </c>
      <c r="AY122" s="12">
        <v>95.531210000000002</v>
      </c>
      <c r="AZ122" s="3">
        <f t="shared" si="21"/>
        <v>97.196860000000001</v>
      </c>
    </row>
    <row r="123" spans="2:52" ht="16" x14ac:dyDescent="0.2">
      <c r="B123" s="4">
        <v>200.01052999999999</v>
      </c>
      <c r="C123" s="1">
        <v>59.5</v>
      </c>
      <c r="D123" s="5">
        <v>99.435130000000001</v>
      </c>
      <c r="E123" s="3">
        <f t="shared" si="14"/>
        <v>100.56157</v>
      </c>
      <c r="F123" s="1">
        <f t="shared" si="28"/>
        <v>2.7002288195209462E-3</v>
      </c>
      <c r="I123" s="4">
        <v>225.00711999999999</v>
      </c>
      <c r="J123" s="1">
        <v>59.5</v>
      </c>
      <c r="K123" s="5">
        <v>95.067149999999998</v>
      </c>
      <c r="L123" s="3">
        <f t="shared" si="15"/>
        <v>98.654219999999995</v>
      </c>
      <c r="M123" s="1">
        <f t="shared" si="27"/>
        <v>3.0936523050706925E-2</v>
      </c>
      <c r="P123" s="4">
        <v>225.00913</v>
      </c>
      <c r="Q123" s="1">
        <v>59.5</v>
      </c>
      <c r="R123" s="5">
        <v>99.516080000000002</v>
      </c>
      <c r="S123" s="3">
        <f t="shared" si="16"/>
        <v>99.440260000000009</v>
      </c>
      <c r="T123" s="1">
        <f t="shared" si="26"/>
        <v>1.2117711706967979E-2</v>
      </c>
      <c r="W123" s="4">
        <v>250.00200000000001</v>
      </c>
      <c r="X123" s="1">
        <v>59.5</v>
      </c>
      <c r="Y123" s="3">
        <v>91.986750000000001</v>
      </c>
      <c r="Z123" s="3">
        <f t="shared" si="17"/>
        <v>97.427580000000006</v>
      </c>
      <c r="AA123" s="1">
        <f t="shared" si="25"/>
        <v>5.1138740085099957E-2</v>
      </c>
      <c r="AD123" s="4">
        <v>250.01414</v>
      </c>
      <c r="AE123" s="1">
        <v>59.5</v>
      </c>
      <c r="AF123" s="3">
        <v>98.436940000000007</v>
      </c>
      <c r="AG123" s="3">
        <f t="shared" si="18"/>
        <v>98.698430000000002</v>
      </c>
      <c r="AH123" s="1">
        <f t="shared" si="24"/>
        <v>3.0385887586397615E-2</v>
      </c>
      <c r="AK123" s="11">
        <v>402.82135</v>
      </c>
      <c r="AL123" s="1">
        <v>59.5</v>
      </c>
      <c r="AM123" s="13">
        <v>54.778770000000002</v>
      </c>
      <c r="AN123" s="3">
        <f t="shared" si="19"/>
        <v>57.364989999999999</v>
      </c>
      <c r="AO123" s="1">
        <f t="shared" si="23"/>
        <v>0.71214424106197005</v>
      </c>
      <c r="AQ123" s="11">
        <v>405.51540999999997</v>
      </c>
      <c r="AR123" s="1">
        <v>59.5</v>
      </c>
      <c r="AS123" s="12">
        <v>50.260120000000001</v>
      </c>
      <c r="AT123" s="3">
        <f t="shared" si="20"/>
        <v>53.218850000000003</v>
      </c>
      <c r="AU123" s="1">
        <f t="shared" si="22"/>
        <v>0.78074518703924778</v>
      </c>
      <c r="AW123" s="11">
        <v>283.71973000000003</v>
      </c>
      <c r="AX123" s="1">
        <v>59.5</v>
      </c>
      <c r="AY123" s="13">
        <v>95.403180000000006</v>
      </c>
      <c r="AZ123" s="3">
        <f t="shared" si="21"/>
        <v>97.068830000000005</v>
      </c>
    </row>
    <row r="124" spans="2:52" ht="16" x14ac:dyDescent="0.2">
      <c r="B124" s="4">
        <v>199.99806000000001</v>
      </c>
      <c r="C124" s="1">
        <v>60</v>
      </c>
      <c r="D124" s="3">
        <v>99.371200000000002</v>
      </c>
      <c r="E124" s="3">
        <f t="shared" si="14"/>
        <v>100.49764</v>
      </c>
      <c r="F124" s="1">
        <f t="shared" si="28"/>
        <v>3.7594767082855672E-3</v>
      </c>
      <c r="I124" s="4">
        <v>225.00792999999999</v>
      </c>
      <c r="J124" s="1">
        <v>60</v>
      </c>
      <c r="K124" s="3">
        <v>95.047219999999996</v>
      </c>
      <c r="L124" s="3">
        <f t="shared" si="15"/>
        <v>98.634289999999993</v>
      </c>
      <c r="M124" s="1">
        <f t="shared" si="27"/>
        <v>3.1267420702949793E-2</v>
      </c>
      <c r="P124" s="4">
        <v>225.0086</v>
      </c>
      <c r="Q124" s="1">
        <v>60</v>
      </c>
      <c r="R124" s="3">
        <v>99.658529999999999</v>
      </c>
      <c r="S124" s="3">
        <f t="shared" si="16"/>
        <v>99.582710000000006</v>
      </c>
      <c r="T124" s="1">
        <f t="shared" si="26"/>
        <v>9.7443522967336355E-3</v>
      </c>
      <c r="W124" s="4">
        <v>250.00402</v>
      </c>
      <c r="X124" s="1">
        <v>60</v>
      </c>
      <c r="Y124" s="5">
        <v>91.935069999999996</v>
      </c>
      <c r="Z124" s="3">
        <f t="shared" si="17"/>
        <v>97.375900000000001</v>
      </c>
      <c r="AA124" s="1">
        <f t="shared" si="25"/>
        <v>5.199686959032377E-2</v>
      </c>
      <c r="AD124" s="4">
        <v>250.01582999999999</v>
      </c>
      <c r="AE124" s="1">
        <v>60</v>
      </c>
      <c r="AF124" s="5">
        <v>98.532430000000005</v>
      </c>
      <c r="AG124" s="3">
        <f t="shared" si="18"/>
        <v>98.79392</v>
      </c>
      <c r="AH124" s="1">
        <f t="shared" si="24"/>
        <v>2.8800645197988264E-2</v>
      </c>
      <c r="AK124" s="11">
        <v>405.47922999999997</v>
      </c>
      <c r="AL124" s="1">
        <v>60</v>
      </c>
      <c r="AM124" s="12">
        <v>54.142240000000001</v>
      </c>
      <c r="AN124" s="3">
        <f t="shared" si="19"/>
        <v>56.728459999999998</v>
      </c>
      <c r="AO124" s="1">
        <f t="shared" si="23"/>
        <v>0.72276044720467358</v>
      </c>
      <c r="AQ124" s="11">
        <v>408.21066999999999</v>
      </c>
      <c r="AR124" s="1">
        <v>60</v>
      </c>
      <c r="AS124" s="13">
        <v>49.369010000000003</v>
      </c>
      <c r="AT124" s="3">
        <f t="shared" si="20"/>
        <v>52.327740000000006</v>
      </c>
      <c r="AU124" s="1">
        <f t="shared" si="22"/>
        <v>0.79561654141850047</v>
      </c>
      <c r="AW124" s="11">
        <v>285.22143999999997</v>
      </c>
      <c r="AX124" s="1">
        <v>60</v>
      </c>
      <c r="AY124" s="12">
        <v>95.304450000000003</v>
      </c>
      <c r="AZ124" s="3">
        <f t="shared" si="21"/>
        <v>96.970100000000002</v>
      </c>
    </row>
    <row r="125" spans="2:52" ht="16" x14ac:dyDescent="0.2">
      <c r="B125" s="4">
        <v>199.98267000000001</v>
      </c>
      <c r="C125" s="1">
        <v>60.5</v>
      </c>
      <c r="D125" s="5">
        <v>99.440899999999999</v>
      </c>
      <c r="E125" s="3">
        <f t="shared" si="14"/>
        <v>100.56734</v>
      </c>
      <c r="F125" s="1">
        <f t="shared" si="28"/>
        <v>2.6046264369435938E-3</v>
      </c>
      <c r="I125" s="4">
        <v>225.01075</v>
      </c>
      <c r="J125" s="1">
        <v>60.5</v>
      </c>
      <c r="K125" s="5">
        <v>95.039259999999999</v>
      </c>
      <c r="L125" s="3">
        <f t="shared" si="15"/>
        <v>98.626329999999996</v>
      </c>
      <c r="M125" s="1">
        <f t="shared" si="27"/>
        <v>3.1399580527929821E-2</v>
      </c>
      <c r="P125" s="4">
        <v>225.01283000000001</v>
      </c>
      <c r="Q125" s="1">
        <v>60.5</v>
      </c>
      <c r="R125" s="5">
        <v>99.597909999999999</v>
      </c>
      <c r="S125" s="3">
        <f t="shared" si="16"/>
        <v>99.522090000000006</v>
      </c>
      <c r="T125" s="1">
        <f t="shared" si="26"/>
        <v>1.0754342099811274E-2</v>
      </c>
      <c r="W125" s="4">
        <v>250.00001</v>
      </c>
      <c r="X125" s="1">
        <v>60.5</v>
      </c>
      <c r="Y125" s="3">
        <v>91.925529999999995</v>
      </c>
      <c r="Z125" s="3">
        <f t="shared" si="17"/>
        <v>97.36636</v>
      </c>
      <c r="AA125" s="1">
        <f t="shared" si="25"/>
        <v>5.2155278171589936E-2</v>
      </c>
      <c r="AD125" s="4">
        <v>250.01558</v>
      </c>
      <c r="AE125" s="1">
        <v>60.5</v>
      </c>
      <c r="AF125" s="3">
        <v>98.530900000000003</v>
      </c>
      <c r="AG125" s="3">
        <f t="shared" si="18"/>
        <v>98.792389999999997</v>
      </c>
      <c r="AH125" s="1">
        <f t="shared" si="24"/>
        <v>2.882604493465462E-2</v>
      </c>
      <c r="AK125" s="11">
        <v>408.16633000000002</v>
      </c>
      <c r="AL125" s="1">
        <v>60.5</v>
      </c>
      <c r="AM125" s="13">
        <v>53.399549999999998</v>
      </c>
      <c r="AN125" s="3">
        <f t="shared" si="19"/>
        <v>55.985769999999995</v>
      </c>
      <c r="AO125" s="1">
        <f t="shared" si="23"/>
        <v>0.73514721631237401</v>
      </c>
      <c r="AQ125" s="11">
        <v>410.90384</v>
      </c>
      <c r="AR125" s="1">
        <v>60.5</v>
      </c>
      <c r="AS125" s="12">
        <v>48.37764</v>
      </c>
      <c r="AT125" s="3">
        <f t="shared" si="20"/>
        <v>51.336370000000002</v>
      </c>
      <c r="AU125" s="1">
        <f t="shared" si="22"/>
        <v>0.81216109213722187</v>
      </c>
      <c r="AW125" s="11">
        <v>286.72413</v>
      </c>
      <c r="AX125" s="1">
        <v>60.5</v>
      </c>
      <c r="AY125" s="13">
        <v>95.144919999999999</v>
      </c>
      <c r="AZ125" s="3">
        <f t="shared" si="21"/>
        <v>96.810569999999998</v>
      </c>
    </row>
    <row r="126" spans="2:52" ht="16" x14ac:dyDescent="0.2">
      <c r="B126" s="4">
        <v>199.96880999999999</v>
      </c>
      <c r="C126" s="1">
        <v>61</v>
      </c>
      <c r="D126" s="3">
        <v>99.499219999999994</v>
      </c>
      <c r="E126" s="3">
        <f t="shared" si="14"/>
        <v>100.62566</v>
      </c>
      <c r="F126" s="1">
        <f t="shared" si="28"/>
        <v>1.6383299114821823E-3</v>
      </c>
      <c r="I126" s="4">
        <v>225.00692000000001</v>
      </c>
      <c r="J126" s="1">
        <v>61</v>
      </c>
      <c r="K126" s="3">
        <v>94.990189999999998</v>
      </c>
      <c r="L126" s="3">
        <f t="shared" si="15"/>
        <v>98.577259999999995</v>
      </c>
      <c r="M126" s="1">
        <f t="shared" si="27"/>
        <v>3.2214289398755501E-2</v>
      </c>
      <c r="P126" s="4">
        <v>225.01454000000001</v>
      </c>
      <c r="Q126" s="1">
        <v>61</v>
      </c>
      <c r="R126" s="3">
        <v>99.587350000000001</v>
      </c>
      <c r="S126" s="3">
        <f t="shared" si="16"/>
        <v>99.511530000000008</v>
      </c>
      <c r="T126" s="1">
        <f t="shared" si="26"/>
        <v>1.0930282256863369E-2</v>
      </c>
      <c r="W126" s="4">
        <v>250.00502</v>
      </c>
      <c r="X126" s="1">
        <v>61</v>
      </c>
      <c r="Y126" s="5">
        <v>91.902479999999997</v>
      </c>
      <c r="Z126" s="3">
        <f t="shared" si="17"/>
        <v>97.343310000000002</v>
      </c>
      <c r="AA126" s="1">
        <f t="shared" si="25"/>
        <v>5.253801588628431E-2</v>
      </c>
      <c r="AD126" s="4">
        <v>250.01374000000001</v>
      </c>
      <c r="AE126" s="1">
        <v>61</v>
      </c>
      <c r="AF126" s="5">
        <v>98.350239999999999</v>
      </c>
      <c r="AG126" s="3">
        <f t="shared" si="18"/>
        <v>98.611729999999994</v>
      </c>
      <c r="AH126" s="1">
        <f t="shared" si="24"/>
        <v>3.1825205997488885E-2</v>
      </c>
      <c r="AK126" s="11">
        <v>410.84969000000001</v>
      </c>
      <c r="AL126" s="1">
        <v>61</v>
      </c>
      <c r="AM126" s="12">
        <v>52.476289999999999</v>
      </c>
      <c r="AN126" s="3">
        <f t="shared" si="19"/>
        <v>55.062509999999996</v>
      </c>
      <c r="AO126" s="1">
        <f t="shared" si="23"/>
        <v>0.75054557692901802</v>
      </c>
      <c r="AQ126" s="11">
        <v>413.51143000000002</v>
      </c>
      <c r="AR126" s="1">
        <v>61</v>
      </c>
      <c r="AS126" s="13">
        <v>47.234229999999997</v>
      </c>
      <c r="AT126" s="3">
        <f t="shared" si="20"/>
        <v>50.192959999999999</v>
      </c>
      <c r="AU126" s="1">
        <f t="shared" si="22"/>
        <v>0.83124297351076881</v>
      </c>
      <c r="AW126" s="11">
        <v>288.22561000000002</v>
      </c>
      <c r="AX126" s="1">
        <v>61</v>
      </c>
      <c r="AY126" s="12">
        <v>94.918239999999997</v>
      </c>
      <c r="AZ126" s="3">
        <f t="shared" si="21"/>
        <v>96.583889999999997</v>
      </c>
    </row>
    <row r="127" spans="2:52" ht="16" x14ac:dyDescent="0.2">
      <c r="B127" s="4">
        <v>199.95649</v>
      </c>
      <c r="C127" s="1">
        <v>61.5</v>
      </c>
      <c r="D127" s="5">
        <v>99.443349999999995</v>
      </c>
      <c r="E127" s="3">
        <f t="shared" si="14"/>
        <v>100.56979</v>
      </c>
      <c r="F127" s="1">
        <f t="shared" si="28"/>
        <v>2.5640327043068164E-3</v>
      </c>
      <c r="I127" s="4">
        <v>225.00482</v>
      </c>
      <c r="J127" s="1">
        <v>61.5</v>
      </c>
      <c r="K127" s="5">
        <v>94.973609999999994</v>
      </c>
      <c r="L127" s="3">
        <f t="shared" si="15"/>
        <v>98.560679999999991</v>
      </c>
      <c r="M127" s="1">
        <f t="shared" si="27"/>
        <v>3.248956702415378E-2</v>
      </c>
      <c r="P127" s="4">
        <v>225.01410999999999</v>
      </c>
      <c r="Q127" s="1">
        <v>61.5</v>
      </c>
      <c r="R127" s="5">
        <v>99.558090000000007</v>
      </c>
      <c r="S127" s="3">
        <f t="shared" si="16"/>
        <v>99.482270000000014</v>
      </c>
      <c r="T127" s="1">
        <f t="shared" si="26"/>
        <v>1.1417783108695193E-2</v>
      </c>
      <c r="W127" s="4">
        <v>250.00297</v>
      </c>
      <c r="X127" s="1">
        <v>61.5</v>
      </c>
      <c r="Y127" s="3">
        <v>91.883279999999999</v>
      </c>
      <c r="Z127" s="3">
        <f t="shared" si="17"/>
        <v>97.324110000000005</v>
      </c>
      <c r="AA127" s="1">
        <f t="shared" si="25"/>
        <v>5.285682560958721E-2</v>
      </c>
      <c r="AD127" s="4">
        <v>250.01308</v>
      </c>
      <c r="AE127" s="1">
        <v>61.5</v>
      </c>
      <c r="AF127" s="3">
        <v>98.396720000000002</v>
      </c>
      <c r="AG127" s="3">
        <f t="shared" si="18"/>
        <v>98.658209999999997</v>
      </c>
      <c r="AH127" s="1">
        <f t="shared" si="24"/>
        <v>3.1053585239155322E-2</v>
      </c>
      <c r="AK127" s="11">
        <v>413.47167000000002</v>
      </c>
      <c r="AL127" s="1">
        <v>61.5</v>
      </c>
      <c r="AM127" s="13">
        <v>51.464289999999998</v>
      </c>
      <c r="AN127" s="3">
        <f t="shared" si="19"/>
        <v>54.050509999999996</v>
      </c>
      <c r="AO127" s="1">
        <f t="shared" si="23"/>
        <v>0.76742396540468449</v>
      </c>
      <c r="AQ127" s="11">
        <v>415.95907</v>
      </c>
      <c r="AR127" s="1">
        <v>61.5</v>
      </c>
      <c r="AS127" s="12">
        <v>46.05348</v>
      </c>
      <c r="AT127" s="3">
        <f t="shared" si="20"/>
        <v>49.012210000000003</v>
      </c>
      <c r="AU127" s="1">
        <f t="shared" si="22"/>
        <v>0.85094800620404198</v>
      </c>
      <c r="AW127" s="11">
        <v>289.73827</v>
      </c>
      <c r="AX127" s="1">
        <v>61.5</v>
      </c>
      <c r="AY127" s="13">
        <v>94.863439999999997</v>
      </c>
      <c r="AZ127" s="3">
        <f t="shared" si="21"/>
        <v>96.529089999999997</v>
      </c>
    </row>
    <row r="128" spans="2:52" ht="16" x14ac:dyDescent="0.2">
      <c r="B128" s="4">
        <v>199.95067</v>
      </c>
      <c r="C128" s="1">
        <v>62</v>
      </c>
      <c r="D128" s="3">
        <v>99.501919999999998</v>
      </c>
      <c r="E128" s="3">
        <f t="shared" si="14"/>
        <v>100.62836</v>
      </c>
      <c r="F128" s="1">
        <f t="shared" si="28"/>
        <v>1.593593961229263E-3</v>
      </c>
      <c r="I128" s="4">
        <v>225.00907000000001</v>
      </c>
      <c r="J128" s="1">
        <v>62</v>
      </c>
      <c r="K128" s="3">
        <v>94.968050000000005</v>
      </c>
      <c r="L128" s="3">
        <f t="shared" si="15"/>
        <v>98.555120000000002</v>
      </c>
      <c r="M128" s="1">
        <f t="shared" si="27"/>
        <v>3.2581879665722589E-2</v>
      </c>
      <c r="P128" s="4">
        <v>225.01736</v>
      </c>
      <c r="Q128" s="1">
        <v>62</v>
      </c>
      <c r="R128" s="3">
        <v>99.526539999999997</v>
      </c>
      <c r="S128" s="3">
        <f t="shared" si="16"/>
        <v>99.450720000000004</v>
      </c>
      <c r="T128" s="1">
        <f t="shared" si="26"/>
        <v>1.1943437649888025E-2</v>
      </c>
      <c r="W128" s="4">
        <v>250.00597999999999</v>
      </c>
      <c r="X128" s="1">
        <v>62</v>
      </c>
      <c r="Y128" s="5">
        <v>91.854609999999994</v>
      </c>
      <c r="Z128" s="3">
        <f t="shared" si="17"/>
        <v>97.295439999999999</v>
      </c>
      <c r="AA128" s="1">
        <f t="shared" si="25"/>
        <v>5.3332881587040179E-2</v>
      </c>
      <c r="AD128" s="4">
        <v>250.01642000000001</v>
      </c>
      <c r="AE128" s="1">
        <v>62</v>
      </c>
      <c r="AF128" s="5">
        <v>98.413409999999999</v>
      </c>
      <c r="AG128" s="3">
        <f t="shared" si="18"/>
        <v>98.674899999999994</v>
      </c>
      <c r="AH128" s="1">
        <f t="shared" si="24"/>
        <v>3.0776512294736557E-2</v>
      </c>
      <c r="AK128" s="11">
        <v>415.95918</v>
      </c>
      <c r="AL128" s="1">
        <v>62</v>
      </c>
      <c r="AM128" s="12">
        <v>50.372540000000001</v>
      </c>
      <c r="AN128" s="3">
        <f t="shared" si="19"/>
        <v>52.958759999999998</v>
      </c>
      <c r="AO128" s="1">
        <f t="shared" si="23"/>
        <v>0.78563244427653123</v>
      </c>
      <c r="AQ128" s="11">
        <v>418.25270999999998</v>
      </c>
      <c r="AR128" s="1">
        <v>62</v>
      </c>
      <c r="AS128" s="13">
        <v>44.852449999999997</v>
      </c>
      <c r="AT128" s="3">
        <f t="shared" si="20"/>
        <v>47.81118</v>
      </c>
      <c r="AU128" s="1">
        <f t="shared" si="22"/>
        <v>0.87099148315987673</v>
      </c>
      <c r="AW128" s="11">
        <v>291.24247000000003</v>
      </c>
      <c r="AX128" s="1">
        <v>62</v>
      </c>
      <c r="AY128" s="12">
        <v>94.6922</v>
      </c>
      <c r="AZ128" s="3">
        <f t="shared" si="21"/>
        <v>96.357849999999999</v>
      </c>
    </row>
    <row r="129" spans="2:52" ht="16" x14ac:dyDescent="0.2">
      <c r="B129" s="4">
        <v>199.95032</v>
      </c>
      <c r="C129" s="1">
        <v>62.5</v>
      </c>
      <c r="D129" s="5">
        <v>99.316000000000003</v>
      </c>
      <c r="E129" s="3">
        <f t="shared" si="14"/>
        <v>100.44244</v>
      </c>
      <c r="F129" s="1">
        <f t="shared" si="28"/>
        <v>4.6740783578993177E-3</v>
      </c>
      <c r="I129" s="4">
        <v>225.00398000000001</v>
      </c>
      <c r="J129" s="1">
        <v>62.5</v>
      </c>
      <c r="K129" s="5">
        <v>94.936660000000003</v>
      </c>
      <c r="L129" s="3">
        <f t="shared" si="15"/>
        <v>98.52373</v>
      </c>
      <c r="M129" s="1">
        <f t="shared" si="27"/>
        <v>3.3103047618753351E-2</v>
      </c>
      <c r="P129" s="4">
        <v>225.01804999999999</v>
      </c>
      <c r="Q129" s="1">
        <v>62.5</v>
      </c>
      <c r="R129" s="5">
        <v>99.617130000000003</v>
      </c>
      <c r="S129" s="3">
        <f t="shared" si="16"/>
        <v>99.54131000000001</v>
      </c>
      <c r="T129" s="1">
        <f t="shared" si="26"/>
        <v>1.0434117685176558E-2</v>
      </c>
      <c r="W129" s="4">
        <v>250.00799000000001</v>
      </c>
      <c r="X129" s="1">
        <v>62.5</v>
      </c>
      <c r="Y129" s="3">
        <v>91.831460000000007</v>
      </c>
      <c r="Z129" s="3">
        <f t="shared" si="17"/>
        <v>97.272290000000012</v>
      </c>
      <c r="AA129" s="1">
        <f t="shared" si="25"/>
        <v>5.3717279769043239E-2</v>
      </c>
      <c r="AD129" s="4">
        <v>250.0172</v>
      </c>
      <c r="AE129" s="1">
        <v>62.5</v>
      </c>
      <c r="AF129" s="3">
        <v>98.328729999999993</v>
      </c>
      <c r="AG129" s="3">
        <f t="shared" si="18"/>
        <v>98.590219999999988</v>
      </c>
      <c r="AH129" s="1">
        <f t="shared" si="24"/>
        <v>3.2182296412974237E-2</v>
      </c>
      <c r="AK129" s="11">
        <v>418.29701</v>
      </c>
      <c r="AL129" s="1">
        <v>62.5</v>
      </c>
      <c r="AM129" s="13">
        <v>49.227629999999998</v>
      </c>
      <c r="AN129" s="3">
        <f t="shared" si="19"/>
        <v>51.813849999999995</v>
      </c>
      <c r="AO129" s="1">
        <f t="shared" si="23"/>
        <v>0.80472753889083493</v>
      </c>
      <c r="AQ129" s="11">
        <v>420.44806999999997</v>
      </c>
      <c r="AR129" s="1">
        <v>62.5</v>
      </c>
      <c r="AS129" s="12">
        <v>43.859830000000002</v>
      </c>
      <c r="AT129" s="3">
        <f t="shared" si="20"/>
        <v>46.818560000000005</v>
      </c>
      <c r="AU129" s="1">
        <f t="shared" si="22"/>
        <v>0.88755689459497877</v>
      </c>
      <c r="AW129" s="11">
        <v>292.74565000000001</v>
      </c>
      <c r="AX129" s="1">
        <v>62.5</v>
      </c>
      <c r="AY129" s="13">
        <v>94.495990000000006</v>
      </c>
      <c r="AZ129" s="3">
        <f t="shared" si="21"/>
        <v>96.161640000000006</v>
      </c>
    </row>
    <row r="130" spans="2:52" ht="16" x14ac:dyDescent="0.2">
      <c r="B130" s="4">
        <v>199.95867999999999</v>
      </c>
      <c r="C130" s="1">
        <v>63</v>
      </c>
      <c r="D130" s="3">
        <v>99.456469999999996</v>
      </c>
      <c r="E130" s="3">
        <f t="shared" si="14"/>
        <v>100.58291</v>
      </c>
      <c r="F130" s="1">
        <f t="shared" si="28"/>
        <v>2.3466491238188962E-3</v>
      </c>
      <c r="I130" s="4">
        <v>225.00004999999999</v>
      </c>
      <c r="J130" s="1">
        <v>63</v>
      </c>
      <c r="K130" s="3">
        <v>94.902550000000005</v>
      </c>
      <c r="L130" s="3">
        <f t="shared" si="15"/>
        <v>98.489620000000002</v>
      </c>
      <c r="M130" s="1">
        <f t="shared" si="27"/>
        <v>3.3669375712983278E-2</v>
      </c>
      <c r="P130" s="4">
        <v>225.01587000000001</v>
      </c>
      <c r="Q130" s="1">
        <v>63</v>
      </c>
      <c r="R130" s="3">
        <v>99.375169999999997</v>
      </c>
      <c r="S130" s="3">
        <f t="shared" si="16"/>
        <v>99.299350000000004</v>
      </c>
      <c r="T130" s="1">
        <f t="shared" si="26"/>
        <v>1.4465413177632365E-2</v>
      </c>
      <c r="W130" s="4">
        <v>250.00998999999999</v>
      </c>
      <c r="X130" s="1">
        <v>63</v>
      </c>
      <c r="Y130" s="5">
        <v>91.818129999999996</v>
      </c>
      <c r="Z130" s="3">
        <f t="shared" si="17"/>
        <v>97.258960000000002</v>
      </c>
      <c r="AA130" s="1">
        <f t="shared" si="25"/>
        <v>5.3938620061315716E-2</v>
      </c>
      <c r="AD130" s="4">
        <v>250.01814999999999</v>
      </c>
      <c r="AE130" s="1">
        <v>63</v>
      </c>
      <c r="AF130" s="5">
        <v>98.367429999999999</v>
      </c>
      <c r="AG130" s="3">
        <f t="shared" si="18"/>
        <v>98.628919999999994</v>
      </c>
      <c r="AH130" s="1">
        <f t="shared" si="24"/>
        <v>3.153983248553207E-2</v>
      </c>
      <c r="AK130" s="11">
        <v>420.51839999999999</v>
      </c>
      <c r="AL130" s="1">
        <v>63</v>
      </c>
      <c r="AM130" s="12">
        <v>48.27516</v>
      </c>
      <c r="AN130" s="3">
        <f t="shared" si="19"/>
        <v>50.861379999999997</v>
      </c>
      <c r="AO130" s="1">
        <f t="shared" si="23"/>
        <v>0.82061307117484483</v>
      </c>
      <c r="AQ130" s="11">
        <v>422.62788</v>
      </c>
      <c r="AR130" s="1">
        <v>63</v>
      </c>
      <c r="AS130" s="13">
        <v>42.976059999999997</v>
      </c>
      <c r="AT130" s="3">
        <f t="shared" si="20"/>
        <v>45.93479</v>
      </c>
      <c r="AU130" s="1">
        <f t="shared" si="22"/>
        <v>0.90230575484764375</v>
      </c>
      <c r="AW130" s="11">
        <v>294.25337999999999</v>
      </c>
      <c r="AX130" s="1">
        <v>63</v>
      </c>
      <c r="AY130" s="12">
        <v>94.371650000000002</v>
      </c>
      <c r="AZ130" s="3">
        <f t="shared" si="21"/>
        <v>96.037300000000002</v>
      </c>
    </row>
    <row r="131" spans="2:52" ht="16" x14ac:dyDescent="0.2">
      <c r="B131" s="4">
        <v>199.96795</v>
      </c>
      <c r="C131" s="1">
        <v>63.5</v>
      </c>
      <c r="D131" s="5">
        <v>99.415949999999995</v>
      </c>
      <c r="E131" s="3">
        <f t="shared" si="14"/>
        <v>100.54239</v>
      </c>
      <c r="F131" s="1">
        <f t="shared" si="28"/>
        <v>3.0180197550208959E-3</v>
      </c>
      <c r="I131" s="4">
        <v>225.005</v>
      </c>
      <c r="J131" s="1">
        <v>63.5</v>
      </c>
      <c r="K131" s="5">
        <v>94.875929999999997</v>
      </c>
      <c r="L131" s="3">
        <f t="shared" si="15"/>
        <v>98.462999999999994</v>
      </c>
      <c r="M131" s="1">
        <f t="shared" si="27"/>
        <v>3.4111347388984629E-2</v>
      </c>
      <c r="P131" s="4">
        <v>225.01343</v>
      </c>
      <c r="Q131" s="1">
        <v>63.5</v>
      </c>
      <c r="R131" s="5">
        <v>99.544349999999994</v>
      </c>
      <c r="S131" s="3">
        <f t="shared" si="16"/>
        <v>99.468530000000001</v>
      </c>
      <c r="T131" s="1">
        <f t="shared" si="26"/>
        <v>1.1646705244859818E-2</v>
      </c>
      <c r="W131" s="4">
        <v>250.00307000000001</v>
      </c>
      <c r="X131" s="1">
        <v>63.5</v>
      </c>
      <c r="Y131" s="3">
        <v>91.783699999999996</v>
      </c>
      <c r="Z131" s="3">
        <f t="shared" si="17"/>
        <v>97.224530000000001</v>
      </c>
      <c r="AA131" s="1">
        <f t="shared" si="25"/>
        <v>5.4510318955759474E-2</v>
      </c>
      <c r="AD131" s="4">
        <v>250.02089000000001</v>
      </c>
      <c r="AE131" s="1">
        <v>63.5</v>
      </c>
      <c r="AF131" s="3">
        <v>98.377099999999999</v>
      </c>
      <c r="AG131" s="3">
        <f t="shared" si="18"/>
        <v>98.638589999999994</v>
      </c>
      <c r="AH131" s="1">
        <f t="shared" si="24"/>
        <v>3.1379299509346939E-2</v>
      </c>
      <c r="AK131" s="11">
        <v>422.69670000000002</v>
      </c>
      <c r="AL131" s="1">
        <v>63.5</v>
      </c>
      <c r="AM131" s="13">
        <v>47.440330000000003</v>
      </c>
      <c r="AN131" s="3">
        <f t="shared" si="19"/>
        <v>50.02655</v>
      </c>
      <c r="AO131" s="1">
        <f t="shared" si="23"/>
        <v>0.83453657418980587</v>
      </c>
      <c r="AQ131" s="11">
        <v>424.85448000000002</v>
      </c>
      <c r="AR131" s="1">
        <v>63.5</v>
      </c>
      <c r="AS131" s="12">
        <v>42.371049999999997</v>
      </c>
      <c r="AT131" s="3">
        <f t="shared" si="20"/>
        <v>45.32978</v>
      </c>
      <c r="AU131" s="1">
        <f t="shared" si="22"/>
        <v>0.91240250846166637</v>
      </c>
      <c r="AW131" s="11">
        <v>295.76220000000001</v>
      </c>
      <c r="AX131" s="1">
        <v>63.5</v>
      </c>
      <c r="AY131" s="13">
        <v>94.192449999999994</v>
      </c>
      <c r="AZ131" s="3">
        <f t="shared" si="21"/>
        <v>95.858099999999993</v>
      </c>
    </row>
    <row r="132" spans="2:52" ht="16" x14ac:dyDescent="0.2">
      <c r="B132" s="4">
        <v>199.98096000000001</v>
      </c>
      <c r="C132" s="1">
        <v>64</v>
      </c>
      <c r="D132" s="3">
        <v>99.441720000000004</v>
      </c>
      <c r="E132" s="3">
        <f t="shared" si="14"/>
        <v>100.56816000000001</v>
      </c>
      <c r="F132" s="1">
        <f t="shared" si="28"/>
        <v>2.5910399631630253E-3</v>
      </c>
      <c r="I132" s="4">
        <v>225.01093</v>
      </c>
      <c r="J132" s="1">
        <v>64</v>
      </c>
      <c r="K132" s="3">
        <v>94.886179999999996</v>
      </c>
      <c r="L132" s="3">
        <f t="shared" si="15"/>
        <v>98.473249999999993</v>
      </c>
      <c r="M132" s="1">
        <f t="shared" si="27"/>
        <v>3.3941166709833159E-2</v>
      </c>
      <c r="P132" s="4">
        <v>225.01187999999999</v>
      </c>
      <c r="Q132" s="1">
        <v>64</v>
      </c>
      <c r="R132" s="3">
        <v>99.630939999999995</v>
      </c>
      <c r="S132" s="3">
        <f t="shared" si="16"/>
        <v>99.555120000000002</v>
      </c>
      <c r="T132" s="1">
        <f t="shared" si="26"/>
        <v>1.0204029279031813E-2</v>
      </c>
      <c r="W132" s="4">
        <v>250.01000999999999</v>
      </c>
      <c r="X132" s="1">
        <v>64</v>
      </c>
      <c r="Y132" s="5">
        <v>91.758709999999994</v>
      </c>
      <c r="Z132" s="3">
        <f t="shared" si="17"/>
        <v>97.199539999999999</v>
      </c>
      <c r="AA132" s="1">
        <f t="shared" si="25"/>
        <v>5.4925269736246E-2</v>
      </c>
      <c r="AD132" s="4">
        <v>250.02104</v>
      </c>
      <c r="AE132" s="1">
        <v>64</v>
      </c>
      <c r="AF132" s="5">
        <v>98.39913</v>
      </c>
      <c r="AG132" s="3">
        <f t="shared" si="18"/>
        <v>98.660619999999994</v>
      </c>
      <c r="AH132" s="1">
        <f t="shared" si="24"/>
        <v>3.1013576503622148E-2</v>
      </c>
      <c r="AK132" s="11">
        <v>424.91233</v>
      </c>
      <c r="AL132" s="1">
        <v>64</v>
      </c>
      <c r="AM132" s="12">
        <v>46.822279999999999</v>
      </c>
      <c r="AN132" s="3">
        <f t="shared" si="19"/>
        <v>49.408499999999997</v>
      </c>
      <c r="AO132" s="1">
        <f t="shared" si="23"/>
        <v>0.84484456628208426</v>
      </c>
      <c r="AQ132" s="11">
        <v>427.19612000000001</v>
      </c>
      <c r="AR132" s="1">
        <v>64</v>
      </c>
      <c r="AS132" s="13">
        <v>41.893180000000001</v>
      </c>
      <c r="AT132" s="3">
        <f t="shared" si="20"/>
        <v>44.851910000000004</v>
      </c>
      <c r="AU132" s="1">
        <f t="shared" si="22"/>
        <v>0.92037747689116833</v>
      </c>
      <c r="AW132" s="11">
        <v>297.26652000000001</v>
      </c>
      <c r="AX132" s="1">
        <v>64</v>
      </c>
      <c r="AY132" s="12">
        <v>93.937129999999996</v>
      </c>
      <c r="AZ132" s="3">
        <f t="shared" si="21"/>
        <v>95.602779999999996</v>
      </c>
    </row>
    <row r="133" spans="2:52" ht="16" x14ac:dyDescent="0.2">
      <c r="B133" s="4">
        <v>199.99565999999999</v>
      </c>
      <c r="C133" s="1">
        <v>64.5</v>
      </c>
      <c r="D133" s="5">
        <v>99.362979999999993</v>
      </c>
      <c r="E133" s="3">
        <f t="shared" ref="E133:E196" si="29">100-($D$4-D133)</f>
        <v>100.48942</v>
      </c>
      <c r="F133" s="1">
        <f t="shared" si="28"/>
        <v>3.8956728234999325E-3</v>
      </c>
      <c r="I133" s="4">
        <v>225.00798</v>
      </c>
      <c r="J133" s="1">
        <v>64.5</v>
      </c>
      <c r="K133" s="5">
        <v>94.840400000000002</v>
      </c>
      <c r="L133" s="3">
        <f t="shared" ref="L133:L196" si="30">100-($K$4-K133)</f>
        <v>98.42747</v>
      </c>
      <c r="M133" s="1">
        <f t="shared" si="27"/>
        <v>3.4701251733399371E-2</v>
      </c>
      <c r="P133" s="4">
        <v>225.00841</v>
      </c>
      <c r="Q133" s="1">
        <v>64.5</v>
      </c>
      <c r="R133" s="5">
        <v>99.572289999999995</v>
      </c>
      <c r="S133" s="3">
        <f t="shared" ref="S133:S196" si="31">100-($R$4-R133)</f>
        <v>99.496470000000002</v>
      </c>
      <c r="T133" s="1">
        <f t="shared" si="26"/>
        <v>1.1181196912659386E-2</v>
      </c>
      <c r="W133" s="4">
        <v>250.00703999999999</v>
      </c>
      <c r="X133" s="1">
        <v>64.5</v>
      </c>
      <c r="Y133" s="3">
        <v>91.743409999999997</v>
      </c>
      <c r="Z133" s="3">
        <f t="shared" ref="Z133:Z196" si="32">100-($Y$4-Y133)</f>
        <v>97.184240000000003</v>
      </c>
      <c r="AA133" s="1">
        <f t="shared" si="25"/>
        <v>5.5179321234502962E-2</v>
      </c>
      <c r="AD133" s="4">
        <v>250.01917</v>
      </c>
      <c r="AE133" s="1">
        <v>64.5</v>
      </c>
      <c r="AF133" s="3">
        <v>98.332620000000006</v>
      </c>
      <c r="AG133" s="3">
        <f t="shared" ref="AG133:AG196" si="33">100-($AF$4-AF133)</f>
        <v>98.594110000000001</v>
      </c>
      <c r="AH133" s="1">
        <f t="shared" si="24"/>
        <v>3.21177179975283E-2</v>
      </c>
      <c r="AK133" s="11">
        <v>427.24551000000002</v>
      </c>
      <c r="AL133" s="1">
        <v>64.5</v>
      </c>
      <c r="AM133" s="13">
        <v>46.328310000000002</v>
      </c>
      <c r="AN133" s="3">
        <f t="shared" ref="AN133:AN196" si="34">100-($AM$4-AM133)</f>
        <v>48.914529999999999</v>
      </c>
      <c r="AO133" s="1">
        <f t="shared" si="23"/>
        <v>0.85308312117865048</v>
      </c>
      <c r="AQ133" s="11">
        <v>429.69506999999999</v>
      </c>
      <c r="AR133" s="1">
        <v>64.5</v>
      </c>
      <c r="AS133" s="12">
        <v>41.562080000000002</v>
      </c>
      <c r="AT133" s="3">
        <f t="shared" ref="AT133:AT196" si="35">100-($AS$4-AS133)</f>
        <v>44.520810000000004</v>
      </c>
      <c r="AU133" s="1">
        <f t="shared" si="22"/>
        <v>0.92590306344610607</v>
      </c>
      <c r="AW133" s="11">
        <v>298.76479999999998</v>
      </c>
      <c r="AX133" s="1">
        <v>64.5</v>
      </c>
      <c r="AY133" s="13">
        <v>93.696029999999993</v>
      </c>
      <c r="AZ133" s="3">
        <f t="shared" ref="AZ133:AZ196" si="36">100-($AY$4-AY133)</f>
        <v>95.361679999999993</v>
      </c>
    </row>
    <row r="134" spans="2:52" ht="16" x14ac:dyDescent="0.2">
      <c r="B134" s="4">
        <v>200.00665000000001</v>
      </c>
      <c r="C134" s="1">
        <v>65</v>
      </c>
      <c r="D134" s="3">
        <v>99.327359999999999</v>
      </c>
      <c r="E134" s="3">
        <f t="shared" si="29"/>
        <v>100.4538</v>
      </c>
      <c r="F134" s="1">
        <f t="shared" si="28"/>
        <v>4.4858559894281414E-3</v>
      </c>
      <c r="I134" s="4">
        <v>225.00805</v>
      </c>
      <c r="J134" s="1">
        <v>65</v>
      </c>
      <c r="K134" s="3">
        <v>94.829459999999997</v>
      </c>
      <c r="L134" s="3">
        <f t="shared" si="30"/>
        <v>98.416529999999995</v>
      </c>
      <c r="M134" s="1">
        <f t="shared" si="27"/>
        <v>3.4882888477781621E-2</v>
      </c>
      <c r="P134" s="4">
        <v>225.00775999999999</v>
      </c>
      <c r="Q134" s="1">
        <v>65</v>
      </c>
      <c r="R134" s="3">
        <v>99.623900000000006</v>
      </c>
      <c r="S134" s="3">
        <f t="shared" si="31"/>
        <v>99.548080000000013</v>
      </c>
      <c r="T134" s="1">
        <f t="shared" si="26"/>
        <v>1.0321322717066385E-2</v>
      </c>
      <c r="W134" s="4">
        <v>250.00497999999999</v>
      </c>
      <c r="X134" s="1">
        <v>65</v>
      </c>
      <c r="Y134" s="5">
        <v>91.700980000000001</v>
      </c>
      <c r="Z134" s="3">
        <f t="shared" si="32"/>
        <v>97.141810000000007</v>
      </c>
      <c r="AA134" s="1">
        <f t="shared" si="25"/>
        <v>5.588385751365621E-2</v>
      </c>
      <c r="AD134" s="4">
        <v>250.01523</v>
      </c>
      <c r="AE134" s="1">
        <v>65</v>
      </c>
      <c r="AF134" s="5">
        <v>98.322869999999995</v>
      </c>
      <c r="AG134" s="3">
        <f t="shared" si="33"/>
        <v>98.58435999999999</v>
      </c>
      <c r="AH134" s="1">
        <f t="shared" si="24"/>
        <v>3.2279579064519698E-2</v>
      </c>
      <c r="AK134" s="11">
        <v>429.71992</v>
      </c>
      <c r="AL134" s="1">
        <v>65</v>
      </c>
      <c r="AM134" s="12">
        <v>46.053930000000001</v>
      </c>
      <c r="AN134" s="3">
        <f t="shared" si="34"/>
        <v>48.640149999999998</v>
      </c>
      <c r="AO134" s="1">
        <f t="shared" si="23"/>
        <v>0.85765929927148976</v>
      </c>
      <c r="AQ134" s="11">
        <v>432.29118999999997</v>
      </c>
      <c r="AR134" s="1">
        <v>65</v>
      </c>
      <c r="AS134" s="13">
        <v>41.270780000000002</v>
      </c>
      <c r="AT134" s="3">
        <f t="shared" si="35"/>
        <v>44.229510000000005</v>
      </c>
      <c r="AU134" s="1">
        <f t="shared" si="22"/>
        <v>0.93076444479148013</v>
      </c>
      <c r="AW134" s="11">
        <v>300.27359000000001</v>
      </c>
      <c r="AX134" s="1">
        <v>65</v>
      </c>
      <c r="AY134" s="12">
        <v>93.513300000000001</v>
      </c>
      <c r="AZ134" s="3">
        <f t="shared" si="36"/>
        <v>95.17895</v>
      </c>
    </row>
    <row r="135" spans="2:52" ht="16" x14ac:dyDescent="0.2">
      <c r="B135" s="4">
        <v>200.01414</v>
      </c>
      <c r="C135" s="1">
        <v>65.5</v>
      </c>
      <c r="D135" s="5">
        <v>99.5334</v>
      </c>
      <c r="E135" s="3">
        <f t="shared" si="29"/>
        <v>100.65984</v>
      </c>
      <c r="F135" s="1">
        <f t="shared" si="28"/>
        <v>1.0720059190219614E-3</v>
      </c>
      <c r="I135" s="4">
        <v>225.005</v>
      </c>
      <c r="J135" s="1">
        <v>65.5</v>
      </c>
      <c r="K135" s="5">
        <v>94.820300000000003</v>
      </c>
      <c r="L135" s="3">
        <f t="shared" si="30"/>
        <v>98.40737</v>
      </c>
      <c r="M135" s="1">
        <f t="shared" si="27"/>
        <v>3.5034971894467144E-2</v>
      </c>
      <c r="P135" s="4">
        <v>225.01059000000001</v>
      </c>
      <c r="Q135" s="1">
        <v>65.5</v>
      </c>
      <c r="R135" s="5">
        <v>99.562709999999996</v>
      </c>
      <c r="S135" s="3">
        <f t="shared" si="31"/>
        <v>99.486890000000002</v>
      </c>
      <c r="T135" s="1">
        <f t="shared" si="26"/>
        <v>1.134080928998508E-2</v>
      </c>
      <c r="W135" s="4">
        <v>250.00698</v>
      </c>
      <c r="X135" s="1">
        <v>65.5</v>
      </c>
      <c r="Y135" s="3">
        <v>91.697289999999995</v>
      </c>
      <c r="Z135" s="3">
        <f t="shared" si="32"/>
        <v>97.138120000000001</v>
      </c>
      <c r="AA135" s="1">
        <f t="shared" si="25"/>
        <v>5.5945128757353593E-2</v>
      </c>
      <c r="AD135" s="4">
        <v>250.01490999999999</v>
      </c>
      <c r="AE135" s="1">
        <v>65.5</v>
      </c>
      <c r="AF135" s="3">
        <v>98.27176</v>
      </c>
      <c r="AG135" s="3">
        <f t="shared" si="33"/>
        <v>98.533249999999995</v>
      </c>
      <c r="AH135" s="1">
        <f t="shared" si="24"/>
        <v>3.312806307825511E-2</v>
      </c>
      <c r="AK135" s="11">
        <v>432.30119000000002</v>
      </c>
      <c r="AL135" s="1">
        <v>65.5</v>
      </c>
      <c r="AM135" s="13">
        <v>45.775120000000001</v>
      </c>
      <c r="AN135" s="3">
        <f t="shared" si="34"/>
        <v>48.361339999999998</v>
      </c>
      <c r="AO135" s="1">
        <f t="shared" si="23"/>
        <v>0.86230936200953379</v>
      </c>
      <c r="AQ135" s="11">
        <v>434.92126000000002</v>
      </c>
      <c r="AR135" s="1">
        <v>65.5</v>
      </c>
      <c r="AS135" s="12">
        <v>41.081780000000002</v>
      </c>
      <c r="AT135" s="3">
        <f t="shared" si="35"/>
        <v>44.040510000000005</v>
      </c>
      <c r="AU135" s="1">
        <f t="shared" si="22"/>
        <v>0.93391858510825221</v>
      </c>
      <c r="AW135" s="11">
        <v>301.77658000000002</v>
      </c>
      <c r="AX135" s="1">
        <v>65.5</v>
      </c>
      <c r="AY135" s="13">
        <v>93.323189999999997</v>
      </c>
      <c r="AZ135" s="3">
        <f t="shared" si="36"/>
        <v>94.988839999999996</v>
      </c>
    </row>
    <row r="136" spans="2:52" ht="16" x14ac:dyDescent="0.2">
      <c r="B136" s="4">
        <v>200.02218999999999</v>
      </c>
      <c r="C136" s="1">
        <v>66</v>
      </c>
      <c r="D136" s="3">
        <v>99.508780000000002</v>
      </c>
      <c r="E136" s="3">
        <f t="shared" si="29"/>
        <v>100.63522</v>
      </c>
      <c r="F136" s="1">
        <f t="shared" si="28"/>
        <v>1.4799315098460502E-3</v>
      </c>
      <c r="I136" s="4">
        <v>225.00502</v>
      </c>
      <c r="J136" s="1">
        <v>66</v>
      </c>
      <c r="K136" s="3">
        <v>94.802260000000004</v>
      </c>
      <c r="L136" s="3">
        <f t="shared" si="30"/>
        <v>98.389330000000001</v>
      </c>
      <c r="M136" s="1">
        <f t="shared" si="27"/>
        <v>3.5334489889773738E-2</v>
      </c>
      <c r="P136" s="4">
        <v>225.01248000000001</v>
      </c>
      <c r="Q136" s="1">
        <v>66</v>
      </c>
      <c r="R136" s="3">
        <v>99.615719999999996</v>
      </c>
      <c r="S136" s="3">
        <f t="shared" si="31"/>
        <v>99.539900000000003</v>
      </c>
      <c r="T136" s="1">
        <f t="shared" si="26"/>
        <v>1.0457609694783068E-2</v>
      </c>
      <c r="W136" s="4">
        <v>250.00503</v>
      </c>
      <c r="X136" s="1">
        <v>66</v>
      </c>
      <c r="Y136" s="5">
        <v>91.653289999999998</v>
      </c>
      <c r="Z136" s="3">
        <f t="shared" si="32"/>
        <v>97.094120000000004</v>
      </c>
      <c r="AA136" s="1">
        <f t="shared" si="25"/>
        <v>5.6675734373256105E-2</v>
      </c>
      <c r="AD136" s="4">
        <v>250.01867999999999</v>
      </c>
      <c r="AE136" s="1">
        <v>66</v>
      </c>
      <c r="AF136" s="5">
        <v>98.302369999999996</v>
      </c>
      <c r="AG136" s="3">
        <f t="shared" si="33"/>
        <v>98.563859999999991</v>
      </c>
      <c r="AH136" s="1">
        <f t="shared" si="24"/>
        <v>3.2619902333578137E-2</v>
      </c>
      <c r="AK136" s="11">
        <v>434.92943000000002</v>
      </c>
      <c r="AL136" s="1">
        <v>66</v>
      </c>
      <c r="AM136" s="12">
        <v>45.578859999999999</v>
      </c>
      <c r="AN136" s="3">
        <f t="shared" si="34"/>
        <v>48.165079999999996</v>
      </c>
      <c r="AO136" s="1">
        <f t="shared" si="23"/>
        <v>0.8655826352528484</v>
      </c>
      <c r="AQ136" s="11">
        <v>437.55193000000003</v>
      </c>
      <c r="AR136" s="1">
        <v>66</v>
      </c>
      <c r="AS136" s="13">
        <v>40.884729999999998</v>
      </c>
      <c r="AT136" s="3">
        <f t="shared" si="35"/>
        <v>43.84346</v>
      </c>
      <c r="AU136" s="1">
        <f t="shared" ref="AU136:AU199" si="37">($AT$7-AT136)/($AT$7*(1-$N$1))</f>
        <v>0.93720706843851653</v>
      </c>
      <c r="AW136" s="11">
        <v>303.27766000000003</v>
      </c>
      <c r="AX136" s="1">
        <v>66</v>
      </c>
      <c r="AY136" s="12">
        <v>93.067790000000002</v>
      </c>
      <c r="AZ136" s="3">
        <f t="shared" si="36"/>
        <v>94.733440000000002</v>
      </c>
    </row>
    <row r="137" spans="2:52" ht="16" x14ac:dyDescent="0.2">
      <c r="B137" s="4">
        <v>200.03205</v>
      </c>
      <c r="C137" s="1">
        <v>66.5</v>
      </c>
      <c r="D137" s="5">
        <v>99.240719999999996</v>
      </c>
      <c r="E137" s="3">
        <f t="shared" si="29"/>
        <v>100.36716</v>
      </c>
      <c r="F137" s="1">
        <f t="shared" si="28"/>
        <v>5.9213829264306581E-3</v>
      </c>
      <c r="I137" s="4">
        <v>225.00390999999999</v>
      </c>
      <c r="J137" s="1">
        <v>66.5</v>
      </c>
      <c r="K137" s="5">
        <v>94.762270000000001</v>
      </c>
      <c r="L137" s="3">
        <f t="shared" si="30"/>
        <v>98.349339999999998</v>
      </c>
      <c r="M137" s="1">
        <f t="shared" si="27"/>
        <v>3.5998443583360885E-2</v>
      </c>
      <c r="P137" s="4">
        <v>225.01451</v>
      </c>
      <c r="Q137" s="1">
        <v>66.5</v>
      </c>
      <c r="R137" s="5">
        <v>99.721909999999994</v>
      </c>
      <c r="S137" s="3">
        <f t="shared" si="31"/>
        <v>99.646090000000001</v>
      </c>
      <c r="T137" s="1">
        <f t="shared" si="26"/>
        <v>8.6883781344265464E-3</v>
      </c>
      <c r="W137" s="4">
        <v>250.00599</v>
      </c>
      <c r="X137" s="1">
        <v>66.5</v>
      </c>
      <c r="Y137" s="3">
        <v>91.630120000000005</v>
      </c>
      <c r="Z137" s="3">
        <f t="shared" si="32"/>
        <v>97.070950000000011</v>
      </c>
      <c r="AA137" s="1">
        <f t="shared" si="25"/>
        <v>5.7060464648721047E-2</v>
      </c>
      <c r="AD137" s="4">
        <v>250.01652000000001</v>
      </c>
      <c r="AE137" s="1">
        <v>66.5</v>
      </c>
      <c r="AF137" s="3">
        <v>98.313910000000007</v>
      </c>
      <c r="AG137" s="3">
        <f t="shared" si="33"/>
        <v>98.575400000000002</v>
      </c>
      <c r="AH137" s="1">
        <f t="shared" si="24"/>
        <v>3.2428325234800659E-2</v>
      </c>
      <c r="AK137" s="11">
        <v>437.55212999999998</v>
      </c>
      <c r="AL137" s="1">
        <v>66.5</v>
      </c>
      <c r="AM137" s="13">
        <v>45.398479999999999</v>
      </c>
      <c r="AN137" s="3">
        <f t="shared" si="34"/>
        <v>47.984699999999997</v>
      </c>
      <c r="AO137" s="1">
        <f t="shared" ref="AO137:AO200" si="38">($AN$8-AN137)/($AN$8*(1-$N$1))</f>
        <v>0.86859105789439062</v>
      </c>
      <c r="AQ137" s="11">
        <v>440.16134</v>
      </c>
      <c r="AR137" s="1">
        <v>66.5</v>
      </c>
      <c r="AS137" s="12">
        <v>40.735570000000003</v>
      </c>
      <c r="AT137" s="3">
        <f t="shared" si="35"/>
        <v>43.694300000000005</v>
      </c>
      <c r="AU137" s="1">
        <f t="shared" si="37"/>
        <v>0.93969633600280067</v>
      </c>
      <c r="AW137" s="11">
        <v>304.79065000000003</v>
      </c>
      <c r="AX137" s="1">
        <v>66.5</v>
      </c>
      <c r="AY137" s="13">
        <v>92.754840000000002</v>
      </c>
      <c r="AZ137" s="3">
        <f t="shared" si="36"/>
        <v>94.420490000000001</v>
      </c>
    </row>
    <row r="138" spans="2:52" ht="16" x14ac:dyDescent="0.2">
      <c r="B138" s="4">
        <v>200.03925000000001</v>
      </c>
      <c r="C138" s="1">
        <v>67</v>
      </c>
      <c r="D138" s="3">
        <v>99.466290000000001</v>
      </c>
      <c r="E138" s="3">
        <f t="shared" si="29"/>
        <v>100.59273</v>
      </c>
      <c r="F138" s="1">
        <f t="shared" si="28"/>
        <v>2.1839428158621646E-3</v>
      </c>
      <c r="I138" s="4">
        <v>225.00585000000001</v>
      </c>
      <c r="J138" s="1">
        <v>67</v>
      </c>
      <c r="K138" s="3">
        <v>94.750979999999998</v>
      </c>
      <c r="L138" s="3">
        <f t="shared" si="30"/>
        <v>98.338049999999996</v>
      </c>
      <c r="M138" s="1">
        <f t="shared" si="27"/>
        <v>3.6185891375323874E-2</v>
      </c>
      <c r="P138" s="4">
        <v>225.01769999999999</v>
      </c>
      <c r="Q138" s="1">
        <v>67</v>
      </c>
      <c r="R138" s="3">
        <v>99.540430000000001</v>
      </c>
      <c r="S138" s="3">
        <f t="shared" si="31"/>
        <v>99.464610000000008</v>
      </c>
      <c r="T138" s="1">
        <f t="shared" si="26"/>
        <v>1.1712016363765426E-2</v>
      </c>
      <c r="W138" s="4">
        <v>250.00300999999999</v>
      </c>
      <c r="X138" s="1">
        <v>67</v>
      </c>
      <c r="Y138" s="5">
        <v>91.603309999999993</v>
      </c>
      <c r="Z138" s="3">
        <f t="shared" si="32"/>
        <v>97.044139999999999</v>
      </c>
      <c r="AA138" s="1">
        <f t="shared" si="25"/>
        <v>5.7505635934229145E-2</v>
      </c>
      <c r="AD138" s="4">
        <v>250.01510999999999</v>
      </c>
      <c r="AE138" s="1">
        <v>67</v>
      </c>
      <c r="AF138" s="5">
        <v>98.223870000000005</v>
      </c>
      <c r="AG138" s="3">
        <f t="shared" si="33"/>
        <v>98.48536</v>
      </c>
      <c r="AH138" s="1">
        <f t="shared" ref="AH138:AH201" si="39">($AG$9-AG138)/($AG$9*(1-$N$1))</f>
        <v>3.3923091437045749E-2</v>
      </c>
      <c r="AK138" s="11">
        <v>440.16165999999998</v>
      </c>
      <c r="AL138" s="1">
        <v>67</v>
      </c>
      <c r="AM138" s="12">
        <v>45.242010000000001</v>
      </c>
      <c r="AN138" s="3">
        <f t="shared" si="34"/>
        <v>47.828229999999998</v>
      </c>
      <c r="AO138" s="1">
        <f t="shared" si="38"/>
        <v>0.87120070359082091</v>
      </c>
      <c r="AQ138" s="11">
        <v>442.74516</v>
      </c>
      <c r="AR138" s="1">
        <v>67</v>
      </c>
      <c r="AS138" s="13">
        <v>40.55115</v>
      </c>
      <c r="AT138" s="3">
        <f t="shared" si="35"/>
        <v>43.509880000000003</v>
      </c>
      <c r="AU138" s="1">
        <f t="shared" si="37"/>
        <v>0.94277404265475373</v>
      </c>
      <c r="AW138" s="11">
        <v>306.28976</v>
      </c>
      <c r="AX138" s="1">
        <v>67</v>
      </c>
      <c r="AY138" s="12">
        <v>92.522599999999997</v>
      </c>
      <c r="AZ138" s="3">
        <f t="shared" si="36"/>
        <v>94.188249999999996</v>
      </c>
    </row>
    <row r="139" spans="2:52" ht="16" x14ac:dyDescent="0.2">
      <c r="B139" s="4">
        <v>200.03817000000001</v>
      </c>
      <c r="C139" s="1">
        <v>67.5</v>
      </c>
      <c r="D139" s="5">
        <v>99.35284</v>
      </c>
      <c r="E139" s="3">
        <f t="shared" si="29"/>
        <v>100.47928</v>
      </c>
      <c r="F139" s="1">
        <f t="shared" si="28"/>
        <v>4.063681170004948E-3</v>
      </c>
      <c r="I139" s="4">
        <v>225.00977</v>
      </c>
      <c r="J139" s="1">
        <v>67.5</v>
      </c>
      <c r="K139" s="5">
        <v>94.744739999999993</v>
      </c>
      <c r="L139" s="3">
        <f t="shared" si="30"/>
        <v>98.33180999999999</v>
      </c>
      <c r="M139" s="1">
        <f t="shared" si="27"/>
        <v>3.6289494052192769E-2</v>
      </c>
      <c r="P139" s="4">
        <v>225.01563999999999</v>
      </c>
      <c r="Q139" s="1">
        <v>67.5</v>
      </c>
      <c r="R139" s="5">
        <v>99.615790000000004</v>
      </c>
      <c r="S139" s="3">
        <f t="shared" si="31"/>
        <v>99.539970000000011</v>
      </c>
      <c r="T139" s="1">
        <f t="shared" si="26"/>
        <v>1.0456443424802474E-2</v>
      </c>
      <c r="W139" s="4">
        <v>249.99996999999999</v>
      </c>
      <c r="X139" s="1">
        <v>67.5</v>
      </c>
      <c r="Y139" s="3">
        <v>91.568700000000007</v>
      </c>
      <c r="Z139" s="3">
        <f t="shared" si="32"/>
        <v>97.009530000000012</v>
      </c>
      <c r="AA139" s="1">
        <f t="shared" si="25"/>
        <v>5.8080323669828647E-2</v>
      </c>
      <c r="AD139" s="4">
        <v>250.01312999999999</v>
      </c>
      <c r="AE139" s="1">
        <v>67.5</v>
      </c>
      <c r="AF139" s="3">
        <v>98.198719999999994</v>
      </c>
      <c r="AG139" s="3">
        <f t="shared" si="33"/>
        <v>98.460209999999989</v>
      </c>
      <c r="AH139" s="1">
        <f t="shared" si="39"/>
        <v>3.434060998420789E-2</v>
      </c>
      <c r="AK139" s="11">
        <v>442.74209000000002</v>
      </c>
      <c r="AL139" s="1">
        <v>67.5</v>
      </c>
      <c r="AM139" s="13">
        <v>45.069479999999999</v>
      </c>
      <c r="AN139" s="3">
        <f t="shared" si="34"/>
        <v>47.655699999999996</v>
      </c>
      <c r="AO139" s="1">
        <f t="shared" si="38"/>
        <v>0.87407820197393038</v>
      </c>
      <c r="AQ139" s="11">
        <v>445.30565000000001</v>
      </c>
      <c r="AR139" s="1">
        <v>67.5</v>
      </c>
      <c r="AS139" s="12">
        <v>40.45252</v>
      </c>
      <c r="AT139" s="3">
        <f t="shared" si="35"/>
        <v>43.411250000000003</v>
      </c>
      <c r="AU139" s="1">
        <f t="shared" si="37"/>
        <v>0.9444200366200618</v>
      </c>
      <c r="AW139" s="11">
        <v>307.79061000000002</v>
      </c>
      <c r="AX139" s="1">
        <v>67.5</v>
      </c>
      <c r="AY139" s="13">
        <v>92.219120000000004</v>
      </c>
      <c r="AZ139" s="3">
        <f t="shared" si="36"/>
        <v>93.884770000000003</v>
      </c>
    </row>
    <row r="140" spans="2:52" ht="16" x14ac:dyDescent="0.2">
      <c r="B140" s="4">
        <v>200.03555</v>
      </c>
      <c r="C140" s="1">
        <v>68</v>
      </c>
      <c r="D140" s="3">
        <v>99.484319999999997</v>
      </c>
      <c r="E140" s="3">
        <f t="shared" si="29"/>
        <v>100.61076</v>
      </c>
      <c r="F140" s="1">
        <f t="shared" si="28"/>
        <v>1.8852060813959967E-3</v>
      </c>
      <c r="I140" s="4">
        <v>225.00894</v>
      </c>
      <c r="J140" s="1">
        <v>68</v>
      </c>
      <c r="K140" s="3">
        <v>94.692409999999995</v>
      </c>
      <c r="L140" s="3">
        <f t="shared" si="30"/>
        <v>98.279479999999992</v>
      </c>
      <c r="M140" s="1">
        <f t="shared" si="27"/>
        <v>3.7158328680485117E-2</v>
      </c>
      <c r="P140" s="4">
        <v>225.01564999999999</v>
      </c>
      <c r="Q140" s="1">
        <v>68</v>
      </c>
      <c r="R140" s="3">
        <v>99.434950000000001</v>
      </c>
      <c r="S140" s="3">
        <f t="shared" si="31"/>
        <v>99.359130000000007</v>
      </c>
      <c r="T140" s="1">
        <f t="shared" si="26"/>
        <v>1.346941861432018E-2</v>
      </c>
      <c r="W140" s="4">
        <v>250.00299999999999</v>
      </c>
      <c r="X140" s="1">
        <v>68</v>
      </c>
      <c r="Y140" s="5">
        <v>91.555490000000006</v>
      </c>
      <c r="Z140" s="3">
        <f t="shared" si="32"/>
        <v>96.996320000000011</v>
      </c>
      <c r="AA140" s="1">
        <f t="shared" ref="AA140:AA203" si="40">($Z$11-Z140)/($Z$11*(1-$N$1))</f>
        <v>5.8299671401330314E-2</v>
      </c>
      <c r="AD140" s="4">
        <v>250.01541</v>
      </c>
      <c r="AE140" s="1">
        <v>68</v>
      </c>
      <c r="AF140" s="5">
        <v>98.20702</v>
      </c>
      <c r="AG140" s="3">
        <f t="shared" si="33"/>
        <v>98.468509999999995</v>
      </c>
      <c r="AH140" s="1">
        <f t="shared" si="39"/>
        <v>3.4202820563076809E-2</v>
      </c>
      <c r="AK140" s="11">
        <v>445.30594000000002</v>
      </c>
      <c r="AL140" s="1">
        <v>68</v>
      </c>
      <c r="AM140" s="12">
        <v>44.973100000000002</v>
      </c>
      <c r="AN140" s="3">
        <f t="shared" si="34"/>
        <v>47.55932</v>
      </c>
      <c r="AO140" s="1">
        <f t="shared" si="38"/>
        <v>0.87568565165899426</v>
      </c>
      <c r="AQ140" s="11">
        <v>447.85117000000002</v>
      </c>
      <c r="AR140" s="1">
        <v>68</v>
      </c>
      <c r="AS140" s="13">
        <v>40.267899999999997</v>
      </c>
      <c r="AT140" s="3">
        <f t="shared" si="35"/>
        <v>43.22663</v>
      </c>
      <c r="AU140" s="1">
        <f t="shared" si="37"/>
        <v>0.94750108098663566</v>
      </c>
      <c r="AW140" s="11">
        <v>309.29329999999999</v>
      </c>
      <c r="AX140" s="1">
        <v>68</v>
      </c>
      <c r="AY140" s="12">
        <v>92.00179</v>
      </c>
      <c r="AZ140" s="3">
        <f t="shared" si="36"/>
        <v>93.667439999999999</v>
      </c>
    </row>
    <row r="141" spans="2:52" ht="16" x14ac:dyDescent="0.2">
      <c r="B141" s="4">
        <v>200.0326</v>
      </c>
      <c r="C141" s="1">
        <v>68.5</v>
      </c>
      <c r="D141" s="5">
        <v>99.391040000000004</v>
      </c>
      <c r="E141" s="3">
        <f t="shared" si="29"/>
        <v>100.51748000000001</v>
      </c>
      <c r="F141" s="1">
        <f t="shared" si="28"/>
        <v>3.4307503182794269E-3</v>
      </c>
      <c r="I141" s="4">
        <v>225.00698</v>
      </c>
      <c r="J141" s="1">
        <v>68.5</v>
      </c>
      <c r="K141" s="5">
        <v>94.688429999999997</v>
      </c>
      <c r="L141" s="3">
        <f t="shared" si="30"/>
        <v>98.275499999999994</v>
      </c>
      <c r="M141" s="1">
        <f t="shared" si="27"/>
        <v>3.7224408592975135E-2</v>
      </c>
      <c r="P141" s="4">
        <v>225.01956000000001</v>
      </c>
      <c r="Q141" s="1">
        <v>68.5</v>
      </c>
      <c r="R141" s="5">
        <v>99.446349999999995</v>
      </c>
      <c r="S141" s="3">
        <f t="shared" si="31"/>
        <v>99.370530000000002</v>
      </c>
      <c r="T141" s="1">
        <f t="shared" si="26"/>
        <v>1.3279483217502632E-2</v>
      </c>
      <c r="W141" s="4">
        <v>250.00200000000001</v>
      </c>
      <c r="X141" s="1">
        <v>68.5</v>
      </c>
      <c r="Y141" s="3">
        <v>91.5304</v>
      </c>
      <c r="Z141" s="3">
        <f t="shared" si="32"/>
        <v>96.971230000000006</v>
      </c>
      <c r="AA141" s="1">
        <f t="shared" si="40"/>
        <v>5.8716282649125762E-2</v>
      </c>
      <c r="AD141" s="4">
        <v>250.01579000000001</v>
      </c>
      <c r="AE141" s="1">
        <v>68.5</v>
      </c>
      <c r="AF141" s="3">
        <v>98.169539999999998</v>
      </c>
      <c r="AG141" s="3">
        <f t="shared" si="33"/>
        <v>98.431029999999993</v>
      </c>
      <c r="AH141" s="1">
        <f t="shared" si="39"/>
        <v>3.482503110572617E-2</v>
      </c>
      <c r="AK141" s="11">
        <v>447.84366999999997</v>
      </c>
      <c r="AL141" s="1">
        <v>68.5</v>
      </c>
      <c r="AM141" s="13">
        <v>44.801220000000001</v>
      </c>
      <c r="AN141" s="3">
        <f t="shared" si="34"/>
        <v>47.387439999999998</v>
      </c>
      <c r="AO141" s="1">
        <f t="shared" si="38"/>
        <v>0.87855230917994054</v>
      </c>
      <c r="AQ141" s="11">
        <v>450.38445000000002</v>
      </c>
      <c r="AR141" s="1">
        <v>68.5</v>
      </c>
      <c r="AS141" s="12">
        <v>40.1419</v>
      </c>
      <c r="AT141" s="3">
        <f t="shared" si="35"/>
        <v>43.100630000000002</v>
      </c>
      <c r="AU141" s="1">
        <f t="shared" si="37"/>
        <v>0.94960384119781704</v>
      </c>
      <c r="AW141" s="11">
        <v>310.79464000000002</v>
      </c>
      <c r="AX141" s="1">
        <v>68.5</v>
      </c>
      <c r="AY141" s="13">
        <v>91.601230000000001</v>
      </c>
      <c r="AZ141" s="3">
        <f t="shared" si="36"/>
        <v>93.26688</v>
      </c>
    </row>
    <row r="142" spans="2:52" ht="16" x14ac:dyDescent="0.2">
      <c r="B142" s="4">
        <v>200.02374</v>
      </c>
      <c r="C142" s="1">
        <v>69</v>
      </c>
      <c r="D142" s="3">
        <v>99.440119999999993</v>
      </c>
      <c r="E142" s="3">
        <f t="shared" si="29"/>
        <v>100.56656</v>
      </c>
      <c r="F142" s="1">
        <f t="shared" si="28"/>
        <v>2.6175501559056267E-3</v>
      </c>
      <c r="I142" s="4">
        <v>225.00606999999999</v>
      </c>
      <c r="J142" s="1">
        <v>69</v>
      </c>
      <c r="K142" s="3">
        <v>94.645510000000002</v>
      </c>
      <c r="L142" s="3">
        <f t="shared" si="30"/>
        <v>98.232579999999999</v>
      </c>
      <c r="M142" s="1">
        <f t="shared" si="27"/>
        <v>3.7937009056309839E-2</v>
      </c>
      <c r="P142" s="4">
        <v>225.02076</v>
      </c>
      <c r="Q142" s="1">
        <v>69</v>
      </c>
      <c r="R142" s="3">
        <v>99.515110000000007</v>
      </c>
      <c r="S142" s="3">
        <f t="shared" si="31"/>
        <v>99.439290000000014</v>
      </c>
      <c r="T142" s="1">
        <f t="shared" ref="T142:T205" si="41">($S$13-S142)/($S$13*(1-$N$1))</f>
        <v>1.213387287669712E-2</v>
      </c>
      <c r="W142" s="4">
        <v>250.00503</v>
      </c>
      <c r="X142" s="1">
        <v>69</v>
      </c>
      <c r="Y142" s="5">
        <v>91.512900000000002</v>
      </c>
      <c r="Z142" s="3">
        <f t="shared" si="32"/>
        <v>96.953730000000007</v>
      </c>
      <c r="AA142" s="1">
        <f t="shared" si="40"/>
        <v>5.9006864428177888E-2</v>
      </c>
      <c r="AD142" s="4">
        <v>250.01731000000001</v>
      </c>
      <c r="AE142" s="1">
        <v>69</v>
      </c>
      <c r="AF142" s="5">
        <v>98.213769999999997</v>
      </c>
      <c r="AG142" s="3">
        <f t="shared" si="33"/>
        <v>98.475259999999992</v>
      </c>
      <c r="AH142" s="1">
        <f t="shared" si="39"/>
        <v>3.4090762901313715E-2</v>
      </c>
      <c r="AK142" s="11">
        <v>450.37439999999998</v>
      </c>
      <c r="AL142" s="1">
        <v>69</v>
      </c>
      <c r="AM142" s="12">
        <v>44.699509999999997</v>
      </c>
      <c r="AN142" s="3">
        <f t="shared" si="34"/>
        <v>47.285729999999994</v>
      </c>
      <c r="AO142" s="1">
        <f t="shared" si="38"/>
        <v>0.88024865393474294</v>
      </c>
      <c r="AQ142" s="11">
        <v>452.90323999999998</v>
      </c>
      <c r="AR142" s="1">
        <v>69</v>
      </c>
      <c r="AS142" s="13">
        <v>39.977980000000002</v>
      </c>
      <c r="AT142" s="3">
        <f t="shared" si="35"/>
        <v>42.936710000000005</v>
      </c>
      <c r="AU142" s="1">
        <f t="shared" si="37"/>
        <v>0.95233943210112537</v>
      </c>
      <c r="AW142" s="11">
        <v>312.30236000000002</v>
      </c>
      <c r="AX142" s="1">
        <v>69</v>
      </c>
      <c r="AY142" s="12">
        <v>91.211479999999995</v>
      </c>
      <c r="AZ142" s="3">
        <f t="shared" si="36"/>
        <v>92.877129999999994</v>
      </c>
    </row>
    <row r="143" spans="2:52" ht="16" x14ac:dyDescent="0.2">
      <c r="B143" s="4">
        <v>200.01461</v>
      </c>
      <c r="C143" s="1">
        <v>69.5</v>
      </c>
      <c r="D143" s="5">
        <v>99.333830000000006</v>
      </c>
      <c r="E143" s="3">
        <f t="shared" si="29"/>
        <v>100.46027000000001</v>
      </c>
      <c r="F143" s="1">
        <f t="shared" si="28"/>
        <v>4.3786553975258278E-3</v>
      </c>
      <c r="I143" s="4">
        <v>225.00515999999999</v>
      </c>
      <c r="J143" s="1">
        <v>69.5</v>
      </c>
      <c r="K143" s="5">
        <v>94.64161</v>
      </c>
      <c r="L143" s="3">
        <f t="shared" si="30"/>
        <v>98.228679999999997</v>
      </c>
      <c r="M143" s="1">
        <f t="shared" si="27"/>
        <v>3.8001760729352872E-2</v>
      </c>
      <c r="P143" s="4">
        <v>225.01670999999999</v>
      </c>
      <c r="Q143" s="1">
        <v>69.5</v>
      </c>
      <c r="R143" s="5">
        <v>99.469930000000005</v>
      </c>
      <c r="S143" s="3">
        <f t="shared" si="31"/>
        <v>99.394110000000012</v>
      </c>
      <c r="T143" s="1">
        <f t="shared" si="41"/>
        <v>1.2886616844084941E-2</v>
      </c>
      <c r="W143" s="4">
        <v>250.00802999999999</v>
      </c>
      <c r="X143" s="1">
        <v>69.5</v>
      </c>
      <c r="Y143" s="3">
        <v>91.474879999999999</v>
      </c>
      <c r="Z143" s="3">
        <f t="shared" si="32"/>
        <v>96.915710000000004</v>
      </c>
      <c r="AA143" s="1">
        <f t="shared" si="40"/>
        <v>5.9638174099010108E-2</v>
      </c>
      <c r="AD143" s="4">
        <v>250.01770999999999</v>
      </c>
      <c r="AE143" s="1">
        <v>69.5</v>
      </c>
      <c r="AF143" s="3">
        <v>98.19341</v>
      </c>
      <c r="AG143" s="3">
        <f t="shared" si="33"/>
        <v>98.454899999999995</v>
      </c>
      <c r="AH143" s="1">
        <f t="shared" si="39"/>
        <v>3.4428762011461472E-2</v>
      </c>
      <c r="AK143" s="11">
        <v>452.88470999999998</v>
      </c>
      <c r="AL143" s="1">
        <v>69.5</v>
      </c>
      <c r="AM143" s="13">
        <v>44.51981</v>
      </c>
      <c r="AN143" s="3">
        <f t="shared" si="34"/>
        <v>47.106029999999997</v>
      </c>
      <c r="AO143" s="1">
        <f t="shared" si="38"/>
        <v>0.88324573536663742</v>
      </c>
      <c r="AQ143" s="11">
        <v>455.41028999999997</v>
      </c>
      <c r="AR143" s="1">
        <v>69.5</v>
      </c>
      <c r="AS143" s="12">
        <v>39.86504</v>
      </c>
      <c r="AT143" s="3">
        <f t="shared" si="35"/>
        <v>42.823770000000003</v>
      </c>
      <c r="AU143" s="1">
        <f t="shared" si="37"/>
        <v>0.95422423954756053</v>
      </c>
      <c r="AW143" s="11">
        <v>313.81169</v>
      </c>
      <c r="AX143" s="1">
        <v>69.5</v>
      </c>
      <c r="AY143" s="13">
        <v>90.819689999999994</v>
      </c>
      <c r="AZ143" s="3">
        <f t="shared" si="36"/>
        <v>92.485339999999994</v>
      </c>
    </row>
    <row r="144" spans="2:52" ht="16" x14ac:dyDescent="0.2">
      <c r="B144" s="4">
        <v>200.00743</v>
      </c>
      <c r="C144" s="1">
        <v>70</v>
      </c>
      <c r="D144" s="3">
        <v>99.520529999999994</v>
      </c>
      <c r="E144" s="3">
        <f t="shared" si="29"/>
        <v>100.64697</v>
      </c>
      <c r="F144" s="1">
        <f t="shared" si="28"/>
        <v>1.2852472818939752E-3</v>
      </c>
      <c r="I144" s="4">
        <v>225.00395</v>
      </c>
      <c r="J144" s="1">
        <v>70</v>
      </c>
      <c r="K144" s="3">
        <v>94.60284</v>
      </c>
      <c r="L144" s="3">
        <f t="shared" si="30"/>
        <v>98.189909999999998</v>
      </c>
      <c r="M144" s="1">
        <f t="shared" ref="M144:M207" si="42">($L$15-L144)/($L$15*(1-$N$1))</f>
        <v>3.8645458771372661E-2</v>
      </c>
      <c r="P144" s="4">
        <v>225.01614000000001</v>
      </c>
      <c r="Q144" s="1">
        <v>70</v>
      </c>
      <c r="R144" s="3">
        <v>99.447519999999997</v>
      </c>
      <c r="S144" s="3">
        <f t="shared" si="31"/>
        <v>99.371700000000004</v>
      </c>
      <c r="T144" s="1">
        <f t="shared" si="41"/>
        <v>1.3259989847829211E-2</v>
      </c>
      <c r="W144" s="4">
        <v>250.00299000000001</v>
      </c>
      <c r="X144" s="1">
        <v>70</v>
      </c>
      <c r="Y144" s="5">
        <v>91.426919999999996</v>
      </c>
      <c r="Z144" s="3">
        <f t="shared" si="32"/>
        <v>96.867750000000001</v>
      </c>
      <c r="AA144" s="1">
        <f t="shared" si="40"/>
        <v>6.0434534220343956E-2</v>
      </c>
      <c r="AD144" s="4">
        <v>250.01791</v>
      </c>
      <c r="AE144" s="1">
        <v>70</v>
      </c>
      <c r="AF144" s="5">
        <v>98.195260000000005</v>
      </c>
      <c r="AG144" s="3">
        <f t="shared" si="33"/>
        <v>98.45675</v>
      </c>
      <c r="AH144" s="1">
        <f t="shared" si="39"/>
        <v>3.4398049911570756E-2</v>
      </c>
      <c r="AK144" s="11">
        <v>455.40053999999998</v>
      </c>
      <c r="AL144" s="1">
        <v>70</v>
      </c>
      <c r="AM144" s="12">
        <v>44.418190000000003</v>
      </c>
      <c r="AN144" s="3">
        <f t="shared" si="34"/>
        <v>47.00441</v>
      </c>
      <c r="AO144" s="1">
        <f t="shared" si="38"/>
        <v>0.88494057907898649</v>
      </c>
      <c r="AQ144" s="11">
        <v>457.91633000000002</v>
      </c>
      <c r="AR144" s="1">
        <v>70</v>
      </c>
      <c r="AS144" s="13">
        <v>39.701180000000001</v>
      </c>
      <c r="AT144" s="3">
        <f t="shared" si="35"/>
        <v>42.659910000000004</v>
      </c>
      <c r="AU144" s="1">
        <f t="shared" si="37"/>
        <v>0.95695882913648256</v>
      </c>
      <c r="AW144" s="11">
        <v>315.31970999999999</v>
      </c>
      <c r="AX144" s="1">
        <v>70</v>
      </c>
      <c r="AY144" s="12">
        <v>90.477149999999995</v>
      </c>
      <c r="AZ144" s="3">
        <f t="shared" si="36"/>
        <v>92.142799999999994</v>
      </c>
    </row>
    <row r="145" spans="2:52" ht="16" x14ac:dyDescent="0.2">
      <c r="B145" s="4">
        <v>200.00731999999999</v>
      </c>
      <c r="C145" s="1">
        <v>70.5</v>
      </c>
      <c r="D145" s="5">
        <v>99.385670000000005</v>
      </c>
      <c r="E145" s="3">
        <f t="shared" si="29"/>
        <v>100.51211000000001</v>
      </c>
      <c r="F145" s="1">
        <f t="shared" si="28"/>
        <v>3.5197251526711873E-3</v>
      </c>
      <c r="I145" s="4">
        <v>225.00711000000001</v>
      </c>
      <c r="J145" s="1">
        <v>70.5</v>
      </c>
      <c r="K145" s="5">
        <v>94.610079999999996</v>
      </c>
      <c r="L145" s="3">
        <f t="shared" si="30"/>
        <v>98.197149999999993</v>
      </c>
      <c r="M145" s="1">
        <f t="shared" si="42"/>
        <v>3.8525253101415975E-2</v>
      </c>
      <c r="P145" s="4">
        <v>225.01822000000001</v>
      </c>
      <c r="Q145" s="1">
        <v>70.5</v>
      </c>
      <c r="R145" s="5">
        <v>99.542119999999997</v>
      </c>
      <c r="S145" s="3">
        <f t="shared" si="31"/>
        <v>99.466300000000004</v>
      </c>
      <c r="T145" s="1">
        <f t="shared" si="41"/>
        <v>1.1683859274237257E-2</v>
      </c>
      <c r="W145" s="4">
        <v>250.00501</v>
      </c>
      <c r="X145" s="1">
        <v>70.5</v>
      </c>
      <c r="Y145" s="3">
        <v>91.413669999999996</v>
      </c>
      <c r="Z145" s="3">
        <f t="shared" si="32"/>
        <v>96.854500000000002</v>
      </c>
      <c r="AA145" s="1">
        <f t="shared" si="40"/>
        <v>6.0654546138769153E-2</v>
      </c>
      <c r="AD145" s="4">
        <v>250.01229000000001</v>
      </c>
      <c r="AE145" s="1">
        <v>70.5</v>
      </c>
      <c r="AF145" s="3">
        <v>98.220529999999997</v>
      </c>
      <c r="AG145" s="3">
        <f t="shared" si="33"/>
        <v>98.482019999999991</v>
      </c>
      <c r="AH145" s="1">
        <f t="shared" si="39"/>
        <v>3.3978539228199808E-2</v>
      </c>
      <c r="AK145" s="11">
        <v>457.91538000000003</v>
      </c>
      <c r="AL145" s="1">
        <v>70.5</v>
      </c>
      <c r="AM145" s="13">
        <v>44.281910000000003</v>
      </c>
      <c r="AN145" s="3">
        <f t="shared" si="34"/>
        <v>46.868130000000001</v>
      </c>
      <c r="AO145" s="1">
        <f t="shared" si="38"/>
        <v>0.88721349091837753</v>
      </c>
      <c r="AQ145" s="11">
        <v>460.42072999999999</v>
      </c>
      <c r="AR145" s="1">
        <v>70.5</v>
      </c>
      <c r="AS145" s="12">
        <v>39.609490000000001</v>
      </c>
      <c r="AT145" s="3">
        <f t="shared" si="35"/>
        <v>42.568220000000004</v>
      </c>
      <c r="AU145" s="1">
        <f t="shared" si="37"/>
        <v>0.95848900440444462</v>
      </c>
      <c r="AW145" s="11">
        <v>316.81779999999998</v>
      </c>
      <c r="AX145" s="1">
        <v>70.5</v>
      </c>
      <c r="AY145" s="13">
        <v>90.023349999999994</v>
      </c>
      <c r="AZ145" s="3">
        <f t="shared" si="36"/>
        <v>91.688999999999993</v>
      </c>
    </row>
    <row r="146" spans="2:52" ht="16" x14ac:dyDescent="0.2">
      <c r="B146" s="4">
        <v>200.01301000000001</v>
      </c>
      <c r="C146" s="1">
        <v>71</v>
      </c>
      <c r="D146" s="3">
        <v>99.264570000000006</v>
      </c>
      <c r="E146" s="3">
        <f t="shared" si="29"/>
        <v>100.39101000000001</v>
      </c>
      <c r="F146" s="1">
        <f t="shared" si="28"/>
        <v>5.5262153658636737E-3</v>
      </c>
      <c r="I146" s="4">
        <v>225.00201999999999</v>
      </c>
      <c r="J146" s="1">
        <v>71</v>
      </c>
      <c r="K146" s="3">
        <v>94.55556</v>
      </c>
      <c r="L146" s="3">
        <f t="shared" si="30"/>
        <v>98.142629999999997</v>
      </c>
      <c r="M146" s="1">
        <f t="shared" si="42"/>
        <v>3.9430448284570915E-2</v>
      </c>
      <c r="P146" s="4">
        <v>225.01854</v>
      </c>
      <c r="Q146" s="1">
        <v>71</v>
      </c>
      <c r="R146" s="3">
        <v>99.476879999999994</v>
      </c>
      <c r="S146" s="3">
        <f t="shared" si="31"/>
        <v>99.401060000000001</v>
      </c>
      <c r="T146" s="1">
        <f t="shared" si="41"/>
        <v>1.2770822896025246E-2</v>
      </c>
      <c r="W146" s="4">
        <v>250.00506999999999</v>
      </c>
      <c r="X146" s="1">
        <v>71</v>
      </c>
      <c r="Y146" s="5">
        <v>91.390420000000006</v>
      </c>
      <c r="Z146" s="3">
        <f t="shared" si="32"/>
        <v>96.831250000000011</v>
      </c>
      <c r="AA146" s="1">
        <f t="shared" si="40"/>
        <v>6.104060478808114E-2</v>
      </c>
      <c r="AD146" s="4">
        <v>250.00997000000001</v>
      </c>
      <c r="AE146" s="1">
        <v>71</v>
      </c>
      <c r="AF146" s="5">
        <v>98.101140000000001</v>
      </c>
      <c r="AG146" s="3">
        <f t="shared" si="33"/>
        <v>98.362629999999996</v>
      </c>
      <c r="AH146" s="1">
        <f t="shared" si="39"/>
        <v>3.5960548744926053E-2</v>
      </c>
      <c r="AK146" s="11">
        <v>460.42090000000002</v>
      </c>
      <c r="AL146" s="1">
        <v>71</v>
      </c>
      <c r="AM146" s="12">
        <v>44.182429999999997</v>
      </c>
      <c r="AN146" s="3">
        <f t="shared" si="34"/>
        <v>46.768649999999994</v>
      </c>
      <c r="AO146" s="1">
        <f t="shared" si="38"/>
        <v>0.88887264317683545</v>
      </c>
      <c r="AQ146" s="11">
        <v>462.92223000000001</v>
      </c>
      <c r="AR146" s="1">
        <v>71</v>
      </c>
      <c r="AS146" s="13">
        <v>39.512099999999997</v>
      </c>
      <c r="AT146" s="3">
        <f t="shared" si="35"/>
        <v>42.470829999999999</v>
      </c>
      <c r="AU146" s="1">
        <f t="shared" si="37"/>
        <v>0.96011430453910307</v>
      </c>
      <c r="AW146" s="11">
        <v>318.32547</v>
      </c>
      <c r="AX146" s="1">
        <v>71</v>
      </c>
      <c r="AY146" s="12">
        <v>89.631600000000006</v>
      </c>
      <c r="AZ146" s="3">
        <f t="shared" si="36"/>
        <v>91.297250000000005</v>
      </c>
    </row>
    <row r="147" spans="2:52" ht="16" x14ac:dyDescent="0.2">
      <c r="B147" s="4">
        <v>200.01859999999999</v>
      </c>
      <c r="C147" s="1">
        <v>71.5</v>
      </c>
      <c r="D147" s="5">
        <v>99.464680000000001</v>
      </c>
      <c r="E147" s="3">
        <f t="shared" si="29"/>
        <v>100.59112</v>
      </c>
      <c r="F147" s="1">
        <f t="shared" si="28"/>
        <v>2.2106186973092235E-3</v>
      </c>
      <c r="I147" s="4">
        <v>225.00595000000001</v>
      </c>
      <c r="J147" s="1">
        <v>71.5</v>
      </c>
      <c r="K147" s="5">
        <v>94.564009999999996</v>
      </c>
      <c r="L147" s="3">
        <f t="shared" si="30"/>
        <v>98.151079999999993</v>
      </c>
      <c r="M147" s="1">
        <f t="shared" si="42"/>
        <v>3.9290152992977806E-2</v>
      </c>
      <c r="P147" s="4">
        <v>225.02170000000001</v>
      </c>
      <c r="Q147" s="1">
        <v>71.5</v>
      </c>
      <c r="R147" s="5">
        <v>99.410889999999995</v>
      </c>
      <c r="S147" s="3">
        <f t="shared" si="31"/>
        <v>99.335070000000002</v>
      </c>
      <c r="T147" s="1">
        <f t="shared" si="41"/>
        <v>1.3870282267603812E-2</v>
      </c>
      <c r="W147" s="4">
        <v>250.00301999999999</v>
      </c>
      <c r="X147" s="1">
        <v>71.5</v>
      </c>
      <c r="Y147" s="3">
        <v>91.378900000000002</v>
      </c>
      <c r="Z147" s="3">
        <f t="shared" si="32"/>
        <v>96.819730000000007</v>
      </c>
      <c r="AA147" s="1">
        <f t="shared" si="40"/>
        <v>6.1231890622062975E-2</v>
      </c>
      <c r="AD147" s="4">
        <v>250.01309000000001</v>
      </c>
      <c r="AE147" s="1">
        <v>71.5</v>
      </c>
      <c r="AF147" s="3">
        <v>98.135800000000003</v>
      </c>
      <c r="AG147" s="3">
        <f t="shared" si="33"/>
        <v>98.397289999999998</v>
      </c>
      <c r="AH147" s="1">
        <f t="shared" si="39"/>
        <v>3.5385153403191073E-2</v>
      </c>
      <c r="AK147" s="11">
        <v>462.92478</v>
      </c>
      <c r="AL147" s="1">
        <v>71.5</v>
      </c>
      <c r="AM147" s="13">
        <v>44.07743</v>
      </c>
      <c r="AN147" s="3">
        <f t="shared" si="34"/>
        <v>46.663649999999997</v>
      </c>
      <c r="AO147" s="1">
        <f t="shared" si="38"/>
        <v>0.89062385937243327</v>
      </c>
      <c r="AQ147" s="11">
        <v>465.42500999999999</v>
      </c>
      <c r="AR147" s="1">
        <v>71.5</v>
      </c>
      <c r="AS147" s="12">
        <v>39.394289999999998</v>
      </c>
      <c r="AT147" s="3">
        <f t="shared" si="35"/>
        <v>42.353020000000001</v>
      </c>
      <c r="AU147" s="1">
        <f t="shared" si="37"/>
        <v>0.96208038533655771</v>
      </c>
      <c r="AW147" s="11">
        <v>319.83150999999998</v>
      </c>
      <c r="AX147" s="1">
        <v>71.5</v>
      </c>
      <c r="AY147" s="13">
        <v>89.088220000000007</v>
      </c>
      <c r="AZ147" s="3">
        <f t="shared" si="36"/>
        <v>90.753870000000006</v>
      </c>
    </row>
    <row r="148" spans="2:52" ht="16" x14ac:dyDescent="0.2">
      <c r="B148" s="4">
        <v>200.01899</v>
      </c>
      <c r="C148" s="1">
        <v>72</v>
      </c>
      <c r="D148" s="3">
        <v>99.418629999999993</v>
      </c>
      <c r="E148" s="3">
        <f t="shared" si="29"/>
        <v>100.54507</v>
      </c>
      <c r="F148" s="1">
        <f t="shared" si="28"/>
        <v>2.9736151821773619E-3</v>
      </c>
      <c r="I148" s="4">
        <v>225.00509</v>
      </c>
      <c r="J148" s="1">
        <v>72</v>
      </c>
      <c r="K148" s="3">
        <v>94.523300000000006</v>
      </c>
      <c r="L148" s="3">
        <f t="shared" si="30"/>
        <v>98.110370000000003</v>
      </c>
      <c r="M148" s="1">
        <f t="shared" si="42"/>
        <v>3.9966060841588061E-2</v>
      </c>
      <c r="P148" s="4">
        <v>225.01949999999999</v>
      </c>
      <c r="Q148" s="1">
        <v>72</v>
      </c>
      <c r="R148" s="3">
        <v>99.469939999999994</v>
      </c>
      <c r="S148" s="3">
        <f t="shared" si="31"/>
        <v>99.394120000000001</v>
      </c>
      <c r="T148" s="1">
        <f t="shared" si="41"/>
        <v>1.2886450234087916E-2</v>
      </c>
      <c r="W148" s="4">
        <v>250.00200000000001</v>
      </c>
      <c r="X148" s="1">
        <v>72</v>
      </c>
      <c r="Y148" s="5">
        <v>91.348389999999995</v>
      </c>
      <c r="Z148" s="3">
        <f t="shared" si="32"/>
        <v>96.78922</v>
      </c>
      <c r="AA148" s="1">
        <f t="shared" si="40"/>
        <v>6.1738499197999161E-2</v>
      </c>
      <c r="AD148" s="4">
        <v>250.01671999999999</v>
      </c>
      <c r="AE148" s="1">
        <v>72</v>
      </c>
      <c r="AF148" s="5">
        <v>98.124440000000007</v>
      </c>
      <c r="AG148" s="3">
        <f t="shared" si="33"/>
        <v>98.385930000000002</v>
      </c>
      <c r="AH148" s="1">
        <f t="shared" si="39"/>
        <v>3.5573742297654629E-2</v>
      </c>
      <c r="AK148" s="11">
        <v>465.42971999999997</v>
      </c>
      <c r="AL148" s="1">
        <v>72</v>
      </c>
      <c r="AM148" s="12">
        <v>43.95102</v>
      </c>
      <c r="AN148" s="3">
        <f t="shared" si="34"/>
        <v>46.537239999999997</v>
      </c>
      <c r="AO148" s="1">
        <f t="shared" si="38"/>
        <v>0.89273215688943819</v>
      </c>
      <c r="AQ148" s="11">
        <v>467.93684000000002</v>
      </c>
      <c r="AR148" s="1">
        <v>72</v>
      </c>
      <c r="AS148" s="13">
        <v>39.263399999999997</v>
      </c>
      <c r="AT148" s="3">
        <f t="shared" si="35"/>
        <v>42.22213</v>
      </c>
      <c r="AU148" s="1">
        <f t="shared" si="37"/>
        <v>0.9642647526702206</v>
      </c>
      <c r="AW148" s="11">
        <v>321.33960999999999</v>
      </c>
      <c r="AX148" s="1">
        <v>72</v>
      </c>
      <c r="AY148" s="12">
        <v>88.703379999999996</v>
      </c>
      <c r="AZ148" s="3">
        <f t="shared" si="36"/>
        <v>90.369029999999995</v>
      </c>
    </row>
    <row r="149" spans="2:52" ht="16" x14ac:dyDescent="0.2">
      <c r="B149" s="4">
        <v>200.01349999999999</v>
      </c>
      <c r="C149" s="1">
        <v>72.5</v>
      </c>
      <c r="D149" s="5">
        <v>99.350290000000001</v>
      </c>
      <c r="E149" s="3">
        <f t="shared" si="29"/>
        <v>100.47673</v>
      </c>
      <c r="F149" s="1">
        <f t="shared" si="28"/>
        <v>4.1059317896881831E-3</v>
      </c>
      <c r="I149" s="4">
        <v>225.00394</v>
      </c>
      <c r="J149" s="1">
        <v>72.5</v>
      </c>
      <c r="K149" s="5">
        <v>94.507930000000002</v>
      </c>
      <c r="L149" s="3">
        <f t="shared" si="30"/>
        <v>98.094999999999999</v>
      </c>
      <c r="M149" s="1">
        <f t="shared" si="42"/>
        <v>4.0221248845349916E-2</v>
      </c>
      <c r="P149" s="4">
        <v>225.01562999999999</v>
      </c>
      <c r="Q149" s="1">
        <v>72.5</v>
      </c>
      <c r="R149" s="5">
        <v>99.451250000000002</v>
      </c>
      <c r="S149" s="3">
        <f t="shared" si="31"/>
        <v>99.375430000000009</v>
      </c>
      <c r="T149" s="1">
        <f t="shared" si="41"/>
        <v>1.3197844318870385E-2</v>
      </c>
      <c r="W149" s="4">
        <v>250.00307000000001</v>
      </c>
      <c r="X149" s="1">
        <v>72.5</v>
      </c>
      <c r="Y149" s="3">
        <v>91.317689999999999</v>
      </c>
      <c r="Z149" s="3">
        <f t="shared" si="32"/>
        <v>96.758520000000004</v>
      </c>
      <c r="AA149" s="1">
        <f t="shared" si="40"/>
        <v>6.2248262661822019E-2</v>
      </c>
      <c r="AD149" s="4">
        <v>250.01741999999999</v>
      </c>
      <c r="AE149" s="1">
        <v>72.5</v>
      </c>
      <c r="AF149" s="3">
        <v>98.106669999999994</v>
      </c>
      <c r="AG149" s="3">
        <f t="shared" si="33"/>
        <v>98.368159999999989</v>
      </c>
      <c r="AH149" s="1">
        <f t="shared" si="39"/>
        <v>3.5868744467955765E-2</v>
      </c>
      <c r="AK149" s="11">
        <v>467.92694999999998</v>
      </c>
      <c r="AL149" s="1">
        <v>72.5</v>
      </c>
      <c r="AM149" s="13">
        <v>43.847610000000003</v>
      </c>
      <c r="AN149" s="3">
        <f t="shared" si="34"/>
        <v>46.43383</v>
      </c>
      <c r="AO149" s="1">
        <f t="shared" si="38"/>
        <v>0.89445685466835978</v>
      </c>
      <c r="AQ149" s="11">
        <v>470.44168000000002</v>
      </c>
      <c r="AR149" s="1">
        <v>72.5</v>
      </c>
      <c r="AS149" s="12">
        <v>39.156680000000001</v>
      </c>
      <c r="AT149" s="3">
        <f t="shared" si="35"/>
        <v>42.115410000000004</v>
      </c>
      <c r="AU149" s="1">
        <f t="shared" si="37"/>
        <v>0.96604575719194496</v>
      </c>
      <c r="AW149" s="11">
        <v>322.84663</v>
      </c>
      <c r="AX149" s="1">
        <v>72.5</v>
      </c>
      <c r="AY149" s="13">
        <v>88.251410000000007</v>
      </c>
      <c r="AZ149" s="3">
        <f t="shared" si="36"/>
        <v>89.917060000000006</v>
      </c>
    </row>
    <row r="150" spans="2:52" ht="16" x14ac:dyDescent="0.2">
      <c r="B150" s="4">
        <v>200.01330999999999</v>
      </c>
      <c r="C150" s="1">
        <v>73</v>
      </c>
      <c r="D150" s="3">
        <v>99.480459999999994</v>
      </c>
      <c r="E150" s="3">
        <f t="shared" si="29"/>
        <v>100.6069</v>
      </c>
      <c r="F150" s="1">
        <f t="shared" si="28"/>
        <v>1.9491619213871552E-3</v>
      </c>
      <c r="I150" s="4">
        <v>225.00704999999999</v>
      </c>
      <c r="J150" s="1">
        <v>73</v>
      </c>
      <c r="K150" s="3">
        <v>94.510069999999999</v>
      </c>
      <c r="L150" s="3">
        <f t="shared" si="30"/>
        <v>98.097139999999996</v>
      </c>
      <c r="M150" s="1">
        <f t="shared" si="42"/>
        <v>4.0185718440141752E-2</v>
      </c>
      <c r="P150" s="4">
        <v>225.01909000000001</v>
      </c>
      <c r="Q150" s="1">
        <v>73</v>
      </c>
      <c r="R150" s="3">
        <v>99.51491</v>
      </c>
      <c r="S150" s="3">
        <f t="shared" si="31"/>
        <v>99.439090000000007</v>
      </c>
      <c r="T150" s="1">
        <f t="shared" si="41"/>
        <v>1.21372050766414E-2</v>
      </c>
      <c r="W150" s="4">
        <v>250.00201999999999</v>
      </c>
      <c r="X150" s="1">
        <v>73</v>
      </c>
      <c r="Y150" s="5">
        <v>91.294520000000006</v>
      </c>
      <c r="Z150" s="3">
        <f t="shared" si="32"/>
        <v>96.735350000000011</v>
      </c>
      <c r="AA150" s="1">
        <f t="shared" si="40"/>
        <v>6.2632992937286955E-2</v>
      </c>
      <c r="AD150" s="4">
        <v>250.0171</v>
      </c>
      <c r="AE150" s="1">
        <v>73</v>
      </c>
      <c r="AF150" s="5">
        <v>98.116789999999995</v>
      </c>
      <c r="AG150" s="3">
        <f t="shared" si="33"/>
        <v>98.37827999999999</v>
      </c>
      <c r="AH150" s="1">
        <f t="shared" si="39"/>
        <v>3.5700740980986405E-2</v>
      </c>
      <c r="AK150" s="11">
        <v>470.43439000000001</v>
      </c>
      <c r="AL150" s="1">
        <v>73</v>
      </c>
      <c r="AM150" s="12">
        <v>43.746940000000002</v>
      </c>
      <c r="AN150" s="3">
        <f t="shared" si="34"/>
        <v>46.333159999999999</v>
      </c>
      <c r="AO150" s="1">
        <f t="shared" si="38"/>
        <v>0.896135854043701</v>
      </c>
      <c r="AQ150" s="11">
        <v>472.94067000000001</v>
      </c>
      <c r="AR150" s="1">
        <v>73</v>
      </c>
      <c r="AS150" s="13">
        <v>39.046349999999997</v>
      </c>
      <c r="AT150" s="3">
        <f t="shared" si="35"/>
        <v>42.00508</v>
      </c>
      <c r="AU150" s="1">
        <f t="shared" si="37"/>
        <v>0.96788700746257716</v>
      </c>
      <c r="AW150" s="11">
        <v>324.35649000000001</v>
      </c>
      <c r="AX150" s="1">
        <v>73</v>
      </c>
      <c r="AY150" s="12">
        <v>87.689809999999994</v>
      </c>
      <c r="AZ150" s="3">
        <f t="shared" si="36"/>
        <v>89.355459999999994</v>
      </c>
    </row>
    <row r="151" spans="2:52" ht="16" x14ac:dyDescent="0.2">
      <c r="B151" s="4">
        <v>200.03753</v>
      </c>
      <c r="C151" s="1">
        <v>73.5</v>
      </c>
      <c r="D151" s="5">
        <v>99.533779999999993</v>
      </c>
      <c r="E151" s="3">
        <f t="shared" si="29"/>
        <v>100.66022</v>
      </c>
      <c r="F151" s="1">
        <f t="shared" si="28"/>
        <v>1.0657097482457555E-3</v>
      </c>
      <c r="I151" s="4">
        <v>225.00800000000001</v>
      </c>
      <c r="J151" s="1">
        <v>73.5</v>
      </c>
      <c r="K151" s="5">
        <v>94.462530000000001</v>
      </c>
      <c r="L151" s="3">
        <f t="shared" si="30"/>
        <v>98.049599999999998</v>
      </c>
      <c r="M151" s="1">
        <f t="shared" si="42"/>
        <v>4.0975024731542825E-2</v>
      </c>
      <c r="P151" s="4">
        <v>225.02094</v>
      </c>
      <c r="Q151" s="1">
        <v>73.5</v>
      </c>
      <c r="R151" s="5">
        <v>99.534210000000002</v>
      </c>
      <c r="S151" s="3">
        <f t="shared" si="31"/>
        <v>99.458390000000009</v>
      </c>
      <c r="T151" s="1">
        <f t="shared" si="41"/>
        <v>1.1815647782029067E-2</v>
      </c>
      <c r="W151" s="4">
        <v>250.00497999999999</v>
      </c>
      <c r="X151" s="1">
        <v>73.5</v>
      </c>
      <c r="Y151" s="3">
        <v>91.271969999999996</v>
      </c>
      <c r="Z151" s="3">
        <f t="shared" si="32"/>
        <v>96.712800000000001</v>
      </c>
      <c r="AA151" s="1">
        <f t="shared" si="40"/>
        <v>6.3007428315437181E-2</v>
      </c>
      <c r="AD151" s="4">
        <v>250.01701</v>
      </c>
      <c r="AE151" s="1">
        <v>73.5</v>
      </c>
      <c r="AF151" s="3">
        <v>97.984030000000004</v>
      </c>
      <c r="AG151" s="3">
        <f t="shared" si="33"/>
        <v>98.245519999999999</v>
      </c>
      <c r="AH151" s="1">
        <f t="shared" si="39"/>
        <v>3.790470767367899E-2</v>
      </c>
      <c r="AK151" s="11">
        <v>472.93999000000002</v>
      </c>
      <c r="AL151" s="1">
        <v>73.5</v>
      </c>
      <c r="AM151" s="13">
        <v>43.680349999999997</v>
      </c>
      <c r="AN151" s="3">
        <f t="shared" si="34"/>
        <v>46.266569999999994</v>
      </c>
      <c r="AO151" s="1">
        <f t="shared" si="38"/>
        <v>0.89724645867669972</v>
      </c>
      <c r="AQ151" s="11">
        <v>475.43641000000002</v>
      </c>
      <c r="AR151" s="1">
        <v>73.5</v>
      </c>
      <c r="AS151" s="12">
        <v>38.97354</v>
      </c>
      <c r="AT151" s="3">
        <f t="shared" si="35"/>
        <v>41.932270000000003</v>
      </c>
      <c r="AU151" s="1">
        <f t="shared" si="37"/>
        <v>0.96910210247032402</v>
      </c>
      <c r="AW151" s="11">
        <v>325.86747000000003</v>
      </c>
      <c r="AX151" s="1">
        <v>73.5</v>
      </c>
      <c r="AY151" s="13">
        <v>87.104879999999994</v>
      </c>
      <c r="AZ151" s="3">
        <f t="shared" si="36"/>
        <v>88.770529999999994</v>
      </c>
    </row>
    <row r="152" spans="2:52" ht="16" x14ac:dyDescent="0.2">
      <c r="B152" s="4">
        <v>200.07830000000001</v>
      </c>
      <c r="C152" s="1">
        <v>74</v>
      </c>
      <c r="D152" s="3">
        <v>99.477729999999994</v>
      </c>
      <c r="E152" s="3">
        <f t="shared" si="29"/>
        <v>100.60417</v>
      </c>
      <c r="F152" s="1">
        <f t="shared" si="28"/>
        <v>1.9943949377539175E-3</v>
      </c>
      <c r="I152" s="4">
        <v>225.00298000000001</v>
      </c>
      <c r="J152" s="1">
        <v>74</v>
      </c>
      <c r="K152" s="3">
        <v>94.430660000000003</v>
      </c>
      <c r="L152" s="3">
        <f t="shared" si="30"/>
        <v>98.01773</v>
      </c>
      <c r="M152" s="1">
        <f t="shared" si="42"/>
        <v>4.1504162121255739E-2</v>
      </c>
      <c r="P152" s="4">
        <v>225.02042</v>
      </c>
      <c r="Q152" s="1">
        <v>74</v>
      </c>
      <c r="R152" s="3">
        <v>99.519840000000002</v>
      </c>
      <c r="S152" s="3">
        <f t="shared" si="31"/>
        <v>99.444020000000009</v>
      </c>
      <c r="T152" s="1">
        <f t="shared" si="41"/>
        <v>1.2055066348017606E-2</v>
      </c>
      <c r="W152" s="4">
        <v>250.00299999999999</v>
      </c>
      <c r="X152" s="1">
        <v>74</v>
      </c>
      <c r="Y152" s="5">
        <v>91.247010000000003</v>
      </c>
      <c r="Z152" s="3">
        <f t="shared" si="32"/>
        <v>96.687840000000008</v>
      </c>
      <c r="AA152" s="1">
        <f t="shared" si="40"/>
        <v>6.3421880955730883E-2</v>
      </c>
      <c r="AD152" s="4">
        <v>250.01651000000001</v>
      </c>
      <c r="AE152" s="1">
        <v>74</v>
      </c>
      <c r="AF152" s="5">
        <v>97.996799999999993</v>
      </c>
      <c r="AG152" s="3">
        <f t="shared" si="33"/>
        <v>98.258289999999988</v>
      </c>
      <c r="AH152" s="1">
        <f t="shared" si="39"/>
        <v>3.7692711178758359E-2</v>
      </c>
      <c r="AK152" s="11">
        <v>475.44414</v>
      </c>
      <c r="AL152" s="1">
        <v>74</v>
      </c>
      <c r="AM152" s="12">
        <v>43.606380000000001</v>
      </c>
      <c r="AN152" s="3">
        <f t="shared" si="34"/>
        <v>46.192599999999999</v>
      </c>
      <c r="AO152" s="1">
        <f t="shared" si="38"/>
        <v>0.89848014879087468</v>
      </c>
      <c r="AQ152" s="11">
        <v>477.93545</v>
      </c>
      <c r="AR152" s="1">
        <v>74</v>
      </c>
      <c r="AS152" s="13">
        <v>38.835850000000001</v>
      </c>
      <c r="AT152" s="3">
        <f t="shared" si="35"/>
        <v>41.794580000000003</v>
      </c>
      <c r="AU152" s="1">
        <f t="shared" si="37"/>
        <v>0.97139995210109831</v>
      </c>
      <c r="AW152" s="11">
        <v>327.37452000000002</v>
      </c>
      <c r="AX152" s="1">
        <v>74</v>
      </c>
      <c r="AY152" s="12">
        <v>86.570359999999994</v>
      </c>
      <c r="AZ152" s="3">
        <f t="shared" si="36"/>
        <v>88.236009999999993</v>
      </c>
    </row>
    <row r="153" spans="2:52" ht="16" x14ac:dyDescent="0.2">
      <c r="B153" s="4">
        <v>200.11425</v>
      </c>
      <c r="C153" s="1">
        <v>74.5</v>
      </c>
      <c r="D153" s="5">
        <v>99.368600000000001</v>
      </c>
      <c r="E153" s="3">
        <f t="shared" si="29"/>
        <v>100.49504</v>
      </c>
      <c r="F153" s="1">
        <f t="shared" si="28"/>
        <v>3.80255577149203E-3</v>
      </c>
      <c r="I153" s="4">
        <v>225.00894</v>
      </c>
      <c r="J153" s="1">
        <v>74.5</v>
      </c>
      <c r="K153" s="5">
        <v>94.440029999999993</v>
      </c>
      <c r="L153" s="3">
        <f t="shared" si="30"/>
        <v>98.02709999999999</v>
      </c>
      <c r="M153" s="1">
        <f t="shared" si="42"/>
        <v>4.1348592076021824E-2</v>
      </c>
      <c r="P153" s="4">
        <v>225.01864</v>
      </c>
      <c r="Q153" s="1">
        <v>74.5</v>
      </c>
      <c r="R153" s="5">
        <v>99.363380000000006</v>
      </c>
      <c r="S153" s="3">
        <f t="shared" si="31"/>
        <v>99.287560000000013</v>
      </c>
      <c r="T153" s="1">
        <f t="shared" si="41"/>
        <v>1.4661846364340975E-2</v>
      </c>
      <c r="W153" s="4">
        <v>249.99497</v>
      </c>
      <c r="X153" s="1">
        <v>74.5</v>
      </c>
      <c r="Y153" s="3">
        <v>91.216239999999999</v>
      </c>
      <c r="Z153" s="3">
        <f t="shared" si="32"/>
        <v>96.657070000000004</v>
      </c>
      <c r="AA153" s="1">
        <f t="shared" si="40"/>
        <v>6.3932806746670082E-2</v>
      </c>
      <c r="AD153" s="4">
        <v>250.01433</v>
      </c>
      <c r="AE153" s="1">
        <v>74.5</v>
      </c>
      <c r="AF153" s="3">
        <v>98.088809999999995</v>
      </c>
      <c r="AG153" s="3">
        <f t="shared" si="33"/>
        <v>98.35029999999999</v>
      </c>
      <c r="AH153" s="1">
        <f t="shared" si="39"/>
        <v>3.6165240740413503E-2</v>
      </c>
      <c r="AK153" s="11">
        <v>477.93648999999999</v>
      </c>
      <c r="AL153" s="1">
        <v>74.5</v>
      </c>
      <c r="AM153" s="13">
        <v>43.457839999999997</v>
      </c>
      <c r="AN153" s="3">
        <f t="shared" si="34"/>
        <v>46.044059999999995</v>
      </c>
      <c r="AO153" s="1">
        <f t="shared" si="38"/>
        <v>0.9009575359689137</v>
      </c>
      <c r="AQ153" s="11">
        <v>480.43929000000003</v>
      </c>
      <c r="AR153" s="1">
        <v>74.5</v>
      </c>
      <c r="AS153" s="12">
        <v>38.739640000000001</v>
      </c>
      <c r="AT153" s="3">
        <f t="shared" si="35"/>
        <v>41.698370000000004</v>
      </c>
      <c r="AU153" s="1">
        <f t="shared" si="37"/>
        <v>0.97300555971949332</v>
      </c>
      <c r="AW153" s="11">
        <v>328.87954999999999</v>
      </c>
      <c r="AX153" s="1">
        <v>74.5</v>
      </c>
      <c r="AY153" s="13">
        <v>85.839460000000003</v>
      </c>
      <c r="AZ153" s="3">
        <f t="shared" si="36"/>
        <v>87.505110000000002</v>
      </c>
    </row>
    <row r="154" spans="2:52" ht="16" x14ac:dyDescent="0.2">
      <c r="B154" s="4">
        <v>200.13558</v>
      </c>
      <c r="C154" s="1">
        <v>75</v>
      </c>
      <c r="D154" s="3">
        <v>99.348489999999998</v>
      </c>
      <c r="E154" s="3">
        <f t="shared" si="29"/>
        <v>100.47493</v>
      </c>
      <c r="F154" s="1">
        <f t="shared" si="28"/>
        <v>4.1357557565234624E-3</v>
      </c>
      <c r="I154" s="4">
        <v>225.00693999999999</v>
      </c>
      <c r="J154" s="1">
        <v>75</v>
      </c>
      <c r="K154" s="3">
        <v>94.411479999999997</v>
      </c>
      <c r="L154" s="3">
        <f t="shared" si="30"/>
        <v>97.998549999999994</v>
      </c>
      <c r="M154" s="1">
        <f t="shared" si="42"/>
        <v>4.1822607528682706E-2</v>
      </c>
      <c r="P154" s="4">
        <v>225.01596000000001</v>
      </c>
      <c r="Q154" s="1">
        <v>75</v>
      </c>
      <c r="R154" s="3">
        <v>99.538809999999998</v>
      </c>
      <c r="S154" s="3">
        <f t="shared" si="31"/>
        <v>99.462990000000005</v>
      </c>
      <c r="T154" s="1">
        <f t="shared" si="41"/>
        <v>1.1739007183313239E-2</v>
      </c>
      <c r="W154" s="4">
        <v>249.99902</v>
      </c>
      <c r="X154" s="1">
        <v>75</v>
      </c>
      <c r="Y154" s="5">
        <v>91.196759999999998</v>
      </c>
      <c r="Z154" s="3">
        <f t="shared" si="32"/>
        <v>96.637590000000003</v>
      </c>
      <c r="AA154" s="1">
        <f t="shared" si="40"/>
        <v>6.4256265778437877E-2</v>
      </c>
      <c r="AD154" s="4">
        <v>250.01320999999999</v>
      </c>
      <c r="AE154" s="1">
        <v>75</v>
      </c>
      <c r="AF154" s="5">
        <v>98.06962</v>
      </c>
      <c r="AG154" s="3">
        <f t="shared" si="33"/>
        <v>98.331109999999995</v>
      </c>
      <c r="AH154" s="1">
        <f t="shared" si="39"/>
        <v>3.6483816522522285E-2</v>
      </c>
      <c r="AK154" s="11">
        <v>480.44128000000001</v>
      </c>
      <c r="AL154" s="1">
        <v>75</v>
      </c>
      <c r="AM154" s="12">
        <v>43.35069</v>
      </c>
      <c r="AN154" s="3">
        <f t="shared" si="34"/>
        <v>45.936909999999997</v>
      </c>
      <c r="AO154" s="1">
        <f t="shared" si="38"/>
        <v>0.90274461040089748</v>
      </c>
      <c r="AQ154" s="11">
        <v>482.93999000000002</v>
      </c>
      <c r="AR154" s="1">
        <v>75</v>
      </c>
      <c r="AS154" s="13">
        <v>38.673589999999997</v>
      </c>
      <c r="AT154" s="3">
        <f t="shared" si="35"/>
        <v>41.63232</v>
      </c>
      <c r="AU154" s="1">
        <f t="shared" si="37"/>
        <v>0.97410783997305306</v>
      </c>
      <c r="AW154" s="11">
        <v>330.38974000000002</v>
      </c>
      <c r="AX154" s="1">
        <v>75</v>
      </c>
      <c r="AY154" s="12">
        <v>85.196269999999998</v>
      </c>
      <c r="AZ154" s="3">
        <f t="shared" si="36"/>
        <v>86.861919999999998</v>
      </c>
    </row>
    <row r="155" spans="2:52" ht="16" x14ac:dyDescent="0.2">
      <c r="B155" s="4">
        <v>200.13667000000001</v>
      </c>
      <c r="C155" s="1">
        <v>75.5</v>
      </c>
      <c r="D155" s="5">
        <v>99.371110000000002</v>
      </c>
      <c r="E155" s="3">
        <f t="shared" si="29"/>
        <v>100.49755</v>
      </c>
      <c r="F155" s="1">
        <f t="shared" si="28"/>
        <v>3.7609679066273314E-3</v>
      </c>
      <c r="I155" s="4">
        <v>225.00792000000001</v>
      </c>
      <c r="J155" s="1">
        <v>75.5</v>
      </c>
      <c r="K155" s="5">
        <v>94.394869999999997</v>
      </c>
      <c r="L155" s="3">
        <f t="shared" si="30"/>
        <v>97.981939999999994</v>
      </c>
      <c r="M155" s="1">
        <f t="shared" si="42"/>
        <v>4.2098383243873543E-2</v>
      </c>
      <c r="P155" s="4">
        <v>225.01367999999999</v>
      </c>
      <c r="Q155" s="1">
        <v>75.5</v>
      </c>
      <c r="R155" s="5">
        <v>99.460589999999996</v>
      </c>
      <c r="S155" s="3">
        <f t="shared" si="31"/>
        <v>99.384770000000003</v>
      </c>
      <c r="T155" s="1">
        <f t="shared" si="41"/>
        <v>1.3042230581477781E-2</v>
      </c>
      <c r="W155" s="4">
        <v>250.00304</v>
      </c>
      <c r="X155" s="1">
        <v>75.5</v>
      </c>
      <c r="Y155" s="3">
        <v>91.148939999999996</v>
      </c>
      <c r="Z155" s="3">
        <f t="shared" si="32"/>
        <v>96.589770000000001</v>
      </c>
      <c r="AA155" s="1">
        <f t="shared" si="40"/>
        <v>6.5050301245539288E-2</v>
      </c>
      <c r="AD155" s="4">
        <v>250.01616000000001</v>
      </c>
      <c r="AE155" s="1">
        <v>75.5</v>
      </c>
      <c r="AF155" s="3">
        <v>98.015619999999998</v>
      </c>
      <c r="AG155" s="3">
        <f t="shared" si="33"/>
        <v>98.277109999999993</v>
      </c>
      <c r="AH155" s="1">
        <f t="shared" si="39"/>
        <v>3.7380277816627533E-2</v>
      </c>
      <c r="AK155" s="11">
        <v>482.94087999999999</v>
      </c>
      <c r="AL155" s="1">
        <v>75.5</v>
      </c>
      <c r="AM155" s="13">
        <v>43.319650000000003</v>
      </c>
      <c r="AN155" s="3">
        <f t="shared" si="34"/>
        <v>45.90587</v>
      </c>
      <c r="AO155" s="1">
        <f t="shared" si="38"/>
        <v>0.90326230326481516</v>
      </c>
      <c r="AQ155" s="11">
        <v>485.44922000000003</v>
      </c>
      <c r="AR155" s="1">
        <v>75.5</v>
      </c>
      <c r="AS155" s="12">
        <v>38.56438</v>
      </c>
      <c r="AT155" s="3">
        <f t="shared" si="35"/>
        <v>41.523110000000003</v>
      </c>
      <c r="AU155" s="1">
        <f t="shared" si="37"/>
        <v>0.97593039904180801</v>
      </c>
      <c r="AW155" s="11">
        <v>331.88790999999998</v>
      </c>
      <c r="AX155" s="1">
        <v>75.5</v>
      </c>
      <c r="AY155" s="13">
        <v>84.424729999999997</v>
      </c>
      <c r="AZ155" s="3">
        <f t="shared" si="36"/>
        <v>86.090379999999996</v>
      </c>
    </row>
    <row r="156" spans="2:52" ht="16" x14ac:dyDescent="0.2">
      <c r="B156" s="4">
        <v>200.11429999999999</v>
      </c>
      <c r="C156" s="1">
        <v>76</v>
      </c>
      <c r="D156" s="3">
        <v>99.505250000000004</v>
      </c>
      <c r="E156" s="3">
        <f t="shared" si="29"/>
        <v>100.63169000000001</v>
      </c>
      <c r="F156" s="1">
        <f t="shared" si="28"/>
        <v>1.5384196225839957E-3</v>
      </c>
      <c r="I156" s="4">
        <v>225.00790000000001</v>
      </c>
      <c r="J156" s="1">
        <v>76</v>
      </c>
      <c r="K156" s="3">
        <v>94.375870000000006</v>
      </c>
      <c r="L156" s="3">
        <f t="shared" si="30"/>
        <v>97.962940000000003</v>
      </c>
      <c r="M156" s="1">
        <f t="shared" si="42"/>
        <v>4.2413840112544433E-2</v>
      </c>
      <c r="P156" s="4">
        <v>225.01421999999999</v>
      </c>
      <c r="Q156" s="1">
        <v>76</v>
      </c>
      <c r="R156" s="3">
        <v>99.521960000000007</v>
      </c>
      <c r="S156" s="3">
        <f t="shared" si="31"/>
        <v>99.446140000000014</v>
      </c>
      <c r="T156" s="1">
        <f t="shared" si="41"/>
        <v>1.201974502860933E-2</v>
      </c>
      <c r="W156" s="4">
        <v>250.00599</v>
      </c>
      <c r="X156" s="1">
        <v>76</v>
      </c>
      <c r="Y156" s="5">
        <v>91.152820000000006</v>
      </c>
      <c r="Z156" s="3">
        <f t="shared" si="32"/>
        <v>96.593650000000011</v>
      </c>
      <c r="AA156" s="1">
        <f t="shared" si="40"/>
        <v>6.4985875113954997E-2</v>
      </c>
      <c r="AD156" s="4">
        <v>250.01648</v>
      </c>
      <c r="AE156" s="1">
        <v>76</v>
      </c>
      <c r="AF156" s="5">
        <v>97.966750000000005</v>
      </c>
      <c r="AG156" s="3">
        <f t="shared" si="33"/>
        <v>98.22824</v>
      </c>
      <c r="AH156" s="1">
        <f t="shared" si="39"/>
        <v>3.8191575287792649E-2</v>
      </c>
      <c r="AK156" s="11">
        <v>485.44328000000002</v>
      </c>
      <c r="AL156" s="1">
        <v>76</v>
      </c>
      <c r="AM156" s="12">
        <v>43.216349999999998</v>
      </c>
      <c r="AN156" s="3">
        <f t="shared" si="34"/>
        <v>45.802569999999996</v>
      </c>
      <c r="AO156" s="1">
        <f t="shared" si="38"/>
        <v>0.9049851664362939</v>
      </c>
      <c r="AQ156" s="11">
        <v>487.94833999999997</v>
      </c>
      <c r="AR156" s="1">
        <v>76</v>
      </c>
      <c r="AS156" s="13">
        <v>38.485770000000002</v>
      </c>
      <c r="AT156" s="3">
        <f t="shared" si="35"/>
        <v>41.444500000000005</v>
      </c>
      <c r="AU156" s="1">
        <f t="shared" si="37"/>
        <v>0.9772422877735617</v>
      </c>
      <c r="AW156" s="11">
        <v>333.39549</v>
      </c>
      <c r="AX156" s="1">
        <v>76</v>
      </c>
      <c r="AY156" s="12">
        <v>83.709370000000007</v>
      </c>
      <c r="AZ156" s="3">
        <f t="shared" si="36"/>
        <v>85.375020000000006</v>
      </c>
    </row>
    <row r="157" spans="2:52" ht="16" x14ac:dyDescent="0.2">
      <c r="B157" s="4">
        <v>200.07680999999999</v>
      </c>
      <c r="C157" s="1">
        <v>76.5</v>
      </c>
      <c r="D157" s="5">
        <v>99.355400000000003</v>
      </c>
      <c r="E157" s="3">
        <f t="shared" si="29"/>
        <v>100.48184000000001</v>
      </c>
      <c r="F157" s="1">
        <f t="shared" si="28"/>
        <v>4.0212648616170217E-3</v>
      </c>
      <c r="I157" s="4">
        <v>225.00407000000001</v>
      </c>
      <c r="J157" s="1">
        <v>76.5</v>
      </c>
      <c r="K157" s="5">
        <v>94.349450000000004</v>
      </c>
      <c r="L157" s="3">
        <f t="shared" si="30"/>
        <v>97.936520000000002</v>
      </c>
      <c r="M157" s="1">
        <f t="shared" si="42"/>
        <v>4.2852491189928087E-2</v>
      </c>
      <c r="P157" s="4">
        <v>225.01161999999999</v>
      </c>
      <c r="Q157" s="1">
        <v>76.5</v>
      </c>
      <c r="R157" s="5">
        <v>99.483900000000006</v>
      </c>
      <c r="S157" s="3">
        <f t="shared" si="31"/>
        <v>99.408080000000012</v>
      </c>
      <c r="T157" s="1">
        <f t="shared" si="41"/>
        <v>1.2653862677984724E-2</v>
      </c>
      <c r="W157" s="4">
        <v>249.99903</v>
      </c>
      <c r="X157" s="1">
        <v>76.5</v>
      </c>
      <c r="Y157" s="3">
        <v>91.110309999999998</v>
      </c>
      <c r="Z157" s="3">
        <f t="shared" si="32"/>
        <v>96.551140000000004</v>
      </c>
      <c r="AA157" s="1">
        <f t="shared" si="40"/>
        <v>6.5691739766955526E-2</v>
      </c>
      <c r="AD157" s="4">
        <v>250.01536999999999</v>
      </c>
      <c r="AE157" s="1">
        <v>76.5</v>
      </c>
      <c r="AF157" s="3">
        <v>97.969790000000003</v>
      </c>
      <c r="AG157" s="3">
        <f t="shared" si="33"/>
        <v>98.231279999999998</v>
      </c>
      <c r="AH157" s="1">
        <f t="shared" si="39"/>
        <v>3.8141107837161563E-2</v>
      </c>
      <c r="AK157" s="11">
        <v>487.94493999999997</v>
      </c>
      <c r="AL157" s="1">
        <v>76.5</v>
      </c>
      <c r="AM157" s="13">
        <v>43.149380000000001</v>
      </c>
      <c r="AN157" s="3">
        <f t="shared" si="34"/>
        <v>45.735599999999998</v>
      </c>
      <c r="AO157" s="1">
        <f t="shared" si="38"/>
        <v>0.90610210880409559</v>
      </c>
      <c r="AQ157" s="11">
        <v>490.45571999999999</v>
      </c>
      <c r="AR157" s="1">
        <v>76.5</v>
      </c>
      <c r="AS157" s="12">
        <v>38.417679999999997</v>
      </c>
      <c r="AT157" s="3">
        <f t="shared" si="35"/>
        <v>41.37641</v>
      </c>
      <c r="AU157" s="1">
        <f t="shared" si="37"/>
        <v>0.97837861271625493</v>
      </c>
      <c r="AW157" s="11">
        <v>334.90035</v>
      </c>
      <c r="AX157" s="1">
        <v>76.5</v>
      </c>
      <c r="AY157" s="13">
        <v>82.89255</v>
      </c>
      <c r="AZ157" s="3">
        <f t="shared" si="36"/>
        <v>84.558199999999999</v>
      </c>
    </row>
    <row r="158" spans="2:52" ht="16" x14ac:dyDescent="0.2">
      <c r="B158" s="4">
        <v>200.03979000000001</v>
      </c>
      <c r="C158" s="1">
        <v>77</v>
      </c>
      <c r="D158" s="3">
        <v>99.273989999999998</v>
      </c>
      <c r="E158" s="3">
        <f t="shared" si="29"/>
        <v>100.40043</v>
      </c>
      <c r="F158" s="1">
        <f t="shared" si="28"/>
        <v>5.3701366060927699E-3</v>
      </c>
      <c r="I158" s="4">
        <v>225.00591</v>
      </c>
      <c r="J158" s="1">
        <v>77</v>
      </c>
      <c r="K158" s="3">
        <v>94.342060000000004</v>
      </c>
      <c r="L158" s="3">
        <f t="shared" si="30"/>
        <v>97.929130000000001</v>
      </c>
      <c r="M158" s="1">
        <f t="shared" si="42"/>
        <v>4.2975187308848049E-2</v>
      </c>
      <c r="P158" s="4">
        <v>225.00944999999999</v>
      </c>
      <c r="Q158" s="1">
        <v>77</v>
      </c>
      <c r="R158" s="3">
        <v>99.385390000000001</v>
      </c>
      <c r="S158" s="3">
        <f t="shared" si="31"/>
        <v>99.309570000000008</v>
      </c>
      <c r="T158" s="1">
        <f t="shared" si="41"/>
        <v>1.4295137760485263E-2</v>
      </c>
      <c r="W158" s="4">
        <v>250.00502</v>
      </c>
      <c r="X158" s="1">
        <v>77</v>
      </c>
      <c r="Y158" s="5">
        <v>91.085480000000004</v>
      </c>
      <c r="Z158" s="3">
        <f t="shared" si="32"/>
        <v>96.526310000000009</v>
      </c>
      <c r="AA158" s="1">
        <f t="shared" si="40"/>
        <v>6.6104033799747719E-2</v>
      </c>
      <c r="AD158" s="4">
        <v>250.01678000000001</v>
      </c>
      <c r="AE158" s="1">
        <v>77</v>
      </c>
      <c r="AF158" s="5">
        <v>97.958359999999999</v>
      </c>
      <c r="AG158" s="3">
        <f t="shared" si="33"/>
        <v>98.219849999999994</v>
      </c>
      <c r="AH158" s="1">
        <f t="shared" si="39"/>
        <v>3.8330858811080573E-2</v>
      </c>
      <c r="AK158" s="11">
        <v>490.44600000000003</v>
      </c>
      <c r="AL158" s="1">
        <v>77</v>
      </c>
      <c r="AM158" s="12">
        <v>43.069569999999999</v>
      </c>
      <c r="AN158" s="3">
        <f t="shared" si="34"/>
        <v>45.655789999999996</v>
      </c>
      <c r="AO158" s="1">
        <f t="shared" si="38"/>
        <v>0.90743319989524474</v>
      </c>
      <c r="AQ158" s="11">
        <v>492.95256999999998</v>
      </c>
      <c r="AR158" s="1">
        <v>77</v>
      </c>
      <c r="AS158" s="13">
        <v>38.345129999999997</v>
      </c>
      <c r="AT158" s="3">
        <f t="shared" si="35"/>
        <v>41.30386</v>
      </c>
      <c r="AU158" s="1">
        <f t="shared" si="37"/>
        <v>0.97958936869499469</v>
      </c>
      <c r="AW158" s="11">
        <v>336.40665000000001</v>
      </c>
      <c r="AX158" s="1">
        <v>77</v>
      </c>
      <c r="AY158" s="12">
        <v>82.07978</v>
      </c>
      <c r="AZ158" s="3">
        <f t="shared" si="36"/>
        <v>83.745429999999999</v>
      </c>
    </row>
    <row r="159" spans="2:52" ht="16" x14ac:dyDescent="0.2">
      <c r="B159" s="4">
        <v>200.01085</v>
      </c>
      <c r="C159" s="1">
        <v>77.5</v>
      </c>
      <c r="D159" s="5">
        <v>99.279719999999998</v>
      </c>
      <c r="E159" s="3">
        <f t="shared" si="29"/>
        <v>100.40616</v>
      </c>
      <c r="F159" s="1">
        <f t="shared" si="28"/>
        <v>5.2751969783339531E-3</v>
      </c>
      <c r="I159" s="4">
        <v>225.00692000000001</v>
      </c>
      <c r="J159" s="1">
        <v>77.5</v>
      </c>
      <c r="K159" s="5">
        <v>94.344589999999997</v>
      </c>
      <c r="L159" s="3">
        <f t="shared" si="30"/>
        <v>97.931659999999994</v>
      </c>
      <c r="M159" s="1">
        <f t="shared" si="42"/>
        <v>4.2933181736335653E-2</v>
      </c>
      <c r="P159" s="4">
        <v>225.0087</v>
      </c>
      <c r="Q159" s="1">
        <v>77.5</v>
      </c>
      <c r="R159" s="5">
        <v>99.464770000000001</v>
      </c>
      <c r="S159" s="3">
        <f t="shared" si="31"/>
        <v>99.388950000000008</v>
      </c>
      <c r="T159" s="1">
        <f t="shared" si="41"/>
        <v>1.2972587602644562E-2</v>
      </c>
      <c r="W159" s="4">
        <v>250.00298000000001</v>
      </c>
      <c r="X159" s="1">
        <v>77.5</v>
      </c>
      <c r="Y159" s="3">
        <v>91.080010000000001</v>
      </c>
      <c r="Z159" s="3">
        <f t="shared" si="32"/>
        <v>96.520840000000007</v>
      </c>
      <c r="AA159" s="1">
        <f t="shared" si="40"/>
        <v>6.6194861361542914E-2</v>
      </c>
      <c r="AD159" s="4">
        <v>250.01936000000001</v>
      </c>
      <c r="AE159" s="1">
        <v>77.5</v>
      </c>
      <c r="AF159" s="3">
        <v>97.904870000000003</v>
      </c>
      <c r="AG159" s="3">
        <f t="shared" si="33"/>
        <v>98.166359999999997</v>
      </c>
      <c r="AH159" s="1">
        <f t="shared" si="39"/>
        <v>3.9218853526296955E-2</v>
      </c>
      <c r="AK159" s="11">
        <v>492.95053000000001</v>
      </c>
      <c r="AL159" s="1">
        <v>77.5</v>
      </c>
      <c r="AM159" s="13">
        <v>42.997349999999997</v>
      </c>
      <c r="AN159" s="3">
        <f t="shared" si="34"/>
        <v>45.583569999999995</v>
      </c>
      <c r="AO159" s="1">
        <f t="shared" si="38"/>
        <v>0.90863770307282643</v>
      </c>
      <c r="AQ159" s="11">
        <v>495.45573999999999</v>
      </c>
      <c r="AR159" s="1">
        <v>77.5</v>
      </c>
      <c r="AS159" s="12">
        <v>38.2834</v>
      </c>
      <c r="AT159" s="3">
        <f t="shared" si="35"/>
        <v>41.242130000000003</v>
      </c>
      <c r="AU159" s="1">
        <f t="shared" si="37"/>
        <v>0.9806195543127425</v>
      </c>
      <c r="AW159" s="11">
        <v>337.91717999999997</v>
      </c>
      <c r="AX159" s="1">
        <v>77.5</v>
      </c>
      <c r="AY159" s="13">
        <v>81.226179999999999</v>
      </c>
      <c r="AZ159" s="3">
        <f t="shared" si="36"/>
        <v>82.891829999999999</v>
      </c>
    </row>
    <row r="160" spans="2:52" ht="16" x14ac:dyDescent="0.2">
      <c r="B160" s="4">
        <v>200.03054</v>
      </c>
      <c r="C160" s="1">
        <v>78</v>
      </c>
      <c r="D160" s="3">
        <v>99.469589999999997</v>
      </c>
      <c r="E160" s="3">
        <f t="shared" si="29"/>
        <v>100.59603</v>
      </c>
      <c r="F160" s="1">
        <f t="shared" si="28"/>
        <v>2.1292655433309757E-3</v>
      </c>
      <c r="I160" s="4">
        <v>225.00895</v>
      </c>
      <c r="J160" s="1">
        <v>78</v>
      </c>
      <c r="K160" s="3">
        <v>94.303719999999998</v>
      </c>
      <c r="L160" s="3">
        <f t="shared" si="30"/>
        <v>97.890789999999996</v>
      </c>
      <c r="M160" s="1">
        <f t="shared" si="42"/>
        <v>4.3611746063840114E-2</v>
      </c>
      <c r="P160" s="4">
        <v>225.00658999999999</v>
      </c>
      <c r="Q160" s="1">
        <v>78</v>
      </c>
      <c r="R160" s="3">
        <v>99.418689999999998</v>
      </c>
      <c r="S160" s="3">
        <f t="shared" si="31"/>
        <v>99.342870000000005</v>
      </c>
      <c r="T160" s="1">
        <f t="shared" si="41"/>
        <v>1.3740326469781166E-2</v>
      </c>
      <c r="W160" s="4">
        <v>250.00398999999999</v>
      </c>
      <c r="X160" s="1">
        <v>78</v>
      </c>
      <c r="Y160" s="5">
        <v>91.047259999999994</v>
      </c>
      <c r="Z160" s="3">
        <f t="shared" si="32"/>
        <v>96.48809</v>
      </c>
      <c r="AA160" s="1">
        <f t="shared" si="40"/>
        <v>6.6738664405197781E-2</v>
      </c>
      <c r="AD160" s="4">
        <v>250.01848000000001</v>
      </c>
      <c r="AE160" s="1">
        <v>78</v>
      </c>
      <c r="AF160" s="5">
        <v>97.977339999999998</v>
      </c>
      <c r="AG160" s="3">
        <f t="shared" si="33"/>
        <v>98.238829999999993</v>
      </c>
      <c r="AH160" s="1">
        <f t="shared" si="39"/>
        <v>3.8015769267337678E-2</v>
      </c>
      <c r="AK160" s="11">
        <v>495.45251000000002</v>
      </c>
      <c r="AL160" s="1">
        <v>78</v>
      </c>
      <c r="AM160" s="12">
        <v>42.956420000000001</v>
      </c>
      <c r="AN160" s="3">
        <f t="shared" si="34"/>
        <v>45.542639999999999</v>
      </c>
      <c r="AO160" s="1">
        <f t="shared" si="38"/>
        <v>0.90932034382411986</v>
      </c>
      <c r="AQ160" s="11">
        <v>497.95704999999998</v>
      </c>
      <c r="AR160" s="1">
        <v>78</v>
      </c>
      <c r="AS160" s="13">
        <v>38.249250000000004</v>
      </c>
      <c r="AT160" s="3">
        <f t="shared" si="35"/>
        <v>41.207980000000006</v>
      </c>
      <c r="AU160" s="1">
        <f t="shared" si="37"/>
        <v>0.98118946908426496</v>
      </c>
      <c r="AW160" s="11">
        <v>339.41858000000002</v>
      </c>
      <c r="AX160" s="1">
        <v>78</v>
      </c>
      <c r="AY160" s="12">
        <v>80.344179999999994</v>
      </c>
      <c r="AZ160" s="3">
        <f t="shared" si="36"/>
        <v>82.009829999999994</v>
      </c>
    </row>
    <row r="161" spans="2:52" ht="16" x14ac:dyDescent="0.2">
      <c r="B161" s="4">
        <v>200.11544000000001</v>
      </c>
      <c r="C161" s="1">
        <v>78.5</v>
      </c>
      <c r="D161" s="5">
        <v>99.397790000000001</v>
      </c>
      <c r="E161" s="3">
        <f t="shared" si="29"/>
        <v>100.52423</v>
      </c>
      <c r="F161" s="1">
        <f t="shared" si="28"/>
        <v>3.3189104426473636E-3</v>
      </c>
      <c r="I161" s="4">
        <v>225.00398000000001</v>
      </c>
      <c r="J161" s="1">
        <v>78.5</v>
      </c>
      <c r="K161" s="5">
        <v>94.283019999999993</v>
      </c>
      <c r="L161" s="3">
        <f t="shared" si="30"/>
        <v>97.87008999999999</v>
      </c>
      <c r="M161" s="1">
        <f t="shared" si="42"/>
        <v>4.3955428020760745E-2</v>
      </c>
      <c r="P161" s="4">
        <v>225.00522000000001</v>
      </c>
      <c r="Q161" s="1">
        <v>78.5</v>
      </c>
      <c r="R161" s="5">
        <v>99.371020000000001</v>
      </c>
      <c r="S161" s="3">
        <f t="shared" si="31"/>
        <v>99.295200000000008</v>
      </c>
      <c r="T161" s="1">
        <f t="shared" si="41"/>
        <v>1.45345563264738E-2</v>
      </c>
      <c r="W161" s="4">
        <v>250.00700000000001</v>
      </c>
      <c r="X161" s="1">
        <v>78.5</v>
      </c>
      <c r="Y161" s="3">
        <v>91.030209999999997</v>
      </c>
      <c r="Z161" s="3">
        <f t="shared" si="32"/>
        <v>96.471040000000002</v>
      </c>
      <c r="AA161" s="1">
        <f t="shared" si="40"/>
        <v>6.702177408135998E-2</v>
      </c>
      <c r="AD161" s="4">
        <v>250.01778999999999</v>
      </c>
      <c r="AE161" s="1">
        <v>78.5</v>
      </c>
      <c r="AF161" s="3">
        <v>97.890439999999998</v>
      </c>
      <c r="AG161" s="3">
        <f t="shared" si="33"/>
        <v>98.151929999999993</v>
      </c>
      <c r="AH161" s="1">
        <f t="shared" si="39"/>
        <v>3.9458407905444026E-2</v>
      </c>
      <c r="AK161" s="11">
        <v>497.95650999999998</v>
      </c>
      <c r="AL161" s="1">
        <v>78.5</v>
      </c>
      <c r="AM161" s="13">
        <v>42.90314</v>
      </c>
      <c r="AN161" s="3">
        <f t="shared" si="34"/>
        <v>45.489359999999998</v>
      </c>
      <c r="AO161" s="1">
        <f t="shared" si="38"/>
        <v>0.91020896095651471</v>
      </c>
      <c r="AQ161" s="11">
        <v>500.46528000000001</v>
      </c>
      <c r="AR161" s="1">
        <v>78.5</v>
      </c>
      <c r="AS161" s="12">
        <v>38.160260000000001</v>
      </c>
      <c r="AT161" s="3">
        <f t="shared" si="35"/>
        <v>41.118990000000004</v>
      </c>
      <c r="AU161" s="1">
        <f t="shared" si="37"/>
        <v>0.98267458520484463</v>
      </c>
      <c r="AW161" s="11">
        <v>340.92059999999998</v>
      </c>
      <c r="AX161" s="1">
        <v>78.5</v>
      </c>
      <c r="AY161" s="13">
        <v>79.424769999999995</v>
      </c>
      <c r="AZ161" s="3">
        <f t="shared" si="36"/>
        <v>81.090419999999995</v>
      </c>
    </row>
    <row r="162" spans="2:52" ht="16" x14ac:dyDescent="0.2">
      <c r="B162" s="4">
        <v>200.21648999999999</v>
      </c>
      <c r="C162" s="1">
        <v>79</v>
      </c>
      <c r="D162" s="3">
        <v>99.416340000000005</v>
      </c>
      <c r="E162" s="3">
        <f t="shared" si="29"/>
        <v>100.54278000000001</v>
      </c>
      <c r="F162" s="1">
        <f t="shared" si="28"/>
        <v>3.0115578955397615E-3</v>
      </c>
      <c r="I162" s="4">
        <v>225.00298000000001</v>
      </c>
      <c r="J162" s="1">
        <v>79</v>
      </c>
      <c r="K162" s="3">
        <v>94.239549999999994</v>
      </c>
      <c r="L162" s="3">
        <f t="shared" si="30"/>
        <v>97.826619999999991</v>
      </c>
      <c r="M162" s="1">
        <f t="shared" si="42"/>
        <v>4.4677160130293894E-2</v>
      </c>
      <c r="P162" s="4">
        <v>225.00581</v>
      </c>
      <c r="Q162" s="1">
        <v>79</v>
      </c>
      <c r="R162" s="3">
        <v>99.397800000000004</v>
      </c>
      <c r="S162" s="3">
        <f t="shared" si="31"/>
        <v>99.321980000000011</v>
      </c>
      <c r="T162" s="1">
        <f t="shared" si="41"/>
        <v>1.4088374753949529E-2</v>
      </c>
      <c r="W162" s="4">
        <v>250.00202999999999</v>
      </c>
      <c r="X162" s="1">
        <v>79</v>
      </c>
      <c r="Y162" s="5">
        <v>91.012730000000005</v>
      </c>
      <c r="Z162" s="3">
        <f t="shared" si="32"/>
        <v>96.45356000000001</v>
      </c>
      <c r="AA162" s="1">
        <f t="shared" si="40"/>
        <v>6.7312023766950238E-2</v>
      </c>
      <c r="AD162" s="4">
        <v>250.01859999999999</v>
      </c>
      <c r="AE162" s="1">
        <v>79</v>
      </c>
      <c r="AF162" s="5">
        <v>97.895650000000003</v>
      </c>
      <c r="AG162" s="3">
        <f t="shared" si="33"/>
        <v>98.157139999999998</v>
      </c>
      <c r="AH162" s="1">
        <f t="shared" si="39"/>
        <v>3.9371915991697863E-2</v>
      </c>
      <c r="AK162" s="11">
        <v>500.46204999999998</v>
      </c>
      <c r="AL162" s="1">
        <v>79</v>
      </c>
      <c r="AM162" s="12">
        <v>42.846220000000002</v>
      </c>
      <c r="AN162" s="3">
        <f t="shared" si="34"/>
        <v>45.43244</v>
      </c>
      <c r="AO162" s="1">
        <f t="shared" si="38"/>
        <v>0.9111582869170235</v>
      </c>
      <c r="AQ162" s="11">
        <v>502.97403000000003</v>
      </c>
      <c r="AR162" s="1">
        <v>79</v>
      </c>
      <c r="AS162" s="13">
        <v>38.09084</v>
      </c>
      <c r="AT162" s="3">
        <f t="shared" si="35"/>
        <v>41.049570000000003</v>
      </c>
      <c r="AU162" s="1">
        <f t="shared" si="37"/>
        <v>0.98383310594976692</v>
      </c>
      <c r="AW162" s="11">
        <v>342.42955999999998</v>
      </c>
      <c r="AX162" s="1">
        <v>79</v>
      </c>
      <c r="AY162" s="12">
        <v>78.284700000000001</v>
      </c>
      <c r="AZ162" s="3">
        <f t="shared" si="36"/>
        <v>79.95035</v>
      </c>
    </row>
    <row r="163" spans="2:52" ht="16" x14ac:dyDescent="0.2">
      <c r="B163" s="4">
        <v>200.29198</v>
      </c>
      <c r="C163" s="1">
        <v>79.5</v>
      </c>
      <c r="D163" s="5">
        <v>99.519829999999999</v>
      </c>
      <c r="E163" s="3">
        <f t="shared" si="29"/>
        <v>100.64627</v>
      </c>
      <c r="F163" s="1">
        <f t="shared" si="28"/>
        <v>1.2968454912187016E-3</v>
      </c>
      <c r="I163" s="4">
        <v>225.00790000000001</v>
      </c>
      <c r="J163" s="1">
        <v>79.5</v>
      </c>
      <c r="K163" s="5">
        <v>94.252250000000004</v>
      </c>
      <c r="L163" s="3">
        <f t="shared" si="30"/>
        <v>97.839320000000001</v>
      </c>
      <c r="M163" s="1">
        <f t="shared" si="42"/>
        <v>4.4466302118076777E-2</v>
      </c>
      <c r="P163" s="4">
        <v>225.00737000000001</v>
      </c>
      <c r="Q163" s="1">
        <v>79.5</v>
      </c>
      <c r="R163" s="5">
        <v>99.3566</v>
      </c>
      <c r="S163" s="3">
        <f t="shared" si="31"/>
        <v>99.280780000000007</v>
      </c>
      <c r="T163" s="1">
        <f t="shared" si="41"/>
        <v>1.4774807942448408E-2</v>
      </c>
      <c r="W163" s="4">
        <v>250.00398999999999</v>
      </c>
      <c r="X163" s="1">
        <v>79.5</v>
      </c>
      <c r="Y163" s="3">
        <v>90.97063</v>
      </c>
      <c r="Z163" s="3">
        <f t="shared" si="32"/>
        <v>96.411460000000005</v>
      </c>
      <c r="AA163" s="1">
        <f t="shared" si="40"/>
        <v>6.8011080503984356E-2</v>
      </c>
      <c r="AD163" s="4">
        <v>250.02278000000001</v>
      </c>
      <c r="AE163" s="1">
        <v>79.5</v>
      </c>
      <c r="AF163" s="3">
        <v>97.86591</v>
      </c>
      <c r="AG163" s="3">
        <f t="shared" si="33"/>
        <v>98.127399999999994</v>
      </c>
      <c r="AH163" s="1">
        <f t="shared" si="39"/>
        <v>3.9865633748858834E-2</v>
      </c>
      <c r="AK163" s="11">
        <v>502.96424999999999</v>
      </c>
      <c r="AL163" s="1">
        <v>79.5</v>
      </c>
      <c r="AM163" s="13">
        <v>42.765389999999996</v>
      </c>
      <c r="AN163" s="3">
        <f t="shared" si="34"/>
        <v>45.351609999999994</v>
      </c>
      <c r="AO163" s="1">
        <f t="shared" si="38"/>
        <v>0.9125063898226442</v>
      </c>
      <c r="AQ163" s="11">
        <v>505.48142999999999</v>
      </c>
      <c r="AR163" s="1">
        <v>79.5</v>
      </c>
      <c r="AS163" s="12">
        <v>38.077379999999998</v>
      </c>
      <c r="AT163" s="3">
        <f t="shared" si="35"/>
        <v>41.036110000000001</v>
      </c>
      <c r="AU163" s="1">
        <f t="shared" si="37"/>
        <v>0.98405773414375508</v>
      </c>
      <c r="AW163" s="11">
        <v>343.92860999999999</v>
      </c>
      <c r="AX163" s="1">
        <v>79.5</v>
      </c>
      <c r="AY163" s="13">
        <v>77.173540000000003</v>
      </c>
      <c r="AZ163" s="3">
        <f t="shared" si="36"/>
        <v>78.839190000000002</v>
      </c>
    </row>
    <row r="164" spans="2:52" ht="16" x14ac:dyDescent="0.2">
      <c r="B164" s="4">
        <v>200.31068999999999</v>
      </c>
      <c r="C164" s="1">
        <v>80</v>
      </c>
      <c r="D164" s="3">
        <v>99.318209999999993</v>
      </c>
      <c r="E164" s="3">
        <f t="shared" si="29"/>
        <v>100.44465</v>
      </c>
      <c r="F164" s="1">
        <f t="shared" si="28"/>
        <v>4.6374611541739894E-3</v>
      </c>
      <c r="I164" s="4">
        <v>225.00592</v>
      </c>
      <c r="J164" s="1">
        <v>80</v>
      </c>
      <c r="K164" s="3">
        <v>94.201239999999999</v>
      </c>
      <c r="L164" s="3">
        <f t="shared" si="30"/>
        <v>97.788309999999996</v>
      </c>
      <c r="M164" s="1">
        <f t="shared" si="42"/>
        <v>4.5313220795493159E-2</v>
      </c>
      <c r="P164" s="4">
        <v>225.00773000000001</v>
      </c>
      <c r="Q164" s="1">
        <v>80</v>
      </c>
      <c r="R164" s="3">
        <v>99.412239999999997</v>
      </c>
      <c r="S164" s="3">
        <f t="shared" si="31"/>
        <v>99.336420000000004</v>
      </c>
      <c r="T164" s="1">
        <f t="shared" si="41"/>
        <v>1.3847789917980633E-2</v>
      </c>
      <c r="W164" s="4">
        <v>249.99803</v>
      </c>
      <c r="X164" s="1">
        <v>80</v>
      </c>
      <c r="Y164" s="5">
        <v>90.953609999999998</v>
      </c>
      <c r="Z164" s="3">
        <f t="shared" si="32"/>
        <v>96.394440000000003</v>
      </c>
      <c r="AA164" s="1">
        <f t="shared" si="40"/>
        <v>6.8293692039953974E-2</v>
      </c>
      <c r="AD164" s="4">
        <v>250.02293</v>
      </c>
      <c r="AE164" s="1">
        <v>80</v>
      </c>
      <c r="AF164" s="5">
        <v>97.857230000000001</v>
      </c>
      <c r="AG164" s="3">
        <f t="shared" si="33"/>
        <v>98.118719999999996</v>
      </c>
      <c r="AH164" s="1">
        <f t="shared" si="39"/>
        <v>4.0009731601318682E-2</v>
      </c>
      <c r="AK164" s="11">
        <v>505.46924999999999</v>
      </c>
      <c r="AL164" s="1">
        <v>80</v>
      </c>
      <c r="AM164" s="12">
        <v>42.774030000000003</v>
      </c>
      <c r="AN164" s="3">
        <f t="shared" si="34"/>
        <v>45.360250000000001</v>
      </c>
      <c r="AO164" s="1">
        <f t="shared" si="38"/>
        <v>0.91236228974712064</v>
      </c>
      <c r="AQ164" s="11">
        <v>507.98221000000001</v>
      </c>
      <c r="AR164" s="1">
        <v>80</v>
      </c>
      <c r="AS164" s="13">
        <v>37.992890000000003</v>
      </c>
      <c r="AT164" s="3">
        <f t="shared" si="35"/>
        <v>40.951620000000005</v>
      </c>
      <c r="AU164" s="1">
        <f t="shared" si="37"/>
        <v>0.98546775168536394</v>
      </c>
      <c r="AW164" s="11">
        <v>345.42858000000001</v>
      </c>
      <c r="AX164" s="1">
        <v>80</v>
      </c>
      <c r="AY164" s="12">
        <v>76.163629999999998</v>
      </c>
      <c r="AZ164" s="3">
        <f t="shared" si="36"/>
        <v>77.829279999999997</v>
      </c>
    </row>
    <row r="165" spans="2:52" ht="16" x14ac:dyDescent="0.2">
      <c r="B165" s="4">
        <v>200.27090999999999</v>
      </c>
      <c r="C165" s="1">
        <v>80.5</v>
      </c>
      <c r="D165" s="5">
        <v>99.379199999999997</v>
      </c>
      <c r="E165" s="3">
        <f t="shared" si="29"/>
        <v>100.50564</v>
      </c>
      <c r="F165" s="1">
        <f t="shared" si="28"/>
        <v>3.626925744573501E-3</v>
      </c>
      <c r="I165" s="4">
        <v>225.00800000000001</v>
      </c>
      <c r="J165" s="1">
        <v>80.5</v>
      </c>
      <c r="K165" s="5">
        <v>94.208470000000005</v>
      </c>
      <c r="L165" s="3">
        <f t="shared" si="30"/>
        <v>97.795540000000003</v>
      </c>
      <c r="M165" s="1">
        <f t="shared" si="42"/>
        <v>4.5193181155467173E-2</v>
      </c>
      <c r="P165" s="4">
        <v>225.00855999999999</v>
      </c>
      <c r="Q165" s="1">
        <v>80.5</v>
      </c>
      <c r="R165" s="5">
        <v>99.368610000000004</v>
      </c>
      <c r="S165" s="3">
        <f t="shared" si="31"/>
        <v>99.292790000000011</v>
      </c>
      <c r="T165" s="1">
        <f t="shared" si="41"/>
        <v>1.4574709335800998E-2</v>
      </c>
      <c r="W165" s="4">
        <v>250.00602000000001</v>
      </c>
      <c r="X165" s="1">
        <v>80.5</v>
      </c>
      <c r="Y165" s="3">
        <v>90.918809999999993</v>
      </c>
      <c r="Z165" s="3">
        <f t="shared" si="32"/>
        <v>96.359639999999999</v>
      </c>
      <c r="AA165" s="1">
        <f t="shared" si="40"/>
        <v>6.887153466344062E-2</v>
      </c>
      <c r="AD165" s="4">
        <v>250.02610999999999</v>
      </c>
      <c r="AE165" s="1">
        <v>80.5</v>
      </c>
      <c r="AF165" s="3">
        <v>97.806150000000002</v>
      </c>
      <c r="AG165" s="3">
        <f t="shared" si="33"/>
        <v>98.067639999999997</v>
      </c>
      <c r="AH165" s="1">
        <f t="shared" si="39"/>
        <v>4.0857717581001887E-2</v>
      </c>
      <c r="AK165" s="11">
        <v>507.98194000000001</v>
      </c>
      <c r="AL165" s="1">
        <v>80.5</v>
      </c>
      <c r="AM165" s="13">
        <v>42.699260000000002</v>
      </c>
      <c r="AN165" s="3">
        <f t="shared" si="34"/>
        <v>45.28548</v>
      </c>
      <c r="AO165" s="1">
        <f t="shared" si="38"/>
        <v>0.91360932246088111</v>
      </c>
      <c r="AQ165" s="11">
        <v>510.49581999999998</v>
      </c>
      <c r="AR165" s="1">
        <v>80.5</v>
      </c>
      <c r="AS165" s="12">
        <v>37.957450000000001</v>
      </c>
      <c r="AT165" s="3">
        <f t="shared" si="35"/>
        <v>40.916180000000004</v>
      </c>
      <c r="AU165" s="1">
        <f t="shared" si="37"/>
        <v>0.98605919471619141</v>
      </c>
      <c r="AW165" s="11">
        <v>346.91442999999998</v>
      </c>
      <c r="AX165" s="1">
        <v>80.5</v>
      </c>
      <c r="AY165" s="13">
        <v>74.963989999999995</v>
      </c>
      <c r="AZ165" s="3">
        <f t="shared" si="36"/>
        <v>76.629639999999995</v>
      </c>
    </row>
    <row r="166" spans="2:52" ht="16" x14ac:dyDescent="0.2">
      <c r="B166" s="4">
        <v>200.20401000000001</v>
      </c>
      <c r="C166" s="1">
        <v>81</v>
      </c>
      <c r="D166" s="3">
        <v>99.306650000000005</v>
      </c>
      <c r="E166" s="3">
        <f t="shared" si="29"/>
        <v>100.43309000000001</v>
      </c>
      <c r="F166" s="1">
        <f t="shared" si="28"/>
        <v>4.8289972967378433E-3</v>
      </c>
      <c r="I166" s="4">
        <v>225.00710000000001</v>
      </c>
      <c r="J166" s="1">
        <v>81</v>
      </c>
      <c r="K166" s="3">
        <v>94.184740000000005</v>
      </c>
      <c r="L166" s="3">
        <f t="shared" si="30"/>
        <v>97.771810000000002</v>
      </c>
      <c r="M166" s="1">
        <f t="shared" si="42"/>
        <v>4.5587170181444217E-2</v>
      </c>
      <c r="P166" s="4">
        <v>225.00924000000001</v>
      </c>
      <c r="Q166" s="1">
        <v>81</v>
      </c>
      <c r="R166" s="3">
        <v>99.372820000000004</v>
      </c>
      <c r="S166" s="3">
        <f t="shared" si="31"/>
        <v>99.297000000000011</v>
      </c>
      <c r="T166" s="1">
        <f t="shared" si="41"/>
        <v>1.450456652697623E-2</v>
      </c>
      <c r="W166" s="4">
        <v>250.005</v>
      </c>
      <c r="X166" s="1">
        <v>81</v>
      </c>
      <c r="Y166" s="5">
        <v>90.903279999999995</v>
      </c>
      <c r="Z166" s="3">
        <f t="shared" si="32"/>
        <v>96.344110000000001</v>
      </c>
      <c r="AA166" s="1">
        <f t="shared" si="40"/>
        <v>6.9129405236508026E-2</v>
      </c>
      <c r="AD166" s="4">
        <v>250.02328</v>
      </c>
      <c r="AE166" s="1">
        <v>81</v>
      </c>
      <c r="AF166" s="5">
        <v>97.883480000000006</v>
      </c>
      <c r="AG166" s="3">
        <f t="shared" si="33"/>
        <v>98.144970000000001</v>
      </c>
      <c r="AH166" s="1">
        <f t="shared" si="39"/>
        <v>3.9573951805573014E-2</v>
      </c>
      <c r="AK166" s="11">
        <v>510.48638</v>
      </c>
      <c r="AL166" s="1">
        <v>81</v>
      </c>
      <c r="AM166" s="12">
        <v>42.657739999999997</v>
      </c>
      <c r="AN166" s="3">
        <f t="shared" si="34"/>
        <v>45.243959999999994</v>
      </c>
      <c r="AO166" s="1">
        <f t="shared" si="38"/>
        <v>0.91430180337936906</v>
      </c>
      <c r="AQ166" s="11">
        <v>513.00361999999996</v>
      </c>
      <c r="AR166" s="1">
        <v>81</v>
      </c>
      <c r="AS166" s="13">
        <v>37.895229999999998</v>
      </c>
      <c r="AT166" s="3">
        <f t="shared" si="35"/>
        <v>40.853960000000001</v>
      </c>
      <c r="AU166" s="1">
        <f t="shared" si="37"/>
        <v>0.9870975577347606</v>
      </c>
      <c r="AW166" s="11">
        <v>348.40854000000002</v>
      </c>
      <c r="AX166" s="1">
        <v>81</v>
      </c>
      <c r="AY166" s="12">
        <v>73.751069999999999</v>
      </c>
      <c r="AZ166" s="3">
        <f t="shared" si="36"/>
        <v>75.416719999999998</v>
      </c>
    </row>
    <row r="167" spans="2:52" ht="16" x14ac:dyDescent="0.2">
      <c r="B167" s="4">
        <v>200.13284999999999</v>
      </c>
      <c r="C167" s="1">
        <v>81.5</v>
      </c>
      <c r="D167" s="5">
        <v>99.276110000000003</v>
      </c>
      <c r="E167" s="3">
        <f t="shared" si="29"/>
        <v>100.40255000000001</v>
      </c>
      <c r="F167" s="1">
        <f t="shared" si="28"/>
        <v>5.3350106007089698E-3</v>
      </c>
      <c r="I167" s="4">
        <v>225.00495000000001</v>
      </c>
      <c r="J167" s="1">
        <v>81.5</v>
      </c>
      <c r="K167" s="5">
        <v>94.164519999999996</v>
      </c>
      <c r="L167" s="3">
        <f t="shared" si="30"/>
        <v>97.751589999999993</v>
      </c>
      <c r="M167" s="1">
        <f t="shared" si="42"/>
        <v>4.5922882701682703E-2</v>
      </c>
      <c r="P167" s="4">
        <v>225.00698</v>
      </c>
      <c r="Q167" s="1">
        <v>81.5</v>
      </c>
      <c r="R167" s="5">
        <v>99.382350000000002</v>
      </c>
      <c r="S167" s="3">
        <f t="shared" si="31"/>
        <v>99.306530000000009</v>
      </c>
      <c r="T167" s="1">
        <f t="shared" si="41"/>
        <v>1.4345787199636608E-2</v>
      </c>
      <c r="W167" s="4">
        <v>250.00404</v>
      </c>
      <c r="X167" s="1">
        <v>81.5</v>
      </c>
      <c r="Y167" s="3">
        <v>90.888319999999993</v>
      </c>
      <c r="Z167" s="3">
        <f t="shared" si="32"/>
        <v>96.329149999999998</v>
      </c>
      <c r="AA167" s="1">
        <f t="shared" si="40"/>
        <v>6.937781114591493E-2</v>
      </c>
      <c r="AD167" s="4">
        <v>250.02017000000001</v>
      </c>
      <c r="AE167" s="1">
        <v>81.5</v>
      </c>
      <c r="AF167" s="3">
        <v>97.703680000000006</v>
      </c>
      <c r="AG167" s="3">
        <f t="shared" si="33"/>
        <v>97.965170000000001</v>
      </c>
      <c r="AH167" s="1">
        <f t="shared" si="39"/>
        <v>4.2558835892241853E-2</v>
      </c>
      <c r="AK167" s="11">
        <v>512.99285999999995</v>
      </c>
      <c r="AL167" s="1">
        <v>81.5</v>
      </c>
      <c r="AM167" s="13">
        <v>42.599460000000001</v>
      </c>
      <c r="AN167" s="3">
        <f t="shared" si="34"/>
        <v>45.185679999999998</v>
      </c>
      <c r="AO167" s="1">
        <f t="shared" si="38"/>
        <v>0.91527381175917311</v>
      </c>
      <c r="AQ167" s="11">
        <v>515.50804000000005</v>
      </c>
      <c r="AR167" s="1">
        <v>81.5</v>
      </c>
      <c r="AS167" s="12">
        <v>37.876739999999998</v>
      </c>
      <c r="AT167" s="3">
        <f t="shared" si="35"/>
        <v>40.835470000000001</v>
      </c>
      <c r="AU167" s="1">
        <f t="shared" si="37"/>
        <v>0.98740612945146489</v>
      </c>
      <c r="AW167" s="11">
        <v>349.90266000000003</v>
      </c>
      <c r="AX167" s="1">
        <v>81.5</v>
      </c>
      <c r="AY167" s="13">
        <v>72.610169999999997</v>
      </c>
      <c r="AZ167" s="3">
        <f t="shared" si="36"/>
        <v>74.275819999999996</v>
      </c>
    </row>
    <row r="168" spans="2:52" ht="16" x14ac:dyDescent="0.2">
      <c r="B168" s="4">
        <v>200.07400000000001</v>
      </c>
      <c r="C168" s="1">
        <v>82</v>
      </c>
      <c r="D168" s="3">
        <v>99.393659999999997</v>
      </c>
      <c r="E168" s="3">
        <f t="shared" si="29"/>
        <v>100.5201</v>
      </c>
      <c r="F168" s="1">
        <f t="shared" si="28"/>
        <v>3.3873398776638141E-3</v>
      </c>
      <c r="I168" s="4">
        <v>225.00711000000001</v>
      </c>
      <c r="J168" s="1">
        <v>82</v>
      </c>
      <c r="K168" s="3">
        <v>94.143109999999993</v>
      </c>
      <c r="L168" s="3">
        <f t="shared" si="30"/>
        <v>97.73017999999999</v>
      </c>
      <c r="M168" s="1">
        <f t="shared" si="42"/>
        <v>4.6278352783695749E-2</v>
      </c>
      <c r="P168" s="4">
        <v>225.00742</v>
      </c>
      <c r="Q168" s="1">
        <v>82</v>
      </c>
      <c r="R168" s="3">
        <v>99.48357</v>
      </c>
      <c r="S168" s="3">
        <f t="shared" si="31"/>
        <v>99.407750000000007</v>
      </c>
      <c r="T168" s="1">
        <f t="shared" si="41"/>
        <v>1.2659360807892692E-2</v>
      </c>
      <c r="W168" s="4">
        <v>250.00601</v>
      </c>
      <c r="X168" s="1">
        <v>82</v>
      </c>
      <c r="Y168" s="5">
        <v>90.863169999999997</v>
      </c>
      <c r="Z168" s="3">
        <f t="shared" si="32"/>
        <v>96.304000000000002</v>
      </c>
      <c r="AA168" s="1">
        <f t="shared" si="40"/>
        <v>6.9795418674095541E-2</v>
      </c>
      <c r="AD168" s="4">
        <v>250.01618999999999</v>
      </c>
      <c r="AE168" s="1">
        <v>82</v>
      </c>
      <c r="AF168" s="5">
        <v>97.846990000000005</v>
      </c>
      <c r="AG168" s="3">
        <f t="shared" si="33"/>
        <v>98.10848</v>
      </c>
      <c r="AH168" s="1">
        <f t="shared" si="39"/>
        <v>4.0179727224497086E-2</v>
      </c>
      <c r="AK168" s="11">
        <v>515.50135999999998</v>
      </c>
      <c r="AL168" s="1">
        <v>82</v>
      </c>
      <c r="AM168" s="12">
        <v>42.587299999999999</v>
      </c>
      <c r="AN168" s="3">
        <f t="shared" si="34"/>
        <v>45.173519999999996</v>
      </c>
      <c r="AO168" s="1">
        <f t="shared" si="38"/>
        <v>0.91547661927287294</v>
      </c>
      <c r="AQ168" s="11">
        <v>518.01450999999997</v>
      </c>
      <c r="AR168" s="1">
        <v>82</v>
      </c>
      <c r="AS168" s="13">
        <v>37.803780000000003</v>
      </c>
      <c r="AT168" s="3">
        <f t="shared" si="35"/>
        <v>40.762510000000006</v>
      </c>
      <c r="AU168" s="1">
        <f t="shared" si="37"/>
        <v>0.98862372774517748</v>
      </c>
      <c r="AW168" s="11">
        <v>351.38841000000002</v>
      </c>
      <c r="AX168" s="1">
        <v>82</v>
      </c>
      <c r="AY168" s="12">
        <v>71.267650000000003</v>
      </c>
      <c r="AZ168" s="3">
        <f t="shared" si="36"/>
        <v>72.933300000000003</v>
      </c>
    </row>
    <row r="169" spans="2:52" ht="16" x14ac:dyDescent="0.2">
      <c r="B169" s="4">
        <v>200.03972999999999</v>
      </c>
      <c r="C169" s="1">
        <v>82.5</v>
      </c>
      <c r="D169" s="5">
        <v>99.391720000000007</v>
      </c>
      <c r="E169" s="3">
        <f t="shared" si="29"/>
        <v>100.51816000000001</v>
      </c>
      <c r="F169" s="1">
        <f t="shared" si="28"/>
        <v>3.4194834863638503E-3</v>
      </c>
      <c r="I169" s="4">
        <v>225.00585000000001</v>
      </c>
      <c r="J169" s="1">
        <v>82.5</v>
      </c>
      <c r="K169" s="5">
        <v>94.117270000000005</v>
      </c>
      <c r="L169" s="3">
        <f t="shared" si="30"/>
        <v>97.704340000000002</v>
      </c>
      <c r="M169" s="1">
        <f t="shared" si="42"/>
        <v>4.6707374125088165E-2</v>
      </c>
      <c r="P169" s="4">
        <v>225.0154</v>
      </c>
      <c r="Q169" s="1">
        <v>82.5</v>
      </c>
      <c r="R169" s="5">
        <v>99.416759999999996</v>
      </c>
      <c r="S169" s="3">
        <f t="shared" si="31"/>
        <v>99.340940000000003</v>
      </c>
      <c r="T169" s="1">
        <f t="shared" si="41"/>
        <v>1.3772482199242424E-2</v>
      </c>
      <c r="W169" s="4">
        <v>250.00103999999999</v>
      </c>
      <c r="X169" s="1">
        <v>82.5</v>
      </c>
      <c r="Y169" s="3">
        <v>90.832459999999998</v>
      </c>
      <c r="Z169" s="3">
        <f t="shared" si="32"/>
        <v>96.273290000000003</v>
      </c>
      <c r="AA169" s="1">
        <f t="shared" si="40"/>
        <v>7.0305348184649341E-2</v>
      </c>
      <c r="AD169" s="4">
        <v>250.01562999999999</v>
      </c>
      <c r="AE169" s="1">
        <v>82.5</v>
      </c>
      <c r="AF169" s="3">
        <v>97.908760000000001</v>
      </c>
      <c r="AG169" s="3">
        <f t="shared" si="33"/>
        <v>98.170249999999996</v>
      </c>
      <c r="AH169" s="1">
        <f t="shared" si="39"/>
        <v>3.9154275110851254E-2</v>
      </c>
      <c r="AK169" s="11">
        <v>518.00823000000003</v>
      </c>
      <c r="AL169" s="1">
        <v>82.5</v>
      </c>
      <c r="AM169" s="13">
        <v>42.520310000000002</v>
      </c>
      <c r="AN169" s="3">
        <f t="shared" si="34"/>
        <v>45.106529999999999</v>
      </c>
      <c r="AO169" s="1">
        <f t="shared" si="38"/>
        <v>0.91659389520566426</v>
      </c>
      <c r="AQ169" s="11">
        <v>520.52284999999995</v>
      </c>
      <c r="AR169" s="1">
        <v>82.5</v>
      </c>
      <c r="AS169" s="12">
        <v>37.76041</v>
      </c>
      <c r="AT169" s="3">
        <f t="shared" si="35"/>
        <v>40.719140000000003</v>
      </c>
      <c r="AU169" s="1">
        <f t="shared" si="37"/>
        <v>0.98934751116072461</v>
      </c>
      <c r="AW169" s="11">
        <v>352.86538999999999</v>
      </c>
      <c r="AX169" s="1">
        <v>82.5</v>
      </c>
      <c r="AY169" s="13">
        <v>69.961489999999998</v>
      </c>
      <c r="AZ169" s="3">
        <f t="shared" si="36"/>
        <v>71.627139999999997</v>
      </c>
    </row>
    <row r="170" spans="2:52" ht="16" x14ac:dyDescent="0.2">
      <c r="B170" s="4">
        <v>200.03227999999999</v>
      </c>
      <c r="C170" s="1">
        <v>83</v>
      </c>
      <c r="D170" s="3">
        <v>99.32647</v>
      </c>
      <c r="E170" s="3">
        <f t="shared" si="29"/>
        <v>100.45291</v>
      </c>
      <c r="F170" s="1">
        <f t="shared" si="28"/>
        <v>4.5006022841410885E-3</v>
      </c>
      <c r="I170" s="4">
        <v>225.00701000000001</v>
      </c>
      <c r="J170" s="1">
        <v>83</v>
      </c>
      <c r="K170" s="3">
        <v>94.104470000000006</v>
      </c>
      <c r="L170" s="3">
        <f t="shared" si="30"/>
        <v>97.691540000000003</v>
      </c>
      <c r="M170" s="1">
        <f t="shared" si="42"/>
        <v>4.6919892436613896E-2</v>
      </c>
      <c r="P170" s="4">
        <v>225.01992999999999</v>
      </c>
      <c r="Q170" s="1">
        <v>83</v>
      </c>
      <c r="R170" s="3">
        <v>99.383600000000001</v>
      </c>
      <c r="S170" s="3">
        <f t="shared" si="31"/>
        <v>99.307780000000008</v>
      </c>
      <c r="T170" s="1">
        <f t="shared" si="41"/>
        <v>1.4324960949985571E-2</v>
      </c>
      <c r="W170" s="4">
        <v>250.00701000000001</v>
      </c>
      <c r="X170" s="1">
        <v>83</v>
      </c>
      <c r="Y170" s="5">
        <v>90.805499999999995</v>
      </c>
      <c r="Z170" s="3">
        <f t="shared" si="32"/>
        <v>96.24633</v>
      </c>
      <c r="AA170" s="1">
        <f t="shared" si="40"/>
        <v>7.0753010171120581E-2</v>
      </c>
      <c r="AD170" s="4">
        <v>250.01533000000001</v>
      </c>
      <c r="AE170" s="1">
        <v>83</v>
      </c>
      <c r="AF170" s="5">
        <v>97.755020000000002</v>
      </c>
      <c r="AG170" s="3">
        <f t="shared" si="33"/>
        <v>98.016509999999997</v>
      </c>
      <c r="AH170" s="1">
        <f t="shared" si="39"/>
        <v>4.170653361743893E-2</v>
      </c>
      <c r="AK170" s="11">
        <v>520.51514999999995</v>
      </c>
      <c r="AL170" s="1">
        <v>83</v>
      </c>
      <c r="AM170" s="12">
        <v>42.496409999999997</v>
      </c>
      <c r="AN170" s="3">
        <f t="shared" si="34"/>
        <v>45.082629999999995</v>
      </c>
      <c r="AO170" s="1">
        <f t="shared" si="38"/>
        <v>0.91699250536828136</v>
      </c>
      <c r="AQ170" s="11">
        <v>523.02777000000003</v>
      </c>
      <c r="AR170" s="1">
        <v>83</v>
      </c>
      <c r="AS170" s="13">
        <v>37.7485</v>
      </c>
      <c r="AT170" s="3">
        <f t="shared" si="35"/>
        <v>40.707230000000003</v>
      </c>
      <c r="AU170" s="1">
        <f t="shared" si="37"/>
        <v>0.98954627206640056</v>
      </c>
      <c r="AW170" s="11">
        <v>354.33668999999998</v>
      </c>
      <c r="AX170" s="1">
        <v>83</v>
      </c>
      <c r="AY170" s="12">
        <v>68.534710000000004</v>
      </c>
      <c r="AZ170" s="3">
        <f t="shared" si="36"/>
        <v>70.200360000000003</v>
      </c>
    </row>
    <row r="171" spans="2:52" ht="16" x14ac:dyDescent="0.2">
      <c r="B171" s="4">
        <v>200.03933000000001</v>
      </c>
      <c r="C171" s="1">
        <v>83.5</v>
      </c>
      <c r="D171" s="5">
        <v>99.477720000000005</v>
      </c>
      <c r="E171" s="3">
        <f t="shared" si="29"/>
        <v>100.60416000000001</v>
      </c>
      <c r="F171" s="1">
        <f t="shared" si="28"/>
        <v>1.9945606264583746E-3</v>
      </c>
      <c r="I171" s="4">
        <v>225.00697</v>
      </c>
      <c r="J171" s="1">
        <v>83.5</v>
      </c>
      <c r="K171" s="5">
        <v>94.084040000000002</v>
      </c>
      <c r="L171" s="3">
        <f t="shared" si="30"/>
        <v>97.671109999999999</v>
      </c>
      <c r="M171" s="1">
        <f t="shared" si="42"/>
        <v>4.7259091585400773E-2</v>
      </c>
      <c r="P171" s="4">
        <v>225.02193</v>
      </c>
      <c r="Q171" s="1">
        <v>83.5</v>
      </c>
      <c r="R171" s="5">
        <v>99.487759999999994</v>
      </c>
      <c r="S171" s="3">
        <f t="shared" si="31"/>
        <v>99.411940000000001</v>
      </c>
      <c r="T171" s="1">
        <f t="shared" si="41"/>
        <v>1.2589551219062448E-2</v>
      </c>
      <c r="W171" s="4">
        <v>250.00796</v>
      </c>
      <c r="X171" s="1">
        <v>83.5</v>
      </c>
      <c r="Y171" s="3">
        <v>90.79983</v>
      </c>
      <c r="Z171" s="3">
        <f t="shared" si="32"/>
        <v>96.240660000000005</v>
      </c>
      <c r="AA171" s="1">
        <f t="shared" si="40"/>
        <v>7.0847158667533397E-2</v>
      </c>
      <c r="AD171" s="4">
        <v>250.01670999999999</v>
      </c>
      <c r="AE171" s="1">
        <v>83.5</v>
      </c>
      <c r="AF171" s="3">
        <v>97.79889</v>
      </c>
      <c r="AG171" s="3">
        <f t="shared" si="33"/>
        <v>98.060379999999995</v>
      </c>
      <c r="AH171" s="1">
        <f t="shared" si="39"/>
        <v>4.0978241821653848E-2</v>
      </c>
      <c r="AK171" s="11">
        <v>523.01977999999997</v>
      </c>
      <c r="AL171" s="1">
        <v>83.5</v>
      </c>
      <c r="AM171" s="13">
        <v>42.476880000000001</v>
      </c>
      <c r="AN171" s="3">
        <f t="shared" si="34"/>
        <v>45.063099999999999</v>
      </c>
      <c r="AO171" s="1">
        <f t="shared" si="38"/>
        <v>0.9173182315806625</v>
      </c>
      <c r="AQ171" s="11">
        <v>525.52925000000005</v>
      </c>
      <c r="AR171" s="1">
        <v>83.5</v>
      </c>
      <c r="AS171" s="12">
        <v>37.711019999999998</v>
      </c>
      <c r="AT171" s="3">
        <f t="shared" si="35"/>
        <v>40.669750000000001</v>
      </c>
      <c r="AU171" s="1">
        <f t="shared" si="37"/>
        <v>0.99017175978636152</v>
      </c>
      <c r="AW171" s="11">
        <v>355.80549999999999</v>
      </c>
      <c r="AX171" s="1">
        <v>83.5</v>
      </c>
      <c r="AY171" s="13">
        <v>67.382800000000003</v>
      </c>
      <c r="AZ171" s="3">
        <f t="shared" si="36"/>
        <v>69.048450000000003</v>
      </c>
    </row>
    <row r="172" spans="2:52" ht="16" x14ac:dyDescent="0.2">
      <c r="B172" s="4">
        <v>200.05081999999999</v>
      </c>
      <c r="C172" s="1">
        <v>84</v>
      </c>
      <c r="D172" s="3">
        <v>99.255200000000002</v>
      </c>
      <c r="E172" s="3">
        <f t="shared" si="29"/>
        <v>100.38164</v>
      </c>
      <c r="F172" s="1">
        <f t="shared" si="28"/>
        <v>5.6814656821115852E-3</v>
      </c>
      <c r="I172" s="4">
        <v>225.00416000000001</v>
      </c>
      <c r="J172" s="1">
        <v>84</v>
      </c>
      <c r="K172" s="3">
        <v>94.065730000000002</v>
      </c>
      <c r="L172" s="3">
        <f t="shared" si="30"/>
        <v>97.652799999999999</v>
      </c>
      <c r="M172" s="1">
        <f t="shared" si="42"/>
        <v>4.756309238884112E-2</v>
      </c>
      <c r="P172" s="4">
        <v>225.02424999999999</v>
      </c>
      <c r="Q172" s="1">
        <v>84</v>
      </c>
      <c r="R172" s="3">
        <v>99.438919999999996</v>
      </c>
      <c r="S172" s="3">
        <f t="shared" si="31"/>
        <v>99.363100000000003</v>
      </c>
      <c r="T172" s="1">
        <f t="shared" si="41"/>
        <v>1.3403274445428501E-2</v>
      </c>
      <c r="W172" s="4">
        <v>249.999</v>
      </c>
      <c r="X172" s="1">
        <v>84</v>
      </c>
      <c r="Y172" s="5">
        <v>90.786680000000004</v>
      </c>
      <c r="Z172" s="3">
        <f t="shared" si="32"/>
        <v>96.227510000000009</v>
      </c>
      <c r="AA172" s="1">
        <f t="shared" si="40"/>
        <v>7.1065510118649672E-2</v>
      </c>
      <c r="AD172" s="4">
        <v>250.01784000000001</v>
      </c>
      <c r="AE172" s="1">
        <v>84</v>
      </c>
      <c r="AF172" s="5">
        <v>97.755009999999999</v>
      </c>
      <c r="AG172" s="3">
        <f t="shared" si="33"/>
        <v>98.016499999999994</v>
      </c>
      <c r="AH172" s="1">
        <f t="shared" si="39"/>
        <v>4.1706699628789742E-2</v>
      </c>
      <c r="AK172" s="11">
        <v>525.52344000000005</v>
      </c>
      <c r="AL172" s="1">
        <v>84</v>
      </c>
      <c r="AM172" s="12">
        <v>42.455930000000002</v>
      </c>
      <c r="AN172" s="3">
        <f t="shared" si="34"/>
        <v>45.042149999999999</v>
      </c>
      <c r="AO172" s="1">
        <f t="shared" si="38"/>
        <v>0.9176676409073079</v>
      </c>
      <c r="AQ172" s="11">
        <v>528.02769000000001</v>
      </c>
      <c r="AR172" s="1">
        <v>84</v>
      </c>
      <c r="AS172" s="13">
        <v>37.658909999999999</v>
      </c>
      <c r="AT172" s="3">
        <f t="shared" si="35"/>
        <v>40.617640000000002</v>
      </c>
      <c r="AU172" s="1">
        <f t="shared" si="37"/>
        <v>0.99104140133084295</v>
      </c>
      <c r="AW172" s="11">
        <v>357.26441</v>
      </c>
      <c r="AX172" s="1">
        <v>84</v>
      </c>
      <c r="AY172" s="12">
        <v>66.061580000000006</v>
      </c>
      <c r="AZ172" s="3">
        <f t="shared" si="36"/>
        <v>67.727230000000006</v>
      </c>
    </row>
    <row r="173" spans="2:52" ht="16" x14ac:dyDescent="0.2">
      <c r="B173" s="4">
        <v>200.06577999999999</v>
      </c>
      <c r="C173" s="1">
        <v>84.5</v>
      </c>
      <c r="D173" s="5">
        <v>99.345849999999999</v>
      </c>
      <c r="E173" s="3">
        <f t="shared" si="29"/>
        <v>100.47229</v>
      </c>
      <c r="F173" s="1">
        <f t="shared" si="28"/>
        <v>4.1794975745484608E-3</v>
      </c>
      <c r="I173" s="4">
        <v>225.00497999999999</v>
      </c>
      <c r="J173" s="1">
        <v>84.5</v>
      </c>
      <c r="K173" s="5">
        <v>94.058329999999998</v>
      </c>
      <c r="L173" s="3">
        <f t="shared" si="30"/>
        <v>97.645399999999995</v>
      </c>
      <c r="M173" s="1">
        <f t="shared" si="42"/>
        <v>4.7685954537692019E-2</v>
      </c>
      <c r="P173" s="4">
        <v>225.02626000000001</v>
      </c>
      <c r="Q173" s="1">
        <v>84.5</v>
      </c>
      <c r="R173" s="5">
        <v>99.331019999999995</v>
      </c>
      <c r="S173" s="3">
        <f t="shared" si="31"/>
        <v>99.255200000000002</v>
      </c>
      <c r="T173" s="1">
        <f t="shared" si="41"/>
        <v>1.5200996315307714E-2</v>
      </c>
      <c r="W173" s="4">
        <v>249.995</v>
      </c>
      <c r="X173" s="1">
        <v>84.5</v>
      </c>
      <c r="Y173" s="3">
        <v>90.753799999999998</v>
      </c>
      <c r="Z173" s="3">
        <f t="shared" si="32"/>
        <v>96.194630000000004</v>
      </c>
      <c r="AA173" s="1">
        <f t="shared" si="40"/>
        <v>7.1611471769806048E-2</v>
      </c>
      <c r="AD173" s="4">
        <v>250.01732000000001</v>
      </c>
      <c r="AE173" s="1">
        <v>84.5</v>
      </c>
      <c r="AF173" s="3">
        <v>97.701629999999994</v>
      </c>
      <c r="AG173" s="3">
        <f t="shared" si="33"/>
        <v>97.963119999999989</v>
      </c>
      <c r="AH173" s="1">
        <f t="shared" si="39"/>
        <v>4.2592868219147886E-2</v>
      </c>
      <c r="AK173" s="11">
        <v>528.02430000000004</v>
      </c>
      <c r="AL173" s="1">
        <v>84.5</v>
      </c>
      <c r="AM173" s="13">
        <v>42.395740000000004</v>
      </c>
      <c r="AN173" s="3">
        <f t="shared" si="34"/>
        <v>44.981960000000001</v>
      </c>
      <c r="AO173" s="1">
        <f t="shared" si="38"/>
        <v>0.91867150474362247</v>
      </c>
      <c r="AQ173" s="11">
        <v>530.53018999999995</v>
      </c>
      <c r="AR173" s="1">
        <v>84.5</v>
      </c>
      <c r="AS173" s="12">
        <v>37.621470000000002</v>
      </c>
      <c r="AT173" s="3">
        <f t="shared" si="35"/>
        <v>40.580200000000005</v>
      </c>
      <c r="AU173" s="1">
        <f t="shared" si="37"/>
        <v>0.99166622150787964</v>
      </c>
      <c r="AW173" s="11">
        <v>358.71221000000003</v>
      </c>
      <c r="AX173" s="1">
        <v>84.5</v>
      </c>
      <c r="AY173" s="13">
        <v>64.701310000000007</v>
      </c>
      <c r="AZ173" s="3">
        <f t="shared" si="36"/>
        <v>66.366960000000006</v>
      </c>
    </row>
    <row r="174" spans="2:52" ht="16" x14ac:dyDescent="0.2">
      <c r="B174" s="4">
        <v>200.07711</v>
      </c>
      <c r="C174" s="1">
        <v>85</v>
      </c>
      <c r="D174" s="3">
        <v>99.225099999999998</v>
      </c>
      <c r="E174" s="3">
        <f t="shared" si="29"/>
        <v>100.35154</v>
      </c>
      <c r="F174" s="1">
        <f t="shared" si="28"/>
        <v>6.1801886830785838E-3</v>
      </c>
      <c r="I174" s="4">
        <v>225.00308999999999</v>
      </c>
      <c r="J174" s="1">
        <v>85</v>
      </c>
      <c r="K174" s="3">
        <v>94.054670000000002</v>
      </c>
      <c r="L174" s="3">
        <f t="shared" si="30"/>
        <v>97.641739999999999</v>
      </c>
      <c r="M174" s="1">
        <f t="shared" si="42"/>
        <v>4.7746721492393854E-2</v>
      </c>
      <c r="P174" s="4">
        <v>225.02367000000001</v>
      </c>
      <c r="Q174" s="1">
        <v>85</v>
      </c>
      <c r="R174" s="3">
        <v>99.385329999999996</v>
      </c>
      <c r="S174" s="3">
        <f t="shared" si="31"/>
        <v>99.309510000000003</v>
      </c>
      <c r="T174" s="1">
        <f t="shared" si="41"/>
        <v>1.4296137420468594E-2</v>
      </c>
      <c r="W174" s="4">
        <v>249.99797000000001</v>
      </c>
      <c r="X174" s="1">
        <v>85</v>
      </c>
      <c r="Y174" s="5">
        <v>90.713560000000001</v>
      </c>
      <c r="Z174" s="3">
        <f t="shared" si="32"/>
        <v>96.154390000000006</v>
      </c>
      <c r="AA174" s="1">
        <f t="shared" si="40"/>
        <v>7.2279643814895073E-2</v>
      </c>
      <c r="AD174" s="4">
        <v>250.01704000000001</v>
      </c>
      <c r="AE174" s="1">
        <v>85</v>
      </c>
      <c r="AF174" s="5">
        <v>97.732399999999998</v>
      </c>
      <c r="AG174" s="3">
        <f t="shared" si="33"/>
        <v>97.993889999999993</v>
      </c>
      <c r="AH174" s="1">
        <f t="shared" si="39"/>
        <v>4.2082051292858615E-2</v>
      </c>
      <c r="AK174" s="11">
        <v>530.53159000000005</v>
      </c>
      <c r="AL174" s="1">
        <v>85</v>
      </c>
      <c r="AM174" s="12">
        <v>42.37068</v>
      </c>
      <c r="AN174" s="3">
        <f t="shared" si="34"/>
        <v>44.956899999999997</v>
      </c>
      <c r="AO174" s="1">
        <f t="shared" si="38"/>
        <v>0.91908946167563854</v>
      </c>
      <c r="AQ174" s="11">
        <v>533.03002000000004</v>
      </c>
      <c r="AR174" s="1">
        <v>85</v>
      </c>
      <c r="AS174" s="13">
        <v>37.598320000000001</v>
      </c>
      <c r="AT174" s="3">
        <f t="shared" si="35"/>
        <v>40.557050000000004</v>
      </c>
      <c r="AU174" s="1">
        <f t="shared" si="37"/>
        <v>0.99205256197525149</v>
      </c>
      <c r="AW174" s="11">
        <v>360.15940999999998</v>
      </c>
      <c r="AX174" s="1">
        <v>85</v>
      </c>
      <c r="AY174" s="12">
        <v>63.386769999999999</v>
      </c>
      <c r="AZ174" s="3">
        <f t="shared" si="36"/>
        <v>65.052419999999998</v>
      </c>
    </row>
    <row r="175" spans="2:52" ht="16" x14ac:dyDescent="0.2">
      <c r="B175" s="4">
        <v>200.08485999999999</v>
      </c>
      <c r="C175" s="1">
        <v>85.5</v>
      </c>
      <c r="D175" s="5">
        <v>99.356669999999994</v>
      </c>
      <c r="E175" s="3">
        <f t="shared" si="29"/>
        <v>100.48311</v>
      </c>
      <c r="F175" s="1">
        <f t="shared" si="28"/>
        <v>4.0002223961278687E-3</v>
      </c>
      <c r="I175" s="4">
        <v>225.00196</v>
      </c>
      <c r="J175" s="1">
        <v>85.5</v>
      </c>
      <c r="K175" s="5">
        <v>94.033050000000003</v>
      </c>
      <c r="L175" s="3">
        <f t="shared" si="30"/>
        <v>97.62012</v>
      </c>
      <c r="M175" s="1">
        <f t="shared" si="42"/>
        <v>4.810567820295529E-2</v>
      </c>
      <c r="P175" s="4">
        <v>225.02049</v>
      </c>
      <c r="Q175" s="1">
        <v>85.5</v>
      </c>
      <c r="R175" s="5">
        <v>99.359639999999999</v>
      </c>
      <c r="S175" s="3">
        <f t="shared" si="31"/>
        <v>99.283820000000006</v>
      </c>
      <c r="T175" s="1">
        <f t="shared" si="41"/>
        <v>1.4724158503297063E-2</v>
      </c>
      <c r="W175" s="4">
        <v>250.00303</v>
      </c>
      <c r="X175" s="1">
        <v>85.5</v>
      </c>
      <c r="Y175" s="3">
        <v>90.713639999999998</v>
      </c>
      <c r="Z175" s="3">
        <f t="shared" si="32"/>
        <v>96.154470000000003</v>
      </c>
      <c r="AA175" s="1">
        <f t="shared" si="40"/>
        <v>7.2278315441048027E-2</v>
      </c>
      <c r="AD175" s="4">
        <v>250.01490999999999</v>
      </c>
      <c r="AE175" s="1">
        <v>85.5</v>
      </c>
      <c r="AF175" s="3">
        <v>97.763220000000004</v>
      </c>
      <c r="AG175" s="3">
        <f t="shared" si="33"/>
        <v>98.024709999999999</v>
      </c>
      <c r="AH175" s="1">
        <f t="shared" si="39"/>
        <v>4.1570404309815505E-2</v>
      </c>
      <c r="AK175" s="11">
        <v>533.03527999999994</v>
      </c>
      <c r="AL175" s="1">
        <v>85.5</v>
      </c>
      <c r="AM175" s="13">
        <v>42.370159999999998</v>
      </c>
      <c r="AN175" s="3">
        <f t="shared" si="34"/>
        <v>44.956379999999996</v>
      </c>
      <c r="AO175" s="1">
        <f t="shared" si="38"/>
        <v>0.91909813436536913</v>
      </c>
      <c r="AQ175" s="11">
        <v>535.53956000000005</v>
      </c>
      <c r="AR175" s="1">
        <v>85.5</v>
      </c>
      <c r="AS175" s="12">
        <v>37.57403</v>
      </c>
      <c r="AT175" s="3">
        <f t="shared" si="35"/>
        <v>40.532760000000003</v>
      </c>
      <c r="AU175" s="1">
        <f t="shared" si="37"/>
        <v>0.99245792741596262</v>
      </c>
      <c r="AW175" s="11">
        <v>361.60027000000002</v>
      </c>
      <c r="AX175" s="1">
        <v>85.5</v>
      </c>
      <c r="AY175" s="13">
        <v>62.090260000000001</v>
      </c>
      <c r="AZ175" s="3">
        <f t="shared" si="36"/>
        <v>63.75591</v>
      </c>
    </row>
    <row r="176" spans="2:52" ht="16" x14ac:dyDescent="0.2">
      <c r="B176" s="4">
        <v>200.08894000000001</v>
      </c>
      <c r="C176" s="1">
        <v>86</v>
      </c>
      <c r="D176" s="3">
        <v>99.451549999999997</v>
      </c>
      <c r="E176" s="3">
        <f t="shared" si="29"/>
        <v>100.57799</v>
      </c>
      <c r="F176" s="1">
        <f t="shared" si="28"/>
        <v>2.4281679665018366E-3</v>
      </c>
      <c r="I176" s="4">
        <v>225.00405000000001</v>
      </c>
      <c r="J176" s="1">
        <v>86</v>
      </c>
      <c r="K176" s="3">
        <v>94.022040000000004</v>
      </c>
      <c r="L176" s="3">
        <f t="shared" si="30"/>
        <v>97.609110000000001</v>
      </c>
      <c r="M176" s="1">
        <f t="shared" si="42"/>
        <v>4.8288477156853596E-2</v>
      </c>
      <c r="P176" s="4">
        <v>225.02280999999999</v>
      </c>
      <c r="Q176" s="1">
        <v>86</v>
      </c>
      <c r="R176" s="3">
        <v>99.354089999999999</v>
      </c>
      <c r="S176" s="3">
        <f t="shared" si="31"/>
        <v>99.278270000000006</v>
      </c>
      <c r="T176" s="1">
        <f t="shared" si="41"/>
        <v>1.4816627051747746E-2</v>
      </c>
      <c r="W176" s="4">
        <v>250.00301999999999</v>
      </c>
      <c r="X176" s="1">
        <v>86</v>
      </c>
      <c r="Y176" s="5">
        <v>90.651920000000004</v>
      </c>
      <c r="Z176" s="3">
        <f t="shared" si="32"/>
        <v>96.092750000000009</v>
      </c>
      <c r="AA176" s="1">
        <f t="shared" si="40"/>
        <v>7.3303155864082162E-2</v>
      </c>
      <c r="AD176" s="4">
        <v>250.01219</v>
      </c>
      <c r="AE176" s="1">
        <v>86</v>
      </c>
      <c r="AF176" s="5">
        <v>97.720730000000003</v>
      </c>
      <c r="AG176" s="3">
        <f t="shared" si="33"/>
        <v>97.982219999999998</v>
      </c>
      <c r="AH176" s="1">
        <f t="shared" si="39"/>
        <v>4.2275786539195712E-2</v>
      </c>
      <c r="AK176" s="11">
        <v>535.53755999999998</v>
      </c>
      <c r="AL176" s="1">
        <v>86</v>
      </c>
      <c r="AM176" s="12">
        <v>42.331919999999997</v>
      </c>
      <c r="AN176" s="3">
        <f t="shared" si="34"/>
        <v>44.918139999999994</v>
      </c>
      <c r="AO176" s="1">
        <f t="shared" si="38"/>
        <v>0.91973591062555649</v>
      </c>
      <c r="AQ176" s="11">
        <v>538.04151000000002</v>
      </c>
      <c r="AR176" s="1">
        <v>86</v>
      </c>
      <c r="AS176" s="13">
        <v>37.526359999999997</v>
      </c>
      <c r="AT176" s="3">
        <f t="shared" si="35"/>
        <v>40.48509</v>
      </c>
      <c r="AU176" s="1">
        <f t="shared" si="37"/>
        <v>0.99325347169585965</v>
      </c>
      <c r="AW176" s="11">
        <v>363.02724999999998</v>
      </c>
      <c r="AX176" s="1">
        <v>86</v>
      </c>
      <c r="AY176" s="12">
        <v>60.945869999999999</v>
      </c>
      <c r="AZ176" s="3">
        <f t="shared" si="36"/>
        <v>62.611519999999999</v>
      </c>
    </row>
    <row r="177" spans="2:52" ht="16" x14ac:dyDescent="0.2">
      <c r="B177" s="4">
        <v>200.09338</v>
      </c>
      <c r="C177" s="1">
        <v>86.5</v>
      </c>
      <c r="D177" s="5">
        <v>99.343389999999999</v>
      </c>
      <c r="E177" s="3">
        <f t="shared" si="29"/>
        <v>100.46983</v>
      </c>
      <c r="F177" s="1">
        <f t="shared" si="28"/>
        <v>4.2202569958899308E-3</v>
      </c>
      <c r="I177" s="4">
        <v>225.00103999999999</v>
      </c>
      <c r="J177" s="1">
        <v>86.5</v>
      </c>
      <c r="K177" s="5">
        <v>94.002549999999999</v>
      </c>
      <c r="L177" s="3">
        <f t="shared" si="30"/>
        <v>97.589619999999996</v>
      </c>
      <c r="M177" s="1">
        <f t="shared" si="42"/>
        <v>4.861206949213781E-2</v>
      </c>
      <c r="P177" s="4">
        <v>225.02418</v>
      </c>
      <c r="Q177" s="1">
        <v>86.5</v>
      </c>
      <c r="R177" s="5">
        <v>99.502669999999995</v>
      </c>
      <c r="S177" s="3">
        <f t="shared" si="31"/>
        <v>99.426850000000002</v>
      </c>
      <c r="T177" s="1">
        <f t="shared" si="41"/>
        <v>1.2341135713224639E-2</v>
      </c>
      <c r="W177" s="4">
        <v>250.00300999999999</v>
      </c>
      <c r="X177" s="1">
        <v>86.5</v>
      </c>
      <c r="Y177" s="3">
        <v>90.658069999999995</v>
      </c>
      <c r="Z177" s="3">
        <f t="shared" si="32"/>
        <v>96.0989</v>
      </c>
      <c r="AA177" s="1">
        <f t="shared" si="40"/>
        <v>7.3201037124586837E-2</v>
      </c>
      <c r="AD177" s="4">
        <v>250.01222999999999</v>
      </c>
      <c r="AE177" s="1">
        <v>86.5</v>
      </c>
      <c r="AF177" s="3">
        <v>97.716160000000002</v>
      </c>
      <c r="AG177" s="3">
        <f t="shared" si="33"/>
        <v>97.977649999999997</v>
      </c>
      <c r="AH177" s="1">
        <f t="shared" si="39"/>
        <v>4.2351653726493153E-2</v>
      </c>
      <c r="AK177" s="11">
        <v>538.03310999999997</v>
      </c>
      <c r="AL177" s="1">
        <v>86.5</v>
      </c>
      <c r="AM177" s="13">
        <v>42.295140000000004</v>
      </c>
      <c r="AN177" s="3">
        <f t="shared" si="34"/>
        <v>44.881360000000001</v>
      </c>
      <c r="AO177" s="1">
        <f t="shared" si="38"/>
        <v>0.92034933664149998</v>
      </c>
      <c r="AQ177" s="11">
        <v>540.53882999999996</v>
      </c>
      <c r="AR177" s="1">
        <v>86.5</v>
      </c>
      <c r="AS177" s="12">
        <v>37.495289999999997</v>
      </c>
      <c r="AT177" s="3">
        <f t="shared" si="35"/>
        <v>40.45402</v>
      </c>
      <c r="AU177" s="1">
        <f t="shared" si="37"/>
        <v>0.99377198566222003</v>
      </c>
      <c r="AW177" s="11">
        <v>364.45332000000002</v>
      </c>
      <c r="AX177" s="1">
        <v>86.5</v>
      </c>
      <c r="AY177" s="13">
        <v>59.781950000000002</v>
      </c>
      <c r="AZ177" s="3">
        <f t="shared" si="36"/>
        <v>61.447600000000001</v>
      </c>
    </row>
    <row r="178" spans="2:52" ht="16" x14ac:dyDescent="0.2">
      <c r="B178" s="4">
        <v>200.10256000000001</v>
      </c>
      <c r="C178" s="1">
        <v>87</v>
      </c>
      <c r="D178" s="3">
        <v>99.352639999999994</v>
      </c>
      <c r="E178" s="3">
        <f t="shared" si="29"/>
        <v>100.47908</v>
      </c>
      <c r="F178" s="1">
        <f t="shared" si="28"/>
        <v>4.0669949440978615E-3</v>
      </c>
      <c r="I178" s="4">
        <v>225.00700000000001</v>
      </c>
      <c r="J178" s="1">
        <v>87</v>
      </c>
      <c r="K178" s="3">
        <v>93.985569999999996</v>
      </c>
      <c r="L178" s="3">
        <f t="shared" si="30"/>
        <v>97.572639999999993</v>
      </c>
      <c r="M178" s="1">
        <f t="shared" si="42"/>
        <v>4.889398831477125E-2</v>
      </c>
      <c r="P178" s="4">
        <v>225.01836</v>
      </c>
      <c r="Q178" s="1">
        <v>87</v>
      </c>
      <c r="R178" s="3">
        <v>99.40204</v>
      </c>
      <c r="S178" s="3">
        <f t="shared" si="31"/>
        <v>99.326220000000006</v>
      </c>
      <c r="T178" s="1">
        <f t="shared" si="41"/>
        <v>1.4017732115133215E-2</v>
      </c>
      <c r="W178" s="4">
        <v>250.00599</v>
      </c>
      <c r="X178" s="1">
        <v>87</v>
      </c>
      <c r="Y178" s="5">
        <v>90.60436</v>
      </c>
      <c r="Z178" s="3">
        <f t="shared" si="32"/>
        <v>96.045190000000005</v>
      </c>
      <c r="AA178" s="1">
        <f t="shared" si="40"/>
        <v>7.409287411618054E-2</v>
      </c>
      <c r="AD178" s="4">
        <v>250.01584</v>
      </c>
      <c r="AE178" s="1">
        <v>87</v>
      </c>
      <c r="AF178" s="5">
        <v>97.708560000000006</v>
      </c>
      <c r="AG178" s="3">
        <f t="shared" si="33"/>
        <v>97.970050000000001</v>
      </c>
      <c r="AH178" s="1">
        <f t="shared" si="39"/>
        <v>4.247782235307087E-2</v>
      </c>
      <c r="AK178" s="11">
        <v>540.53709000000003</v>
      </c>
      <c r="AL178" s="1">
        <v>87</v>
      </c>
      <c r="AM178" s="12">
        <v>42.264429999999997</v>
      </c>
      <c r="AN178" s="3">
        <f t="shared" si="34"/>
        <v>44.850649999999995</v>
      </c>
      <c r="AO178" s="1">
        <f t="shared" si="38"/>
        <v>0.92086152568308877</v>
      </c>
      <c r="AQ178" s="11">
        <v>543.04346999999996</v>
      </c>
      <c r="AR178" s="1">
        <v>87</v>
      </c>
      <c r="AS178" s="13">
        <v>37.453980000000001</v>
      </c>
      <c r="AT178" s="3">
        <f t="shared" si="35"/>
        <v>40.412710000000004</v>
      </c>
      <c r="AU178" s="1">
        <f t="shared" si="37"/>
        <v>0.99446139061717154</v>
      </c>
      <c r="AW178" s="11">
        <v>365.90050000000002</v>
      </c>
      <c r="AX178" s="1">
        <v>87</v>
      </c>
      <c r="AY178" s="12">
        <v>58.72119</v>
      </c>
      <c r="AZ178" s="3">
        <f t="shared" si="36"/>
        <v>60.386839999999999</v>
      </c>
    </row>
    <row r="179" spans="2:52" ht="16" x14ac:dyDescent="0.2">
      <c r="B179" s="4">
        <v>200.11194</v>
      </c>
      <c r="C179" s="1">
        <v>87.5</v>
      </c>
      <c r="D179" s="5">
        <v>99.329710000000006</v>
      </c>
      <c r="E179" s="3">
        <f t="shared" si="29"/>
        <v>100.45615000000001</v>
      </c>
      <c r="F179" s="1">
        <f t="shared" si="28"/>
        <v>4.4469191438375856E-3</v>
      </c>
      <c r="I179" s="4">
        <v>225.00903</v>
      </c>
      <c r="J179" s="1">
        <v>87.5</v>
      </c>
      <c r="K179" s="5">
        <v>93.976910000000004</v>
      </c>
      <c r="L179" s="3">
        <f t="shared" si="30"/>
        <v>97.563980000000001</v>
      </c>
      <c r="M179" s="1">
        <f t="shared" si="42"/>
        <v>4.9037770234912757E-2</v>
      </c>
      <c r="P179" s="4">
        <v>225.01525000000001</v>
      </c>
      <c r="Q179" s="1">
        <v>87.5</v>
      </c>
      <c r="R179" s="5">
        <v>99.421379999999999</v>
      </c>
      <c r="S179" s="3">
        <f t="shared" si="31"/>
        <v>99.345560000000006</v>
      </c>
      <c r="T179" s="1">
        <f t="shared" si="41"/>
        <v>1.3695508380532073E-2</v>
      </c>
      <c r="W179" s="4">
        <v>250.00694999999999</v>
      </c>
      <c r="X179" s="1">
        <v>87.5</v>
      </c>
      <c r="Y179" s="3">
        <v>90.602459999999994</v>
      </c>
      <c r="Z179" s="3">
        <f t="shared" si="32"/>
        <v>96.043289999999999</v>
      </c>
      <c r="AA179" s="1">
        <f t="shared" si="40"/>
        <v>7.4124422995049163E-2</v>
      </c>
      <c r="AD179" s="4">
        <v>250.01873000000001</v>
      </c>
      <c r="AE179" s="1">
        <v>87.5</v>
      </c>
      <c r="AF179" s="3">
        <v>97.671210000000002</v>
      </c>
      <c r="AG179" s="3">
        <f t="shared" si="33"/>
        <v>97.932699999999997</v>
      </c>
      <c r="AH179" s="1">
        <f t="shared" si="39"/>
        <v>4.3097874748160361E-2</v>
      </c>
      <c r="AK179" s="11">
        <v>543.04065000000003</v>
      </c>
      <c r="AL179" s="1">
        <v>87.5</v>
      </c>
      <c r="AM179" s="13">
        <v>42.237839999999998</v>
      </c>
      <c r="AN179" s="3">
        <f t="shared" si="34"/>
        <v>44.824059999999996</v>
      </c>
      <c r="AO179" s="1">
        <f t="shared" si="38"/>
        <v>0.92130500033681206</v>
      </c>
      <c r="AQ179" s="11">
        <v>545.54645000000005</v>
      </c>
      <c r="AR179" s="1">
        <v>87.5</v>
      </c>
      <c r="AS179" s="12">
        <v>37.416499999999999</v>
      </c>
      <c r="AT179" s="3">
        <f t="shared" si="35"/>
        <v>40.375230000000002</v>
      </c>
      <c r="AU179" s="1">
        <f t="shared" si="37"/>
        <v>0.9950868783371325</v>
      </c>
      <c r="AW179" s="11">
        <v>367.35230999999999</v>
      </c>
      <c r="AX179" s="1">
        <v>87.5</v>
      </c>
      <c r="AY179" s="13">
        <v>57.77713</v>
      </c>
      <c r="AZ179" s="3">
        <f t="shared" si="36"/>
        <v>59.442779999999999</v>
      </c>
    </row>
    <row r="180" spans="2:52" ht="16" x14ac:dyDescent="0.2">
      <c r="B180" s="4">
        <v>200.12051</v>
      </c>
      <c r="C180" s="1">
        <v>88</v>
      </c>
      <c r="D180" s="3">
        <v>99.400260000000003</v>
      </c>
      <c r="E180" s="3">
        <f t="shared" si="29"/>
        <v>100.52670000000001</v>
      </c>
      <c r="F180" s="1">
        <f t="shared" si="28"/>
        <v>3.2779853326012007E-3</v>
      </c>
      <c r="I180" s="4">
        <v>225.00788</v>
      </c>
      <c r="J180" s="1">
        <v>88</v>
      </c>
      <c r="K180" s="3">
        <v>93.947649999999996</v>
      </c>
      <c r="L180" s="3">
        <f t="shared" si="30"/>
        <v>97.534719999999993</v>
      </c>
      <c r="M180" s="1">
        <f t="shared" si="42"/>
        <v>4.952357381266629E-2</v>
      </c>
      <c r="P180" s="4">
        <v>225.01794000000001</v>
      </c>
      <c r="Q180" s="1">
        <v>88</v>
      </c>
      <c r="R180" s="3">
        <v>99.324579999999997</v>
      </c>
      <c r="S180" s="3">
        <f t="shared" si="31"/>
        <v>99.248760000000004</v>
      </c>
      <c r="T180" s="1">
        <f t="shared" si="41"/>
        <v>1.5308293153509919E-2</v>
      </c>
      <c r="W180" s="4">
        <v>250.00998000000001</v>
      </c>
      <c r="X180" s="1">
        <v>88</v>
      </c>
      <c r="Y180" s="5">
        <v>90.583299999999994</v>
      </c>
      <c r="Z180" s="3">
        <f t="shared" si="32"/>
        <v>96.02413</v>
      </c>
      <c r="AA180" s="1">
        <f t="shared" si="40"/>
        <v>7.4442568531428555E-2</v>
      </c>
      <c r="AD180" s="4">
        <v>250.01967999999999</v>
      </c>
      <c r="AE180" s="1">
        <v>88</v>
      </c>
      <c r="AF180" s="5">
        <v>97.610399999999998</v>
      </c>
      <c r="AG180" s="3">
        <f t="shared" si="33"/>
        <v>97.871889999999993</v>
      </c>
      <c r="AH180" s="1">
        <f t="shared" si="39"/>
        <v>4.4107389772133347E-2</v>
      </c>
      <c r="AK180" s="11">
        <v>545.54367000000002</v>
      </c>
      <c r="AL180" s="1">
        <v>88</v>
      </c>
      <c r="AM180" s="12">
        <v>42.185009999999998</v>
      </c>
      <c r="AN180" s="3">
        <f t="shared" si="34"/>
        <v>44.771229999999996</v>
      </c>
      <c r="AO180" s="1">
        <f t="shared" si="38"/>
        <v>0.92218611225693992</v>
      </c>
      <c r="AQ180" s="11">
        <v>548.05484999999999</v>
      </c>
      <c r="AR180" s="1">
        <v>88</v>
      </c>
      <c r="AS180" s="13">
        <v>37.316470000000002</v>
      </c>
      <c r="AT180" s="3">
        <f t="shared" si="35"/>
        <v>40.275200000000005</v>
      </c>
      <c r="AU180" s="1">
        <f t="shared" si="37"/>
        <v>0.99675623630478705</v>
      </c>
      <c r="AW180" s="11">
        <v>368.81249000000003</v>
      </c>
      <c r="AX180" s="1">
        <v>88</v>
      </c>
      <c r="AY180" s="12">
        <v>56.94614</v>
      </c>
      <c r="AZ180" s="3">
        <f t="shared" si="36"/>
        <v>58.611789999999999</v>
      </c>
    </row>
    <row r="181" spans="2:52" ht="16" x14ac:dyDescent="0.2">
      <c r="B181" s="4">
        <v>200.12656000000001</v>
      </c>
      <c r="C181" s="1">
        <v>88.5</v>
      </c>
      <c r="D181" s="5">
        <v>99.387360000000001</v>
      </c>
      <c r="E181" s="3">
        <f t="shared" si="29"/>
        <v>100.5138</v>
      </c>
      <c r="F181" s="1">
        <f t="shared" si="28"/>
        <v>3.4917237615870573E-3</v>
      </c>
      <c r="I181" s="4">
        <v>225.00908000000001</v>
      </c>
      <c r="J181" s="1">
        <v>88.5</v>
      </c>
      <c r="K181" s="5">
        <v>93.921430000000001</v>
      </c>
      <c r="L181" s="3">
        <f t="shared" si="30"/>
        <v>97.508499999999998</v>
      </c>
      <c r="M181" s="1">
        <f t="shared" si="42"/>
        <v>4.9958904291432238E-2</v>
      </c>
      <c r="P181" s="4">
        <v>225.01814999999999</v>
      </c>
      <c r="Q181" s="1">
        <v>88.5</v>
      </c>
      <c r="R181" s="5">
        <v>99.413349999999994</v>
      </c>
      <c r="S181" s="3">
        <f t="shared" si="31"/>
        <v>99.337530000000001</v>
      </c>
      <c r="T181" s="1">
        <f t="shared" si="41"/>
        <v>1.3829296208290546E-2</v>
      </c>
      <c r="W181" s="4">
        <v>250.00693999999999</v>
      </c>
      <c r="X181" s="1">
        <v>88.5</v>
      </c>
      <c r="Y181" s="3">
        <v>90.5565</v>
      </c>
      <c r="Z181" s="3">
        <f t="shared" si="32"/>
        <v>95.997330000000005</v>
      </c>
      <c r="AA181" s="1">
        <f t="shared" si="40"/>
        <v>7.4887573770205468E-2</v>
      </c>
      <c r="AD181" s="4">
        <v>250.02003999999999</v>
      </c>
      <c r="AE181" s="1">
        <v>88.5</v>
      </c>
      <c r="AF181" s="3">
        <v>97.650829999999999</v>
      </c>
      <c r="AG181" s="3">
        <f t="shared" si="33"/>
        <v>97.912319999999994</v>
      </c>
      <c r="AH181" s="1">
        <f t="shared" si="39"/>
        <v>4.343620588100975E-2</v>
      </c>
      <c r="AK181" s="11">
        <v>548.04818</v>
      </c>
      <c r="AL181" s="1">
        <v>88.5</v>
      </c>
      <c r="AM181" s="13">
        <v>42.093510000000002</v>
      </c>
      <c r="AN181" s="3">
        <f t="shared" si="34"/>
        <v>44.679729999999999</v>
      </c>
      <c r="AO181" s="1">
        <f t="shared" si="38"/>
        <v>0.92371217208453227</v>
      </c>
      <c r="AQ181" s="11">
        <v>550.55343000000005</v>
      </c>
      <c r="AR181" s="1">
        <v>88.5</v>
      </c>
      <c r="AS181" s="12">
        <v>37.333170000000003</v>
      </c>
      <c r="AT181" s="3">
        <f t="shared" si="35"/>
        <v>40.291900000000005</v>
      </c>
      <c r="AU181" s="1">
        <f t="shared" si="37"/>
        <v>0.99647753713393994</v>
      </c>
      <c r="AW181" s="11">
        <v>370.28926999999999</v>
      </c>
      <c r="AX181" s="1">
        <v>88.5</v>
      </c>
      <c r="AY181" s="13">
        <v>56.178130000000003</v>
      </c>
      <c r="AZ181" s="3">
        <f t="shared" si="36"/>
        <v>57.843780000000002</v>
      </c>
    </row>
    <row r="182" spans="2:52" ht="16" x14ac:dyDescent="0.2">
      <c r="B182" s="4">
        <v>200.13069999999999</v>
      </c>
      <c r="C182" s="1">
        <v>89</v>
      </c>
      <c r="D182" s="3">
        <v>99.41619</v>
      </c>
      <c r="E182" s="3">
        <f t="shared" si="29"/>
        <v>100.54263</v>
      </c>
      <c r="F182" s="1">
        <f t="shared" si="28"/>
        <v>3.0140432261094468E-3</v>
      </c>
      <c r="I182" s="4">
        <v>225.00595999999999</v>
      </c>
      <c r="J182" s="1">
        <v>89</v>
      </c>
      <c r="K182" s="3">
        <v>93.903270000000006</v>
      </c>
      <c r="L182" s="3">
        <f t="shared" si="30"/>
        <v>97.490340000000003</v>
      </c>
      <c r="M182" s="1">
        <f t="shared" si="42"/>
        <v>5.0260414645909308E-2</v>
      </c>
      <c r="P182" s="4">
        <v>225.02136999999999</v>
      </c>
      <c r="Q182" s="1">
        <v>89</v>
      </c>
      <c r="R182" s="3">
        <v>99.350009999999997</v>
      </c>
      <c r="S182" s="3">
        <f t="shared" si="31"/>
        <v>99.274190000000004</v>
      </c>
      <c r="T182" s="1">
        <f t="shared" si="41"/>
        <v>1.4884603930608824E-2</v>
      </c>
      <c r="W182" s="4">
        <v>250.00393</v>
      </c>
      <c r="X182" s="1">
        <v>89</v>
      </c>
      <c r="Y182" s="5">
        <v>90.531580000000005</v>
      </c>
      <c r="Z182" s="3">
        <f t="shared" si="32"/>
        <v>95.972410000000011</v>
      </c>
      <c r="AA182" s="1">
        <f t="shared" si="40"/>
        <v>7.5301362223575655E-2</v>
      </c>
      <c r="AD182" s="4">
        <v>250.02225999999999</v>
      </c>
      <c r="AE182" s="1">
        <v>89</v>
      </c>
      <c r="AF182" s="5">
        <v>97.580629999999999</v>
      </c>
      <c r="AG182" s="3">
        <f t="shared" si="33"/>
        <v>97.842119999999994</v>
      </c>
      <c r="AH182" s="1">
        <f t="shared" si="39"/>
        <v>4.4601605563346525E-2</v>
      </c>
      <c r="AK182" s="11">
        <v>550.55010000000004</v>
      </c>
      <c r="AL182" s="1">
        <v>89</v>
      </c>
      <c r="AM182" s="12">
        <v>42.123330000000003</v>
      </c>
      <c r="AN182" s="3">
        <f t="shared" si="34"/>
        <v>44.70955</v>
      </c>
      <c r="AO182" s="1">
        <f t="shared" si="38"/>
        <v>0.92321482668498245</v>
      </c>
      <c r="AQ182" s="11">
        <v>553.05737999999997</v>
      </c>
      <c r="AR182" s="1">
        <v>89</v>
      </c>
      <c r="AS182" s="13">
        <v>37.28228</v>
      </c>
      <c r="AT182" s="3">
        <f t="shared" si="35"/>
        <v>40.241010000000003</v>
      </c>
      <c r="AU182" s="1">
        <f t="shared" si="37"/>
        <v>0.99732681861923378</v>
      </c>
      <c r="AW182" s="11">
        <v>371.78555999999998</v>
      </c>
      <c r="AX182" s="1">
        <v>89</v>
      </c>
      <c r="AY182" s="12">
        <v>55.478740000000002</v>
      </c>
      <c r="AZ182" s="3">
        <f t="shared" si="36"/>
        <v>57.144390000000001</v>
      </c>
    </row>
    <row r="183" spans="2:52" ht="16" x14ac:dyDescent="0.2">
      <c r="B183" s="4">
        <v>200.13312999999999</v>
      </c>
      <c r="C183" s="1">
        <v>89.5</v>
      </c>
      <c r="D183" s="5">
        <v>99.441800000000001</v>
      </c>
      <c r="E183" s="3">
        <f t="shared" si="29"/>
        <v>100.56824</v>
      </c>
      <c r="F183" s="1">
        <f t="shared" si="28"/>
        <v>2.5897144535259541E-3</v>
      </c>
      <c r="I183" s="4">
        <v>225.00803999999999</v>
      </c>
      <c r="J183" s="1">
        <v>89.5</v>
      </c>
      <c r="K183" s="5">
        <v>93.886740000000003</v>
      </c>
      <c r="L183" s="3">
        <f t="shared" si="30"/>
        <v>97.47381</v>
      </c>
      <c r="M183" s="1">
        <f t="shared" si="42"/>
        <v>5.053486212165316E-2</v>
      </c>
      <c r="P183" s="4">
        <v>225.02199999999999</v>
      </c>
      <c r="Q183" s="1">
        <v>89.5</v>
      </c>
      <c r="R183" s="5">
        <v>99.318600000000004</v>
      </c>
      <c r="S183" s="3">
        <f t="shared" si="31"/>
        <v>99.24278000000001</v>
      </c>
      <c r="T183" s="1">
        <f t="shared" si="41"/>
        <v>1.5407925931840472E-2</v>
      </c>
      <c r="W183" s="4">
        <v>250.00699</v>
      </c>
      <c r="X183" s="1">
        <v>89.5</v>
      </c>
      <c r="Y183" s="3">
        <v>90.543040000000005</v>
      </c>
      <c r="Z183" s="3">
        <f t="shared" si="32"/>
        <v>95.98387000000001</v>
      </c>
      <c r="AA183" s="1">
        <f t="shared" si="40"/>
        <v>7.5111072669979212E-2</v>
      </c>
      <c r="AD183" s="4">
        <v>250.02553</v>
      </c>
      <c r="AE183" s="1">
        <v>89.5</v>
      </c>
      <c r="AF183" s="3">
        <v>97.624970000000005</v>
      </c>
      <c r="AG183" s="3">
        <f t="shared" si="33"/>
        <v>97.88646</v>
      </c>
      <c r="AH183" s="1">
        <f t="shared" si="39"/>
        <v>4.3865511234075602E-2</v>
      </c>
      <c r="AK183" s="11">
        <v>553.04818</v>
      </c>
      <c r="AL183" s="1">
        <v>89.5</v>
      </c>
      <c r="AM183" s="13">
        <v>42.084200000000003</v>
      </c>
      <c r="AN183" s="3">
        <f t="shared" si="34"/>
        <v>44.67042</v>
      </c>
      <c r="AO183" s="1">
        <f t="shared" si="38"/>
        <v>0.92386744658720865</v>
      </c>
      <c r="AQ183" s="11">
        <v>555.55226000000005</v>
      </c>
      <c r="AR183" s="1">
        <v>89.5</v>
      </c>
      <c r="AS183" s="12">
        <v>37.242820000000002</v>
      </c>
      <c r="AT183" s="3">
        <f t="shared" si="35"/>
        <v>40.201550000000005</v>
      </c>
      <c r="AU183" s="1">
        <f t="shared" si="37"/>
        <v>0.99798534971394182</v>
      </c>
      <c r="AW183" s="11">
        <v>373.30752000000001</v>
      </c>
      <c r="AX183" s="1">
        <v>89.5</v>
      </c>
      <c r="AY183" s="13">
        <v>54.90211</v>
      </c>
      <c r="AZ183" s="3">
        <f t="shared" si="36"/>
        <v>56.56776</v>
      </c>
    </row>
    <row r="184" spans="2:52" ht="16" x14ac:dyDescent="0.2">
      <c r="B184" s="4">
        <v>200.13305</v>
      </c>
      <c r="C184" s="1">
        <v>90</v>
      </c>
      <c r="D184" s="3">
        <v>99.332939999999994</v>
      </c>
      <c r="E184" s="3">
        <f t="shared" si="29"/>
        <v>100.45938</v>
      </c>
      <c r="F184" s="1">
        <f t="shared" ref="F184:F247" si="43">($E$119-E184)/($E$119*(1-$N$1))</f>
        <v>4.3934016922390099E-3</v>
      </c>
      <c r="I184" s="4">
        <v>225.00701000000001</v>
      </c>
      <c r="J184" s="1">
        <v>90</v>
      </c>
      <c r="K184" s="3">
        <v>93.862960000000001</v>
      </c>
      <c r="L184" s="3">
        <f t="shared" si="30"/>
        <v>97.450029999999998</v>
      </c>
      <c r="M184" s="1">
        <f t="shared" si="42"/>
        <v>5.0929681297284632E-2</v>
      </c>
      <c r="P184" s="4">
        <v>225.02008000000001</v>
      </c>
      <c r="Q184" s="1">
        <v>90</v>
      </c>
      <c r="R184" s="3">
        <v>99.305350000000004</v>
      </c>
      <c r="S184" s="3">
        <f t="shared" si="31"/>
        <v>99.229530000000011</v>
      </c>
      <c r="T184" s="1">
        <f t="shared" si="41"/>
        <v>1.5628684178141658E-2</v>
      </c>
      <c r="W184" s="4">
        <v>250.00596999999999</v>
      </c>
      <c r="X184" s="1">
        <v>90</v>
      </c>
      <c r="Y184" s="5">
        <v>90.498829999999998</v>
      </c>
      <c r="Z184" s="3">
        <f t="shared" si="32"/>
        <v>95.939660000000003</v>
      </c>
      <c r="AA184" s="1">
        <f t="shared" si="40"/>
        <v>7.5845165267230522E-2</v>
      </c>
      <c r="AD184" s="4">
        <v>250.02367000000001</v>
      </c>
      <c r="AE184" s="1">
        <v>90</v>
      </c>
      <c r="AF184" s="5">
        <v>97.668130000000005</v>
      </c>
      <c r="AG184" s="3">
        <f t="shared" si="33"/>
        <v>97.92962</v>
      </c>
      <c r="AH184" s="1">
        <f t="shared" si="39"/>
        <v>4.3149006244194467E-2</v>
      </c>
      <c r="AK184" s="11">
        <v>555.54881</v>
      </c>
      <c r="AL184" s="1">
        <v>90</v>
      </c>
      <c r="AM184" s="12">
        <v>42.069299999999998</v>
      </c>
      <c r="AN184" s="3">
        <f t="shared" si="34"/>
        <v>44.655519999999996</v>
      </c>
      <c r="AO184" s="1">
        <f t="shared" si="38"/>
        <v>0.92411595250448875</v>
      </c>
      <c r="AQ184" s="11">
        <v>558.05354999999997</v>
      </c>
      <c r="AR184" s="1">
        <v>90</v>
      </c>
      <c r="AS184" s="13">
        <v>37.213369999999998</v>
      </c>
      <c r="AT184" s="3">
        <f t="shared" si="35"/>
        <v>40.1721</v>
      </c>
      <c r="AU184" s="1">
        <f t="shared" si="37"/>
        <v>0.99847682819187278</v>
      </c>
      <c r="AW184" s="11">
        <v>374.84237000000002</v>
      </c>
      <c r="AX184" s="1">
        <v>90</v>
      </c>
      <c r="AY184" s="12">
        <v>54.345300000000002</v>
      </c>
      <c r="AZ184" s="3">
        <f t="shared" si="36"/>
        <v>56.010950000000001</v>
      </c>
    </row>
    <row r="185" spans="2:52" ht="16" x14ac:dyDescent="0.2">
      <c r="B185" s="4">
        <v>200.13570999999999</v>
      </c>
      <c r="C185" s="1">
        <v>90.5</v>
      </c>
      <c r="D185" s="5">
        <v>99.339359999999999</v>
      </c>
      <c r="E185" s="3">
        <f t="shared" si="29"/>
        <v>100.4658</v>
      </c>
      <c r="F185" s="1">
        <f t="shared" si="43"/>
        <v>4.2870295438599245E-3</v>
      </c>
      <c r="I185" s="4">
        <v>225.00503</v>
      </c>
      <c r="J185" s="1">
        <v>90.5</v>
      </c>
      <c r="K185" s="5">
        <v>93.850279999999998</v>
      </c>
      <c r="L185" s="3">
        <f t="shared" si="30"/>
        <v>97.437349999999995</v>
      </c>
      <c r="M185" s="1">
        <f t="shared" si="42"/>
        <v>5.1140207249639885E-2</v>
      </c>
      <c r="P185" s="4">
        <v>225.01965000000001</v>
      </c>
      <c r="Q185" s="1">
        <v>90.5</v>
      </c>
      <c r="R185" s="5">
        <v>99.242750000000001</v>
      </c>
      <c r="S185" s="3">
        <f t="shared" si="31"/>
        <v>99.166930000000008</v>
      </c>
      <c r="T185" s="1">
        <f t="shared" si="41"/>
        <v>1.6671662760666624E-2</v>
      </c>
      <c r="W185" s="4">
        <v>250.00199000000001</v>
      </c>
      <c r="X185" s="1">
        <v>90.5</v>
      </c>
      <c r="Y185" s="3">
        <v>90.473939999999999</v>
      </c>
      <c r="Z185" s="3">
        <f t="shared" si="32"/>
        <v>95.914770000000004</v>
      </c>
      <c r="AA185" s="1">
        <f t="shared" si="40"/>
        <v>7.6258455580408113E-2</v>
      </c>
      <c r="AD185" s="4">
        <v>250.02158</v>
      </c>
      <c r="AE185" s="1">
        <v>90.5</v>
      </c>
      <c r="AF185" s="3">
        <v>97.524969999999996</v>
      </c>
      <c r="AG185" s="3">
        <f t="shared" si="33"/>
        <v>97.786459999999991</v>
      </c>
      <c r="AH185" s="1">
        <f t="shared" si="39"/>
        <v>4.5525624741677984E-2</v>
      </c>
      <c r="AK185" s="11">
        <v>558.05106999999998</v>
      </c>
      <c r="AL185" s="1">
        <v>90.5</v>
      </c>
      <c r="AM185" s="13">
        <v>42.011839999999999</v>
      </c>
      <c r="AN185" s="3">
        <f t="shared" si="34"/>
        <v>44.598059999999997</v>
      </c>
      <c r="AO185" s="1">
        <f t="shared" si="38"/>
        <v>0.92507428471971775</v>
      </c>
      <c r="AQ185" s="11">
        <v>560.55814999999996</v>
      </c>
      <c r="AR185" s="1">
        <v>90.5</v>
      </c>
      <c r="AS185" s="12">
        <v>37.145530000000001</v>
      </c>
      <c r="AT185" s="3">
        <f t="shared" si="35"/>
        <v>40.104260000000004</v>
      </c>
      <c r="AU185" s="1">
        <f t="shared" si="37"/>
        <v>0.99960898099128981</v>
      </c>
      <c r="AW185" s="11">
        <v>376.37963000000002</v>
      </c>
      <c r="AX185" s="1">
        <v>90.5</v>
      </c>
      <c r="AY185" s="13">
        <v>53.776850000000003</v>
      </c>
      <c r="AZ185" s="3">
        <f t="shared" si="36"/>
        <v>55.442500000000003</v>
      </c>
    </row>
    <row r="186" spans="2:52" ht="16" x14ac:dyDescent="0.2">
      <c r="B186" s="4">
        <v>200.13591</v>
      </c>
      <c r="C186" s="1">
        <v>91</v>
      </c>
      <c r="D186" s="3">
        <v>99.329700000000003</v>
      </c>
      <c r="E186" s="3">
        <f t="shared" si="29"/>
        <v>100.45614</v>
      </c>
      <c r="F186" s="1">
        <f t="shared" si="43"/>
        <v>4.4470848325422778E-3</v>
      </c>
      <c r="I186" s="4">
        <v>225.00794999999999</v>
      </c>
      <c r="J186" s="1">
        <v>91</v>
      </c>
      <c r="K186" s="3">
        <v>93.843260000000001</v>
      </c>
      <c r="L186" s="3">
        <f t="shared" si="30"/>
        <v>97.430329999999998</v>
      </c>
      <c r="M186" s="1">
        <f t="shared" si="42"/>
        <v>5.1256760261117244E-2</v>
      </c>
      <c r="P186" s="4">
        <v>225.0188</v>
      </c>
      <c r="Q186" s="1">
        <v>91</v>
      </c>
      <c r="R186" s="3">
        <v>99.202079999999995</v>
      </c>
      <c r="S186" s="3">
        <f t="shared" si="31"/>
        <v>99.126260000000002</v>
      </c>
      <c r="T186" s="1">
        <f t="shared" si="41"/>
        <v>1.7349265619313495E-2</v>
      </c>
      <c r="W186" s="4">
        <v>250.00597999999999</v>
      </c>
      <c r="X186" s="1">
        <v>91</v>
      </c>
      <c r="Y186" s="5">
        <v>90.454800000000006</v>
      </c>
      <c r="Z186" s="3">
        <f t="shared" si="32"/>
        <v>95.895630000000011</v>
      </c>
      <c r="AA186" s="1">
        <f t="shared" si="40"/>
        <v>7.6576269023325622E-2</v>
      </c>
      <c r="AD186" s="4">
        <v>250.02095</v>
      </c>
      <c r="AE186" s="1">
        <v>91</v>
      </c>
      <c r="AF186" s="5">
        <v>97.541380000000004</v>
      </c>
      <c r="AG186" s="3">
        <f t="shared" si="33"/>
        <v>97.802869999999999</v>
      </c>
      <c r="AH186" s="1">
        <f t="shared" si="39"/>
        <v>4.5253200115080328E-2</v>
      </c>
      <c r="AK186" s="11">
        <v>560.55398000000002</v>
      </c>
      <c r="AL186" s="1">
        <v>91</v>
      </c>
      <c r="AM186" s="12">
        <v>41.945390000000003</v>
      </c>
      <c r="AN186" s="3">
        <f t="shared" si="34"/>
        <v>44.531610000000001</v>
      </c>
      <c r="AO186" s="1">
        <f t="shared" si="38"/>
        <v>0.92618255439778885</v>
      </c>
      <c r="AQ186" s="11">
        <v>563.05534999999998</v>
      </c>
      <c r="AR186" s="1">
        <v>91</v>
      </c>
      <c r="AS186" s="13">
        <v>37.128590000000003</v>
      </c>
      <c r="AT186" s="3">
        <f t="shared" si="35"/>
        <v>40.087320000000005</v>
      </c>
      <c r="AU186" s="17">
        <f t="shared" si="37"/>
        <v>0.99989168541968187</v>
      </c>
      <c r="AW186" s="11">
        <v>377.92669000000001</v>
      </c>
      <c r="AX186" s="1">
        <v>91</v>
      </c>
      <c r="AY186" s="12">
        <v>53.348100000000002</v>
      </c>
      <c r="AZ186" s="3">
        <f t="shared" si="36"/>
        <v>55.013750000000002</v>
      </c>
    </row>
    <row r="187" spans="2:52" ht="16" x14ac:dyDescent="0.2">
      <c r="B187" s="4">
        <v>200.13065</v>
      </c>
      <c r="C187" s="1">
        <v>91.5</v>
      </c>
      <c r="D187" s="5">
        <v>99.392880000000005</v>
      </c>
      <c r="E187" s="3">
        <f t="shared" si="29"/>
        <v>100.51932000000001</v>
      </c>
      <c r="F187" s="1">
        <f t="shared" si="43"/>
        <v>3.4002635966256115E-3</v>
      </c>
      <c r="I187" s="4">
        <v>225.00989999999999</v>
      </c>
      <c r="J187" s="1">
        <v>91.5</v>
      </c>
      <c r="K187" s="5">
        <v>93.819580000000002</v>
      </c>
      <c r="L187" s="3">
        <f t="shared" si="30"/>
        <v>97.406649999999999</v>
      </c>
      <c r="M187" s="1">
        <f t="shared" si="42"/>
        <v>5.1649919137439861E-2</v>
      </c>
      <c r="P187" s="4">
        <v>225.01866999999999</v>
      </c>
      <c r="Q187" s="1">
        <v>91.5</v>
      </c>
      <c r="R187" s="5">
        <v>99.316400000000002</v>
      </c>
      <c r="S187" s="3">
        <f t="shared" si="31"/>
        <v>99.240580000000008</v>
      </c>
      <c r="T187" s="1">
        <f t="shared" si="41"/>
        <v>1.5444580131226364E-2</v>
      </c>
      <c r="W187" s="4">
        <v>250.00202999999999</v>
      </c>
      <c r="X187" s="1">
        <v>91.5</v>
      </c>
      <c r="Y187" s="3">
        <v>90.429879999999997</v>
      </c>
      <c r="Z187" s="3">
        <f t="shared" si="32"/>
        <v>95.870710000000003</v>
      </c>
      <c r="AA187" s="1">
        <f t="shared" si="40"/>
        <v>7.6990057476696031E-2</v>
      </c>
      <c r="AD187" s="4">
        <v>250.01711</v>
      </c>
      <c r="AE187" s="1">
        <v>91.5</v>
      </c>
      <c r="AF187" s="3">
        <v>97.519270000000006</v>
      </c>
      <c r="AG187" s="3">
        <f t="shared" si="33"/>
        <v>97.780760000000001</v>
      </c>
      <c r="AH187" s="1">
        <f t="shared" si="39"/>
        <v>4.5620251211611153E-2</v>
      </c>
      <c r="AK187" s="11">
        <v>563.05692999999997</v>
      </c>
      <c r="AL187" s="1">
        <v>91.5</v>
      </c>
      <c r="AM187" s="13">
        <v>41.941299999999998</v>
      </c>
      <c r="AN187" s="3">
        <f t="shared" si="34"/>
        <v>44.527519999999996</v>
      </c>
      <c r="AO187" s="1">
        <f t="shared" si="38"/>
        <v>0.92625076843816989</v>
      </c>
      <c r="AQ187" s="11">
        <v>565.55813000000001</v>
      </c>
      <c r="AR187" s="1">
        <v>91.5</v>
      </c>
      <c r="AS187" s="12">
        <v>37.057119999999998</v>
      </c>
      <c r="AT187" s="3">
        <f t="shared" si="35"/>
        <v>40.01585</v>
      </c>
      <c r="AU187" s="1">
        <f t="shared" si="37"/>
        <v>1.0010844177394689</v>
      </c>
      <c r="AW187" s="11">
        <v>379.46960999999999</v>
      </c>
      <c r="AX187" s="1">
        <v>91.5</v>
      </c>
      <c r="AY187" s="13">
        <v>52.921010000000003</v>
      </c>
      <c r="AZ187" s="3">
        <f t="shared" si="36"/>
        <v>54.586660000000002</v>
      </c>
    </row>
    <row r="188" spans="2:52" ht="16" x14ac:dyDescent="0.2">
      <c r="B188" s="4">
        <v>200.11534</v>
      </c>
      <c r="C188" s="1">
        <v>92</v>
      </c>
      <c r="D188" s="3">
        <v>99.352980000000002</v>
      </c>
      <c r="E188" s="3">
        <f t="shared" si="29"/>
        <v>100.47942</v>
      </c>
      <c r="F188" s="1">
        <f t="shared" si="43"/>
        <v>4.0613615281399557E-3</v>
      </c>
      <c r="I188" s="4">
        <v>225.00511</v>
      </c>
      <c r="J188" s="1">
        <v>92</v>
      </c>
      <c r="K188" s="3">
        <v>93.819339999999997</v>
      </c>
      <c r="L188" s="3">
        <f t="shared" si="30"/>
        <v>97.406409999999994</v>
      </c>
      <c r="M188" s="1">
        <f t="shared" si="42"/>
        <v>5.1653903855781058E-2</v>
      </c>
      <c r="P188" s="4">
        <v>225.01495</v>
      </c>
      <c r="Q188" s="1">
        <v>92</v>
      </c>
      <c r="R188" s="3">
        <v>99.314329999999998</v>
      </c>
      <c r="S188" s="3">
        <f t="shared" si="31"/>
        <v>99.238510000000005</v>
      </c>
      <c r="T188" s="1">
        <f t="shared" si="41"/>
        <v>1.547906840064857E-2</v>
      </c>
      <c r="W188" s="4">
        <v>250.00297</v>
      </c>
      <c r="X188" s="1">
        <v>92</v>
      </c>
      <c r="Y188" s="5">
        <v>90.41825</v>
      </c>
      <c r="Z188" s="3">
        <f t="shared" si="32"/>
        <v>95.859080000000006</v>
      </c>
      <c r="AA188" s="1">
        <f t="shared" si="40"/>
        <v>7.7183169824717499E-2</v>
      </c>
      <c r="AD188" s="4">
        <v>250.01420999999999</v>
      </c>
      <c r="AE188" s="1">
        <v>92</v>
      </c>
      <c r="AF188" s="5">
        <v>97.594549999999998</v>
      </c>
      <c r="AG188" s="3">
        <f t="shared" si="33"/>
        <v>97.856039999999993</v>
      </c>
      <c r="AH188" s="1">
        <f t="shared" si="39"/>
        <v>4.4370517763088313E-2</v>
      </c>
      <c r="AK188" s="11">
        <v>565.55809999999997</v>
      </c>
      <c r="AL188" s="1">
        <v>92</v>
      </c>
      <c r="AM188" s="12">
        <v>41.876559999999998</v>
      </c>
      <c r="AN188" s="3">
        <f t="shared" si="34"/>
        <v>44.462779999999995</v>
      </c>
      <c r="AO188" s="1">
        <f t="shared" si="38"/>
        <v>0.92733051830962709</v>
      </c>
      <c r="AQ188" s="11">
        <v>568.06239000000005</v>
      </c>
      <c r="AR188" s="1">
        <v>92</v>
      </c>
      <c r="AS188" s="13">
        <v>37.010849999999998</v>
      </c>
      <c r="AT188" s="3">
        <f t="shared" si="35"/>
        <v>39.969580000000001</v>
      </c>
      <c r="AU188" s="1">
        <f t="shared" si="37"/>
        <v>1.0018565980170193</v>
      </c>
      <c r="AW188" s="11">
        <v>381.01371</v>
      </c>
      <c r="AX188" s="1">
        <v>92</v>
      </c>
      <c r="AY188" s="12">
        <v>52.515140000000002</v>
      </c>
      <c r="AZ188" s="3">
        <f t="shared" si="36"/>
        <v>54.180790000000002</v>
      </c>
    </row>
    <row r="189" spans="2:52" ht="16" x14ac:dyDescent="0.2">
      <c r="B189" s="4">
        <v>200.10140999999999</v>
      </c>
      <c r="C189" s="1">
        <v>92.5</v>
      </c>
      <c r="D189" s="5">
        <v>99.417580000000001</v>
      </c>
      <c r="E189" s="3">
        <f t="shared" si="29"/>
        <v>100.54402</v>
      </c>
      <c r="F189" s="1">
        <f t="shared" si="43"/>
        <v>2.9910124961644515E-3</v>
      </c>
      <c r="I189" s="4">
        <v>225.00683000000001</v>
      </c>
      <c r="J189" s="1">
        <v>92.5</v>
      </c>
      <c r="K189" s="5">
        <v>93.793660000000003</v>
      </c>
      <c r="L189" s="3">
        <f t="shared" si="30"/>
        <v>97.38073</v>
      </c>
      <c r="M189" s="1">
        <f t="shared" si="42"/>
        <v>5.2080268718279497E-2</v>
      </c>
      <c r="P189" s="4">
        <v>225.01474999999999</v>
      </c>
      <c r="Q189" s="1">
        <v>92.5</v>
      </c>
      <c r="R189" s="5">
        <v>99.381919999999994</v>
      </c>
      <c r="S189" s="3">
        <f t="shared" si="31"/>
        <v>99.306100000000001</v>
      </c>
      <c r="T189" s="1">
        <f t="shared" si="41"/>
        <v>1.4352951429516715E-2</v>
      </c>
      <c r="W189" s="4">
        <v>250.00402</v>
      </c>
      <c r="X189" s="1">
        <v>92.5</v>
      </c>
      <c r="Y189" s="3">
        <v>90.395420000000001</v>
      </c>
      <c r="Z189" s="3">
        <f t="shared" si="32"/>
        <v>95.836250000000007</v>
      </c>
      <c r="AA189" s="1">
        <f t="shared" si="40"/>
        <v>7.7562254511332376E-2</v>
      </c>
      <c r="AD189" s="4">
        <v>250.01275000000001</v>
      </c>
      <c r="AE189" s="1">
        <v>92.5</v>
      </c>
      <c r="AF189" s="3">
        <v>97.544399999999996</v>
      </c>
      <c r="AG189" s="3">
        <f t="shared" si="33"/>
        <v>97.805889999999991</v>
      </c>
      <c r="AH189" s="1">
        <f t="shared" si="39"/>
        <v>4.5203064687150872E-2</v>
      </c>
      <c r="AK189" s="11">
        <v>568.06235000000004</v>
      </c>
      <c r="AL189" s="1">
        <v>92.5</v>
      </c>
      <c r="AM189" s="13">
        <v>41.842030000000001</v>
      </c>
      <c r="AN189" s="3">
        <f t="shared" si="34"/>
        <v>44.428249999999998</v>
      </c>
      <c r="AO189" s="1">
        <f t="shared" si="38"/>
        <v>0.92790641826423648</v>
      </c>
      <c r="AQ189" s="11">
        <v>570.56358999999998</v>
      </c>
      <c r="AR189" s="1">
        <v>92.5</v>
      </c>
      <c r="AS189" s="12">
        <v>36.987070000000003</v>
      </c>
      <c r="AT189" s="3">
        <f t="shared" si="35"/>
        <v>39.945800000000006</v>
      </c>
      <c r="AU189" s="1">
        <f t="shared" si="37"/>
        <v>1.0022534522854469</v>
      </c>
      <c r="AW189" s="11">
        <v>382.55748</v>
      </c>
      <c r="AX189" s="1">
        <v>92.5</v>
      </c>
      <c r="AY189" s="13">
        <v>52.162129999999998</v>
      </c>
      <c r="AZ189" s="3">
        <f t="shared" si="36"/>
        <v>53.827779999999997</v>
      </c>
    </row>
    <row r="190" spans="2:52" ht="16" x14ac:dyDescent="0.2">
      <c r="B190" s="4">
        <v>200.09157999999999</v>
      </c>
      <c r="C190" s="1">
        <v>93</v>
      </c>
      <c r="D190" s="3">
        <v>99.383409999999998</v>
      </c>
      <c r="E190" s="3">
        <f t="shared" si="29"/>
        <v>100.50985</v>
      </c>
      <c r="F190" s="1">
        <f t="shared" si="43"/>
        <v>3.5571707999199793E-3</v>
      </c>
      <c r="I190" s="4">
        <v>225.00796</v>
      </c>
      <c r="J190" s="1">
        <v>93</v>
      </c>
      <c r="K190" s="3">
        <v>93.76361</v>
      </c>
      <c r="L190" s="3">
        <f t="shared" si="30"/>
        <v>97.350679999999997</v>
      </c>
      <c r="M190" s="1">
        <f t="shared" si="42"/>
        <v>5.2579188660572422E-2</v>
      </c>
      <c r="P190" s="4">
        <v>225.01469</v>
      </c>
      <c r="Q190" s="1">
        <v>93</v>
      </c>
      <c r="R190" s="3">
        <v>99.419250000000005</v>
      </c>
      <c r="S190" s="3">
        <f t="shared" si="31"/>
        <v>99.343430000000012</v>
      </c>
      <c r="T190" s="1">
        <f t="shared" si="41"/>
        <v>1.3730996309937373E-2</v>
      </c>
      <c r="W190" s="4">
        <v>250.00399999999999</v>
      </c>
      <c r="X190" s="1">
        <v>93</v>
      </c>
      <c r="Y190" s="5">
        <v>90.378119999999996</v>
      </c>
      <c r="Z190" s="3">
        <f t="shared" si="32"/>
        <v>95.818950000000001</v>
      </c>
      <c r="AA190" s="1">
        <f t="shared" si="40"/>
        <v>7.7849515355766896E-2</v>
      </c>
      <c r="AD190" s="4">
        <v>250.00980999999999</v>
      </c>
      <c r="AE190" s="1">
        <v>93</v>
      </c>
      <c r="AF190" s="5">
        <v>97.462980000000002</v>
      </c>
      <c r="AG190" s="3">
        <f t="shared" si="33"/>
        <v>97.724469999999997</v>
      </c>
      <c r="AH190" s="1">
        <f t="shared" si="39"/>
        <v>4.6554729105040521E-2</v>
      </c>
      <c r="AK190" s="11">
        <v>570.56574999999998</v>
      </c>
      <c r="AL190" s="1">
        <v>93</v>
      </c>
      <c r="AM190" s="12">
        <v>41.788429999999998</v>
      </c>
      <c r="AN190" s="3">
        <f t="shared" si="34"/>
        <v>44.374649999999995</v>
      </c>
      <c r="AO190" s="1">
        <f t="shared" si="38"/>
        <v>0.92880037243646552</v>
      </c>
      <c r="AQ190" s="11">
        <v>573.06583000000001</v>
      </c>
      <c r="AR190" s="1">
        <v>93</v>
      </c>
      <c r="AS190" s="13">
        <v>36.940359999999998</v>
      </c>
      <c r="AT190" s="3">
        <f t="shared" si="35"/>
        <v>39.899090000000001</v>
      </c>
      <c r="AU190" s="1">
        <f t="shared" si="37"/>
        <v>1.0030329755351635</v>
      </c>
      <c r="AW190" s="11">
        <v>384.09451999999999</v>
      </c>
      <c r="AX190" s="1">
        <v>93</v>
      </c>
      <c r="AY190" s="12">
        <v>51.809570000000001</v>
      </c>
      <c r="AZ190" s="3">
        <f t="shared" si="36"/>
        <v>53.47522</v>
      </c>
    </row>
    <row r="191" spans="2:52" ht="16" x14ac:dyDescent="0.2">
      <c r="B191" s="4">
        <v>200.09075000000001</v>
      </c>
      <c r="C191" s="1">
        <v>93.5</v>
      </c>
      <c r="D191" s="5">
        <v>99.311809999999994</v>
      </c>
      <c r="E191" s="3">
        <f t="shared" si="29"/>
        <v>100.43825</v>
      </c>
      <c r="F191" s="1">
        <f t="shared" si="43"/>
        <v>4.7435019251436889E-3</v>
      </c>
      <c r="I191" s="4">
        <v>225.00384</v>
      </c>
      <c r="J191" s="1">
        <v>93.5</v>
      </c>
      <c r="K191" s="5">
        <v>93.746279999999999</v>
      </c>
      <c r="L191" s="3">
        <f t="shared" si="30"/>
        <v>97.333349999999996</v>
      </c>
      <c r="M191" s="1">
        <f t="shared" si="42"/>
        <v>5.2866918530786608E-2</v>
      </c>
      <c r="P191" s="4">
        <v>225.01559</v>
      </c>
      <c r="Q191" s="1">
        <v>93.5</v>
      </c>
      <c r="R191" s="5">
        <v>99.346339999999998</v>
      </c>
      <c r="S191" s="3">
        <f t="shared" si="31"/>
        <v>99.270520000000005</v>
      </c>
      <c r="T191" s="1">
        <f t="shared" si="41"/>
        <v>1.494574979958432E-2</v>
      </c>
      <c r="W191" s="4">
        <v>250.00398000000001</v>
      </c>
      <c r="X191" s="1">
        <v>93.5</v>
      </c>
      <c r="Y191" s="3">
        <v>90.337919999999997</v>
      </c>
      <c r="Z191" s="3">
        <f t="shared" si="32"/>
        <v>95.778750000000002</v>
      </c>
      <c r="AA191" s="1">
        <f t="shared" si="40"/>
        <v>7.8517023213932391E-2</v>
      </c>
      <c r="AD191" s="4">
        <v>250.01273</v>
      </c>
      <c r="AE191" s="1">
        <v>93.5</v>
      </c>
      <c r="AF191" s="3">
        <v>97.457499999999996</v>
      </c>
      <c r="AG191" s="3">
        <f t="shared" si="33"/>
        <v>97.718989999999991</v>
      </c>
      <c r="AH191" s="1">
        <f t="shared" si="39"/>
        <v>4.6645703325257221E-2</v>
      </c>
      <c r="AK191" s="11">
        <v>573.06253000000004</v>
      </c>
      <c r="AL191" s="1">
        <v>93.5</v>
      </c>
      <c r="AM191" s="13">
        <v>41.767969999999998</v>
      </c>
      <c r="AN191" s="3">
        <f t="shared" si="34"/>
        <v>44.354189999999996</v>
      </c>
      <c r="AO191" s="1">
        <f t="shared" si="38"/>
        <v>0.92914160942086477</v>
      </c>
      <c r="AQ191" s="11">
        <v>575.56732999999997</v>
      </c>
      <c r="AR191" s="1">
        <v>93.5</v>
      </c>
      <c r="AS191" s="12">
        <v>36.865119999999997</v>
      </c>
      <c r="AT191" s="3">
        <f t="shared" si="35"/>
        <v>39.82385</v>
      </c>
      <c r="AU191" s="1">
        <f t="shared" si="37"/>
        <v>1.0042886237755546</v>
      </c>
      <c r="AW191" s="11">
        <v>385.63252</v>
      </c>
      <c r="AX191" s="1">
        <v>93.5</v>
      </c>
      <c r="AY191" s="13">
        <v>51.431919999999998</v>
      </c>
      <c r="AZ191" s="3">
        <f t="shared" si="36"/>
        <v>53.097569999999997</v>
      </c>
    </row>
    <row r="192" spans="2:52" ht="16" x14ac:dyDescent="0.2">
      <c r="B192" s="4">
        <v>200.09372999999999</v>
      </c>
      <c r="C192" s="1">
        <v>94</v>
      </c>
      <c r="D192" s="3">
        <v>99.276849999999996</v>
      </c>
      <c r="E192" s="3">
        <f t="shared" si="29"/>
        <v>100.40329</v>
      </c>
      <c r="F192" s="1">
        <f t="shared" si="43"/>
        <v>5.322749636565708E-3</v>
      </c>
      <c r="I192" s="4">
        <v>225.00289000000001</v>
      </c>
      <c r="J192" s="1">
        <v>94</v>
      </c>
      <c r="K192" s="3">
        <v>93.753410000000002</v>
      </c>
      <c r="L192" s="3">
        <f t="shared" si="30"/>
        <v>97.340479999999999</v>
      </c>
      <c r="M192" s="1">
        <f t="shared" si="42"/>
        <v>5.2748539190069464E-2</v>
      </c>
      <c r="P192" s="4">
        <v>225.01824999999999</v>
      </c>
      <c r="Q192" s="1">
        <v>94</v>
      </c>
      <c r="R192" s="3">
        <v>99.310699999999997</v>
      </c>
      <c r="S192" s="3">
        <f t="shared" si="31"/>
        <v>99.234880000000004</v>
      </c>
      <c r="T192" s="1">
        <f t="shared" si="41"/>
        <v>1.5539547829635257E-2</v>
      </c>
      <c r="W192" s="4">
        <v>250.00303</v>
      </c>
      <c r="X192" s="1">
        <v>94</v>
      </c>
      <c r="Y192" s="5">
        <v>90.307109999999994</v>
      </c>
      <c r="Z192" s="3">
        <f t="shared" si="32"/>
        <v>95.74794</v>
      </c>
      <c r="AA192" s="1">
        <f t="shared" si="40"/>
        <v>7.9028613191795119E-2</v>
      </c>
      <c r="AD192" s="4">
        <v>250.01130000000001</v>
      </c>
      <c r="AE192" s="1">
        <v>94</v>
      </c>
      <c r="AF192" s="5">
        <v>97.455160000000006</v>
      </c>
      <c r="AG192" s="3">
        <f t="shared" si="33"/>
        <v>97.716650000000001</v>
      </c>
      <c r="AH192" s="1">
        <f t="shared" si="39"/>
        <v>4.6684549981334943E-2</v>
      </c>
      <c r="AK192" s="11">
        <v>575.56539999999995</v>
      </c>
      <c r="AL192" s="1">
        <v>94</v>
      </c>
      <c r="AM192" s="12">
        <v>41.707689999999999</v>
      </c>
      <c r="AN192" s="3">
        <f t="shared" si="34"/>
        <v>44.293909999999997</v>
      </c>
      <c r="AO192" s="1">
        <f t="shared" si="38"/>
        <v>0.93014697429963278</v>
      </c>
      <c r="AQ192" s="11">
        <v>578.07039999999995</v>
      </c>
      <c r="AR192" s="1">
        <v>94</v>
      </c>
      <c r="AS192" s="13">
        <v>36.827390000000001</v>
      </c>
      <c r="AT192" s="3">
        <f t="shared" si="35"/>
        <v>39.786120000000004</v>
      </c>
      <c r="AU192" s="1">
        <f t="shared" si="37"/>
        <v>1.0049182836387918</v>
      </c>
      <c r="AW192" s="11">
        <v>387.17255</v>
      </c>
      <c r="AX192" s="1">
        <v>94</v>
      </c>
      <c r="AY192" s="12">
        <v>51.129530000000003</v>
      </c>
      <c r="AZ192" s="3">
        <f t="shared" si="36"/>
        <v>52.795180000000002</v>
      </c>
    </row>
    <row r="193" spans="2:52" ht="16" x14ac:dyDescent="0.2">
      <c r="B193" s="4">
        <v>200.09936999999999</v>
      </c>
      <c r="C193" s="1">
        <v>94.5</v>
      </c>
      <c r="D193" s="5">
        <v>99.396799999999999</v>
      </c>
      <c r="E193" s="3">
        <f t="shared" si="29"/>
        <v>100.52324</v>
      </c>
      <c r="F193" s="1">
        <f t="shared" si="43"/>
        <v>3.3353136244067675E-3</v>
      </c>
      <c r="I193" s="4">
        <v>225.00207</v>
      </c>
      <c r="J193" s="1">
        <v>94.5</v>
      </c>
      <c r="K193" s="5">
        <v>93.717110000000005</v>
      </c>
      <c r="L193" s="3">
        <f t="shared" si="30"/>
        <v>97.304180000000002</v>
      </c>
      <c r="M193" s="1">
        <f t="shared" si="42"/>
        <v>5.3351227839161984E-2</v>
      </c>
      <c r="P193" s="4">
        <v>225.02182999999999</v>
      </c>
      <c r="Q193" s="1">
        <v>94.5</v>
      </c>
      <c r="R193" s="5">
        <v>99.344530000000006</v>
      </c>
      <c r="S193" s="3">
        <f t="shared" si="31"/>
        <v>99.268710000000013</v>
      </c>
      <c r="T193" s="1">
        <f t="shared" si="41"/>
        <v>1.4975906209078915E-2</v>
      </c>
      <c r="W193" s="4">
        <v>250.00002000000001</v>
      </c>
      <c r="X193" s="1">
        <v>94.5</v>
      </c>
      <c r="Y193" s="3">
        <v>90.282259999999994</v>
      </c>
      <c r="Z193" s="3">
        <f t="shared" si="32"/>
        <v>95.723089999999999</v>
      </c>
      <c r="AA193" s="1">
        <f t="shared" si="40"/>
        <v>7.9441239318049195E-2</v>
      </c>
      <c r="AD193" s="4">
        <v>250.01400000000001</v>
      </c>
      <c r="AE193" s="1">
        <v>94.5</v>
      </c>
      <c r="AF193" s="3">
        <v>97.484539999999996</v>
      </c>
      <c r="AG193" s="3">
        <f t="shared" si="33"/>
        <v>97.74602999999999</v>
      </c>
      <c r="AH193" s="1">
        <f t="shared" si="39"/>
        <v>4.6196808632801581E-2</v>
      </c>
      <c r="AK193" s="11">
        <v>578.07351000000006</v>
      </c>
      <c r="AL193" s="1">
        <v>94.5</v>
      </c>
      <c r="AM193" s="13">
        <v>41.678440000000002</v>
      </c>
      <c r="AN193" s="3">
        <f t="shared" si="34"/>
        <v>44.264659999999999</v>
      </c>
      <c r="AO193" s="1">
        <f t="shared" si="38"/>
        <v>0.93063481309697782</v>
      </c>
      <c r="AQ193" s="11">
        <v>580.56982000000005</v>
      </c>
      <c r="AR193" s="1">
        <v>94.5</v>
      </c>
      <c r="AS193" s="12">
        <v>36.776789999999998</v>
      </c>
      <c r="AT193" s="3">
        <f t="shared" si="35"/>
        <v>39.735520000000001</v>
      </c>
      <c r="AU193" s="1">
        <f t="shared" si="37"/>
        <v>1.0057627254378854</v>
      </c>
      <c r="AW193" s="11">
        <v>388.70666</v>
      </c>
      <c r="AX193" s="1">
        <v>94.5</v>
      </c>
      <c r="AY193" s="13">
        <v>50.786079999999998</v>
      </c>
      <c r="AZ193" s="3">
        <f t="shared" si="36"/>
        <v>52.451729999999998</v>
      </c>
    </row>
    <row r="194" spans="2:52" ht="16" x14ac:dyDescent="0.2">
      <c r="B194" s="4">
        <v>200.10396</v>
      </c>
      <c r="C194" s="1">
        <v>95</v>
      </c>
      <c r="D194" s="3">
        <v>99.304119999999998</v>
      </c>
      <c r="E194" s="3">
        <f t="shared" si="29"/>
        <v>100.43056</v>
      </c>
      <c r="F194" s="1">
        <f t="shared" si="43"/>
        <v>4.8709165390119274E-3</v>
      </c>
      <c r="I194" s="4">
        <v>225.00691</v>
      </c>
      <c r="J194" s="1">
        <v>95</v>
      </c>
      <c r="K194" s="3">
        <v>93.727450000000005</v>
      </c>
      <c r="L194" s="3">
        <f t="shared" si="30"/>
        <v>97.314520000000002</v>
      </c>
      <c r="M194" s="1">
        <f t="shared" si="42"/>
        <v>5.3179552890632593E-2</v>
      </c>
      <c r="P194" s="4">
        <v>225.02468999999999</v>
      </c>
      <c r="Q194" s="1">
        <v>95</v>
      </c>
      <c r="R194" s="3">
        <v>99.259979999999999</v>
      </c>
      <c r="S194" s="3">
        <f t="shared" si="31"/>
        <v>99.184160000000006</v>
      </c>
      <c r="T194" s="1">
        <f t="shared" si="41"/>
        <v>1.6384593735476499E-2</v>
      </c>
      <c r="W194" s="4">
        <v>250.00998000000001</v>
      </c>
      <c r="X194" s="1">
        <v>95</v>
      </c>
      <c r="Y194" s="5">
        <v>90.265039999999999</v>
      </c>
      <c r="Z194" s="3">
        <f t="shared" si="32"/>
        <v>95.705870000000004</v>
      </c>
      <c r="AA194" s="1">
        <f t="shared" si="40"/>
        <v>7.972717178863642E-2</v>
      </c>
      <c r="AD194" s="4">
        <v>250.01694000000001</v>
      </c>
      <c r="AE194" s="1">
        <v>95</v>
      </c>
      <c r="AF194" s="5">
        <v>97.429860000000005</v>
      </c>
      <c r="AG194" s="3">
        <f t="shared" si="33"/>
        <v>97.69135</v>
      </c>
      <c r="AH194" s="1">
        <f t="shared" si="39"/>
        <v>4.7104558698758334E-2</v>
      </c>
      <c r="AK194" s="11">
        <v>580.57090000000005</v>
      </c>
      <c r="AL194" s="1">
        <v>95</v>
      </c>
      <c r="AM194" s="12">
        <v>41.616390000000003</v>
      </c>
      <c r="AN194" s="3">
        <f t="shared" si="34"/>
        <v>44.20261</v>
      </c>
      <c r="AO194" s="1">
        <f t="shared" si="38"/>
        <v>0.93166969847732872</v>
      </c>
      <c r="AQ194" s="11">
        <v>583.07889</v>
      </c>
      <c r="AR194" s="1">
        <v>95</v>
      </c>
      <c r="AS194" s="13">
        <v>36.741480000000003</v>
      </c>
      <c r="AT194" s="3">
        <f t="shared" si="35"/>
        <v>39.700210000000006</v>
      </c>
      <c r="AU194" s="1">
        <f t="shared" si="37"/>
        <v>1.0063519989542091</v>
      </c>
      <c r="AW194" s="11">
        <v>390.23268000000002</v>
      </c>
      <c r="AX194" s="1">
        <v>95</v>
      </c>
      <c r="AY194" s="12">
        <v>50.396090000000001</v>
      </c>
      <c r="AZ194" s="3">
        <f t="shared" si="36"/>
        <v>52.06174</v>
      </c>
    </row>
    <row r="195" spans="2:52" ht="16" x14ac:dyDescent="0.2">
      <c r="B195" s="4">
        <v>200.11108999999999</v>
      </c>
      <c r="C195" s="1">
        <v>95.5</v>
      </c>
      <c r="D195" s="5">
        <v>99.32902</v>
      </c>
      <c r="E195" s="3">
        <f t="shared" si="29"/>
        <v>100.45546</v>
      </c>
      <c r="F195" s="1">
        <f t="shared" si="43"/>
        <v>4.4583516644578543E-3</v>
      </c>
      <c r="I195" s="4">
        <v>225.00809000000001</v>
      </c>
      <c r="J195" s="1">
        <v>95.5</v>
      </c>
      <c r="K195" s="5">
        <v>93.707790000000003</v>
      </c>
      <c r="L195" s="3">
        <f t="shared" si="30"/>
        <v>97.29486</v>
      </c>
      <c r="M195" s="1">
        <f t="shared" si="42"/>
        <v>5.3505967734741706E-2</v>
      </c>
      <c r="P195" s="4">
        <v>225.02216000000001</v>
      </c>
      <c r="Q195" s="1">
        <v>95.5</v>
      </c>
      <c r="R195" s="5">
        <v>99.293229999999994</v>
      </c>
      <c r="S195" s="3">
        <f t="shared" si="31"/>
        <v>99.217410000000001</v>
      </c>
      <c r="T195" s="1">
        <f t="shared" si="41"/>
        <v>1.5830615494758473E-2</v>
      </c>
      <c r="W195" s="4">
        <v>250.00301999999999</v>
      </c>
      <c r="X195" s="1">
        <v>95.5</v>
      </c>
      <c r="Y195" s="3">
        <v>90.247709999999998</v>
      </c>
      <c r="Z195" s="3">
        <f t="shared" si="32"/>
        <v>95.688540000000003</v>
      </c>
      <c r="AA195" s="1">
        <f t="shared" si="40"/>
        <v>8.0014930773263521E-2</v>
      </c>
      <c r="AD195" s="4">
        <v>250.01778999999999</v>
      </c>
      <c r="AE195" s="1">
        <v>95.5</v>
      </c>
      <c r="AF195" s="3">
        <v>97.418580000000006</v>
      </c>
      <c r="AG195" s="3">
        <f t="shared" si="33"/>
        <v>97.680070000000001</v>
      </c>
      <c r="AH195" s="1">
        <f t="shared" si="39"/>
        <v>4.7291819502415858E-2</v>
      </c>
      <c r="AK195" s="11">
        <v>583.07548999999995</v>
      </c>
      <c r="AL195" s="1">
        <v>95.5</v>
      </c>
      <c r="AM195" s="13">
        <v>41.589179999999999</v>
      </c>
      <c r="AN195" s="3">
        <f t="shared" si="34"/>
        <v>44.175399999999996</v>
      </c>
      <c r="AO195" s="1">
        <f t="shared" si="38"/>
        <v>0.93212351364573087</v>
      </c>
      <c r="AQ195" s="11">
        <v>585.58285999999998</v>
      </c>
      <c r="AR195" s="1">
        <v>95.5</v>
      </c>
      <c r="AS195" s="12">
        <v>36.705410000000001</v>
      </c>
      <c r="AT195" s="3">
        <f t="shared" si="35"/>
        <v>39.664140000000003</v>
      </c>
      <c r="AU195" s="1">
        <f t="shared" si="37"/>
        <v>1.0069539557860925</v>
      </c>
      <c r="AW195" s="11">
        <v>391.76643999999999</v>
      </c>
      <c r="AX195" s="1">
        <v>95.5</v>
      </c>
      <c r="AY195" s="13">
        <v>50.062779999999997</v>
      </c>
      <c r="AZ195" s="3">
        <f t="shared" si="36"/>
        <v>51.728429999999996</v>
      </c>
    </row>
    <row r="196" spans="2:52" ht="16" x14ac:dyDescent="0.2">
      <c r="B196" s="4">
        <v>200.11355</v>
      </c>
      <c r="C196" s="1">
        <v>96</v>
      </c>
      <c r="D196" s="3">
        <v>99.441999999999993</v>
      </c>
      <c r="E196" s="3">
        <f t="shared" si="29"/>
        <v>100.56844</v>
      </c>
      <c r="F196" s="1">
        <f t="shared" si="43"/>
        <v>2.5864006794332761E-3</v>
      </c>
      <c r="I196" s="4">
        <v>225.00811999999999</v>
      </c>
      <c r="J196" s="1">
        <v>96</v>
      </c>
      <c r="K196" s="3">
        <v>93.690089999999998</v>
      </c>
      <c r="L196" s="3">
        <f t="shared" si="30"/>
        <v>97.277159999999995</v>
      </c>
      <c r="M196" s="1">
        <f t="shared" si="42"/>
        <v>5.3799840712398496E-2</v>
      </c>
      <c r="P196" s="4">
        <v>225.01706999999999</v>
      </c>
      <c r="Q196" s="1">
        <v>96</v>
      </c>
      <c r="R196" s="3">
        <v>99.295540000000003</v>
      </c>
      <c r="S196" s="3">
        <f t="shared" si="31"/>
        <v>99.219720000000009</v>
      </c>
      <c r="T196" s="1">
        <f t="shared" si="41"/>
        <v>1.579212858540318E-2</v>
      </c>
      <c r="W196" s="4">
        <v>250.00407000000001</v>
      </c>
      <c r="X196" s="1">
        <v>96</v>
      </c>
      <c r="Y196" s="5">
        <v>90.213380000000001</v>
      </c>
      <c r="Z196" s="3">
        <f t="shared" si="32"/>
        <v>95.654210000000006</v>
      </c>
      <c r="AA196" s="1">
        <f t="shared" si="40"/>
        <v>8.0584969200398357E-2</v>
      </c>
      <c r="AD196" s="4">
        <v>250.01749000000001</v>
      </c>
      <c r="AE196" s="1">
        <v>96</v>
      </c>
      <c r="AF196" s="5">
        <v>97.283109999999994</v>
      </c>
      <c r="AG196" s="3">
        <f t="shared" si="33"/>
        <v>97.544599999999988</v>
      </c>
      <c r="AH196" s="1">
        <f t="shared" si="39"/>
        <v>4.9540775271164815E-2</v>
      </c>
      <c r="AK196" s="11">
        <v>585.57743000000005</v>
      </c>
      <c r="AL196" s="1">
        <v>96</v>
      </c>
      <c r="AM196" s="12">
        <v>41.54983</v>
      </c>
      <c r="AN196" s="3">
        <f t="shared" si="34"/>
        <v>44.136049999999997</v>
      </c>
      <c r="AO196" s="1">
        <f t="shared" si="38"/>
        <v>0.93277980276284289</v>
      </c>
      <c r="AQ196" s="11">
        <v>588.07388000000003</v>
      </c>
      <c r="AR196" s="1">
        <v>96</v>
      </c>
      <c r="AS196" s="13">
        <v>36.681809999999999</v>
      </c>
      <c r="AT196" s="3">
        <f t="shared" si="35"/>
        <v>39.640540000000001</v>
      </c>
      <c r="AU196" s="1">
        <f t="shared" si="37"/>
        <v>1.0073478061113614</v>
      </c>
      <c r="AW196" s="11">
        <v>393.29728999999998</v>
      </c>
      <c r="AX196" s="1">
        <v>96</v>
      </c>
      <c r="AY196" s="12">
        <v>49.81203</v>
      </c>
      <c r="AZ196" s="3">
        <f t="shared" si="36"/>
        <v>51.477679999999999</v>
      </c>
    </row>
    <row r="197" spans="2:52" ht="16" x14ac:dyDescent="0.2">
      <c r="B197" s="4">
        <v>200.1105</v>
      </c>
      <c r="C197" s="1">
        <v>96.5</v>
      </c>
      <c r="D197" s="5">
        <v>99.353849999999994</v>
      </c>
      <c r="E197" s="3">
        <f t="shared" ref="E197:E260" si="44">100-($D$4-D197)</f>
        <v>100.48029</v>
      </c>
      <c r="F197" s="1">
        <f t="shared" si="43"/>
        <v>4.0469466108363945E-3</v>
      </c>
      <c r="I197" s="4">
        <v>225.00509</v>
      </c>
      <c r="J197" s="1">
        <v>96.5</v>
      </c>
      <c r="K197" s="5">
        <v>93.664450000000002</v>
      </c>
      <c r="L197" s="3">
        <f t="shared" ref="L197:L260" si="45">100-($K$4-K197)</f>
        <v>97.251519999999999</v>
      </c>
      <c r="M197" s="1">
        <f t="shared" si="42"/>
        <v>5.4225541455173443E-2</v>
      </c>
      <c r="P197" s="4">
        <v>225.01812000000001</v>
      </c>
      <c r="Q197" s="1">
        <v>96.5</v>
      </c>
      <c r="R197" s="5">
        <v>99.2714</v>
      </c>
      <c r="S197" s="3">
        <f t="shared" ref="S197:S260" si="46">100-($R$4-R197)</f>
        <v>99.195580000000007</v>
      </c>
      <c r="T197" s="1">
        <f t="shared" si="41"/>
        <v>1.6194325118664428E-2</v>
      </c>
      <c r="W197" s="4">
        <v>250.005</v>
      </c>
      <c r="X197" s="1">
        <v>96.5</v>
      </c>
      <c r="Y197" s="3">
        <v>90.216949999999997</v>
      </c>
      <c r="Z197" s="3">
        <f t="shared" ref="Z197:Z260" si="47">100-($Y$4-Y197)</f>
        <v>95.657780000000002</v>
      </c>
      <c r="AA197" s="1">
        <f t="shared" si="40"/>
        <v>8.0525690517471785E-2</v>
      </c>
      <c r="AD197" s="4">
        <v>250.01974999999999</v>
      </c>
      <c r="AE197" s="1">
        <v>96.5</v>
      </c>
      <c r="AF197" s="3">
        <v>97.366039999999998</v>
      </c>
      <c r="AG197" s="3">
        <f t="shared" ref="AG197:AG260" si="48">100-($AF$4-AF197)</f>
        <v>97.627529999999993</v>
      </c>
      <c r="AH197" s="1">
        <f t="shared" si="39"/>
        <v>4.8164043139310199E-2</v>
      </c>
      <c r="AK197" s="11">
        <v>588.07605999999998</v>
      </c>
      <c r="AL197" s="1">
        <v>96.5</v>
      </c>
      <c r="AM197" s="13">
        <v>41.51849</v>
      </c>
      <c r="AN197" s="3">
        <f t="shared" ref="AN197:AN260" si="49">100-($AM$4-AM197)</f>
        <v>44.104709999999997</v>
      </c>
      <c r="AO197" s="1">
        <f t="shared" si="38"/>
        <v>0.93330249910160523</v>
      </c>
      <c r="AQ197" s="11">
        <v>590.57194000000004</v>
      </c>
      <c r="AR197" s="1">
        <v>96.5</v>
      </c>
      <c r="AS197" s="12">
        <v>36.639629999999997</v>
      </c>
      <c r="AT197" s="3">
        <f t="shared" ref="AT197:AT260" si="50">100-($AS$4-AS197)</f>
        <v>39.59836</v>
      </c>
      <c r="AU197" s="1">
        <f t="shared" si="37"/>
        <v>1.0080517301249141</v>
      </c>
      <c r="AW197" s="11">
        <v>394.82537000000002</v>
      </c>
      <c r="AX197" s="1">
        <v>96.5</v>
      </c>
      <c r="AY197" s="13">
        <v>49.434220000000003</v>
      </c>
      <c r="AZ197" s="3">
        <f t="shared" ref="AZ197:AZ260" si="51">100-($AY$4-AY197)</f>
        <v>51.099870000000003</v>
      </c>
    </row>
    <row r="198" spans="2:52" ht="16" x14ac:dyDescent="0.2">
      <c r="B198" s="4">
        <v>200.11239</v>
      </c>
      <c r="C198" s="1">
        <v>97</v>
      </c>
      <c r="D198" s="3">
        <v>99.495670000000004</v>
      </c>
      <c r="E198" s="3">
        <f t="shared" si="44"/>
        <v>100.62211000000001</v>
      </c>
      <c r="F198" s="1">
        <f t="shared" si="43"/>
        <v>1.6971494016292778E-3</v>
      </c>
      <c r="I198" s="4">
        <v>225.00398999999999</v>
      </c>
      <c r="J198" s="1">
        <v>97</v>
      </c>
      <c r="K198" s="3">
        <v>93.656800000000004</v>
      </c>
      <c r="L198" s="3">
        <f t="shared" si="45"/>
        <v>97.243870000000001</v>
      </c>
      <c r="M198" s="1">
        <f t="shared" si="42"/>
        <v>5.4352554352296224E-2</v>
      </c>
      <c r="P198" s="4">
        <v>225.02051</v>
      </c>
      <c r="Q198" s="1">
        <v>97</v>
      </c>
      <c r="R198" s="3">
        <v>99.246960000000001</v>
      </c>
      <c r="S198" s="3">
        <f t="shared" si="46"/>
        <v>99.171140000000008</v>
      </c>
      <c r="T198" s="1">
        <f t="shared" si="41"/>
        <v>1.6601519951841857E-2</v>
      </c>
      <c r="W198" s="4">
        <v>250.006</v>
      </c>
      <c r="X198" s="1">
        <v>97</v>
      </c>
      <c r="Y198" s="5">
        <v>90.195909999999998</v>
      </c>
      <c r="Z198" s="3">
        <f t="shared" si="47"/>
        <v>95.636740000000003</v>
      </c>
      <c r="AA198" s="1">
        <f t="shared" si="40"/>
        <v>8.0875052839257902E-2</v>
      </c>
      <c r="AD198" s="4">
        <v>250.01915</v>
      </c>
      <c r="AE198" s="1">
        <v>97</v>
      </c>
      <c r="AF198" s="5">
        <v>97.44014</v>
      </c>
      <c r="AG198" s="3">
        <f t="shared" si="48"/>
        <v>97.701629999999994</v>
      </c>
      <c r="AH198" s="1">
        <f t="shared" si="39"/>
        <v>4.6933899030176911E-2</v>
      </c>
      <c r="AK198" s="11">
        <v>590.57894999999996</v>
      </c>
      <c r="AL198" s="1">
        <v>97</v>
      </c>
      <c r="AM198" s="12">
        <v>41.502299999999998</v>
      </c>
      <c r="AN198" s="3">
        <f t="shared" si="49"/>
        <v>44.088519999999995</v>
      </c>
      <c r="AO198" s="1">
        <f t="shared" si="38"/>
        <v>0.93357251996071688</v>
      </c>
      <c r="AQ198" s="11">
        <v>593.07975999999996</v>
      </c>
      <c r="AR198" s="1">
        <v>97</v>
      </c>
      <c r="AS198" s="13">
        <v>36.598280000000003</v>
      </c>
      <c r="AT198" s="3">
        <f t="shared" si="50"/>
        <v>39.557010000000005</v>
      </c>
      <c r="AU198" s="1">
        <f t="shared" si="37"/>
        <v>1.0087418026227899</v>
      </c>
      <c r="AW198" s="11">
        <v>396.36147</v>
      </c>
      <c r="AX198" s="1">
        <v>97</v>
      </c>
      <c r="AY198" s="12">
        <v>48.86421</v>
      </c>
      <c r="AZ198" s="3">
        <f t="shared" si="51"/>
        <v>50.529859999999999</v>
      </c>
    </row>
    <row r="199" spans="2:52" ht="16" x14ac:dyDescent="0.2">
      <c r="B199" s="4">
        <v>200.10712000000001</v>
      </c>
      <c r="C199" s="1">
        <v>97.5</v>
      </c>
      <c r="D199" s="5">
        <v>99.424490000000006</v>
      </c>
      <c r="E199" s="3">
        <f t="shared" si="44"/>
        <v>100.55093000000001</v>
      </c>
      <c r="F199" s="1">
        <f t="shared" si="43"/>
        <v>2.8765216012580103E-3</v>
      </c>
      <c r="I199" s="4">
        <v>225.00299000000001</v>
      </c>
      <c r="J199" s="1">
        <v>97.5</v>
      </c>
      <c r="K199" s="5">
        <v>93.635149999999996</v>
      </c>
      <c r="L199" s="3">
        <f t="shared" si="45"/>
        <v>97.222219999999993</v>
      </c>
      <c r="M199" s="1">
        <f t="shared" si="42"/>
        <v>5.4712009152650468E-2</v>
      </c>
      <c r="P199" s="4">
        <v>225.0197</v>
      </c>
      <c r="Q199" s="1">
        <v>97.5</v>
      </c>
      <c r="R199" s="5">
        <v>99.218710000000002</v>
      </c>
      <c r="S199" s="3">
        <f t="shared" si="46"/>
        <v>99.142890000000008</v>
      </c>
      <c r="T199" s="1">
        <f t="shared" si="41"/>
        <v>1.7072193193955733E-2</v>
      </c>
      <c r="W199" s="4">
        <v>250.00398000000001</v>
      </c>
      <c r="X199" s="1">
        <v>97.5</v>
      </c>
      <c r="Y199" s="3">
        <v>90.163160000000005</v>
      </c>
      <c r="Z199" s="3">
        <f t="shared" si="47"/>
        <v>95.60399000000001</v>
      </c>
      <c r="AA199" s="1">
        <f t="shared" si="40"/>
        <v>8.1418855882912533E-2</v>
      </c>
      <c r="AD199" s="4">
        <v>250.01516000000001</v>
      </c>
      <c r="AE199" s="1">
        <v>97.5</v>
      </c>
      <c r="AF199" s="3">
        <v>97.306160000000006</v>
      </c>
      <c r="AG199" s="3">
        <f t="shared" si="48"/>
        <v>97.56765</v>
      </c>
      <c r="AH199" s="1">
        <f t="shared" si="39"/>
        <v>4.9158119107662303E-2</v>
      </c>
      <c r="AK199" s="11">
        <v>593.08158000000003</v>
      </c>
      <c r="AL199" s="1">
        <v>97.5</v>
      </c>
      <c r="AM199" s="13">
        <v>41.476739999999999</v>
      </c>
      <c r="AN199" s="3">
        <f t="shared" si="49"/>
        <v>44.062959999999997</v>
      </c>
      <c r="AO199" s="1">
        <f t="shared" si="38"/>
        <v>0.93399881601747381</v>
      </c>
      <c r="AQ199" s="11">
        <v>595.58569</v>
      </c>
      <c r="AR199" s="1">
        <v>97.5</v>
      </c>
      <c r="AS199" s="12">
        <v>36.550510000000003</v>
      </c>
      <c r="AT199" s="3">
        <f t="shared" si="50"/>
        <v>39.509240000000005</v>
      </c>
      <c r="AU199" s="1">
        <f t="shared" si="37"/>
        <v>1.0095390157599973</v>
      </c>
      <c r="AW199" s="11">
        <v>397.89443</v>
      </c>
      <c r="AX199" s="1">
        <v>97.5</v>
      </c>
      <c r="AY199" s="13">
        <v>48.389380000000003</v>
      </c>
      <c r="AZ199" s="3">
        <f t="shared" si="51"/>
        <v>50.055030000000002</v>
      </c>
    </row>
    <row r="200" spans="2:52" ht="16" x14ac:dyDescent="0.2">
      <c r="B200" s="4">
        <v>200.10068999999999</v>
      </c>
      <c r="C200" s="1">
        <v>98</v>
      </c>
      <c r="D200" s="3">
        <v>99.376400000000004</v>
      </c>
      <c r="E200" s="3">
        <f t="shared" si="44"/>
        <v>100.50284000000001</v>
      </c>
      <c r="F200" s="1">
        <f t="shared" si="43"/>
        <v>3.6733185818726417E-3</v>
      </c>
      <c r="I200" s="4">
        <v>225.00494</v>
      </c>
      <c r="J200" s="1">
        <v>98</v>
      </c>
      <c r="K200" s="3">
        <v>93.633499999999998</v>
      </c>
      <c r="L200" s="3">
        <f t="shared" si="45"/>
        <v>97.220569999999995</v>
      </c>
      <c r="M200" s="1">
        <f t="shared" si="42"/>
        <v>5.4739404091245551E-2</v>
      </c>
      <c r="P200" s="4">
        <v>225.01779999999999</v>
      </c>
      <c r="Q200" s="1">
        <v>98</v>
      </c>
      <c r="R200" s="3">
        <v>99.156700000000001</v>
      </c>
      <c r="S200" s="3">
        <f t="shared" si="46"/>
        <v>99.080880000000008</v>
      </c>
      <c r="T200" s="1">
        <f t="shared" si="41"/>
        <v>1.810534178664536E-2</v>
      </c>
      <c r="W200" s="4">
        <v>250.01</v>
      </c>
      <c r="X200" s="1">
        <v>98</v>
      </c>
      <c r="Y200" s="5">
        <v>90.134739999999994</v>
      </c>
      <c r="Z200" s="3">
        <f t="shared" si="47"/>
        <v>95.575569999999999</v>
      </c>
      <c r="AA200" s="1">
        <f t="shared" si="40"/>
        <v>8.1890760692093417E-2</v>
      </c>
      <c r="AD200" s="4">
        <v>250.01362</v>
      </c>
      <c r="AE200" s="1">
        <v>98</v>
      </c>
      <c r="AF200" s="5">
        <v>97.269679999999994</v>
      </c>
      <c r="AG200" s="3">
        <f t="shared" si="48"/>
        <v>97.531169999999989</v>
      </c>
      <c r="AH200" s="1">
        <f t="shared" si="39"/>
        <v>4.9763728515235792E-2</v>
      </c>
      <c r="AK200" s="11">
        <v>595.58177000000001</v>
      </c>
      <c r="AL200" s="1">
        <v>98</v>
      </c>
      <c r="AM200" s="12">
        <v>41.430489999999999</v>
      </c>
      <c r="AN200" s="3">
        <f t="shared" si="49"/>
        <v>44.016709999999996</v>
      </c>
      <c r="AO200" s="1">
        <f t="shared" si="38"/>
        <v>0.93477018505601095</v>
      </c>
      <c r="AQ200" s="11">
        <v>598.08136000000002</v>
      </c>
      <c r="AR200" s="1">
        <v>98</v>
      </c>
      <c r="AS200" s="13">
        <v>36.532490000000003</v>
      </c>
      <c r="AT200" s="3">
        <f t="shared" si="50"/>
        <v>39.491220000000006</v>
      </c>
      <c r="AU200" s="1">
        <f t="shared" ref="AU200:AU263" si="52">($AT$7-AT200)/($AT$7*(1-$N$1))</f>
        <v>1.0098397438473423</v>
      </c>
      <c r="AW200" s="11">
        <v>399.41827000000001</v>
      </c>
      <c r="AX200" s="1">
        <v>98</v>
      </c>
      <c r="AY200" s="12">
        <v>47.809910000000002</v>
      </c>
      <c r="AZ200" s="3">
        <f t="shared" si="51"/>
        <v>49.475560000000002</v>
      </c>
    </row>
    <row r="201" spans="2:52" ht="16" x14ac:dyDescent="0.2">
      <c r="B201" s="4">
        <v>200.09286</v>
      </c>
      <c r="C201" s="1">
        <v>98.5</v>
      </c>
      <c r="D201" s="5">
        <v>99.487290000000002</v>
      </c>
      <c r="E201" s="3">
        <f t="shared" si="44"/>
        <v>100.61373</v>
      </c>
      <c r="F201" s="1">
        <f t="shared" si="43"/>
        <v>1.8359965361177853E-3</v>
      </c>
      <c r="I201" s="4">
        <v>225.00097</v>
      </c>
      <c r="J201" s="1">
        <v>98.5</v>
      </c>
      <c r="K201" s="5">
        <v>93.601990000000001</v>
      </c>
      <c r="L201" s="3">
        <f t="shared" si="45"/>
        <v>97.189059999999998</v>
      </c>
      <c r="M201" s="1">
        <f t="shared" si="42"/>
        <v>5.526256440344679E-2</v>
      </c>
      <c r="P201" s="4">
        <v>225.01689999999999</v>
      </c>
      <c r="Q201" s="1">
        <v>98.5</v>
      </c>
      <c r="R201" s="5">
        <v>99.202039999999997</v>
      </c>
      <c r="S201" s="3">
        <f t="shared" si="46"/>
        <v>99.126220000000004</v>
      </c>
      <c r="T201" s="1">
        <f t="shared" si="41"/>
        <v>1.7349932059302305E-2</v>
      </c>
      <c r="W201" s="4">
        <v>250.01101</v>
      </c>
      <c r="X201" s="1">
        <v>98.5</v>
      </c>
      <c r="Y201" s="3">
        <v>90.117440000000002</v>
      </c>
      <c r="Z201" s="3">
        <f t="shared" si="47"/>
        <v>95.558270000000007</v>
      </c>
      <c r="AA201" s="1">
        <f t="shared" si="40"/>
        <v>8.2178021536527701E-2</v>
      </c>
      <c r="AD201" s="4">
        <v>250.00912</v>
      </c>
      <c r="AE201" s="1">
        <v>98.5</v>
      </c>
      <c r="AF201" s="3">
        <v>97.398259999999993</v>
      </c>
      <c r="AG201" s="3">
        <f t="shared" si="48"/>
        <v>97.659749999999988</v>
      </c>
      <c r="AH201" s="1">
        <f t="shared" si="39"/>
        <v>4.7629154567160832E-2</v>
      </c>
      <c r="AK201" s="11">
        <v>598.08531000000005</v>
      </c>
      <c r="AL201" s="1">
        <v>98.5</v>
      </c>
      <c r="AM201" s="13">
        <v>41.417610000000003</v>
      </c>
      <c r="AN201" s="3">
        <f t="shared" si="49"/>
        <v>44.003830000000001</v>
      </c>
      <c r="AO201" s="1">
        <f t="shared" ref="AO201:AO264" si="53">($AN$8-AN201)/($AN$8*(1-$N$1))</f>
        <v>0.93498500090933756</v>
      </c>
      <c r="AQ201" s="11">
        <v>600.58133999999995</v>
      </c>
      <c r="AR201" s="1">
        <v>98.5</v>
      </c>
      <c r="AS201" s="12">
        <v>36.473939999999999</v>
      </c>
      <c r="AT201" s="3">
        <f t="shared" si="50"/>
        <v>39.432670000000002</v>
      </c>
      <c r="AU201" s="1">
        <f t="shared" si="52"/>
        <v>1.0108168598026177</v>
      </c>
      <c r="AW201" s="11">
        <v>400.92759999999998</v>
      </c>
      <c r="AX201" s="1">
        <v>98.5</v>
      </c>
      <c r="AY201" s="13">
        <v>47.281709999999997</v>
      </c>
      <c r="AZ201" s="3">
        <f t="shared" si="51"/>
        <v>48.947359999999996</v>
      </c>
    </row>
    <row r="202" spans="2:52" ht="16" x14ac:dyDescent="0.2">
      <c r="B202" s="4">
        <v>200.08356000000001</v>
      </c>
      <c r="C202" s="1">
        <v>99</v>
      </c>
      <c r="D202" s="3">
        <v>99.261129999999994</v>
      </c>
      <c r="E202" s="3">
        <f t="shared" si="44"/>
        <v>100.38757</v>
      </c>
      <c r="F202" s="1">
        <f t="shared" si="43"/>
        <v>5.5832122802600909E-3</v>
      </c>
      <c r="I202" s="4">
        <v>225.00706</v>
      </c>
      <c r="J202" s="1">
        <v>99</v>
      </c>
      <c r="K202" s="3">
        <v>93.589169999999996</v>
      </c>
      <c r="L202" s="3">
        <f t="shared" si="45"/>
        <v>97.176239999999993</v>
      </c>
      <c r="M202" s="1">
        <f t="shared" si="42"/>
        <v>5.5475414774834385E-2</v>
      </c>
      <c r="P202" s="4">
        <v>225.017</v>
      </c>
      <c r="Q202" s="1">
        <v>99</v>
      </c>
      <c r="R202" s="3">
        <v>99.186539999999994</v>
      </c>
      <c r="S202" s="3">
        <f t="shared" si="46"/>
        <v>99.110720000000001</v>
      </c>
      <c r="T202" s="1">
        <f t="shared" si="41"/>
        <v>1.7608177554975454E-2</v>
      </c>
      <c r="W202" s="4">
        <v>250.00998000000001</v>
      </c>
      <c r="X202" s="1">
        <v>99</v>
      </c>
      <c r="Y202" s="5">
        <v>90.086690000000004</v>
      </c>
      <c r="Z202" s="3">
        <f t="shared" si="47"/>
        <v>95.52752000000001</v>
      </c>
      <c r="AA202" s="1">
        <f t="shared" si="40"/>
        <v>8.2688615234005017E-2</v>
      </c>
      <c r="AD202" s="4">
        <v>250.00702999999999</v>
      </c>
      <c r="AE202" s="1">
        <v>99</v>
      </c>
      <c r="AF202" s="5">
        <v>97.318849999999998</v>
      </c>
      <c r="AG202" s="3">
        <f t="shared" si="48"/>
        <v>97.580339999999993</v>
      </c>
      <c r="AH202" s="1">
        <f t="shared" ref="AH202:AH265" si="54">($AG$9-AG202)/($AG$9*(1-$N$1))</f>
        <v>4.894745070354771E-2</v>
      </c>
      <c r="AK202" s="11">
        <v>600.58614</v>
      </c>
      <c r="AL202" s="1">
        <v>99</v>
      </c>
      <c r="AM202" s="12">
        <v>41.356250000000003</v>
      </c>
      <c r="AN202" s="3">
        <f t="shared" si="49"/>
        <v>43.94247</v>
      </c>
      <c r="AO202" s="1">
        <f t="shared" si="53"/>
        <v>0.93600837829754602</v>
      </c>
      <c r="AQ202" s="11">
        <v>603.08767</v>
      </c>
      <c r="AR202" s="1">
        <v>99</v>
      </c>
      <c r="AS202" s="13">
        <v>36.488030000000002</v>
      </c>
      <c r="AT202" s="3">
        <f t="shared" si="50"/>
        <v>39.446760000000005</v>
      </c>
      <c r="AU202" s="1">
        <f t="shared" si="52"/>
        <v>1.0105817178075736</v>
      </c>
      <c r="AW202" s="11">
        <v>402.41555</v>
      </c>
      <c r="AX202" s="1">
        <v>99</v>
      </c>
      <c r="AY202" s="12">
        <v>46.62968</v>
      </c>
      <c r="AZ202" s="3">
        <f t="shared" si="51"/>
        <v>48.29533</v>
      </c>
    </row>
    <row r="203" spans="2:52" ht="16" x14ac:dyDescent="0.2">
      <c r="B203" s="4">
        <v>200.0761</v>
      </c>
      <c r="C203" s="1">
        <v>99.5</v>
      </c>
      <c r="D203" s="5">
        <v>99.368449999999996</v>
      </c>
      <c r="E203" s="3">
        <f t="shared" si="44"/>
        <v>100.49489</v>
      </c>
      <c r="F203" s="1">
        <f t="shared" si="43"/>
        <v>3.8050411020617149E-3</v>
      </c>
      <c r="I203" s="4">
        <v>225.0059</v>
      </c>
      <c r="J203" s="1">
        <v>99.5</v>
      </c>
      <c r="K203" s="5">
        <v>93.568870000000004</v>
      </c>
      <c r="L203" s="3">
        <f t="shared" si="45"/>
        <v>97.155940000000001</v>
      </c>
      <c r="M203" s="1">
        <f t="shared" si="42"/>
        <v>5.581245553451962E-2</v>
      </c>
      <c r="P203" s="4">
        <v>225.01449</v>
      </c>
      <c r="Q203" s="1">
        <v>99.5</v>
      </c>
      <c r="R203" s="5">
        <v>99.194280000000006</v>
      </c>
      <c r="S203" s="3">
        <f t="shared" si="46"/>
        <v>99.118460000000013</v>
      </c>
      <c r="T203" s="1">
        <f t="shared" si="41"/>
        <v>1.7479221417135905E-2</v>
      </c>
      <c r="W203" s="4">
        <v>250.00699</v>
      </c>
      <c r="X203" s="1">
        <v>99.5</v>
      </c>
      <c r="Y203" s="3">
        <v>90.069370000000006</v>
      </c>
      <c r="Z203" s="3">
        <f t="shared" si="47"/>
        <v>95.510200000000012</v>
      </c>
      <c r="AA203" s="1">
        <f t="shared" si="40"/>
        <v>8.2976208171901183E-2</v>
      </c>
      <c r="AD203" s="4">
        <v>250.00998999999999</v>
      </c>
      <c r="AE203" s="1">
        <v>99.5</v>
      </c>
      <c r="AF203" s="3">
        <v>97.309790000000007</v>
      </c>
      <c r="AG203" s="3">
        <f t="shared" si="48"/>
        <v>97.571280000000002</v>
      </c>
      <c r="AH203" s="1">
        <f t="shared" si="54"/>
        <v>4.9097856987336319E-2</v>
      </c>
      <c r="AK203" s="11">
        <v>603.08335999999997</v>
      </c>
      <c r="AL203" s="1">
        <v>99.5</v>
      </c>
      <c r="AM203" s="13">
        <v>41.374139999999997</v>
      </c>
      <c r="AN203" s="3">
        <f t="shared" si="49"/>
        <v>43.960359999999994</v>
      </c>
      <c r="AO203" s="1">
        <f t="shared" si="53"/>
        <v>0.93571000441431518</v>
      </c>
      <c r="AQ203" s="11">
        <v>605.59262999999999</v>
      </c>
      <c r="AR203" s="1">
        <v>99.5</v>
      </c>
      <c r="AS203" s="12">
        <v>36.412030000000001</v>
      </c>
      <c r="AT203" s="3">
        <f t="shared" si="50"/>
        <v>39.370760000000004</v>
      </c>
      <c r="AU203" s="1">
        <f t="shared" si="52"/>
        <v>1.0118500493635243</v>
      </c>
      <c r="AW203" s="11">
        <v>403.87941999999998</v>
      </c>
      <c r="AX203" s="1">
        <v>99.5</v>
      </c>
      <c r="AY203" s="13">
        <v>46.103270000000002</v>
      </c>
      <c r="AZ203" s="3">
        <f t="shared" si="51"/>
        <v>47.768920000000001</v>
      </c>
    </row>
    <row r="204" spans="2:52" ht="16" x14ac:dyDescent="0.2">
      <c r="B204" s="4">
        <v>200.07060999999999</v>
      </c>
      <c r="C204" s="1">
        <v>100</v>
      </c>
      <c r="D204" s="3">
        <v>99.311440000000005</v>
      </c>
      <c r="E204" s="3">
        <f t="shared" si="44"/>
        <v>100.43788000000001</v>
      </c>
      <c r="F204" s="1">
        <f t="shared" si="43"/>
        <v>4.7496324072152027E-3</v>
      </c>
      <c r="I204" s="4">
        <v>225.00300999999999</v>
      </c>
      <c r="J204" s="1">
        <v>100</v>
      </c>
      <c r="K204" s="3">
        <v>93.554760000000002</v>
      </c>
      <c r="L204" s="3">
        <f t="shared" si="45"/>
        <v>97.141829999999999</v>
      </c>
      <c r="M204" s="1">
        <f t="shared" si="42"/>
        <v>5.6046723766990623E-2</v>
      </c>
      <c r="P204" s="4">
        <v>225.01366999999999</v>
      </c>
      <c r="Q204" s="1">
        <v>100</v>
      </c>
      <c r="R204" s="3">
        <v>99.145939999999996</v>
      </c>
      <c r="S204" s="3">
        <f t="shared" si="46"/>
        <v>99.070120000000003</v>
      </c>
      <c r="T204" s="1">
        <f t="shared" si="41"/>
        <v>1.8284614143641732E-2</v>
      </c>
      <c r="W204" s="4">
        <v>250.00900999999999</v>
      </c>
      <c r="X204" s="1">
        <v>100</v>
      </c>
      <c r="Y204" s="5">
        <v>90.042500000000004</v>
      </c>
      <c r="Z204" s="3">
        <f t="shared" si="47"/>
        <v>95.483330000000009</v>
      </c>
      <c r="AA204" s="1">
        <f t="shared" ref="AA204:AA267" si="55">($Z$11-Z204)/($Z$11*(1-$N$1))</f>
        <v>8.3422375737794444E-2</v>
      </c>
      <c r="AD204" s="4">
        <v>250.01439999999999</v>
      </c>
      <c r="AE204" s="1">
        <v>100</v>
      </c>
      <c r="AF204" s="5">
        <v>97.07987</v>
      </c>
      <c r="AG204" s="3">
        <f t="shared" si="48"/>
        <v>97.341359999999995</v>
      </c>
      <c r="AH204" s="1">
        <f t="shared" si="54"/>
        <v>5.2914789964015517E-2</v>
      </c>
      <c r="AK204" s="11">
        <v>605.58938000000001</v>
      </c>
      <c r="AL204" s="1">
        <v>100</v>
      </c>
      <c r="AM204" s="12">
        <v>41.315269999999998</v>
      </c>
      <c r="AN204" s="3">
        <f t="shared" si="49"/>
        <v>43.901489999999995</v>
      </c>
      <c r="AO204" s="1">
        <f t="shared" si="53"/>
        <v>0.93669185296131363</v>
      </c>
      <c r="AQ204" s="11">
        <v>608.09496999999999</v>
      </c>
      <c r="AR204" s="1">
        <v>100</v>
      </c>
      <c r="AS204" s="13">
        <v>36.381520000000002</v>
      </c>
      <c r="AT204" s="3">
        <f t="shared" si="50"/>
        <v>39.340250000000005</v>
      </c>
      <c r="AU204" s="1">
        <f t="shared" si="52"/>
        <v>1.012359217728946</v>
      </c>
      <c r="AW204" s="11">
        <v>405.32564000000002</v>
      </c>
      <c r="AX204" s="1">
        <v>100</v>
      </c>
      <c r="AY204" s="12">
        <v>45.257219999999997</v>
      </c>
      <c r="AZ204" s="3">
        <f t="shared" si="51"/>
        <v>46.922869999999996</v>
      </c>
    </row>
    <row r="205" spans="2:52" ht="16" x14ac:dyDescent="0.2">
      <c r="B205" s="4">
        <v>200.06182000000001</v>
      </c>
      <c r="C205" s="1">
        <v>100.5</v>
      </c>
      <c r="D205" s="5">
        <v>99.372789999999995</v>
      </c>
      <c r="E205" s="3">
        <f t="shared" si="44"/>
        <v>100.49923</v>
      </c>
      <c r="F205" s="1">
        <f t="shared" si="43"/>
        <v>3.7331322042478939E-3</v>
      </c>
      <c r="I205" s="4">
        <v>225.00404</v>
      </c>
      <c r="J205" s="1">
        <v>100.5</v>
      </c>
      <c r="K205" s="5">
        <v>93.53613</v>
      </c>
      <c r="L205" s="3">
        <f t="shared" si="45"/>
        <v>97.123199999999997</v>
      </c>
      <c r="M205" s="1">
        <f t="shared" si="42"/>
        <v>5.6356037528219147E-2</v>
      </c>
      <c r="P205" s="4">
        <v>225.01593</v>
      </c>
      <c r="Q205" s="1">
        <v>100.5</v>
      </c>
      <c r="R205" s="5">
        <v>99.338440000000006</v>
      </c>
      <c r="S205" s="3">
        <f t="shared" si="46"/>
        <v>99.262620000000013</v>
      </c>
      <c r="T205" s="1">
        <f t="shared" si="41"/>
        <v>1.5077371697378869E-2</v>
      </c>
      <c r="W205" s="4">
        <v>250.00998000000001</v>
      </c>
      <c r="X205" s="1">
        <v>100.5</v>
      </c>
      <c r="Y205" s="3">
        <v>90.021690000000007</v>
      </c>
      <c r="Z205" s="3">
        <f t="shared" si="47"/>
        <v>95.462520000000012</v>
      </c>
      <c r="AA205" s="1">
        <f t="shared" si="55"/>
        <v>8.3767918984770137E-2</v>
      </c>
      <c r="AD205" s="4">
        <v>250.01535000000001</v>
      </c>
      <c r="AE205" s="1">
        <v>100.5</v>
      </c>
      <c r="AF205" s="3">
        <v>97.319019999999995</v>
      </c>
      <c r="AG205" s="3">
        <f t="shared" si="48"/>
        <v>97.58050999999999</v>
      </c>
      <c r="AH205" s="1">
        <f t="shared" si="54"/>
        <v>4.8944628510584828E-2</v>
      </c>
      <c r="AK205" s="11">
        <v>608.08891000000006</v>
      </c>
      <c r="AL205" s="1">
        <v>100.5</v>
      </c>
      <c r="AM205" s="13">
        <v>41.282510000000002</v>
      </c>
      <c r="AN205" s="3">
        <f t="shared" si="49"/>
        <v>43.868729999999999</v>
      </c>
      <c r="AO205" s="1">
        <f t="shared" si="53"/>
        <v>0.93723823241434012</v>
      </c>
      <c r="AQ205" s="11">
        <v>610.59400000000005</v>
      </c>
      <c r="AR205" s="1">
        <v>100.5</v>
      </c>
      <c r="AS205" s="12">
        <v>36.331189999999999</v>
      </c>
      <c r="AT205" s="3">
        <f t="shared" si="50"/>
        <v>39.289920000000002</v>
      </c>
      <c r="AU205" s="1">
        <f t="shared" si="52"/>
        <v>1.0131991536133014</v>
      </c>
      <c r="AW205" s="11">
        <v>406.75851</v>
      </c>
      <c r="AX205" s="1">
        <v>100.5</v>
      </c>
      <c r="AY205" s="13">
        <v>44.82593</v>
      </c>
      <c r="AZ205" s="3">
        <f t="shared" si="51"/>
        <v>46.491579999999999</v>
      </c>
    </row>
    <row r="206" spans="2:52" ht="16" x14ac:dyDescent="0.2">
      <c r="B206" s="4">
        <v>200.05529000000001</v>
      </c>
      <c r="C206" s="1">
        <v>101</v>
      </c>
      <c r="D206" s="3">
        <v>99.238129999999998</v>
      </c>
      <c r="E206" s="3">
        <f t="shared" si="44"/>
        <v>100.36457</v>
      </c>
      <c r="F206" s="1">
        <f t="shared" si="43"/>
        <v>5.9642963009324274E-3</v>
      </c>
      <c r="I206" s="4">
        <v>225.01</v>
      </c>
      <c r="J206" s="1">
        <v>101</v>
      </c>
      <c r="K206" s="3">
        <v>93.544020000000003</v>
      </c>
      <c r="L206" s="3">
        <f t="shared" si="45"/>
        <v>97.13109</v>
      </c>
      <c r="M206" s="1">
        <f t="shared" si="42"/>
        <v>5.6225039912755168E-2</v>
      </c>
      <c r="P206" s="4">
        <v>225.01627999999999</v>
      </c>
      <c r="Q206" s="1">
        <v>101</v>
      </c>
      <c r="R206" s="3">
        <v>99.214089999999999</v>
      </c>
      <c r="S206" s="3">
        <f t="shared" si="46"/>
        <v>99.138270000000006</v>
      </c>
      <c r="T206" s="1">
        <f t="shared" ref="T206:T269" si="56">($S$13-S206)/($S$13*(1-$N$1))</f>
        <v>1.7149167012666083E-2</v>
      </c>
      <c r="W206" s="4">
        <v>250.00599</v>
      </c>
      <c r="X206" s="1">
        <v>101</v>
      </c>
      <c r="Y206" s="5">
        <v>89.996510000000001</v>
      </c>
      <c r="Z206" s="3">
        <f t="shared" si="47"/>
        <v>95.437340000000006</v>
      </c>
      <c r="AA206" s="1">
        <f t="shared" si="55"/>
        <v>8.4186024653143565E-2</v>
      </c>
      <c r="AD206" s="4">
        <v>250.01346000000001</v>
      </c>
      <c r="AE206" s="1">
        <v>101</v>
      </c>
      <c r="AF206" s="5">
        <v>97.281949999999995</v>
      </c>
      <c r="AG206" s="3">
        <f t="shared" si="48"/>
        <v>97.54343999999999</v>
      </c>
      <c r="AH206" s="1">
        <f t="shared" si="54"/>
        <v>4.9560032587852985E-2</v>
      </c>
      <c r="AK206" s="11">
        <v>610.59128999999996</v>
      </c>
      <c r="AL206" s="1">
        <v>101</v>
      </c>
      <c r="AM206" s="12">
        <v>41.247979999999998</v>
      </c>
      <c r="AN206" s="3">
        <f t="shared" si="49"/>
        <v>43.834199999999996</v>
      </c>
      <c r="AO206" s="1">
        <f t="shared" si="53"/>
        <v>0.93781413236894962</v>
      </c>
      <c r="AQ206" s="11">
        <v>613.09689000000003</v>
      </c>
      <c r="AR206" s="1">
        <v>101</v>
      </c>
      <c r="AS206" s="13">
        <v>36.316870000000002</v>
      </c>
      <c r="AT206" s="3">
        <f t="shared" si="50"/>
        <v>39.275600000000004</v>
      </c>
      <c r="AU206" s="1">
        <f t="shared" si="52"/>
        <v>1.0134381339801593</v>
      </c>
      <c r="AW206" s="11">
        <v>408.18950000000001</v>
      </c>
      <c r="AX206" s="1">
        <v>101</v>
      </c>
      <c r="AY206" s="12">
        <v>44.451630000000002</v>
      </c>
      <c r="AZ206" s="3">
        <f t="shared" si="51"/>
        <v>46.117280000000001</v>
      </c>
    </row>
    <row r="207" spans="2:52" ht="16" x14ac:dyDescent="0.2">
      <c r="B207" s="4">
        <v>200.0487</v>
      </c>
      <c r="C207" s="1">
        <v>101.5</v>
      </c>
      <c r="D207" s="5">
        <v>99.327579999999998</v>
      </c>
      <c r="E207" s="3">
        <f t="shared" si="44"/>
        <v>100.45402</v>
      </c>
      <c r="F207" s="1">
        <f t="shared" si="43"/>
        <v>4.4822108379260778E-3</v>
      </c>
      <c r="I207" s="4">
        <v>225.00790000000001</v>
      </c>
      <c r="J207" s="1">
        <v>101.5</v>
      </c>
      <c r="K207" s="5">
        <v>93.517970000000005</v>
      </c>
      <c r="L207" s="3">
        <f t="shared" si="45"/>
        <v>97.105040000000002</v>
      </c>
      <c r="M207" s="1">
        <f t="shared" si="42"/>
        <v>5.6657547882696217E-2</v>
      </c>
      <c r="P207" s="4">
        <v>225.01426000000001</v>
      </c>
      <c r="Q207" s="1">
        <v>101.5</v>
      </c>
      <c r="R207" s="5">
        <v>99.192920000000001</v>
      </c>
      <c r="S207" s="3">
        <f t="shared" si="46"/>
        <v>99.117100000000008</v>
      </c>
      <c r="T207" s="1">
        <f t="shared" si="56"/>
        <v>1.7501880376756342E-2</v>
      </c>
      <c r="W207" s="4">
        <v>250.001</v>
      </c>
      <c r="X207" s="1">
        <v>101.5</v>
      </c>
      <c r="Y207" s="3">
        <v>89.960130000000007</v>
      </c>
      <c r="Z207" s="3">
        <f t="shared" si="47"/>
        <v>95.400960000000012</v>
      </c>
      <c r="AA207" s="1">
        <f t="shared" si="55"/>
        <v>8.4790102660110181E-2</v>
      </c>
      <c r="AD207" s="4">
        <v>250.01338000000001</v>
      </c>
      <c r="AE207" s="1">
        <v>101.5</v>
      </c>
      <c r="AF207" s="3">
        <v>97.271420000000006</v>
      </c>
      <c r="AG207" s="3">
        <f t="shared" si="48"/>
        <v>97.532910000000001</v>
      </c>
      <c r="AH207" s="1">
        <f t="shared" si="54"/>
        <v>4.9734842540203307E-2</v>
      </c>
      <c r="AK207" s="11">
        <v>613.09969999999998</v>
      </c>
      <c r="AL207" s="1">
        <v>101.5</v>
      </c>
      <c r="AM207" s="13">
        <v>41.246879999999997</v>
      </c>
      <c r="AN207" s="3">
        <f t="shared" si="49"/>
        <v>43.833099999999995</v>
      </c>
      <c r="AO207" s="1">
        <f t="shared" si="53"/>
        <v>0.93783247844337969</v>
      </c>
      <c r="AQ207" s="11">
        <v>615.59882000000005</v>
      </c>
      <c r="AR207" s="1">
        <v>101.5</v>
      </c>
      <c r="AS207" s="12">
        <v>36.286279999999998</v>
      </c>
      <c r="AT207" s="3">
        <f t="shared" si="50"/>
        <v>39.245010000000001</v>
      </c>
      <c r="AU207" s="1">
        <f t="shared" si="52"/>
        <v>1.0139486374314295</v>
      </c>
      <c r="AW207" s="11">
        <v>409.60741000000002</v>
      </c>
      <c r="AX207" s="1">
        <v>101.5</v>
      </c>
      <c r="AY207" s="13">
        <v>43.853430000000003</v>
      </c>
      <c r="AZ207" s="3">
        <f t="shared" si="51"/>
        <v>45.519080000000002</v>
      </c>
    </row>
    <row r="208" spans="2:52" ht="16" x14ac:dyDescent="0.2">
      <c r="B208" s="4">
        <v>200.04442</v>
      </c>
      <c r="C208" s="1">
        <v>102</v>
      </c>
      <c r="D208" s="3">
        <v>99.400940000000006</v>
      </c>
      <c r="E208" s="3">
        <f t="shared" si="44"/>
        <v>100.52738000000001</v>
      </c>
      <c r="F208" s="1">
        <f t="shared" si="43"/>
        <v>3.2667185006856241E-3</v>
      </c>
      <c r="I208" s="4">
        <v>225.00907000000001</v>
      </c>
      <c r="J208" s="1">
        <v>102</v>
      </c>
      <c r="K208" s="3">
        <v>93.494020000000006</v>
      </c>
      <c r="L208" s="3">
        <f t="shared" si="45"/>
        <v>97.081090000000003</v>
      </c>
      <c r="M208" s="1">
        <f t="shared" ref="M208:M271" si="57">($L$15-L208)/($L$15*(1-$N$1))</f>
        <v>5.7055189567152595E-2</v>
      </c>
      <c r="P208" s="4">
        <v>225.01581999999999</v>
      </c>
      <c r="Q208" s="1">
        <v>102</v>
      </c>
      <c r="R208" s="3">
        <v>99.279709999999994</v>
      </c>
      <c r="S208" s="3">
        <f t="shared" si="46"/>
        <v>99.203890000000001</v>
      </c>
      <c r="T208" s="1">
        <f t="shared" si="56"/>
        <v>1.6055872210984295E-2</v>
      </c>
      <c r="W208" s="4">
        <v>250.00299000000001</v>
      </c>
      <c r="X208" s="1">
        <v>102</v>
      </c>
      <c r="Y208" s="5">
        <v>89.962130000000002</v>
      </c>
      <c r="Z208" s="3">
        <f t="shared" si="47"/>
        <v>95.402960000000007</v>
      </c>
      <c r="AA208" s="1">
        <f t="shared" si="55"/>
        <v>8.4756893313932866E-2</v>
      </c>
      <c r="AD208" s="4">
        <v>250.01365000000001</v>
      </c>
      <c r="AE208" s="1">
        <v>102</v>
      </c>
      <c r="AF208" s="5">
        <v>97.238479999999996</v>
      </c>
      <c r="AG208" s="3">
        <f t="shared" si="48"/>
        <v>97.49996999999999</v>
      </c>
      <c r="AH208" s="1">
        <f t="shared" si="54"/>
        <v>5.0281683929607662E-2</v>
      </c>
      <c r="AK208" s="11">
        <v>615.60648000000003</v>
      </c>
      <c r="AL208" s="1">
        <v>102</v>
      </c>
      <c r="AM208" s="12">
        <v>41.218330000000002</v>
      </c>
      <c r="AN208" s="3">
        <f t="shared" si="49"/>
        <v>43.804549999999999</v>
      </c>
      <c r="AO208" s="1">
        <f t="shared" si="53"/>
        <v>0.93830864246608747</v>
      </c>
      <c r="AQ208" s="11">
        <v>618.10382000000004</v>
      </c>
      <c r="AR208" s="1">
        <v>102</v>
      </c>
      <c r="AS208" s="13">
        <v>36.304609999999997</v>
      </c>
      <c r="AT208" s="3">
        <f t="shared" si="50"/>
        <v>39.263339999999999</v>
      </c>
      <c r="AU208" s="1">
        <f t="shared" si="52"/>
        <v>1.013642735886422</v>
      </c>
      <c r="AW208" s="11">
        <v>411.04028</v>
      </c>
      <c r="AX208" s="1">
        <v>102</v>
      </c>
      <c r="AY208" s="12">
        <v>43.46134</v>
      </c>
      <c r="AZ208" s="3">
        <f t="shared" si="51"/>
        <v>45.126989999999999</v>
      </c>
    </row>
    <row r="209" spans="2:52" ht="16" x14ac:dyDescent="0.2">
      <c r="B209" s="4">
        <v>200.03737000000001</v>
      </c>
      <c r="C209" s="1">
        <v>102.5</v>
      </c>
      <c r="D209" s="5">
        <v>99.238050000000001</v>
      </c>
      <c r="E209" s="3">
        <f t="shared" si="44"/>
        <v>100.36449</v>
      </c>
      <c r="F209" s="1">
        <f t="shared" si="43"/>
        <v>5.9656218105694986E-3</v>
      </c>
      <c r="I209" s="4">
        <v>225.00201000000001</v>
      </c>
      <c r="J209" s="1">
        <v>102.5</v>
      </c>
      <c r="K209" s="5">
        <v>93.481859999999998</v>
      </c>
      <c r="L209" s="3">
        <f t="shared" si="45"/>
        <v>97.068929999999995</v>
      </c>
      <c r="M209" s="1">
        <f t="shared" si="57"/>
        <v>5.7257081963102197E-2</v>
      </c>
      <c r="P209" s="4">
        <v>225.01797999999999</v>
      </c>
      <c r="Q209" s="1">
        <v>102.5</v>
      </c>
      <c r="R209" s="5">
        <v>99.286060000000006</v>
      </c>
      <c r="S209" s="3">
        <f t="shared" si="46"/>
        <v>99.210240000000013</v>
      </c>
      <c r="T209" s="1">
        <f t="shared" si="56"/>
        <v>1.5950074862756732E-2</v>
      </c>
      <c r="W209" s="4">
        <v>250.00599</v>
      </c>
      <c r="X209" s="1">
        <v>102.5</v>
      </c>
      <c r="Y209" s="3">
        <v>89.935119999999998</v>
      </c>
      <c r="Z209" s="3">
        <f t="shared" si="47"/>
        <v>95.375950000000003</v>
      </c>
      <c r="AA209" s="1">
        <f t="shared" si="55"/>
        <v>8.5205385534058584E-2</v>
      </c>
      <c r="AD209" s="4">
        <v>250.01605000000001</v>
      </c>
      <c r="AE209" s="1">
        <v>102.5</v>
      </c>
      <c r="AF209" s="3">
        <v>97.274910000000006</v>
      </c>
      <c r="AG209" s="3">
        <f t="shared" si="48"/>
        <v>97.5364</v>
      </c>
      <c r="AH209" s="1">
        <f t="shared" si="54"/>
        <v>4.9676904578788005E-2</v>
      </c>
      <c r="AK209" s="11">
        <v>618.10799999999995</v>
      </c>
      <c r="AL209" s="1">
        <v>102.5</v>
      </c>
      <c r="AM209" s="13">
        <v>41.226489999999998</v>
      </c>
      <c r="AN209" s="3">
        <f t="shared" si="49"/>
        <v>43.812709999999996</v>
      </c>
      <c r="AO209" s="1">
        <f t="shared" si="53"/>
        <v>0.93817254795031535</v>
      </c>
      <c r="AQ209" s="11">
        <v>620.60329999999999</v>
      </c>
      <c r="AR209" s="1">
        <v>102.5</v>
      </c>
      <c r="AS209" s="12">
        <v>36.22963</v>
      </c>
      <c r="AT209" s="3">
        <f t="shared" si="50"/>
        <v>39.188360000000003</v>
      </c>
      <c r="AU209" s="1">
        <f t="shared" si="52"/>
        <v>1.0148940450978059</v>
      </c>
      <c r="AW209" s="11">
        <v>412.48649</v>
      </c>
      <c r="AX209" s="1">
        <v>102.5</v>
      </c>
      <c r="AY209" s="13">
        <v>43.171460000000003</v>
      </c>
      <c r="AZ209" s="3">
        <f t="shared" si="51"/>
        <v>44.837110000000003</v>
      </c>
    </row>
    <row r="210" spans="2:52" ht="16" x14ac:dyDescent="0.2">
      <c r="B210" s="4">
        <v>200.03245000000001</v>
      </c>
      <c r="C210" s="1">
        <v>103</v>
      </c>
      <c r="D210" s="3">
        <v>99.567040000000006</v>
      </c>
      <c r="E210" s="3">
        <f t="shared" si="44"/>
        <v>100.69348000000001</v>
      </c>
      <c r="F210" s="1">
        <f t="shared" si="43"/>
        <v>5.1462911661232446E-4</v>
      </c>
      <c r="I210" s="4">
        <v>225.00710000000001</v>
      </c>
      <c r="J210" s="1">
        <v>103</v>
      </c>
      <c r="K210" s="3">
        <v>93.466279999999998</v>
      </c>
      <c r="L210" s="3">
        <f t="shared" si="45"/>
        <v>97.053349999999995</v>
      </c>
      <c r="M210" s="1">
        <f t="shared" si="57"/>
        <v>5.751575659541245E-2</v>
      </c>
      <c r="P210" s="4">
        <v>225.01867999999999</v>
      </c>
      <c r="Q210" s="1">
        <v>103</v>
      </c>
      <c r="R210" s="3">
        <v>99.259309999999999</v>
      </c>
      <c r="S210" s="3">
        <f t="shared" si="46"/>
        <v>99.183490000000006</v>
      </c>
      <c r="T210" s="1">
        <f t="shared" si="56"/>
        <v>1.6395756605289455E-2</v>
      </c>
      <c r="W210" s="4">
        <v>250.00299000000001</v>
      </c>
      <c r="X210" s="1">
        <v>103</v>
      </c>
      <c r="Y210" s="5">
        <v>89.900639999999996</v>
      </c>
      <c r="Z210" s="3">
        <f t="shared" si="47"/>
        <v>95.341470000000001</v>
      </c>
      <c r="AA210" s="1">
        <f t="shared" si="55"/>
        <v>8.5777914662156798E-2</v>
      </c>
      <c r="AD210" s="4">
        <v>250.02100999999999</v>
      </c>
      <c r="AE210" s="1">
        <v>103</v>
      </c>
      <c r="AF210" s="5">
        <v>97.126739999999998</v>
      </c>
      <c r="AG210" s="3">
        <f t="shared" si="48"/>
        <v>97.388229999999993</v>
      </c>
      <c r="AH210" s="1">
        <f t="shared" si="54"/>
        <v>5.2136694763002374E-2</v>
      </c>
      <c r="AK210" s="11">
        <v>620.60679000000005</v>
      </c>
      <c r="AL210" s="1">
        <v>103</v>
      </c>
      <c r="AM210" s="12">
        <v>41.171660000000003</v>
      </c>
      <c r="AN210" s="3">
        <f t="shared" si="49"/>
        <v>43.75788</v>
      </c>
      <c r="AO210" s="1">
        <f t="shared" si="53"/>
        <v>0.93908701636940695</v>
      </c>
      <c r="AQ210" s="11">
        <v>623.10422000000005</v>
      </c>
      <c r="AR210" s="1">
        <v>103</v>
      </c>
      <c r="AS210" s="13">
        <v>36.206919999999997</v>
      </c>
      <c r="AT210" s="3">
        <f t="shared" si="50"/>
        <v>39.165649999999999</v>
      </c>
      <c r="AU210" s="1">
        <f t="shared" si="52"/>
        <v>1.0152730425930117</v>
      </c>
      <c r="AW210" s="11">
        <v>413.95949999999999</v>
      </c>
      <c r="AX210" s="1">
        <v>103</v>
      </c>
      <c r="AY210" s="12">
        <v>42.918950000000002</v>
      </c>
      <c r="AZ210" s="3">
        <f t="shared" si="51"/>
        <v>44.584600000000002</v>
      </c>
    </row>
    <row r="211" spans="2:52" ht="16" x14ac:dyDescent="0.2">
      <c r="B211" s="4">
        <v>200.02909</v>
      </c>
      <c r="C211" s="1">
        <v>103.5</v>
      </c>
      <c r="D211" s="5">
        <v>99.240899999999996</v>
      </c>
      <c r="E211" s="3">
        <f t="shared" si="44"/>
        <v>100.36734</v>
      </c>
      <c r="F211" s="1">
        <f t="shared" si="43"/>
        <v>5.9184005297471297E-3</v>
      </c>
      <c r="I211" s="4">
        <v>225.00899999999999</v>
      </c>
      <c r="J211" s="1">
        <v>103.5</v>
      </c>
      <c r="K211" s="5">
        <v>93.442909999999998</v>
      </c>
      <c r="L211" s="3">
        <f t="shared" si="45"/>
        <v>97.029979999999995</v>
      </c>
      <c r="M211" s="1">
        <f t="shared" si="57"/>
        <v>5.7903768543877826E-2</v>
      </c>
      <c r="P211" s="4">
        <v>225.02104</v>
      </c>
      <c r="Q211" s="1">
        <v>103.5</v>
      </c>
      <c r="R211" s="5">
        <v>99.219740000000002</v>
      </c>
      <c r="S211" s="3">
        <f t="shared" si="46"/>
        <v>99.143920000000008</v>
      </c>
      <c r="T211" s="1">
        <f t="shared" si="56"/>
        <v>1.7055032364243262E-2</v>
      </c>
      <c r="W211" s="4">
        <v>250.00497999999999</v>
      </c>
      <c r="X211" s="1">
        <v>103.5</v>
      </c>
      <c r="Y211" s="3">
        <v>89.891099999999994</v>
      </c>
      <c r="Z211" s="3">
        <f t="shared" si="47"/>
        <v>95.33193</v>
      </c>
      <c r="AA211" s="1">
        <f t="shared" si="55"/>
        <v>8.5936323243422971E-2</v>
      </c>
      <c r="AD211" s="4">
        <v>250.02412000000001</v>
      </c>
      <c r="AE211" s="1">
        <v>103.5</v>
      </c>
      <c r="AF211" s="3">
        <v>97.159329999999997</v>
      </c>
      <c r="AG211" s="3">
        <f t="shared" si="48"/>
        <v>97.420819999999992</v>
      </c>
      <c r="AH211" s="1">
        <f t="shared" si="54"/>
        <v>5.1595663770874815E-2</v>
      </c>
      <c r="AK211" s="11">
        <v>623.10816999999997</v>
      </c>
      <c r="AL211" s="1">
        <v>103.5</v>
      </c>
      <c r="AM211" s="13">
        <v>41.152650000000001</v>
      </c>
      <c r="AN211" s="3">
        <f t="shared" si="49"/>
        <v>43.738869999999999</v>
      </c>
      <c r="AO211" s="1">
        <f t="shared" si="53"/>
        <v>0.9394040698920576</v>
      </c>
      <c r="AQ211" s="11">
        <v>625.60878000000002</v>
      </c>
      <c r="AR211" s="1">
        <v>103.5</v>
      </c>
      <c r="AS211" s="12">
        <v>36.166139999999999</v>
      </c>
      <c r="AT211" s="3">
        <f t="shared" si="50"/>
        <v>39.124870000000001</v>
      </c>
      <c r="AU211" s="1">
        <f t="shared" si="52"/>
        <v>1.015953602604218</v>
      </c>
      <c r="AW211" s="11">
        <v>415.45350000000002</v>
      </c>
      <c r="AX211" s="1">
        <v>103.5</v>
      </c>
      <c r="AY211" s="13">
        <v>42.665819999999997</v>
      </c>
      <c r="AZ211" s="3">
        <f t="shared" si="51"/>
        <v>44.331469999999996</v>
      </c>
    </row>
    <row r="212" spans="2:52" ht="16" x14ac:dyDescent="0.2">
      <c r="B212" s="4">
        <v>200.02906999999999</v>
      </c>
      <c r="C212" s="1">
        <v>104</v>
      </c>
      <c r="D212" s="3">
        <v>99.279949999999999</v>
      </c>
      <c r="E212" s="3">
        <f t="shared" si="44"/>
        <v>100.40639</v>
      </c>
      <c r="F212" s="1">
        <f t="shared" si="43"/>
        <v>5.2713861381271966E-3</v>
      </c>
      <c r="I212" s="4">
        <v>225.00703999999999</v>
      </c>
      <c r="J212" s="1">
        <v>104</v>
      </c>
      <c r="K212" s="3">
        <v>93.439430000000002</v>
      </c>
      <c r="L212" s="3">
        <f t="shared" si="45"/>
        <v>97.026499999999999</v>
      </c>
      <c r="M212" s="1">
        <f t="shared" si="57"/>
        <v>5.7961546959823827E-2</v>
      </c>
      <c r="P212" s="4">
        <v>225.01599999999999</v>
      </c>
      <c r="Q212" s="1">
        <v>104</v>
      </c>
      <c r="R212" s="3">
        <v>99.312479999999994</v>
      </c>
      <c r="S212" s="3">
        <f t="shared" si="46"/>
        <v>99.236660000000001</v>
      </c>
      <c r="T212" s="1">
        <f t="shared" si="56"/>
        <v>1.550989125013221E-2</v>
      </c>
      <c r="W212" s="4">
        <v>250.00399999999999</v>
      </c>
      <c r="X212" s="1">
        <v>104</v>
      </c>
      <c r="Y212" s="5">
        <v>89.862229999999997</v>
      </c>
      <c r="Z212" s="3">
        <f t="shared" si="47"/>
        <v>95.303060000000002</v>
      </c>
      <c r="AA212" s="1">
        <f t="shared" si="55"/>
        <v>8.6415700155493547E-2</v>
      </c>
      <c r="AD212" s="4">
        <v>250.02255</v>
      </c>
      <c r="AE212" s="1">
        <v>104</v>
      </c>
      <c r="AF212" s="5">
        <v>97.160430000000005</v>
      </c>
      <c r="AG212" s="3">
        <f t="shared" si="48"/>
        <v>97.42192</v>
      </c>
      <c r="AH212" s="1">
        <f t="shared" si="54"/>
        <v>5.1577402522291059E-2</v>
      </c>
      <c r="AK212" s="11">
        <v>625.60856000000001</v>
      </c>
      <c r="AL212" s="1">
        <v>104</v>
      </c>
      <c r="AM212" s="12">
        <v>41.136859999999999</v>
      </c>
      <c r="AN212" s="3">
        <f t="shared" si="49"/>
        <v>43.723079999999996</v>
      </c>
      <c r="AO212" s="1">
        <f t="shared" si="53"/>
        <v>0.93966741945137655</v>
      </c>
      <c r="AQ212" s="11">
        <v>628.1087</v>
      </c>
      <c r="AR212" s="1">
        <v>104</v>
      </c>
      <c r="AS212" s="13">
        <v>36.185369999999999</v>
      </c>
      <c r="AT212" s="3">
        <f t="shared" si="50"/>
        <v>39.144100000000002</v>
      </c>
      <c r="AU212" s="1">
        <f t="shared" si="52"/>
        <v>1.0156326813434162</v>
      </c>
      <c r="AW212" s="11">
        <v>416.98329999999999</v>
      </c>
      <c r="AX212" s="1">
        <v>104</v>
      </c>
      <c r="AY212" s="12">
        <v>42.512140000000002</v>
      </c>
      <c r="AZ212" s="3">
        <f t="shared" si="51"/>
        <v>44.177790000000002</v>
      </c>
    </row>
    <row r="213" spans="2:52" ht="16" x14ac:dyDescent="0.2">
      <c r="B213" s="4">
        <v>200.02644000000001</v>
      </c>
      <c r="C213" s="1">
        <v>104.5</v>
      </c>
      <c r="D213" s="5">
        <v>99.35324</v>
      </c>
      <c r="E213" s="3">
        <f t="shared" si="44"/>
        <v>100.47968</v>
      </c>
      <c r="F213" s="1">
        <f t="shared" si="43"/>
        <v>4.057053621819357E-3</v>
      </c>
      <c r="I213" s="4">
        <v>225.005</v>
      </c>
      <c r="J213" s="1">
        <v>104.5</v>
      </c>
      <c r="K213" s="5">
        <v>93.419659999999993</v>
      </c>
      <c r="L213" s="3">
        <f t="shared" si="45"/>
        <v>97.00672999999999</v>
      </c>
      <c r="M213" s="1">
        <f t="shared" si="57"/>
        <v>5.8289788133172718E-2</v>
      </c>
      <c r="P213" s="4">
        <v>225.01507000000001</v>
      </c>
      <c r="Q213" s="1">
        <v>104.5</v>
      </c>
      <c r="R213" s="5">
        <v>99.171400000000006</v>
      </c>
      <c r="S213" s="3">
        <f t="shared" si="46"/>
        <v>99.095580000000012</v>
      </c>
      <c r="T213" s="1">
        <f t="shared" si="56"/>
        <v>1.7860425090748856E-2</v>
      </c>
      <c r="W213" s="4">
        <v>250.00703999999999</v>
      </c>
      <c r="X213" s="1">
        <v>104.5</v>
      </c>
      <c r="Y213" s="3">
        <v>89.856459999999998</v>
      </c>
      <c r="Z213" s="3">
        <f t="shared" si="47"/>
        <v>95.297290000000004</v>
      </c>
      <c r="AA213" s="1">
        <f t="shared" si="55"/>
        <v>8.6511509119215291E-2</v>
      </c>
      <c r="AD213" s="4">
        <v>250.02379999999999</v>
      </c>
      <c r="AE213" s="1">
        <v>104.5</v>
      </c>
      <c r="AF213" s="3">
        <v>97.145910000000001</v>
      </c>
      <c r="AG213" s="3">
        <f t="shared" si="48"/>
        <v>97.407399999999996</v>
      </c>
      <c r="AH213" s="1">
        <f t="shared" si="54"/>
        <v>5.181845100359498E-2</v>
      </c>
      <c r="AK213" s="11">
        <v>628.10907999999995</v>
      </c>
      <c r="AL213" s="1">
        <v>104.5</v>
      </c>
      <c r="AM213" s="13">
        <v>41.129770000000001</v>
      </c>
      <c r="AN213" s="3">
        <f t="shared" si="49"/>
        <v>43.715989999999998</v>
      </c>
      <c r="AO213" s="1">
        <f t="shared" si="53"/>
        <v>0.93978566824020304</v>
      </c>
      <c r="AQ213" s="11">
        <v>630.62158999999997</v>
      </c>
      <c r="AR213" s="1">
        <v>104.5</v>
      </c>
      <c r="AS213" s="12">
        <v>36.121270000000003</v>
      </c>
      <c r="AT213" s="3">
        <f t="shared" si="50"/>
        <v>39.080000000000005</v>
      </c>
      <c r="AU213" s="1">
        <f t="shared" si="52"/>
        <v>1.0167024188794218</v>
      </c>
      <c r="AW213" s="11">
        <v>418.52454999999998</v>
      </c>
      <c r="AX213" s="1">
        <v>104.5</v>
      </c>
      <c r="AY213" s="13">
        <v>42.29569</v>
      </c>
      <c r="AZ213" s="3">
        <f t="shared" si="51"/>
        <v>43.96134</v>
      </c>
    </row>
    <row r="214" spans="2:52" ht="16" x14ac:dyDescent="0.2">
      <c r="B214" s="4">
        <v>200.02501000000001</v>
      </c>
      <c r="C214" s="1">
        <v>105</v>
      </c>
      <c r="D214" s="3">
        <v>99.384140000000002</v>
      </c>
      <c r="E214" s="3">
        <f t="shared" si="44"/>
        <v>100.51058</v>
      </c>
      <c r="F214" s="1">
        <f t="shared" si="43"/>
        <v>3.545075524481175E-3</v>
      </c>
      <c r="I214" s="4">
        <v>225.00495000000001</v>
      </c>
      <c r="J214" s="1">
        <v>105</v>
      </c>
      <c r="K214" s="3">
        <v>93.403090000000006</v>
      </c>
      <c r="L214" s="3">
        <f t="shared" si="45"/>
        <v>96.990160000000003</v>
      </c>
      <c r="M214" s="1">
        <f t="shared" si="57"/>
        <v>5.8564899728639833E-2</v>
      </c>
      <c r="P214" s="4">
        <v>225.01168999999999</v>
      </c>
      <c r="Q214" s="1">
        <v>105</v>
      </c>
      <c r="R214" s="3">
        <v>99.128159999999994</v>
      </c>
      <c r="S214" s="3">
        <f t="shared" si="46"/>
        <v>99.052340000000001</v>
      </c>
      <c r="T214" s="1">
        <f t="shared" si="56"/>
        <v>1.8580846718678393E-2</v>
      </c>
      <c r="W214" s="4">
        <v>250.00398999999999</v>
      </c>
      <c r="X214" s="1">
        <v>105</v>
      </c>
      <c r="Y214" s="5">
        <v>89.814310000000006</v>
      </c>
      <c r="Z214" s="3">
        <f t="shared" si="47"/>
        <v>95.255140000000011</v>
      </c>
      <c r="AA214" s="1">
        <f t="shared" si="55"/>
        <v>8.7211396089903637E-2</v>
      </c>
      <c r="AD214" s="4">
        <v>250.02357000000001</v>
      </c>
      <c r="AE214" s="1">
        <v>105</v>
      </c>
      <c r="AF214" s="5">
        <v>97.212059999999994</v>
      </c>
      <c r="AG214" s="3">
        <f t="shared" si="48"/>
        <v>97.473549999999989</v>
      </c>
      <c r="AH214" s="1">
        <f t="shared" si="54"/>
        <v>5.0720285918316205E-2</v>
      </c>
      <c r="AK214" s="11">
        <v>630.62739999999997</v>
      </c>
      <c r="AL214" s="1">
        <v>105</v>
      </c>
      <c r="AM214" s="12">
        <v>41.102879999999999</v>
      </c>
      <c r="AN214" s="3">
        <f t="shared" si="49"/>
        <v>43.689099999999996</v>
      </c>
      <c r="AO214" s="1">
        <f t="shared" si="53"/>
        <v>0.94023414636877101</v>
      </c>
      <c r="AQ214" s="11">
        <v>633.11271999999997</v>
      </c>
      <c r="AR214" s="1">
        <v>105</v>
      </c>
      <c r="AS214" s="13">
        <v>36.1051</v>
      </c>
      <c r="AT214" s="3">
        <f t="shared" si="50"/>
        <v>39.063830000000003</v>
      </c>
      <c r="AU214" s="1">
        <f t="shared" si="52"/>
        <v>1.0169722731065236</v>
      </c>
      <c r="AW214" s="11">
        <v>420.06263000000001</v>
      </c>
      <c r="AX214" s="1">
        <v>105</v>
      </c>
      <c r="AY214" s="12">
        <v>42.162230000000001</v>
      </c>
      <c r="AZ214" s="3">
        <f t="shared" si="51"/>
        <v>43.82788</v>
      </c>
    </row>
    <row r="215" spans="2:52" ht="16" x14ac:dyDescent="0.2">
      <c r="B215" s="4">
        <v>200.02334999999999</v>
      </c>
      <c r="C215" s="1">
        <v>105.5</v>
      </c>
      <c r="D215" s="5">
        <v>99.252889999999994</v>
      </c>
      <c r="E215" s="3">
        <f t="shared" si="44"/>
        <v>100.37933</v>
      </c>
      <c r="F215" s="1">
        <f t="shared" si="43"/>
        <v>5.7197397728836058E-3</v>
      </c>
      <c r="I215" s="4">
        <v>225.01214999999999</v>
      </c>
      <c r="J215" s="1">
        <v>105.5</v>
      </c>
      <c r="K215" s="5">
        <v>93.393730000000005</v>
      </c>
      <c r="L215" s="3">
        <f t="shared" si="45"/>
        <v>96.980800000000002</v>
      </c>
      <c r="M215" s="1">
        <f t="shared" si="57"/>
        <v>5.8720303743943054E-2</v>
      </c>
      <c r="P215" s="4">
        <v>225.01062999999999</v>
      </c>
      <c r="Q215" s="1">
        <v>105.5</v>
      </c>
      <c r="R215" s="5">
        <v>99.193049999999999</v>
      </c>
      <c r="S215" s="3">
        <f t="shared" si="46"/>
        <v>99.117230000000006</v>
      </c>
      <c r="T215" s="1">
        <f t="shared" si="56"/>
        <v>1.7499714446792655E-2</v>
      </c>
      <c r="W215" s="4">
        <v>250.00402</v>
      </c>
      <c r="X215" s="1">
        <v>105.5</v>
      </c>
      <c r="Y215" s="3">
        <v>89.799009999999996</v>
      </c>
      <c r="Z215" s="3">
        <f t="shared" si="47"/>
        <v>95.239840000000001</v>
      </c>
      <c r="AA215" s="1">
        <f t="shared" si="55"/>
        <v>8.7465447588160841E-2</v>
      </c>
      <c r="AD215" s="4">
        <v>250.01685000000001</v>
      </c>
      <c r="AE215" s="1">
        <v>105.5</v>
      </c>
      <c r="AF215" s="3">
        <v>97.134110000000007</v>
      </c>
      <c r="AG215" s="3">
        <f t="shared" si="48"/>
        <v>97.395600000000002</v>
      </c>
      <c r="AH215" s="1">
        <f t="shared" si="54"/>
        <v>5.2014344397491939E-2</v>
      </c>
      <c r="AK215" s="11">
        <v>633.11888999999996</v>
      </c>
      <c r="AL215" s="1">
        <v>105.5</v>
      </c>
      <c r="AM215" s="13">
        <v>41.08672</v>
      </c>
      <c r="AN215" s="3">
        <f t="shared" si="49"/>
        <v>43.672939999999997</v>
      </c>
      <c r="AO215" s="1">
        <f t="shared" si="53"/>
        <v>0.94050366688039821</v>
      </c>
      <c r="AQ215" s="11">
        <v>635.60185999999999</v>
      </c>
      <c r="AR215" s="1">
        <v>105.5</v>
      </c>
      <c r="AS215" s="12">
        <v>36.06955</v>
      </c>
      <c r="AT215" s="3">
        <f t="shared" si="50"/>
        <v>39.028280000000002</v>
      </c>
      <c r="AU215" s="1">
        <f t="shared" si="52"/>
        <v>1.0175655518803925</v>
      </c>
      <c r="AW215" s="11">
        <v>421.60284999999999</v>
      </c>
      <c r="AX215" s="1">
        <v>105.5</v>
      </c>
      <c r="AY215" s="13">
        <v>41.976109999999998</v>
      </c>
      <c r="AZ215" s="3">
        <f t="shared" si="51"/>
        <v>43.641759999999998</v>
      </c>
    </row>
    <row r="216" spans="2:52" ht="16" x14ac:dyDescent="0.2">
      <c r="B216" s="4">
        <v>200.01920000000001</v>
      </c>
      <c r="C216" s="1">
        <v>106</v>
      </c>
      <c r="D216" s="3">
        <v>99.354200000000006</v>
      </c>
      <c r="E216" s="3">
        <f t="shared" si="44"/>
        <v>100.48064000000001</v>
      </c>
      <c r="F216" s="1">
        <f t="shared" si="43"/>
        <v>4.0411475061737957E-3</v>
      </c>
      <c r="I216" s="4">
        <v>225.00308000000001</v>
      </c>
      <c r="J216" s="1">
        <v>106</v>
      </c>
      <c r="K216" s="3">
        <v>93.347949999999997</v>
      </c>
      <c r="L216" s="3">
        <f t="shared" si="45"/>
        <v>96.935019999999994</v>
      </c>
      <c r="M216" s="1">
        <f t="shared" si="57"/>
        <v>5.9480388767509502E-2</v>
      </c>
      <c r="P216" s="4">
        <v>225.01160999999999</v>
      </c>
      <c r="Q216" s="1">
        <v>106</v>
      </c>
      <c r="R216" s="3">
        <v>99.320419999999999</v>
      </c>
      <c r="S216" s="3">
        <f t="shared" si="46"/>
        <v>99.244600000000005</v>
      </c>
      <c r="T216" s="1">
        <f t="shared" si="56"/>
        <v>1.5377602912348616E-2</v>
      </c>
      <c r="W216" s="4">
        <v>250.00201000000001</v>
      </c>
      <c r="X216" s="1">
        <v>106</v>
      </c>
      <c r="Y216" s="5">
        <v>89.787629999999993</v>
      </c>
      <c r="Z216" s="3">
        <f t="shared" si="47"/>
        <v>95.228459999999998</v>
      </c>
      <c r="AA216" s="1">
        <f t="shared" si="55"/>
        <v>8.7654408767910225E-2</v>
      </c>
      <c r="AD216" s="4">
        <v>250.01499999999999</v>
      </c>
      <c r="AE216" s="1">
        <v>106</v>
      </c>
      <c r="AF216" s="5">
        <v>97.154579999999996</v>
      </c>
      <c r="AG216" s="3">
        <f t="shared" si="48"/>
        <v>97.416069999999991</v>
      </c>
      <c r="AH216" s="1">
        <f t="shared" si="54"/>
        <v>5.1674519162485943E-2</v>
      </c>
      <c r="AK216" s="11">
        <v>635.58289000000002</v>
      </c>
      <c r="AL216" s="1">
        <v>106</v>
      </c>
      <c r="AM216" s="12">
        <v>41.058160000000001</v>
      </c>
      <c r="AN216" s="3">
        <f t="shared" si="49"/>
        <v>43.644379999999998</v>
      </c>
      <c r="AO216" s="1">
        <f t="shared" si="53"/>
        <v>0.94097999768560081</v>
      </c>
      <c r="AQ216" s="11">
        <v>638.10269000000005</v>
      </c>
      <c r="AR216" s="1">
        <v>106</v>
      </c>
      <c r="AS216" s="13">
        <v>36.029800000000002</v>
      </c>
      <c r="AT216" s="3">
        <f t="shared" si="50"/>
        <v>38.988530000000004</v>
      </c>
      <c r="AU216" s="1">
        <f t="shared" si="52"/>
        <v>1.0182289226613008</v>
      </c>
      <c r="AW216" s="11">
        <v>423.13247000000001</v>
      </c>
      <c r="AX216" s="1">
        <v>106</v>
      </c>
      <c r="AY216" s="12">
        <v>41.90634</v>
      </c>
      <c r="AZ216" s="3">
        <f t="shared" si="51"/>
        <v>43.57199</v>
      </c>
    </row>
    <row r="217" spans="2:52" ht="16" x14ac:dyDescent="0.2">
      <c r="B217" s="4">
        <v>200.01756</v>
      </c>
      <c r="C217" s="1">
        <v>106.5</v>
      </c>
      <c r="D217" s="5">
        <v>99.339070000000007</v>
      </c>
      <c r="E217" s="3">
        <f t="shared" si="44"/>
        <v>100.46551000000001</v>
      </c>
      <c r="F217" s="1">
        <f t="shared" si="43"/>
        <v>4.2918345162943662E-3</v>
      </c>
      <c r="I217" s="4">
        <v>225.00891999999999</v>
      </c>
      <c r="J217" s="1">
        <v>106.5</v>
      </c>
      <c r="K217" s="5">
        <v>93.342799999999997</v>
      </c>
      <c r="L217" s="3">
        <f t="shared" si="45"/>
        <v>96.929869999999994</v>
      </c>
      <c r="M217" s="1">
        <f t="shared" si="57"/>
        <v>5.9565894181912452E-2</v>
      </c>
      <c r="P217" s="4">
        <v>225.01265000000001</v>
      </c>
      <c r="Q217" s="1">
        <v>106.5</v>
      </c>
      <c r="R217" s="5">
        <v>99.129189999999994</v>
      </c>
      <c r="S217" s="3">
        <f t="shared" si="46"/>
        <v>99.053370000000001</v>
      </c>
      <c r="T217" s="1">
        <f t="shared" si="56"/>
        <v>1.8563685888965922E-2</v>
      </c>
      <c r="W217" s="4">
        <v>250.00502</v>
      </c>
      <c r="X217" s="1">
        <v>106.5</v>
      </c>
      <c r="Y217" s="3">
        <v>89.776049999999998</v>
      </c>
      <c r="Z217" s="3">
        <f t="shared" si="47"/>
        <v>95.216880000000003</v>
      </c>
      <c r="AA217" s="1">
        <f t="shared" si="55"/>
        <v>8.7846690882277229E-2</v>
      </c>
      <c r="AD217" s="4">
        <v>250.01740000000001</v>
      </c>
      <c r="AE217" s="1">
        <v>106.5</v>
      </c>
      <c r="AF217" s="3">
        <v>97.087530000000001</v>
      </c>
      <c r="AG217" s="3">
        <f t="shared" si="48"/>
        <v>97.349019999999996</v>
      </c>
      <c r="AH217" s="1">
        <f t="shared" si="54"/>
        <v>5.2787625269333165E-2</v>
      </c>
      <c r="AK217" s="11">
        <v>638.08785</v>
      </c>
      <c r="AL217" s="1">
        <v>106.5</v>
      </c>
      <c r="AM217" s="13">
        <v>41.027009999999997</v>
      </c>
      <c r="AN217" s="3">
        <f t="shared" si="49"/>
        <v>43.613229999999994</v>
      </c>
      <c r="AO217" s="1">
        <f t="shared" si="53"/>
        <v>0.94149952515696156</v>
      </c>
      <c r="AQ217" s="11">
        <v>640.59582</v>
      </c>
      <c r="AR217" s="1">
        <v>106.5</v>
      </c>
      <c r="AS217" s="12">
        <v>36.039940000000001</v>
      </c>
      <c r="AT217" s="3">
        <f t="shared" si="50"/>
        <v>38.998670000000004</v>
      </c>
      <c r="AU217" s="1">
        <f t="shared" si="52"/>
        <v>1.0180597005300203</v>
      </c>
      <c r="AW217" s="11">
        <v>424.66167999999999</v>
      </c>
      <c r="AX217" s="1">
        <v>106.5</v>
      </c>
      <c r="AY217" s="13">
        <v>41.755949999999999</v>
      </c>
      <c r="AZ217" s="3">
        <f t="shared" si="51"/>
        <v>43.421599999999998</v>
      </c>
    </row>
    <row r="218" spans="2:52" ht="16" x14ac:dyDescent="0.2">
      <c r="B218" s="4">
        <v>200.02489</v>
      </c>
      <c r="C218" s="1">
        <v>107</v>
      </c>
      <c r="D218" s="3">
        <v>99.314329999999998</v>
      </c>
      <c r="E218" s="3">
        <f t="shared" si="44"/>
        <v>100.44077</v>
      </c>
      <c r="F218" s="1">
        <f t="shared" si="43"/>
        <v>4.7017483715742978E-3</v>
      </c>
      <c r="I218" s="4">
        <v>225.00400999999999</v>
      </c>
      <c r="J218" s="1">
        <v>107</v>
      </c>
      <c r="K218" s="3">
        <v>93.326449999999994</v>
      </c>
      <c r="L218" s="3">
        <f t="shared" si="45"/>
        <v>96.913519999999991</v>
      </c>
      <c r="M218" s="1">
        <f t="shared" si="57"/>
        <v>5.9837353118900469E-2</v>
      </c>
      <c r="P218" s="4">
        <v>225.01291000000001</v>
      </c>
      <c r="Q218" s="1">
        <v>107</v>
      </c>
      <c r="R218" s="3">
        <v>99.152690000000007</v>
      </c>
      <c r="S218" s="3">
        <f t="shared" si="46"/>
        <v>99.076870000000014</v>
      </c>
      <c r="T218" s="1">
        <f t="shared" si="56"/>
        <v>1.8172152395525845E-2</v>
      </c>
      <c r="W218" s="4">
        <v>250.00699</v>
      </c>
      <c r="X218" s="1">
        <v>107</v>
      </c>
      <c r="Y218" s="5">
        <v>89.749099999999999</v>
      </c>
      <c r="Z218" s="3">
        <f t="shared" si="47"/>
        <v>95.189930000000004</v>
      </c>
      <c r="AA218" s="1">
        <f t="shared" si="55"/>
        <v>8.8294186822017534E-2</v>
      </c>
      <c r="AD218" s="4">
        <v>250.02026000000001</v>
      </c>
      <c r="AE218" s="1">
        <v>107</v>
      </c>
      <c r="AF218" s="5">
        <v>97.154539999999997</v>
      </c>
      <c r="AG218" s="3">
        <f t="shared" si="48"/>
        <v>97.416029999999992</v>
      </c>
      <c r="AH218" s="1">
        <f t="shared" si="54"/>
        <v>5.1675183207888963E-2</v>
      </c>
      <c r="AK218" s="11">
        <v>640.60045000000002</v>
      </c>
      <c r="AL218" s="1">
        <v>107</v>
      </c>
      <c r="AM218" s="12">
        <v>41.022829999999999</v>
      </c>
      <c r="AN218" s="3">
        <f t="shared" si="49"/>
        <v>43.609049999999996</v>
      </c>
      <c r="AO218" s="1">
        <f t="shared" si="53"/>
        <v>0.94156924023979571</v>
      </c>
      <c r="AQ218" s="11">
        <v>643.08498999999995</v>
      </c>
      <c r="AR218" s="1">
        <v>107</v>
      </c>
      <c r="AS218" s="13">
        <v>35.9617</v>
      </c>
      <c r="AT218" s="3">
        <f t="shared" si="50"/>
        <v>38.920430000000003</v>
      </c>
      <c r="AU218" s="1">
        <f t="shared" si="52"/>
        <v>1.0193654144897253</v>
      </c>
      <c r="AW218" s="11">
        <v>426.18588999999997</v>
      </c>
      <c r="AX218" s="1">
        <v>107</v>
      </c>
      <c r="AY218" s="12">
        <v>41.786079999999998</v>
      </c>
      <c r="AZ218" s="3">
        <f t="shared" si="51"/>
        <v>43.451729999999998</v>
      </c>
    </row>
    <row r="219" spans="2:52" ht="16" x14ac:dyDescent="0.2">
      <c r="B219" s="4">
        <v>200.02645000000001</v>
      </c>
      <c r="C219" s="1">
        <v>107.5</v>
      </c>
      <c r="D219" s="5">
        <v>99.271069999999995</v>
      </c>
      <c r="E219" s="3">
        <f t="shared" si="44"/>
        <v>100.39751</v>
      </c>
      <c r="F219" s="1">
        <f t="shared" si="43"/>
        <v>5.4185177078477529E-3</v>
      </c>
      <c r="I219" s="4">
        <v>225.00591</v>
      </c>
      <c r="J219" s="1">
        <v>107.5</v>
      </c>
      <c r="K219" s="5">
        <v>93.324380000000005</v>
      </c>
      <c r="L219" s="3">
        <f t="shared" si="45"/>
        <v>96.911450000000002</v>
      </c>
      <c r="M219" s="1">
        <f t="shared" si="57"/>
        <v>5.9871721314592341E-2</v>
      </c>
      <c r="P219" s="4">
        <v>225.01316</v>
      </c>
      <c r="Q219" s="1">
        <v>107.5</v>
      </c>
      <c r="R219" s="5">
        <v>99.056439999999995</v>
      </c>
      <c r="S219" s="3">
        <f t="shared" si="46"/>
        <v>98.980620000000002</v>
      </c>
      <c r="T219" s="1">
        <f t="shared" si="56"/>
        <v>1.9775773618657396E-2</v>
      </c>
      <c r="W219" s="4">
        <v>250.00599</v>
      </c>
      <c r="X219" s="1">
        <v>107.5</v>
      </c>
      <c r="Y219" s="3">
        <v>89.735680000000002</v>
      </c>
      <c r="Z219" s="3">
        <f t="shared" si="47"/>
        <v>95.176510000000007</v>
      </c>
      <c r="AA219" s="1">
        <f t="shared" si="55"/>
        <v>8.8517021534867762E-2</v>
      </c>
      <c r="AD219" s="4">
        <v>250.01850999999999</v>
      </c>
      <c r="AE219" s="1">
        <v>107.5</v>
      </c>
      <c r="AF219" s="3">
        <v>97.037739999999999</v>
      </c>
      <c r="AG219" s="3">
        <f t="shared" si="48"/>
        <v>97.299229999999994</v>
      </c>
      <c r="AH219" s="1">
        <f t="shared" si="54"/>
        <v>5.3614195784768351E-2</v>
      </c>
      <c r="AK219" s="11">
        <v>643.11324999999999</v>
      </c>
      <c r="AL219" s="1">
        <v>107.5</v>
      </c>
      <c r="AM219" s="13">
        <v>40.966369999999998</v>
      </c>
      <c r="AN219" s="3">
        <f t="shared" si="49"/>
        <v>43.552589999999995</v>
      </c>
      <c r="AO219" s="1">
        <f t="shared" si="53"/>
        <v>0.9425108942055429</v>
      </c>
      <c r="AQ219" s="11">
        <v>645.60432000000003</v>
      </c>
      <c r="AR219" s="1">
        <v>107.5</v>
      </c>
      <c r="AS219" s="12">
        <v>35.95382</v>
      </c>
      <c r="AT219" s="3">
        <f t="shared" si="50"/>
        <v>38.912550000000003</v>
      </c>
      <c r="AU219" s="1">
        <f t="shared" si="52"/>
        <v>1.0194969204457895</v>
      </c>
      <c r="AW219" s="11">
        <v>427.70263999999997</v>
      </c>
      <c r="AX219" s="1">
        <v>107.5</v>
      </c>
      <c r="AY219" s="13">
        <v>41.604089999999999</v>
      </c>
      <c r="AZ219" s="3">
        <f t="shared" si="51"/>
        <v>43.269739999999999</v>
      </c>
    </row>
    <row r="220" spans="2:52" ht="16" x14ac:dyDescent="0.2">
      <c r="B220" s="4">
        <v>200.00656000000001</v>
      </c>
      <c r="C220" s="1">
        <v>108</v>
      </c>
      <c r="D220" s="3">
        <v>99.414640000000006</v>
      </c>
      <c r="E220" s="3">
        <f t="shared" si="44"/>
        <v>100.54108000000001</v>
      </c>
      <c r="F220" s="1">
        <f t="shared" si="43"/>
        <v>3.0397249753285845E-3</v>
      </c>
      <c r="I220" s="4">
        <v>225.00592</v>
      </c>
      <c r="J220" s="1">
        <v>108</v>
      </c>
      <c r="K220" s="3">
        <v>93.307450000000003</v>
      </c>
      <c r="L220" s="3">
        <f t="shared" si="45"/>
        <v>96.89452</v>
      </c>
      <c r="M220" s="1">
        <f t="shared" si="57"/>
        <v>6.015280998757136E-2</v>
      </c>
      <c r="P220" s="4">
        <v>225.01499999999999</v>
      </c>
      <c r="Q220" s="1">
        <v>108</v>
      </c>
      <c r="R220" s="3">
        <v>99.084249999999997</v>
      </c>
      <c r="S220" s="3">
        <f t="shared" si="46"/>
        <v>99.008430000000004</v>
      </c>
      <c r="T220" s="1">
        <f t="shared" si="56"/>
        <v>1.9312431216420654E-2</v>
      </c>
      <c r="W220" s="4">
        <v>250</v>
      </c>
      <c r="X220" s="1">
        <v>108</v>
      </c>
      <c r="Y220" s="5">
        <v>89.708839999999995</v>
      </c>
      <c r="Z220" s="3">
        <f t="shared" si="47"/>
        <v>95.14967</v>
      </c>
      <c r="AA220" s="1">
        <f t="shared" si="55"/>
        <v>8.8962690960568441E-2</v>
      </c>
      <c r="AD220" s="4">
        <v>250.01621</v>
      </c>
      <c r="AE220" s="1">
        <v>108</v>
      </c>
      <c r="AF220" s="5">
        <v>96.985339999999994</v>
      </c>
      <c r="AG220" s="3">
        <f t="shared" si="48"/>
        <v>97.246829999999989</v>
      </c>
      <c r="AH220" s="1">
        <f t="shared" si="54"/>
        <v>5.4484095262752018E-2</v>
      </c>
      <c r="AK220" s="11">
        <v>645.61884999999995</v>
      </c>
      <c r="AL220" s="1">
        <v>108</v>
      </c>
      <c r="AM220" s="12">
        <v>40.978650000000002</v>
      </c>
      <c r="AN220" s="3">
        <f t="shared" si="49"/>
        <v>43.564869999999999</v>
      </c>
      <c r="AO220" s="1">
        <f t="shared" si="53"/>
        <v>0.94230608530190529</v>
      </c>
      <c r="AQ220" s="11">
        <v>648.11563999999998</v>
      </c>
      <c r="AR220" s="1">
        <v>108</v>
      </c>
      <c r="AS220" s="13">
        <v>35.924979999999998</v>
      </c>
      <c r="AT220" s="3">
        <f t="shared" si="50"/>
        <v>38.883710000000001</v>
      </c>
      <c r="AU220" s="1">
        <f t="shared" si="52"/>
        <v>1.0199782188941267</v>
      </c>
      <c r="AW220" s="11">
        <v>429.21343999999999</v>
      </c>
      <c r="AX220" s="1">
        <v>108</v>
      </c>
      <c r="AY220" s="12">
        <v>41.567120000000003</v>
      </c>
      <c r="AZ220" s="3">
        <f t="shared" si="51"/>
        <v>43.232770000000002</v>
      </c>
    </row>
    <row r="221" spans="2:52" ht="16" x14ac:dyDescent="0.2">
      <c r="B221" s="4">
        <v>199.97026</v>
      </c>
      <c r="C221" s="1">
        <v>108.5</v>
      </c>
      <c r="D221" s="5">
        <v>99.383930000000007</v>
      </c>
      <c r="E221" s="3">
        <f t="shared" si="44"/>
        <v>100.51037000000001</v>
      </c>
      <c r="F221" s="1">
        <f t="shared" si="43"/>
        <v>3.5485549872785456E-3</v>
      </c>
      <c r="I221" s="4">
        <v>225.00789</v>
      </c>
      <c r="J221" s="1">
        <v>108.5</v>
      </c>
      <c r="K221" s="5">
        <v>93.302440000000004</v>
      </c>
      <c r="L221" s="3">
        <f t="shared" si="45"/>
        <v>96.889510000000001</v>
      </c>
      <c r="M221" s="1">
        <f t="shared" si="57"/>
        <v>6.0235990982941967E-2</v>
      </c>
      <c r="P221" s="4">
        <v>225.01643000000001</v>
      </c>
      <c r="Q221" s="1">
        <v>108.5</v>
      </c>
      <c r="R221" s="5">
        <v>99.196100000000001</v>
      </c>
      <c r="S221" s="3">
        <f t="shared" si="46"/>
        <v>99.120280000000008</v>
      </c>
      <c r="T221" s="1">
        <f t="shared" si="56"/>
        <v>1.7448898397644047E-2</v>
      </c>
      <c r="W221" s="4">
        <v>249.99804</v>
      </c>
      <c r="X221" s="1">
        <v>108.5</v>
      </c>
      <c r="Y221" s="3">
        <v>89.676240000000007</v>
      </c>
      <c r="Z221" s="3">
        <f t="shared" si="47"/>
        <v>95.117070000000012</v>
      </c>
      <c r="AA221" s="1">
        <f t="shared" si="55"/>
        <v>8.9504003303259694E-2</v>
      </c>
      <c r="AD221" s="4">
        <v>250.01743999999999</v>
      </c>
      <c r="AE221" s="1">
        <v>108.5</v>
      </c>
      <c r="AF221" s="3">
        <v>97.119879999999995</v>
      </c>
      <c r="AG221" s="3">
        <f t="shared" si="48"/>
        <v>97.38136999999999</v>
      </c>
      <c r="AH221" s="1">
        <f t="shared" si="54"/>
        <v>5.2250578549623942E-2</v>
      </c>
      <c r="AK221" s="11">
        <v>648.12374999999997</v>
      </c>
      <c r="AL221" s="1">
        <v>108.5</v>
      </c>
      <c r="AM221" s="13">
        <v>40.922910000000002</v>
      </c>
      <c r="AN221" s="3">
        <f t="shared" si="49"/>
        <v>43.509129999999999</v>
      </c>
      <c r="AO221" s="1">
        <f t="shared" si="53"/>
        <v>0.9432357309280256</v>
      </c>
      <c r="AQ221" s="11">
        <v>650.61865</v>
      </c>
      <c r="AR221" s="1">
        <v>108.5</v>
      </c>
      <c r="AS221" s="12">
        <v>35.905659999999997</v>
      </c>
      <c r="AT221" s="3">
        <f t="shared" si="50"/>
        <v>38.86439</v>
      </c>
      <c r="AU221" s="1">
        <f t="shared" si="52"/>
        <v>1.0203006421265077</v>
      </c>
      <c r="AW221" s="11">
        <v>430.72845000000001</v>
      </c>
      <c r="AX221" s="1">
        <v>108.5</v>
      </c>
      <c r="AY221" s="13">
        <v>41.532679999999999</v>
      </c>
      <c r="AZ221" s="3">
        <f t="shared" si="51"/>
        <v>43.198329999999999</v>
      </c>
    </row>
    <row r="222" spans="2:52" ht="16" x14ac:dyDescent="0.2">
      <c r="B222" s="4">
        <v>199.94150999999999</v>
      </c>
      <c r="C222" s="1">
        <v>109</v>
      </c>
      <c r="D222" s="3">
        <v>99.408199999999994</v>
      </c>
      <c r="E222" s="3">
        <f t="shared" si="44"/>
        <v>100.53464</v>
      </c>
      <c r="F222" s="1">
        <f t="shared" si="43"/>
        <v>3.1464285011170556E-3</v>
      </c>
      <c r="I222" s="4">
        <v>225.00608</v>
      </c>
      <c r="J222" s="1">
        <v>109</v>
      </c>
      <c r="K222" s="3">
        <v>93.289590000000004</v>
      </c>
      <c r="L222" s="3">
        <f t="shared" si="45"/>
        <v>96.876660000000001</v>
      </c>
      <c r="M222" s="1">
        <f t="shared" si="57"/>
        <v>6.0449339444122119E-2</v>
      </c>
      <c r="P222" s="4">
        <v>225.01832999999999</v>
      </c>
      <c r="Q222" s="1">
        <v>109</v>
      </c>
      <c r="R222" s="3">
        <v>99.170599999999993</v>
      </c>
      <c r="S222" s="3">
        <f t="shared" si="46"/>
        <v>99.09478</v>
      </c>
      <c r="T222" s="1">
        <f t="shared" si="56"/>
        <v>1.7873753890525736E-2</v>
      </c>
      <c r="W222" s="4">
        <v>249.99903</v>
      </c>
      <c r="X222" s="1">
        <v>109</v>
      </c>
      <c r="Y222" s="5">
        <v>89.651489999999995</v>
      </c>
      <c r="Z222" s="3">
        <f t="shared" si="47"/>
        <v>95.092320000000001</v>
      </c>
      <c r="AA222" s="1">
        <f t="shared" si="55"/>
        <v>8.9914968962205077E-2</v>
      </c>
      <c r="AD222" s="4">
        <v>250.01569000000001</v>
      </c>
      <c r="AE222" s="1">
        <v>109</v>
      </c>
      <c r="AF222" s="5">
        <v>97.00873</v>
      </c>
      <c r="AG222" s="3">
        <f t="shared" si="48"/>
        <v>97.270219999999995</v>
      </c>
      <c r="AH222" s="1">
        <f t="shared" si="54"/>
        <v>5.409579471332375E-2</v>
      </c>
      <c r="AK222" s="11">
        <v>650.65218000000004</v>
      </c>
      <c r="AL222" s="1">
        <v>109</v>
      </c>
      <c r="AM222" s="12">
        <v>40.920589999999997</v>
      </c>
      <c r="AN222" s="3">
        <f t="shared" si="49"/>
        <v>43.506809999999994</v>
      </c>
      <c r="AO222" s="1">
        <f t="shared" si="53"/>
        <v>0.94327442446682364</v>
      </c>
      <c r="AQ222" s="11">
        <v>653.12796000000003</v>
      </c>
      <c r="AR222" s="1">
        <v>109</v>
      </c>
      <c r="AS222" s="13">
        <v>35.877630000000003</v>
      </c>
      <c r="AT222" s="3">
        <f t="shared" si="50"/>
        <v>38.836360000000006</v>
      </c>
      <c r="AU222" s="1">
        <f t="shared" si="52"/>
        <v>1.02076842283063</v>
      </c>
      <c r="AW222" s="11">
        <v>432.22647999999998</v>
      </c>
      <c r="AX222" s="1">
        <v>109</v>
      </c>
      <c r="AY222" s="12">
        <v>41.398899999999998</v>
      </c>
      <c r="AZ222" s="3">
        <f t="shared" si="51"/>
        <v>43.064549999999997</v>
      </c>
    </row>
    <row r="223" spans="2:52" ht="16" x14ac:dyDescent="0.2">
      <c r="B223" s="4">
        <v>199.93315000000001</v>
      </c>
      <c r="C223" s="1">
        <v>109.5</v>
      </c>
      <c r="D223" s="5">
        <v>99.172020000000003</v>
      </c>
      <c r="E223" s="3">
        <f t="shared" si="44"/>
        <v>100.29846000000001</v>
      </c>
      <c r="F223" s="1">
        <f t="shared" si="43"/>
        <v>7.0596643273085347E-3</v>
      </c>
      <c r="I223" s="4">
        <v>225.00303</v>
      </c>
      <c r="J223" s="1">
        <v>109.5</v>
      </c>
      <c r="K223" s="5">
        <v>93.254059999999996</v>
      </c>
      <c r="L223" s="3">
        <f t="shared" si="45"/>
        <v>96.841129999999993</v>
      </c>
      <c r="M223" s="1">
        <f t="shared" si="57"/>
        <v>6.1039243788537104E-2</v>
      </c>
      <c r="P223" s="4">
        <v>225.02080000000001</v>
      </c>
      <c r="Q223" s="1">
        <v>109.5</v>
      </c>
      <c r="R223" s="5">
        <v>99.137410000000003</v>
      </c>
      <c r="S223" s="3">
        <f t="shared" si="46"/>
        <v>99.06159000000001</v>
      </c>
      <c r="T223" s="1">
        <f t="shared" si="56"/>
        <v>1.8426732471260431E-2</v>
      </c>
      <c r="W223" s="4">
        <v>250.00996000000001</v>
      </c>
      <c r="X223" s="1">
        <v>109.5</v>
      </c>
      <c r="Y223" s="3">
        <v>89.626390000000001</v>
      </c>
      <c r="Z223" s="3">
        <f t="shared" si="47"/>
        <v>95.067220000000006</v>
      </c>
      <c r="AA223" s="1">
        <f t="shared" si="55"/>
        <v>9.0331746256731224E-2</v>
      </c>
      <c r="AD223" s="4">
        <v>250.01473999999999</v>
      </c>
      <c r="AE223" s="1">
        <v>109.5</v>
      </c>
      <c r="AF223" s="3">
        <v>96.98066</v>
      </c>
      <c r="AG223" s="3">
        <f t="shared" si="48"/>
        <v>97.242149999999995</v>
      </c>
      <c r="AH223" s="1">
        <f t="shared" si="54"/>
        <v>5.4561788574907698E-2</v>
      </c>
      <c r="AK223" s="11">
        <v>653.15359999999998</v>
      </c>
      <c r="AL223" s="1">
        <v>109.5</v>
      </c>
      <c r="AM223" s="13">
        <v>40.875630000000001</v>
      </c>
      <c r="AN223" s="3">
        <f t="shared" si="49"/>
        <v>43.461849999999998</v>
      </c>
      <c r="AO223" s="1">
        <f t="shared" si="53"/>
        <v>0.944024278563529</v>
      </c>
      <c r="AQ223" s="11">
        <v>655.64919999999995</v>
      </c>
      <c r="AR223" s="1">
        <v>109.5</v>
      </c>
      <c r="AS223" s="12">
        <v>35.816229999999997</v>
      </c>
      <c r="AT223" s="3">
        <f t="shared" si="50"/>
        <v>38.77496</v>
      </c>
      <c r="AU223" s="1">
        <f t="shared" si="52"/>
        <v>1.0217931012192534</v>
      </c>
      <c r="AW223" s="11">
        <v>433.73539</v>
      </c>
      <c r="AX223" s="1">
        <v>109.5</v>
      </c>
      <c r="AY223" s="13">
        <v>41.276539999999997</v>
      </c>
      <c r="AZ223" s="3">
        <f t="shared" si="51"/>
        <v>42.942189999999997</v>
      </c>
    </row>
    <row r="224" spans="2:52" ht="16" x14ac:dyDescent="0.2">
      <c r="B224" s="4">
        <v>199.94424000000001</v>
      </c>
      <c r="C224" s="1">
        <v>110</v>
      </c>
      <c r="D224" s="3">
        <v>99.312070000000006</v>
      </c>
      <c r="E224" s="3">
        <f t="shared" si="44"/>
        <v>100.43851000000001</v>
      </c>
      <c r="F224" s="1">
        <f t="shared" si="43"/>
        <v>4.7391940188228543E-3</v>
      </c>
      <c r="I224" s="4">
        <v>225.00900999999999</v>
      </c>
      <c r="J224" s="1">
        <v>110</v>
      </c>
      <c r="K224" s="3">
        <v>93.264619999999994</v>
      </c>
      <c r="L224" s="3">
        <f t="shared" si="45"/>
        <v>96.851689999999991</v>
      </c>
      <c r="M224" s="1">
        <f t="shared" si="57"/>
        <v>6.0863916181528387E-2</v>
      </c>
      <c r="P224" s="4">
        <v>225.02170000000001</v>
      </c>
      <c r="Q224" s="1">
        <v>110</v>
      </c>
      <c r="R224" s="3">
        <v>99.106210000000004</v>
      </c>
      <c r="S224" s="3">
        <f t="shared" si="46"/>
        <v>99.030390000000011</v>
      </c>
      <c r="T224" s="1">
        <f t="shared" si="56"/>
        <v>1.8946555662550775E-2</v>
      </c>
      <c r="W224" s="4">
        <v>250.011</v>
      </c>
      <c r="X224" s="1">
        <v>110</v>
      </c>
      <c r="Y224" s="5">
        <v>89.605429999999998</v>
      </c>
      <c r="Z224" s="3">
        <f t="shared" si="47"/>
        <v>95.046260000000004</v>
      </c>
      <c r="AA224" s="1">
        <f t="shared" si="55"/>
        <v>9.0679780204670296E-2</v>
      </c>
      <c r="AD224" s="4">
        <v>250.01173</v>
      </c>
      <c r="AE224" s="1">
        <v>110</v>
      </c>
      <c r="AF224" s="5">
        <v>97.007959999999997</v>
      </c>
      <c r="AG224" s="3">
        <f t="shared" si="48"/>
        <v>97.269449999999992</v>
      </c>
      <c r="AH224" s="1">
        <f t="shared" si="54"/>
        <v>5.4108577587332334E-2</v>
      </c>
      <c r="AK224" s="11">
        <v>655.64359999999999</v>
      </c>
      <c r="AL224" s="1">
        <v>110</v>
      </c>
      <c r="AM224" s="12">
        <v>40.853749999999998</v>
      </c>
      <c r="AN224" s="3">
        <f t="shared" si="49"/>
        <v>43.439969999999995</v>
      </c>
      <c r="AO224" s="1">
        <f t="shared" si="53"/>
        <v>0.94438919866219273</v>
      </c>
      <c r="AQ224" s="11">
        <v>658.14206000000001</v>
      </c>
      <c r="AR224" s="1">
        <v>110</v>
      </c>
      <c r="AS224" s="13">
        <v>35.803040000000003</v>
      </c>
      <c r="AT224" s="3">
        <f t="shared" si="50"/>
        <v>38.761770000000006</v>
      </c>
      <c r="AU224" s="1">
        <f t="shared" si="52"/>
        <v>1.0220132234985033</v>
      </c>
      <c r="AW224" s="11">
        <v>435.24232000000001</v>
      </c>
      <c r="AX224" s="1">
        <v>110</v>
      </c>
      <c r="AY224" s="12">
        <v>41.337530000000001</v>
      </c>
      <c r="AZ224" s="3">
        <f t="shared" si="51"/>
        <v>43.00318</v>
      </c>
    </row>
    <row r="225" spans="2:52" ht="16" x14ac:dyDescent="0.2">
      <c r="B225" s="4">
        <v>199.96877000000001</v>
      </c>
      <c r="C225" s="1">
        <v>110.5</v>
      </c>
      <c r="D225" s="5">
        <v>99.330920000000006</v>
      </c>
      <c r="E225" s="3">
        <f t="shared" si="44"/>
        <v>100.45736000000001</v>
      </c>
      <c r="F225" s="1">
        <f t="shared" si="43"/>
        <v>4.4268708105761178E-3</v>
      </c>
      <c r="I225" s="4">
        <v>225.00794999999999</v>
      </c>
      <c r="J225" s="1">
        <v>110.5</v>
      </c>
      <c r="K225" s="5">
        <v>93.260900000000007</v>
      </c>
      <c r="L225" s="3">
        <f t="shared" si="45"/>
        <v>96.847970000000004</v>
      </c>
      <c r="M225" s="1">
        <f t="shared" si="57"/>
        <v>6.0925679315815343E-2</v>
      </c>
      <c r="P225" s="4">
        <v>225.02144000000001</v>
      </c>
      <c r="Q225" s="1">
        <v>110.5</v>
      </c>
      <c r="R225" s="5">
        <v>99.161100000000005</v>
      </c>
      <c r="S225" s="3">
        <f t="shared" si="46"/>
        <v>99.085280000000012</v>
      </c>
      <c r="T225" s="1">
        <f t="shared" si="56"/>
        <v>1.8032033387873573E-2</v>
      </c>
      <c r="W225" s="4">
        <v>250.00700000000001</v>
      </c>
      <c r="X225" s="1">
        <v>110.5</v>
      </c>
      <c r="Y225" s="3">
        <v>89.599590000000006</v>
      </c>
      <c r="Z225" s="3">
        <f t="shared" si="47"/>
        <v>95.040420000000012</v>
      </c>
      <c r="AA225" s="1">
        <f t="shared" si="55"/>
        <v>9.0776751495508151E-2</v>
      </c>
      <c r="AD225" s="4">
        <v>250.01</v>
      </c>
      <c r="AE225" s="1">
        <v>110.5</v>
      </c>
      <c r="AF225" s="3">
        <v>96.936809999999994</v>
      </c>
      <c r="AG225" s="3">
        <f t="shared" si="48"/>
        <v>97.198299999999989</v>
      </c>
      <c r="AH225" s="1">
        <f t="shared" si="54"/>
        <v>5.5289748347991378E-2</v>
      </c>
      <c r="AK225" s="11">
        <v>658.16471999999999</v>
      </c>
      <c r="AL225" s="1">
        <v>110.5</v>
      </c>
      <c r="AM225" s="13">
        <v>40.822290000000002</v>
      </c>
      <c r="AN225" s="3">
        <f t="shared" si="49"/>
        <v>43.40851</v>
      </c>
      <c r="AO225" s="1">
        <f t="shared" si="53"/>
        <v>0.94491389639089274</v>
      </c>
      <c r="AQ225" s="11">
        <v>660.66404999999997</v>
      </c>
      <c r="AR225" s="1">
        <v>110.5</v>
      </c>
      <c r="AS225" s="12">
        <v>35.799720000000001</v>
      </c>
      <c r="AT225" s="3">
        <f t="shared" si="50"/>
        <v>38.758450000000003</v>
      </c>
      <c r="AU225" s="1">
        <f t="shared" si="52"/>
        <v>1.0220686295612105</v>
      </c>
      <c r="AW225" s="11">
        <v>436.73464000000001</v>
      </c>
      <c r="AX225" s="1">
        <v>110.5</v>
      </c>
      <c r="AY225" s="13">
        <v>41.078809999999997</v>
      </c>
      <c r="AZ225" s="3">
        <f t="shared" si="51"/>
        <v>42.744459999999997</v>
      </c>
    </row>
    <row r="226" spans="2:52" ht="16" x14ac:dyDescent="0.2">
      <c r="B226" s="4">
        <v>199.99533</v>
      </c>
      <c r="C226" s="1">
        <v>111</v>
      </c>
      <c r="D226" s="3">
        <v>99.336349999999996</v>
      </c>
      <c r="E226" s="3">
        <f t="shared" si="44"/>
        <v>100.46279</v>
      </c>
      <c r="F226" s="1">
        <f t="shared" si="43"/>
        <v>4.3369018439566717E-3</v>
      </c>
      <c r="I226" s="4">
        <v>225.00602000000001</v>
      </c>
      <c r="J226" s="1">
        <v>111</v>
      </c>
      <c r="K226" s="3">
        <v>93.231309999999993</v>
      </c>
      <c r="L226" s="3">
        <f t="shared" si="45"/>
        <v>96.818379999999991</v>
      </c>
      <c r="M226" s="1">
        <f t="shared" si="57"/>
        <v>6.1416961881287986E-2</v>
      </c>
      <c r="P226" s="4">
        <v>225.02309</v>
      </c>
      <c r="Q226" s="1">
        <v>111</v>
      </c>
      <c r="R226" s="3">
        <v>99.180250000000001</v>
      </c>
      <c r="S226" s="3">
        <f t="shared" si="46"/>
        <v>99.104430000000008</v>
      </c>
      <c r="T226" s="1">
        <f t="shared" si="56"/>
        <v>1.771297524321945E-2</v>
      </c>
      <c r="W226" s="4">
        <v>250.00395</v>
      </c>
      <c r="X226" s="1">
        <v>111</v>
      </c>
      <c r="Y226" s="5">
        <v>89.578500000000005</v>
      </c>
      <c r="Z226" s="3">
        <f t="shared" si="47"/>
        <v>95.019330000000011</v>
      </c>
      <c r="AA226" s="1">
        <f t="shared" si="55"/>
        <v>9.1126944050948733E-2</v>
      </c>
      <c r="AD226" s="4">
        <v>250.00919999999999</v>
      </c>
      <c r="AE226" s="1">
        <v>111</v>
      </c>
      <c r="AF226" s="5">
        <v>96.942729999999997</v>
      </c>
      <c r="AG226" s="3">
        <f t="shared" si="48"/>
        <v>97.204219999999992</v>
      </c>
      <c r="AH226" s="1">
        <f t="shared" si="54"/>
        <v>5.5191469628341275E-2</v>
      </c>
      <c r="AK226" s="11">
        <v>660.65659000000005</v>
      </c>
      <c r="AL226" s="1">
        <v>111</v>
      </c>
      <c r="AM226" s="12">
        <v>40.8065</v>
      </c>
      <c r="AN226" s="3">
        <f t="shared" si="49"/>
        <v>43.392719999999997</v>
      </c>
      <c r="AO226" s="1">
        <f t="shared" si="53"/>
        <v>0.94517724595021169</v>
      </c>
      <c r="AQ226" s="11">
        <v>663.14413000000002</v>
      </c>
      <c r="AR226" s="1">
        <v>111</v>
      </c>
      <c r="AS226" s="13">
        <v>35.750770000000003</v>
      </c>
      <c r="AT226" s="3">
        <f t="shared" si="50"/>
        <v>38.709500000000006</v>
      </c>
      <c r="AU226" s="1">
        <f t="shared" si="52"/>
        <v>1.0228855352146815</v>
      </c>
      <c r="AW226" s="11">
        <v>438.24077999999997</v>
      </c>
      <c r="AX226" s="1">
        <v>111</v>
      </c>
      <c r="AY226" s="12">
        <v>41.1798</v>
      </c>
      <c r="AZ226" s="3">
        <f t="shared" si="51"/>
        <v>42.84545</v>
      </c>
    </row>
    <row r="227" spans="2:52" ht="16" x14ac:dyDescent="0.2">
      <c r="B227" s="4">
        <v>200.01366999999999</v>
      </c>
      <c r="C227" s="1">
        <v>111.5</v>
      </c>
      <c r="D227" s="5">
        <v>99.357439999999997</v>
      </c>
      <c r="E227" s="3">
        <f t="shared" si="44"/>
        <v>100.48388</v>
      </c>
      <c r="F227" s="1">
        <f t="shared" si="43"/>
        <v>3.9874643658705279E-3</v>
      </c>
      <c r="I227" s="4">
        <v>225.00201999999999</v>
      </c>
      <c r="J227" s="1">
        <v>111.5</v>
      </c>
      <c r="K227" s="5">
        <v>93.209209999999999</v>
      </c>
      <c r="L227" s="3">
        <f t="shared" si="45"/>
        <v>96.796279999999996</v>
      </c>
      <c r="M227" s="1">
        <f t="shared" si="57"/>
        <v>6.1783888028531575E-2</v>
      </c>
      <c r="P227" s="4">
        <v>225.02395999999999</v>
      </c>
      <c r="Q227" s="1">
        <v>111.5</v>
      </c>
      <c r="R227" s="5">
        <v>99.176810000000003</v>
      </c>
      <c r="S227" s="3">
        <f t="shared" si="46"/>
        <v>99.10099000000001</v>
      </c>
      <c r="T227" s="1">
        <f t="shared" si="56"/>
        <v>1.7770289082259121E-2</v>
      </c>
      <c r="W227" s="4">
        <v>250.00099</v>
      </c>
      <c r="X227" s="1">
        <v>111.5</v>
      </c>
      <c r="Y227" s="3">
        <v>89.549629999999993</v>
      </c>
      <c r="Z227" s="3">
        <f t="shared" si="47"/>
        <v>94.990459999999999</v>
      </c>
      <c r="AA227" s="1">
        <f t="shared" si="55"/>
        <v>9.1606320963019544E-2</v>
      </c>
      <c r="AD227" s="4">
        <v>250.00842</v>
      </c>
      <c r="AE227" s="1">
        <v>111.5</v>
      </c>
      <c r="AF227" s="3">
        <v>97.065669999999997</v>
      </c>
      <c r="AG227" s="3">
        <f t="shared" si="48"/>
        <v>97.327159999999992</v>
      </c>
      <c r="AH227" s="1">
        <f t="shared" si="54"/>
        <v>5.3150526082095077E-2</v>
      </c>
      <c r="AK227" s="11">
        <v>663.12897999999996</v>
      </c>
      <c r="AL227" s="1">
        <v>111.5</v>
      </c>
      <c r="AM227" s="13">
        <v>40.772300000000001</v>
      </c>
      <c r="AN227" s="3">
        <f t="shared" si="49"/>
        <v>43.358519999999999</v>
      </c>
      <c r="AO227" s="1">
        <f t="shared" si="53"/>
        <v>0.94574764208249207</v>
      </c>
      <c r="AQ227" s="11">
        <v>665.61541</v>
      </c>
      <c r="AR227" s="1">
        <v>111.5</v>
      </c>
      <c r="AS227" s="12">
        <v>35.730249999999998</v>
      </c>
      <c r="AT227" s="3">
        <f t="shared" si="50"/>
        <v>38.688980000000001</v>
      </c>
      <c r="AU227" s="1">
        <f t="shared" si="52"/>
        <v>1.0232279847347883</v>
      </c>
      <c r="AW227" s="11">
        <v>439.73439999999999</v>
      </c>
      <c r="AX227" s="1">
        <v>111.5</v>
      </c>
      <c r="AY227" s="13">
        <v>41.006839999999997</v>
      </c>
      <c r="AZ227" s="3">
        <f t="shared" si="51"/>
        <v>42.672489999999996</v>
      </c>
    </row>
    <row r="228" spans="2:52" ht="16" x14ac:dyDescent="0.2">
      <c r="B228" s="4">
        <v>200.01569000000001</v>
      </c>
      <c r="C228" s="1">
        <v>112</v>
      </c>
      <c r="D228" s="3">
        <v>99.538870000000003</v>
      </c>
      <c r="E228" s="3">
        <f t="shared" si="44"/>
        <v>100.66531000000001</v>
      </c>
      <c r="F228" s="1">
        <f t="shared" si="43"/>
        <v>9.8137419758374421E-4</v>
      </c>
      <c r="I228" s="4">
        <v>225.00299000000001</v>
      </c>
      <c r="J228" s="1">
        <v>112</v>
      </c>
      <c r="K228" s="3">
        <v>93.191190000000006</v>
      </c>
      <c r="L228" s="3">
        <f t="shared" si="45"/>
        <v>96.778260000000003</v>
      </c>
      <c r="M228" s="1">
        <f t="shared" si="57"/>
        <v>6.2083073963976304E-2</v>
      </c>
      <c r="P228" s="4">
        <v>225.0224</v>
      </c>
      <c r="Q228" s="1">
        <v>112</v>
      </c>
      <c r="R228" s="3">
        <v>99.120090000000005</v>
      </c>
      <c r="S228" s="3">
        <f t="shared" si="46"/>
        <v>99.044270000000012</v>
      </c>
      <c r="T228" s="1">
        <f t="shared" si="56"/>
        <v>1.8715300986425435E-2</v>
      </c>
      <c r="W228" s="4">
        <v>250.00201999999999</v>
      </c>
      <c r="X228" s="1">
        <v>112</v>
      </c>
      <c r="Y228" s="5">
        <v>89.523009999999999</v>
      </c>
      <c r="Z228" s="3">
        <f t="shared" si="47"/>
        <v>94.963840000000005</v>
      </c>
      <c r="AA228" s="1">
        <f t="shared" si="55"/>
        <v>9.2048337360640498E-2</v>
      </c>
      <c r="AD228" s="4">
        <v>250.01013</v>
      </c>
      <c r="AE228" s="1">
        <v>112</v>
      </c>
      <c r="AF228" s="5">
        <v>96.963520000000003</v>
      </c>
      <c r="AG228" s="3">
        <f t="shared" si="48"/>
        <v>97.225009999999997</v>
      </c>
      <c r="AH228" s="1">
        <f t="shared" si="54"/>
        <v>5.4846332030110682E-2</v>
      </c>
      <c r="AK228" s="11">
        <v>665.63046999999995</v>
      </c>
      <c r="AL228" s="1">
        <v>112</v>
      </c>
      <c r="AM228" s="12">
        <v>40.752070000000003</v>
      </c>
      <c r="AN228" s="3">
        <f t="shared" si="49"/>
        <v>43.338290000000001</v>
      </c>
      <c r="AO228" s="1">
        <f t="shared" si="53"/>
        <v>0.94608504306951058</v>
      </c>
      <c r="AQ228" s="11">
        <v>668.10329999999999</v>
      </c>
      <c r="AR228" s="1">
        <v>112</v>
      </c>
      <c r="AS228" s="13">
        <v>35.714179999999999</v>
      </c>
      <c r="AT228" s="3">
        <f t="shared" si="50"/>
        <v>38.672910000000002</v>
      </c>
      <c r="AU228" s="1">
        <f t="shared" si="52"/>
        <v>1.0234961701045793</v>
      </c>
      <c r="AW228" s="11">
        <v>441.23653999999999</v>
      </c>
      <c r="AX228" s="1">
        <v>112</v>
      </c>
      <c r="AY228" s="12">
        <v>41.03716</v>
      </c>
      <c r="AZ228" s="3">
        <f t="shared" si="51"/>
        <v>42.702809999999999</v>
      </c>
    </row>
    <row r="229" spans="2:52" ht="16" x14ac:dyDescent="0.2">
      <c r="B229" s="4">
        <v>200.00710000000001</v>
      </c>
      <c r="C229" s="1">
        <v>112.5</v>
      </c>
      <c r="D229" s="5">
        <v>99.262100000000004</v>
      </c>
      <c r="E229" s="3">
        <f t="shared" si="44"/>
        <v>100.38854000000001</v>
      </c>
      <c r="F229" s="1">
        <f t="shared" si="43"/>
        <v>5.5671404759098366E-3</v>
      </c>
      <c r="I229" s="4">
        <v>225.00400999999999</v>
      </c>
      <c r="J229" s="1">
        <v>112.5</v>
      </c>
      <c r="K229" s="5">
        <v>93.189409999999995</v>
      </c>
      <c r="L229" s="3">
        <f t="shared" si="45"/>
        <v>96.776479999999992</v>
      </c>
      <c r="M229" s="1">
        <f t="shared" si="57"/>
        <v>6.211262729167303E-2</v>
      </c>
      <c r="P229" s="4">
        <v>225.02125000000001</v>
      </c>
      <c r="Q229" s="1">
        <v>112.5</v>
      </c>
      <c r="R229" s="5">
        <v>99.138249999999999</v>
      </c>
      <c r="S229" s="3">
        <f t="shared" si="46"/>
        <v>99.062430000000006</v>
      </c>
      <c r="T229" s="1">
        <f t="shared" si="56"/>
        <v>1.8412737231494978E-2</v>
      </c>
      <c r="W229" s="4">
        <v>249.99904000000001</v>
      </c>
      <c r="X229" s="1">
        <v>112.5</v>
      </c>
      <c r="Y229" s="3">
        <v>89.490020000000001</v>
      </c>
      <c r="Z229" s="3">
        <f t="shared" si="47"/>
        <v>94.930850000000007</v>
      </c>
      <c r="AA229" s="1">
        <f t="shared" si="55"/>
        <v>9.2596125525836501E-2</v>
      </c>
      <c r="AD229" s="4">
        <v>250.01224999999999</v>
      </c>
      <c r="AE229" s="1">
        <v>112.5</v>
      </c>
      <c r="AF229" s="3">
        <v>96.935220000000001</v>
      </c>
      <c r="AG229" s="3">
        <f t="shared" si="48"/>
        <v>97.196709999999996</v>
      </c>
      <c r="AH229" s="1">
        <f t="shared" si="54"/>
        <v>5.5316144152762141E-2</v>
      </c>
      <c r="AK229" s="11">
        <v>668.12536</v>
      </c>
      <c r="AL229" s="1">
        <v>112.5</v>
      </c>
      <c r="AM229" s="13">
        <v>40.745089999999998</v>
      </c>
      <c r="AN229" s="3">
        <f t="shared" si="49"/>
        <v>43.331309999999995</v>
      </c>
      <c r="AO229" s="1">
        <f t="shared" si="53"/>
        <v>0.94620145725089422</v>
      </c>
      <c r="AQ229" s="11">
        <v>670.61726999999996</v>
      </c>
      <c r="AR229" s="1">
        <v>112.5</v>
      </c>
      <c r="AS229" s="12">
        <v>35.670349999999999</v>
      </c>
      <c r="AT229" s="3">
        <f t="shared" si="50"/>
        <v>38.629080000000002</v>
      </c>
      <c r="AU229" s="1">
        <f t="shared" si="52"/>
        <v>1.0242276302637545</v>
      </c>
      <c r="AW229" s="11">
        <v>442.73241999999999</v>
      </c>
      <c r="AX229" s="1">
        <v>112.5</v>
      </c>
      <c r="AY229" s="13">
        <v>40.835990000000002</v>
      </c>
      <c r="AZ229" s="3">
        <f t="shared" si="51"/>
        <v>42.501640000000002</v>
      </c>
    </row>
    <row r="230" spans="2:52" ht="16" x14ac:dyDescent="0.2">
      <c r="B230" s="4">
        <v>199.99329</v>
      </c>
      <c r="C230" s="1">
        <v>113</v>
      </c>
      <c r="D230" s="3">
        <v>99.276669999999996</v>
      </c>
      <c r="E230" s="3">
        <f t="shared" si="44"/>
        <v>100.40311</v>
      </c>
      <c r="F230" s="1">
        <f t="shared" si="43"/>
        <v>5.3257320332492355E-3</v>
      </c>
      <c r="I230" s="4">
        <v>225.00708</v>
      </c>
      <c r="J230" s="1">
        <v>113</v>
      </c>
      <c r="K230" s="3">
        <v>93.162000000000006</v>
      </c>
      <c r="L230" s="3">
        <f t="shared" si="45"/>
        <v>96.749070000000003</v>
      </c>
      <c r="M230" s="1">
        <f t="shared" si="57"/>
        <v>6.2567715332213544E-2</v>
      </c>
      <c r="P230" s="4">
        <v>225.02216000000001</v>
      </c>
      <c r="Q230" s="1">
        <v>113</v>
      </c>
      <c r="R230" s="3">
        <v>99.208699999999993</v>
      </c>
      <c r="S230" s="3">
        <f t="shared" si="46"/>
        <v>99.13288</v>
      </c>
      <c r="T230" s="1">
        <f t="shared" si="56"/>
        <v>1.7238969801161533E-2</v>
      </c>
      <c r="W230" s="4">
        <v>250.00502</v>
      </c>
      <c r="X230" s="1">
        <v>113</v>
      </c>
      <c r="Y230" s="5">
        <v>89.480890000000002</v>
      </c>
      <c r="Z230" s="3">
        <f t="shared" si="47"/>
        <v>94.921720000000008</v>
      </c>
      <c r="AA230" s="1">
        <f t="shared" si="55"/>
        <v>9.2747726191136262E-2</v>
      </c>
      <c r="AD230" s="4">
        <v>250.01417000000001</v>
      </c>
      <c r="AE230" s="1">
        <v>113</v>
      </c>
      <c r="AF230" s="5">
        <v>97.011279999999999</v>
      </c>
      <c r="AG230" s="3">
        <f t="shared" si="48"/>
        <v>97.272769999999994</v>
      </c>
      <c r="AH230" s="1">
        <f t="shared" si="54"/>
        <v>5.4053461818879905E-2</v>
      </c>
      <c r="AK230" s="11">
        <v>670.62953000000005</v>
      </c>
      <c r="AL230" s="1">
        <v>113</v>
      </c>
      <c r="AM230" s="12">
        <v>40.705500000000001</v>
      </c>
      <c r="AN230" s="3">
        <f t="shared" si="49"/>
        <v>43.291719999999998</v>
      </c>
      <c r="AO230" s="1">
        <f t="shared" si="53"/>
        <v>0.9468617491478819</v>
      </c>
      <c r="AQ230" s="11">
        <v>673.12330999999995</v>
      </c>
      <c r="AR230" s="1">
        <v>113</v>
      </c>
      <c r="AS230" s="13">
        <v>35.620579999999997</v>
      </c>
      <c r="AT230" s="3">
        <f t="shared" si="50"/>
        <v>38.57931</v>
      </c>
      <c r="AU230" s="1">
        <f t="shared" si="52"/>
        <v>1.0250582205471712</v>
      </c>
      <c r="AW230" s="11">
        <v>444.2457</v>
      </c>
      <c r="AX230" s="1">
        <v>113</v>
      </c>
      <c r="AY230" s="12">
        <v>40.853369999999998</v>
      </c>
      <c r="AZ230" s="3">
        <f t="shared" si="51"/>
        <v>42.519019999999998</v>
      </c>
    </row>
    <row r="231" spans="2:52" ht="16" x14ac:dyDescent="0.2">
      <c r="B231" s="4">
        <v>199.98054999999999</v>
      </c>
      <c r="C231" s="1">
        <v>113.5</v>
      </c>
      <c r="D231" s="5">
        <v>99.387569999999997</v>
      </c>
      <c r="E231" s="3">
        <f t="shared" si="44"/>
        <v>100.51401</v>
      </c>
      <c r="F231" s="1">
        <f t="shared" si="43"/>
        <v>3.4882442987896863E-3</v>
      </c>
      <c r="I231" s="4">
        <v>225.00597999999999</v>
      </c>
      <c r="J231" s="1">
        <v>113.5</v>
      </c>
      <c r="K231" s="5">
        <v>93.159760000000006</v>
      </c>
      <c r="L231" s="3">
        <f t="shared" si="45"/>
        <v>96.746830000000003</v>
      </c>
      <c r="M231" s="1">
        <f t="shared" si="57"/>
        <v>6.2604906036730565E-2</v>
      </c>
      <c r="P231" s="4">
        <v>225.02413000000001</v>
      </c>
      <c r="Q231" s="1">
        <v>113.5</v>
      </c>
      <c r="R231" s="5">
        <v>99.124870000000001</v>
      </c>
      <c r="S231" s="3">
        <f t="shared" si="46"/>
        <v>99.049050000000008</v>
      </c>
      <c r="T231" s="1">
        <f t="shared" si="56"/>
        <v>1.8635661407759851E-2</v>
      </c>
      <c r="W231" s="4">
        <v>250.00498999999999</v>
      </c>
      <c r="X231" s="1">
        <v>113.5</v>
      </c>
      <c r="Y231" s="3">
        <v>89.453819999999993</v>
      </c>
      <c r="Z231" s="3">
        <f t="shared" si="47"/>
        <v>94.894649999999999</v>
      </c>
      <c r="AA231" s="1">
        <f t="shared" si="55"/>
        <v>9.3197214691647379E-2</v>
      </c>
      <c r="AD231" s="4">
        <v>250.01322999999999</v>
      </c>
      <c r="AE231" s="1">
        <v>113.5</v>
      </c>
      <c r="AF231" s="3">
        <v>96.877970000000005</v>
      </c>
      <c r="AG231" s="3">
        <f t="shared" si="48"/>
        <v>97.13946</v>
      </c>
      <c r="AH231" s="1">
        <f t="shared" si="54"/>
        <v>5.6266559135864362E-2</v>
      </c>
      <c r="AK231" s="11">
        <v>673.12027999999998</v>
      </c>
      <c r="AL231" s="1">
        <v>113.5</v>
      </c>
      <c r="AM231" s="13">
        <v>40.685600000000001</v>
      </c>
      <c r="AN231" s="3">
        <f t="shared" si="49"/>
        <v>43.271819999999998</v>
      </c>
      <c r="AO231" s="1">
        <f t="shared" si="53"/>
        <v>0.94719364631257141</v>
      </c>
      <c r="AQ231" s="11">
        <v>675.62256000000002</v>
      </c>
      <c r="AR231" s="1">
        <v>113.5</v>
      </c>
      <c r="AS231" s="12">
        <v>35.583039999999997</v>
      </c>
      <c r="AT231" s="3">
        <f t="shared" si="50"/>
        <v>38.54177</v>
      </c>
      <c r="AU231" s="1">
        <f t="shared" si="52"/>
        <v>1.0256847095815185</v>
      </c>
      <c r="AW231" s="11">
        <v>445.74583000000001</v>
      </c>
      <c r="AX231" s="1">
        <v>113.5</v>
      </c>
      <c r="AY231" s="13">
        <v>40.794350000000001</v>
      </c>
      <c r="AZ231" s="3">
        <f t="shared" si="51"/>
        <v>42.46</v>
      </c>
    </row>
    <row r="232" spans="2:52" ht="16" x14ac:dyDescent="0.2">
      <c r="B232" s="4">
        <v>199.97911999999999</v>
      </c>
      <c r="C232" s="1">
        <v>114</v>
      </c>
      <c r="D232" s="3">
        <v>99.379739999999998</v>
      </c>
      <c r="E232" s="3">
        <f t="shared" si="44"/>
        <v>100.50618</v>
      </c>
      <c r="F232" s="1">
        <f t="shared" si="43"/>
        <v>3.6179785545229172E-3</v>
      </c>
      <c r="I232" s="4">
        <v>225.00506999999999</v>
      </c>
      <c r="J232" s="1">
        <v>114</v>
      </c>
      <c r="K232" s="3">
        <v>93.125529999999998</v>
      </c>
      <c r="L232" s="3">
        <f t="shared" si="45"/>
        <v>96.712599999999995</v>
      </c>
      <c r="M232" s="1">
        <f t="shared" si="57"/>
        <v>6.3173226490131199E-2</v>
      </c>
      <c r="P232" s="4">
        <v>225.02428</v>
      </c>
      <c r="Q232" s="1">
        <v>114</v>
      </c>
      <c r="R232" s="3">
        <v>99.094080000000005</v>
      </c>
      <c r="S232" s="3">
        <f t="shared" si="46"/>
        <v>99.018260000000012</v>
      </c>
      <c r="T232" s="1">
        <f t="shared" si="56"/>
        <v>1.9148653589164611E-2</v>
      </c>
      <c r="W232" s="4">
        <v>250.00402</v>
      </c>
      <c r="X232" s="1">
        <v>114</v>
      </c>
      <c r="Y232" s="5">
        <v>89.423180000000002</v>
      </c>
      <c r="Z232" s="3">
        <f t="shared" si="47"/>
        <v>94.864010000000007</v>
      </c>
      <c r="AA232" s="1">
        <f t="shared" si="55"/>
        <v>9.3705981875084832E-2</v>
      </c>
      <c r="AD232" s="4">
        <v>250.01195000000001</v>
      </c>
      <c r="AE232" s="1">
        <v>114</v>
      </c>
      <c r="AF232" s="5">
        <v>96.776929999999993</v>
      </c>
      <c r="AG232" s="3">
        <f t="shared" si="48"/>
        <v>97.038419999999988</v>
      </c>
      <c r="AH232" s="1">
        <f t="shared" si="54"/>
        <v>5.7943937823945871E-2</v>
      </c>
      <c r="AK232" s="11">
        <v>675.62199999999996</v>
      </c>
      <c r="AL232" s="1">
        <v>114</v>
      </c>
      <c r="AM232" s="12">
        <v>40.656260000000003</v>
      </c>
      <c r="AN232" s="3">
        <f t="shared" si="49"/>
        <v>43.24248</v>
      </c>
      <c r="AO232" s="1">
        <f t="shared" si="53"/>
        <v>0.9476829861523699</v>
      </c>
      <c r="AQ232" s="11">
        <v>678.11981000000003</v>
      </c>
      <c r="AR232" s="1">
        <v>114</v>
      </c>
      <c r="AS232" s="13">
        <v>35.571260000000002</v>
      </c>
      <c r="AT232" s="3">
        <f t="shared" si="50"/>
        <v>38.529990000000005</v>
      </c>
      <c r="AU232" s="1">
        <f t="shared" si="52"/>
        <v>1.0258813009726908</v>
      </c>
      <c r="AW232" s="11">
        <v>447.24468000000002</v>
      </c>
      <c r="AX232" s="1">
        <v>114</v>
      </c>
      <c r="AY232" s="12">
        <v>40.782899999999998</v>
      </c>
      <c r="AZ232" s="3">
        <f t="shared" si="51"/>
        <v>42.448549999999997</v>
      </c>
    </row>
    <row r="233" spans="2:52" ht="16" x14ac:dyDescent="0.2">
      <c r="B233" s="4">
        <v>199.98406</v>
      </c>
      <c r="C233" s="1">
        <v>114.5</v>
      </c>
      <c r="D233" s="5">
        <v>99.433679999999995</v>
      </c>
      <c r="E233" s="3">
        <f t="shared" si="44"/>
        <v>100.56012</v>
      </c>
      <c r="F233" s="1">
        <f t="shared" si="43"/>
        <v>2.7242536816938626E-3</v>
      </c>
      <c r="I233" s="4">
        <v>225.00314</v>
      </c>
      <c r="J233" s="1">
        <v>114.5</v>
      </c>
      <c r="K233" s="5">
        <v>93.13073</v>
      </c>
      <c r="L233" s="3">
        <f t="shared" si="45"/>
        <v>96.717799999999997</v>
      </c>
      <c r="M233" s="1">
        <f t="shared" si="57"/>
        <v>6.3086890926073821E-2</v>
      </c>
      <c r="P233" s="4">
        <v>225.02141</v>
      </c>
      <c r="Q233" s="1">
        <v>114.5</v>
      </c>
      <c r="R233" s="5">
        <v>99.109840000000005</v>
      </c>
      <c r="S233" s="3">
        <f t="shared" si="46"/>
        <v>99.034020000000012</v>
      </c>
      <c r="T233" s="1">
        <f t="shared" si="56"/>
        <v>1.8886076233564086E-2</v>
      </c>
      <c r="W233" s="4">
        <v>250.00496000000001</v>
      </c>
      <c r="X233" s="1">
        <v>114.5</v>
      </c>
      <c r="Y233" s="3">
        <v>89.405860000000004</v>
      </c>
      <c r="Z233" s="3">
        <f t="shared" si="47"/>
        <v>94.846690000000009</v>
      </c>
      <c r="AA233" s="1">
        <f t="shared" si="55"/>
        <v>9.3993574812980998E-2</v>
      </c>
      <c r="AD233" s="4">
        <v>250.01277999999999</v>
      </c>
      <c r="AE233" s="1">
        <v>114.5</v>
      </c>
      <c r="AF233" s="3">
        <v>96.952190000000002</v>
      </c>
      <c r="AG233" s="3">
        <f t="shared" si="48"/>
        <v>97.213679999999997</v>
      </c>
      <c r="AH233" s="1">
        <f t="shared" si="54"/>
        <v>5.5034422890522031E-2</v>
      </c>
      <c r="AK233" s="11">
        <v>678.13620000000003</v>
      </c>
      <c r="AL233" s="1">
        <v>114.5</v>
      </c>
      <c r="AM233" s="13">
        <v>40.629159999999999</v>
      </c>
      <c r="AN233" s="3">
        <f t="shared" si="49"/>
        <v>43.215379999999996</v>
      </c>
      <c r="AO233" s="1">
        <f t="shared" si="53"/>
        <v>0.94813496671332897</v>
      </c>
      <c r="AQ233" s="11">
        <v>680.63547000000005</v>
      </c>
      <c r="AR233" s="1">
        <v>114.5</v>
      </c>
      <c r="AS233" s="12">
        <v>35.556539999999998</v>
      </c>
      <c r="AT233" s="3">
        <f t="shared" si="50"/>
        <v>38.515270000000001</v>
      </c>
      <c r="AU233" s="1">
        <f t="shared" si="52"/>
        <v>1.0261269567687907</v>
      </c>
      <c r="AW233" s="11">
        <v>448.74056999999999</v>
      </c>
      <c r="AX233" s="1">
        <v>114.5</v>
      </c>
      <c r="AY233" s="13">
        <v>40.744810000000001</v>
      </c>
      <c r="AZ233" s="3">
        <f t="shared" si="51"/>
        <v>42.41046</v>
      </c>
    </row>
    <row r="234" spans="2:52" ht="16" x14ac:dyDescent="0.2">
      <c r="B234" s="4">
        <v>199.98859999999999</v>
      </c>
      <c r="C234" s="1">
        <v>115</v>
      </c>
      <c r="D234" s="3">
        <v>99.253259999999997</v>
      </c>
      <c r="E234" s="3">
        <f t="shared" si="44"/>
        <v>100.3797</v>
      </c>
      <c r="F234" s="1">
        <f t="shared" si="43"/>
        <v>5.7136092908118569E-3</v>
      </c>
      <c r="I234" s="4">
        <v>225.00595999999999</v>
      </c>
      <c r="J234" s="1">
        <v>115</v>
      </c>
      <c r="K234" s="3">
        <v>93.105069999999998</v>
      </c>
      <c r="L234" s="3">
        <f t="shared" si="45"/>
        <v>96.692139999999995</v>
      </c>
      <c r="M234" s="1">
        <f t="shared" si="57"/>
        <v>6.3512923728710646E-2</v>
      </c>
      <c r="P234" s="4">
        <v>225.02153000000001</v>
      </c>
      <c r="Q234" s="1">
        <v>115</v>
      </c>
      <c r="R234" s="3">
        <v>99.052800000000005</v>
      </c>
      <c r="S234" s="3">
        <f t="shared" si="46"/>
        <v>98.976980000000012</v>
      </c>
      <c r="T234" s="1">
        <f t="shared" si="56"/>
        <v>1.9836419657641109E-2</v>
      </c>
      <c r="W234" s="4">
        <v>249.99999</v>
      </c>
      <c r="X234" s="1">
        <v>115</v>
      </c>
      <c r="Y234" s="5">
        <v>89.386750000000006</v>
      </c>
      <c r="Z234" s="3">
        <f t="shared" si="47"/>
        <v>94.827580000000012</v>
      </c>
      <c r="AA234" s="1">
        <f t="shared" si="55"/>
        <v>9.4310890115705912E-2</v>
      </c>
      <c r="AD234" s="4">
        <v>250.01458</v>
      </c>
      <c r="AE234" s="1">
        <v>115</v>
      </c>
      <c r="AF234" s="5">
        <v>96.885800000000003</v>
      </c>
      <c r="AG234" s="3">
        <f t="shared" si="48"/>
        <v>97.147289999999998</v>
      </c>
      <c r="AH234" s="1">
        <f t="shared" si="54"/>
        <v>5.6136572248219135E-2</v>
      </c>
      <c r="AK234" s="11">
        <v>680.65233000000001</v>
      </c>
      <c r="AL234" s="1">
        <v>115</v>
      </c>
      <c r="AM234" s="12">
        <v>40.623899999999999</v>
      </c>
      <c r="AN234" s="3">
        <f t="shared" si="49"/>
        <v>43.210119999999996</v>
      </c>
      <c r="AO234" s="1">
        <f t="shared" si="53"/>
        <v>0.94822269430560369</v>
      </c>
      <c r="AQ234" s="11">
        <v>683.14215000000002</v>
      </c>
      <c r="AR234" s="1">
        <v>115</v>
      </c>
      <c r="AS234" s="13">
        <v>35.543289999999999</v>
      </c>
      <c r="AT234" s="3">
        <f t="shared" si="50"/>
        <v>38.502020000000002</v>
      </c>
      <c r="AU234" s="1">
        <f t="shared" si="52"/>
        <v>1.0263480803624268</v>
      </c>
      <c r="AW234" s="11">
        <v>450.23142000000001</v>
      </c>
      <c r="AX234" s="1">
        <v>115</v>
      </c>
      <c r="AY234" s="12">
        <v>40.605490000000003</v>
      </c>
      <c r="AZ234" s="3">
        <f t="shared" si="51"/>
        <v>42.271140000000003</v>
      </c>
    </row>
    <row r="235" spans="2:52" ht="16" x14ac:dyDescent="0.2">
      <c r="B235" s="4">
        <v>199.99172999999999</v>
      </c>
      <c r="C235" s="1">
        <v>115.5</v>
      </c>
      <c r="D235" s="5">
        <v>99.448750000000004</v>
      </c>
      <c r="E235" s="3">
        <f t="shared" si="44"/>
        <v>100.57519000000001</v>
      </c>
      <c r="F235" s="1">
        <f t="shared" si="43"/>
        <v>2.4745608038009774E-3</v>
      </c>
      <c r="I235" s="4">
        <v>225.00808000000001</v>
      </c>
      <c r="J235" s="1">
        <v>115.5</v>
      </c>
      <c r="K235" s="5">
        <v>93.103179999999995</v>
      </c>
      <c r="L235" s="3">
        <f t="shared" si="45"/>
        <v>96.690249999999992</v>
      </c>
      <c r="M235" s="1">
        <f t="shared" si="57"/>
        <v>6.3544303385646914E-2</v>
      </c>
      <c r="P235" s="4">
        <v>225.02314999999999</v>
      </c>
      <c r="Q235" s="1">
        <v>115.5</v>
      </c>
      <c r="R235" s="5">
        <v>99.137060000000005</v>
      </c>
      <c r="S235" s="3">
        <f t="shared" si="46"/>
        <v>99.061240000000012</v>
      </c>
      <c r="T235" s="1">
        <f t="shared" si="56"/>
        <v>1.8432563821162682E-2</v>
      </c>
      <c r="W235" s="4">
        <v>250.00201000000001</v>
      </c>
      <c r="X235" s="1">
        <v>115.5</v>
      </c>
      <c r="Y235" s="3">
        <v>89.359960000000001</v>
      </c>
      <c r="Z235" s="3">
        <f t="shared" si="47"/>
        <v>94.800790000000006</v>
      </c>
      <c r="AA235" s="1">
        <f t="shared" si="55"/>
        <v>9.4755729307752126E-2</v>
      </c>
      <c r="AD235" s="4">
        <v>250.02132</v>
      </c>
      <c r="AE235" s="1">
        <v>115.5</v>
      </c>
      <c r="AF235" s="3">
        <v>96.873040000000003</v>
      </c>
      <c r="AG235" s="3">
        <f t="shared" si="48"/>
        <v>97.134529999999998</v>
      </c>
      <c r="AH235" s="1">
        <f t="shared" si="54"/>
        <v>5.6348402731789184E-2</v>
      </c>
      <c r="AK235" s="11">
        <v>683.15427</v>
      </c>
      <c r="AL235" s="1">
        <v>115.5</v>
      </c>
      <c r="AM235" s="13">
        <v>40.598599999999998</v>
      </c>
      <c r="AN235" s="3">
        <f t="shared" si="49"/>
        <v>43.184819999999995</v>
      </c>
      <c r="AO235" s="1">
        <f t="shared" si="53"/>
        <v>0.94864465401749543</v>
      </c>
      <c r="AQ235" s="11">
        <v>685.64489000000003</v>
      </c>
      <c r="AR235" s="1">
        <v>115.5</v>
      </c>
      <c r="AS235" s="12">
        <v>35.537730000000003</v>
      </c>
      <c r="AT235" s="3">
        <f t="shared" si="50"/>
        <v>38.496460000000006</v>
      </c>
      <c r="AU235" s="1">
        <f t="shared" si="52"/>
        <v>1.0264408688288884</v>
      </c>
      <c r="AW235" s="11">
        <v>451.73250000000002</v>
      </c>
      <c r="AX235" s="1">
        <v>115.5</v>
      </c>
      <c r="AY235" s="13">
        <v>40.648589999999999</v>
      </c>
      <c r="AZ235" s="3">
        <f t="shared" si="51"/>
        <v>42.314239999999998</v>
      </c>
    </row>
    <row r="236" spans="2:52" ht="16" x14ac:dyDescent="0.2">
      <c r="B236" s="4">
        <v>199.99363</v>
      </c>
      <c r="C236" s="1">
        <v>116</v>
      </c>
      <c r="D236" s="3">
        <v>99.312060000000002</v>
      </c>
      <c r="E236" s="3">
        <f t="shared" si="44"/>
        <v>100.4385</v>
      </c>
      <c r="F236" s="1">
        <f t="shared" si="43"/>
        <v>4.7393597075275472E-3</v>
      </c>
      <c r="I236" s="4">
        <v>225.00693000000001</v>
      </c>
      <c r="J236" s="1">
        <v>116</v>
      </c>
      <c r="K236" s="3">
        <v>93.085470000000001</v>
      </c>
      <c r="L236" s="3">
        <f t="shared" si="45"/>
        <v>96.672539999999998</v>
      </c>
      <c r="M236" s="1">
        <f t="shared" si="57"/>
        <v>6.3838342393234396E-2</v>
      </c>
      <c r="P236" s="4">
        <v>225.02444</v>
      </c>
      <c r="Q236" s="1">
        <v>116</v>
      </c>
      <c r="R236" s="3">
        <v>99.131079999999997</v>
      </c>
      <c r="S236" s="3">
        <f t="shared" si="46"/>
        <v>99.055260000000004</v>
      </c>
      <c r="T236" s="1">
        <f t="shared" si="56"/>
        <v>1.8532196599493473E-2</v>
      </c>
      <c r="W236" s="4">
        <v>250.00403</v>
      </c>
      <c r="X236" s="1">
        <v>116</v>
      </c>
      <c r="Y236" s="5">
        <v>89.344679999999997</v>
      </c>
      <c r="Z236" s="3">
        <f t="shared" si="47"/>
        <v>94.785510000000002</v>
      </c>
      <c r="AA236" s="1">
        <f t="shared" si="55"/>
        <v>9.5009448712547448E-2</v>
      </c>
      <c r="AD236" s="4">
        <v>250.02468999999999</v>
      </c>
      <c r="AE236" s="1">
        <v>116</v>
      </c>
      <c r="AF236" s="5">
        <v>96.870050000000006</v>
      </c>
      <c r="AG236" s="3">
        <f t="shared" si="48"/>
        <v>97.131540000000001</v>
      </c>
      <c r="AH236" s="1">
        <f t="shared" si="54"/>
        <v>5.6398040125666439E-2</v>
      </c>
      <c r="AK236" s="11">
        <v>685.65517999999997</v>
      </c>
      <c r="AL236" s="1">
        <v>116</v>
      </c>
      <c r="AM236" s="12">
        <v>40.604819999999997</v>
      </c>
      <c r="AN236" s="3">
        <f t="shared" si="49"/>
        <v>43.191039999999994</v>
      </c>
      <c r="AO236" s="1">
        <f t="shared" si="53"/>
        <v>0.94854091530571805</v>
      </c>
      <c r="AQ236" s="11">
        <v>688.14644999999996</v>
      </c>
      <c r="AR236" s="1">
        <v>116</v>
      </c>
      <c r="AS236" s="13">
        <v>35.486429999999999</v>
      </c>
      <c r="AT236" s="3">
        <f t="shared" si="50"/>
        <v>38.445160000000001</v>
      </c>
      <c r="AU236" s="1">
        <f t="shared" si="52"/>
        <v>1.0272969926291551</v>
      </c>
      <c r="AW236" s="11">
        <v>453.23469</v>
      </c>
      <c r="AX236" s="1">
        <v>116</v>
      </c>
      <c r="AY236" s="12">
        <v>40.56006</v>
      </c>
      <c r="AZ236" s="3">
        <f t="shared" si="51"/>
        <v>42.225709999999999</v>
      </c>
    </row>
    <row r="237" spans="2:52" ht="16" x14ac:dyDescent="0.2">
      <c r="B237" s="4">
        <v>199.99216999999999</v>
      </c>
      <c r="C237" s="1">
        <v>116.5</v>
      </c>
      <c r="D237" s="5">
        <v>99.259960000000007</v>
      </c>
      <c r="E237" s="3">
        <f t="shared" si="44"/>
        <v>100.38640000000001</v>
      </c>
      <c r="F237" s="1">
        <f t="shared" si="43"/>
        <v>5.6025978587027868E-3</v>
      </c>
      <c r="I237" s="4">
        <v>225.00299000000001</v>
      </c>
      <c r="J237" s="1">
        <v>116.5</v>
      </c>
      <c r="K237" s="5">
        <v>93.058070000000001</v>
      </c>
      <c r="L237" s="3">
        <f t="shared" si="45"/>
        <v>96.645139999999998</v>
      </c>
      <c r="M237" s="1">
        <f t="shared" si="57"/>
        <v>6.4293264403844211E-2</v>
      </c>
      <c r="P237" s="4">
        <v>225.02456000000001</v>
      </c>
      <c r="Q237" s="1">
        <v>116.5</v>
      </c>
      <c r="R237" s="5">
        <v>99.067610000000002</v>
      </c>
      <c r="S237" s="3">
        <f t="shared" si="46"/>
        <v>98.991790000000009</v>
      </c>
      <c r="T237" s="1">
        <f t="shared" si="56"/>
        <v>1.9589670251775441E-2</v>
      </c>
      <c r="W237" s="4">
        <v>249.99903</v>
      </c>
      <c r="X237" s="1">
        <v>116.5</v>
      </c>
      <c r="Y237" s="3">
        <v>89.310119999999998</v>
      </c>
      <c r="Z237" s="3">
        <f t="shared" si="47"/>
        <v>94.750950000000003</v>
      </c>
      <c r="AA237" s="1">
        <f t="shared" si="55"/>
        <v>9.5583306214492722E-2</v>
      </c>
      <c r="AD237" s="4">
        <v>250.02956</v>
      </c>
      <c r="AE237" s="1">
        <v>116.5</v>
      </c>
      <c r="AF237" s="3">
        <v>96.804910000000007</v>
      </c>
      <c r="AG237" s="3">
        <f t="shared" si="48"/>
        <v>97.066400000000002</v>
      </c>
      <c r="AH237" s="1">
        <f t="shared" si="54"/>
        <v>5.7479438064518537E-2</v>
      </c>
      <c r="AK237" s="11">
        <v>688.15661999999998</v>
      </c>
      <c r="AL237" s="1">
        <v>116.5</v>
      </c>
      <c r="AM237" s="13">
        <v>40.556170000000002</v>
      </c>
      <c r="AN237" s="3">
        <f t="shared" si="49"/>
        <v>43.142389999999999</v>
      </c>
      <c r="AO237" s="1">
        <f t="shared" si="53"/>
        <v>0.94935231214301163</v>
      </c>
      <c r="AQ237" s="11">
        <v>690.65135999999995</v>
      </c>
      <c r="AR237" s="1">
        <v>116.5</v>
      </c>
      <c r="AS237" s="12">
        <v>35.432859999999998</v>
      </c>
      <c r="AT237" s="3">
        <f t="shared" si="50"/>
        <v>38.391590000000001</v>
      </c>
      <c r="AU237" s="1">
        <f t="shared" si="52"/>
        <v>1.0281909994903693</v>
      </c>
      <c r="AW237" s="11">
        <v>454.73813999999999</v>
      </c>
      <c r="AX237" s="1">
        <v>116.5</v>
      </c>
      <c r="AY237" s="13">
        <v>40.490130000000001</v>
      </c>
      <c r="AZ237" s="3">
        <f t="shared" si="51"/>
        <v>42.15578</v>
      </c>
    </row>
    <row r="238" spans="2:52" ht="16" x14ac:dyDescent="0.2">
      <c r="B238" s="4">
        <v>199.98857000000001</v>
      </c>
      <c r="C238" s="1">
        <v>117</v>
      </c>
      <c r="D238" s="3">
        <v>99.421449999999993</v>
      </c>
      <c r="E238" s="3">
        <f t="shared" si="44"/>
        <v>100.54789</v>
      </c>
      <c r="F238" s="1">
        <f t="shared" si="43"/>
        <v>2.9268909674688356E-3</v>
      </c>
      <c r="I238" s="4">
        <v>225.00504000000001</v>
      </c>
      <c r="J238" s="1">
        <v>117</v>
      </c>
      <c r="K238" s="3">
        <v>93.033249999999995</v>
      </c>
      <c r="L238" s="3">
        <f t="shared" si="45"/>
        <v>96.620319999999992</v>
      </c>
      <c r="M238" s="1">
        <f t="shared" si="57"/>
        <v>6.4705350692287208E-2</v>
      </c>
      <c r="P238" s="4">
        <v>225.0258</v>
      </c>
      <c r="Q238" s="1">
        <v>117</v>
      </c>
      <c r="R238" s="3">
        <v>98.933850000000007</v>
      </c>
      <c r="S238" s="3">
        <f t="shared" si="46"/>
        <v>98.858030000000014</v>
      </c>
      <c r="T238" s="1">
        <f t="shared" si="56"/>
        <v>2.1818245574435614E-2</v>
      </c>
      <c r="W238" s="4">
        <v>250.00402</v>
      </c>
      <c r="X238" s="1">
        <v>117</v>
      </c>
      <c r="Y238" s="5">
        <v>89.28922</v>
      </c>
      <c r="Z238" s="3">
        <f t="shared" si="47"/>
        <v>94.730050000000006</v>
      </c>
      <c r="AA238" s="1">
        <f t="shared" si="55"/>
        <v>9.5930343882046396E-2</v>
      </c>
      <c r="AD238" s="4">
        <v>250.02794</v>
      </c>
      <c r="AE238" s="1">
        <v>117</v>
      </c>
      <c r="AF238" s="5">
        <v>96.808490000000006</v>
      </c>
      <c r="AG238" s="3">
        <f t="shared" si="48"/>
        <v>97.069980000000001</v>
      </c>
      <c r="AH238" s="1">
        <f t="shared" si="54"/>
        <v>5.7420006000946384E-2</v>
      </c>
      <c r="AK238" s="11">
        <v>690.65535999999997</v>
      </c>
      <c r="AL238" s="1">
        <v>117</v>
      </c>
      <c r="AM238" s="12">
        <v>40.52711</v>
      </c>
      <c r="AN238" s="3">
        <f t="shared" si="49"/>
        <v>43.113329999999998</v>
      </c>
      <c r="AO238" s="1">
        <f t="shared" si="53"/>
        <v>0.94983698207295519</v>
      </c>
      <c r="AQ238" s="11">
        <v>693.14679000000001</v>
      </c>
      <c r="AR238" s="1">
        <v>117</v>
      </c>
      <c r="AS238" s="13">
        <v>35.393909999999998</v>
      </c>
      <c r="AT238" s="3">
        <f t="shared" si="50"/>
        <v>38.352640000000001</v>
      </c>
      <c r="AU238" s="1">
        <f t="shared" si="52"/>
        <v>1.0288410194127942</v>
      </c>
      <c r="AW238" s="11">
        <v>456.23970000000003</v>
      </c>
      <c r="AX238" s="1">
        <v>117</v>
      </c>
      <c r="AY238" s="12">
        <v>40.51135</v>
      </c>
      <c r="AZ238" s="3">
        <f t="shared" si="51"/>
        <v>42.177</v>
      </c>
    </row>
    <row r="239" spans="2:52" ht="16" x14ac:dyDescent="0.2">
      <c r="B239" s="4">
        <v>199.97593000000001</v>
      </c>
      <c r="C239" s="1">
        <v>117.5</v>
      </c>
      <c r="D239" s="5">
        <v>99.393249999999995</v>
      </c>
      <c r="E239" s="3">
        <f t="shared" si="44"/>
        <v>100.51969</v>
      </c>
      <c r="F239" s="1">
        <f t="shared" si="43"/>
        <v>3.3941331145540981E-3</v>
      </c>
      <c r="I239" s="4">
        <v>225.00704999999999</v>
      </c>
      <c r="J239" s="1">
        <v>117.5</v>
      </c>
      <c r="K239" s="5">
        <v>93.051969999999997</v>
      </c>
      <c r="L239" s="3">
        <f t="shared" si="45"/>
        <v>96.639039999999994</v>
      </c>
      <c r="M239" s="1">
        <f t="shared" si="57"/>
        <v>6.4394542661680765E-2</v>
      </c>
      <c r="P239" s="4">
        <v>225.02745999999999</v>
      </c>
      <c r="Q239" s="1">
        <v>117.5</v>
      </c>
      <c r="R239" s="5">
        <v>99.089200000000005</v>
      </c>
      <c r="S239" s="3">
        <f t="shared" si="46"/>
        <v>99.013380000000012</v>
      </c>
      <c r="T239" s="1">
        <f t="shared" si="56"/>
        <v>1.9229959267802334E-2</v>
      </c>
      <c r="W239" s="4">
        <v>250.00303</v>
      </c>
      <c r="X239" s="1">
        <v>117.5</v>
      </c>
      <c r="Y239" s="3">
        <v>89.277360000000002</v>
      </c>
      <c r="Z239" s="3">
        <f t="shared" si="47"/>
        <v>94.718190000000007</v>
      </c>
      <c r="AA239" s="1">
        <f t="shared" si="55"/>
        <v>9.6127275304878301E-2</v>
      </c>
      <c r="AD239" s="4">
        <v>250.02812</v>
      </c>
      <c r="AE239" s="1">
        <v>117.5</v>
      </c>
      <c r="AF239" s="3">
        <v>96.835139999999996</v>
      </c>
      <c r="AG239" s="3">
        <f t="shared" si="48"/>
        <v>97.09662999999999</v>
      </c>
      <c r="AH239" s="1">
        <f t="shared" si="54"/>
        <v>5.6977585751170561E-2</v>
      </c>
      <c r="AK239" s="11">
        <v>693.15115000000003</v>
      </c>
      <c r="AL239" s="1">
        <v>117.5</v>
      </c>
      <c r="AM239" s="13">
        <v>40.492379999999997</v>
      </c>
      <c r="AN239" s="3">
        <f t="shared" si="49"/>
        <v>43.078599999999994</v>
      </c>
      <c r="AO239" s="1">
        <f t="shared" si="53"/>
        <v>0.95041621767746109</v>
      </c>
      <c r="AQ239" s="11">
        <v>695.6431</v>
      </c>
      <c r="AR239" s="1">
        <v>117.5</v>
      </c>
      <c r="AS239" s="12">
        <v>35.36862</v>
      </c>
      <c r="AT239" s="3">
        <f t="shared" si="50"/>
        <v>38.327350000000003</v>
      </c>
      <c r="AU239" s="1">
        <f t="shared" si="52"/>
        <v>1.0292630734266097</v>
      </c>
      <c r="AW239" s="11">
        <v>457.74139000000002</v>
      </c>
      <c r="AX239" s="1">
        <v>117.5</v>
      </c>
      <c r="AY239" s="13">
        <v>40.343969999999999</v>
      </c>
      <c r="AZ239" s="3">
        <f t="shared" si="51"/>
        <v>42.009619999999998</v>
      </c>
    </row>
    <row r="240" spans="2:52" ht="16" x14ac:dyDescent="0.2">
      <c r="B240" s="4">
        <v>199.96293</v>
      </c>
      <c r="C240" s="1">
        <v>118</v>
      </c>
      <c r="D240" s="3">
        <v>99.309449999999998</v>
      </c>
      <c r="E240" s="3">
        <f t="shared" si="44"/>
        <v>100.43589</v>
      </c>
      <c r="F240" s="1">
        <f t="shared" si="43"/>
        <v>4.7826044594387026E-3</v>
      </c>
      <c r="I240" s="4">
        <v>225.00702999999999</v>
      </c>
      <c r="J240" s="1">
        <v>118</v>
      </c>
      <c r="K240" s="3">
        <v>93.03116</v>
      </c>
      <c r="L240" s="3">
        <f t="shared" si="45"/>
        <v>96.618229999999997</v>
      </c>
      <c r="M240" s="1">
        <f t="shared" si="57"/>
        <v>6.4740050947840938E-2</v>
      </c>
      <c r="P240" s="4">
        <v>225.02731</v>
      </c>
      <c r="Q240" s="1">
        <v>118</v>
      </c>
      <c r="R240" s="3">
        <v>99.066400000000002</v>
      </c>
      <c r="S240" s="3">
        <f t="shared" si="46"/>
        <v>98.990580000000008</v>
      </c>
      <c r="T240" s="1">
        <f t="shared" si="56"/>
        <v>1.9609830061437669E-2</v>
      </c>
      <c r="W240" s="4">
        <v>250.00098</v>
      </c>
      <c r="X240" s="1">
        <v>118</v>
      </c>
      <c r="Y240" s="5">
        <v>89.254469999999998</v>
      </c>
      <c r="Z240" s="3">
        <f t="shared" si="47"/>
        <v>94.695300000000003</v>
      </c>
      <c r="AA240" s="1">
        <f t="shared" si="55"/>
        <v>9.6507356271878578E-2</v>
      </c>
      <c r="AD240" s="4">
        <v>250.02622</v>
      </c>
      <c r="AE240" s="1">
        <v>118</v>
      </c>
      <c r="AF240" s="5">
        <v>96.817480000000003</v>
      </c>
      <c r="AG240" s="3">
        <f t="shared" si="48"/>
        <v>97.078969999999998</v>
      </c>
      <c r="AH240" s="1">
        <f t="shared" si="54"/>
        <v>5.7270761796612987E-2</v>
      </c>
      <c r="AK240" s="11">
        <v>695.65324999999996</v>
      </c>
      <c r="AL240" s="1">
        <v>118</v>
      </c>
      <c r="AM240" s="12">
        <v>40.4803</v>
      </c>
      <c r="AN240" s="3">
        <f t="shared" si="49"/>
        <v>43.066519999999997</v>
      </c>
      <c r="AO240" s="1">
        <f t="shared" si="53"/>
        <v>0.95061769093120219</v>
      </c>
      <c r="AQ240" s="11">
        <v>698.15165000000002</v>
      </c>
      <c r="AR240" s="1">
        <v>118</v>
      </c>
      <c r="AS240" s="13">
        <v>35.355220000000003</v>
      </c>
      <c r="AT240" s="3">
        <f t="shared" si="50"/>
        <v>38.313950000000006</v>
      </c>
      <c r="AU240" s="1">
        <f t="shared" si="52"/>
        <v>1.0294867003062116</v>
      </c>
      <c r="AW240" s="11">
        <v>459.24655000000001</v>
      </c>
      <c r="AX240" s="1">
        <v>118</v>
      </c>
      <c r="AY240" s="12">
        <v>40.489919999999998</v>
      </c>
      <c r="AZ240" s="3">
        <f t="shared" si="51"/>
        <v>42.155569999999997</v>
      </c>
    </row>
    <row r="241" spans="2:52" ht="16" x14ac:dyDescent="0.2">
      <c r="B241" s="4">
        <v>199.94667999999999</v>
      </c>
      <c r="C241" s="1">
        <v>118.5</v>
      </c>
      <c r="D241" s="5">
        <v>99.502489999999995</v>
      </c>
      <c r="E241" s="3">
        <f t="shared" si="44"/>
        <v>100.62893</v>
      </c>
      <c r="F241" s="1">
        <f t="shared" si="43"/>
        <v>1.5841497050648361E-3</v>
      </c>
      <c r="I241" s="4">
        <v>225.00306</v>
      </c>
      <c r="J241" s="1">
        <v>118.5</v>
      </c>
      <c r="K241" s="5">
        <v>93.016409999999993</v>
      </c>
      <c r="L241" s="3">
        <f t="shared" si="45"/>
        <v>96.60347999999999</v>
      </c>
      <c r="M241" s="1">
        <f t="shared" si="57"/>
        <v>6.49849450958883E-2</v>
      </c>
      <c r="P241" s="4">
        <v>225.02287999999999</v>
      </c>
      <c r="Q241" s="1">
        <v>118.5</v>
      </c>
      <c r="R241" s="5">
        <v>98.963939999999994</v>
      </c>
      <c r="S241" s="3">
        <f t="shared" si="46"/>
        <v>98.888120000000001</v>
      </c>
      <c r="T241" s="1">
        <f t="shared" si="56"/>
        <v>2.1316916092835599E-2</v>
      </c>
      <c r="W241" s="4">
        <v>250.00707</v>
      </c>
      <c r="X241" s="1">
        <v>118.5</v>
      </c>
      <c r="Y241" s="3">
        <v>89.227649999999997</v>
      </c>
      <c r="Z241" s="3">
        <f t="shared" si="47"/>
        <v>94.668480000000002</v>
      </c>
      <c r="AA241" s="1">
        <f t="shared" si="55"/>
        <v>9.6952693604117388E-2</v>
      </c>
      <c r="AD241" s="4">
        <v>250.02251000000001</v>
      </c>
      <c r="AE241" s="1">
        <v>118.5</v>
      </c>
      <c r="AF241" s="3">
        <v>96.755600000000001</v>
      </c>
      <c r="AG241" s="3">
        <f t="shared" si="48"/>
        <v>97.017089999999996</v>
      </c>
      <c r="AH241" s="1">
        <f t="shared" si="54"/>
        <v>5.8298040035117293E-2</v>
      </c>
      <c r="AK241" s="11">
        <v>698.15407000000005</v>
      </c>
      <c r="AL241" s="1">
        <v>118.5</v>
      </c>
      <c r="AM241" s="13">
        <v>40.416849999999997</v>
      </c>
      <c r="AN241" s="3">
        <f t="shared" si="49"/>
        <v>43.003069999999994</v>
      </c>
      <c r="AO241" s="1">
        <f t="shared" si="53"/>
        <v>0.95167592586082783</v>
      </c>
      <c r="AQ241" s="11">
        <v>700.64881000000003</v>
      </c>
      <c r="AR241" s="1">
        <v>118.5</v>
      </c>
      <c r="AS241" s="12">
        <v>35.335830000000001</v>
      </c>
      <c r="AT241" s="3">
        <f t="shared" si="50"/>
        <v>38.294560000000004</v>
      </c>
      <c r="AU241" s="1">
        <f t="shared" si="52"/>
        <v>1.02981029173871</v>
      </c>
      <c r="AW241" s="11">
        <v>460.73464000000001</v>
      </c>
      <c r="AX241" s="1">
        <v>118.5</v>
      </c>
      <c r="AY241" s="13">
        <v>40.212569999999999</v>
      </c>
      <c r="AZ241" s="3">
        <f t="shared" si="51"/>
        <v>41.878219999999999</v>
      </c>
    </row>
    <row r="242" spans="2:52" ht="16" x14ac:dyDescent="0.2">
      <c r="B242" s="4">
        <v>199.92012</v>
      </c>
      <c r="C242" s="1">
        <v>119</v>
      </c>
      <c r="D242" s="3">
        <v>99.277760000000001</v>
      </c>
      <c r="E242" s="3">
        <f t="shared" si="44"/>
        <v>100.4042</v>
      </c>
      <c r="F242" s="1">
        <f t="shared" si="43"/>
        <v>5.3076719644433749E-3</v>
      </c>
      <c r="I242" s="4">
        <v>225.00314</v>
      </c>
      <c r="J242" s="1">
        <v>119</v>
      </c>
      <c r="K242" s="3">
        <v>92.988730000000004</v>
      </c>
      <c r="L242" s="3">
        <f t="shared" si="45"/>
        <v>96.575800000000001</v>
      </c>
      <c r="M242" s="1">
        <f t="shared" si="57"/>
        <v>6.5444515944562576E-2</v>
      </c>
      <c r="P242" s="4">
        <v>225.01920999999999</v>
      </c>
      <c r="Q242" s="1">
        <v>119</v>
      </c>
      <c r="R242" s="3">
        <v>99.075190000000006</v>
      </c>
      <c r="S242" s="3">
        <f t="shared" si="46"/>
        <v>98.999370000000013</v>
      </c>
      <c r="T242" s="1">
        <f t="shared" si="56"/>
        <v>1.9463379873891358E-2</v>
      </c>
      <c r="W242" s="4">
        <v>250.01104000000001</v>
      </c>
      <c r="X242" s="1">
        <v>119</v>
      </c>
      <c r="Y242" s="5">
        <v>89.210380000000001</v>
      </c>
      <c r="Z242" s="3">
        <f t="shared" si="47"/>
        <v>94.651210000000006</v>
      </c>
      <c r="AA242" s="1">
        <f t="shared" si="55"/>
        <v>9.7239456308359076E-2</v>
      </c>
      <c r="AD242" s="4">
        <v>250.02027000000001</v>
      </c>
      <c r="AE242" s="1">
        <v>119</v>
      </c>
      <c r="AF242" s="5">
        <v>96.808980000000005</v>
      </c>
      <c r="AG242" s="3">
        <f t="shared" si="48"/>
        <v>97.07047</v>
      </c>
      <c r="AH242" s="1">
        <f t="shared" si="54"/>
        <v>5.7411871444759142E-2</v>
      </c>
      <c r="AK242" s="11">
        <v>700.65299000000005</v>
      </c>
      <c r="AL242" s="1">
        <v>119</v>
      </c>
      <c r="AM242" s="12">
        <v>40.435850000000002</v>
      </c>
      <c r="AN242" s="3">
        <f t="shared" si="49"/>
        <v>43.022069999999999</v>
      </c>
      <c r="AO242" s="1">
        <f t="shared" si="53"/>
        <v>0.95135903912067188</v>
      </c>
      <c r="AQ242" s="11">
        <v>703.14975000000004</v>
      </c>
      <c r="AR242" s="1">
        <v>119</v>
      </c>
      <c r="AS242" s="13">
        <v>35.292209999999997</v>
      </c>
      <c r="AT242" s="3">
        <f t="shared" si="50"/>
        <v>38.25094</v>
      </c>
      <c r="AU242" s="1">
        <f t="shared" si="52"/>
        <v>1.0305382472975333</v>
      </c>
      <c r="AW242" s="11">
        <v>462.23644999999999</v>
      </c>
      <c r="AX242" s="1">
        <v>119</v>
      </c>
      <c r="AY242" s="12">
        <v>40.125019999999999</v>
      </c>
      <c r="AZ242" s="3">
        <f t="shared" si="51"/>
        <v>41.790669999999999</v>
      </c>
    </row>
    <row r="243" spans="2:52" ht="16" x14ac:dyDescent="0.2">
      <c r="B243" s="4">
        <v>199.90652</v>
      </c>
      <c r="C243" s="1">
        <v>119.5</v>
      </c>
      <c r="D243" s="5">
        <v>99.378420000000006</v>
      </c>
      <c r="E243" s="3">
        <f t="shared" si="44"/>
        <v>100.50486000000001</v>
      </c>
      <c r="F243" s="1">
        <f t="shared" si="43"/>
        <v>3.6398494635352988E-3</v>
      </c>
      <c r="I243" s="4">
        <v>225.00901999999999</v>
      </c>
      <c r="J243" s="1">
        <v>119.5</v>
      </c>
      <c r="K243" s="5">
        <v>92.997290000000007</v>
      </c>
      <c r="L243" s="3">
        <f t="shared" si="45"/>
        <v>96.584360000000004</v>
      </c>
      <c r="M243" s="1">
        <f t="shared" si="57"/>
        <v>6.5302394323729682E-2</v>
      </c>
      <c r="P243" s="4">
        <v>225.01647</v>
      </c>
      <c r="Q243" s="1">
        <v>119.5</v>
      </c>
      <c r="R243" s="5">
        <v>99.154420000000002</v>
      </c>
      <c r="S243" s="3">
        <f t="shared" si="46"/>
        <v>99.078600000000009</v>
      </c>
      <c r="T243" s="1">
        <f t="shared" si="56"/>
        <v>1.8143328866008869E-2</v>
      </c>
      <c r="W243" s="4">
        <v>250.00905</v>
      </c>
      <c r="X243" s="1">
        <v>119.5</v>
      </c>
      <c r="Y243" s="3">
        <v>89.202680000000001</v>
      </c>
      <c r="Z243" s="3">
        <f t="shared" si="47"/>
        <v>94.643510000000006</v>
      </c>
      <c r="AA243" s="1">
        <f t="shared" si="55"/>
        <v>9.7367312291142025E-2</v>
      </c>
      <c r="AD243" s="4">
        <v>250.01705000000001</v>
      </c>
      <c r="AE243" s="1">
        <v>119.5</v>
      </c>
      <c r="AF243" s="3">
        <v>96.740480000000005</v>
      </c>
      <c r="AG243" s="3">
        <f t="shared" si="48"/>
        <v>97.00197</v>
      </c>
      <c r="AH243" s="1">
        <f t="shared" si="54"/>
        <v>5.8549049197466688E-2</v>
      </c>
      <c r="AK243" s="11">
        <v>703.15297999999996</v>
      </c>
      <c r="AL243" s="1">
        <v>119.5</v>
      </c>
      <c r="AM243" s="13">
        <v>40.409610000000001</v>
      </c>
      <c r="AN243" s="3">
        <f t="shared" si="49"/>
        <v>42.995829999999998</v>
      </c>
      <c r="AO243" s="1">
        <f t="shared" si="53"/>
        <v>0.95179667638707655</v>
      </c>
      <c r="AQ243" s="11">
        <v>705.65270999999996</v>
      </c>
      <c r="AR243" s="1">
        <v>119.5</v>
      </c>
      <c r="AS243" s="12">
        <v>35.242440000000002</v>
      </c>
      <c r="AT243" s="3">
        <f t="shared" si="50"/>
        <v>38.201170000000005</v>
      </c>
      <c r="AU243" s="1">
        <f t="shared" si="52"/>
        <v>1.03136883758095</v>
      </c>
      <c r="AW243" s="11">
        <v>463.73953</v>
      </c>
      <c r="AX243" s="1">
        <v>119.5</v>
      </c>
      <c r="AY243" s="13">
        <v>40.231580000000001</v>
      </c>
      <c r="AZ243" s="3">
        <f t="shared" si="51"/>
        <v>41.89723</v>
      </c>
    </row>
    <row r="244" spans="2:52" ht="16" x14ac:dyDescent="0.2">
      <c r="B244" s="4">
        <v>199.91453000000001</v>
      </c>
      <c r="C244" s="1">
        <v>120</v>
      </c>
      <c r="D244" s="3">
        <v>99.432540000000003</v>
      </c>
      <c r="E244" s="3">
        <f t="shared" si="44"/>
        <v>100.55898000000001</v>
      </c>
      <c r="F244" s="1">
        <f t="shared" si="43"/>
        <v>2.7431421940227159E-3</v>
      </c>
      <c r="I244" s="4">
        <v>225.01025000000001</v>
      </c>
      <c r="J244" s="1">
        <v>120</v>
      </c>
      <c r="K244" s="3">
        <v>92.984849999999994</v>
      </c>
      <c r="L244" s="3">
        <f t="shared" si="45"/>
        <v>96.571919999999992</v>
      </c>
      <c r="M244" s="1">
        <f t="shared" si="57"/>
        <v>6.5508935557743966E-2</v>
      </c>
      <c r="P244" s="4">
        <v>225.01571000000001</v>
      </c>
      <c r="Q244" s="1">
        <v>120</v>
      </c>
      <c r="R244" s="3">
        <v>99.059690000000003</v>
      </c>
      <c r="S244" s="3">
        <f t="shared" si="46"/>
        <v>98.98387000000001</v>
      </c>
      <c r="T244" s="1">
        <f t="shared" si="56"/>
        <v>1.9721625369564511E-2</v>
      </c>
      <c r="W244" s="4">
        <v>250.00398999999999</v>
      </c>
      <c r="X244" s="1">
        <v>120</v>
      </c>
      <c r="Y244" s="5">
        <v>89.17783</v>
      </c>
      <c r="Z244" s="3">
        <f t="shared" si="47"/>
        <v>94.618660000000006</v>
      </c>
      <c r="AA244" s="1">
        <f t="shared" si="55"/>
        <v>9.7779938417396101E-2</v>
      </c>
      <c r="AD244" s="4">
        <v>250.01033000000001</v>
      </c>
      <c r="AE244" s="1">
        <v>120</v>
      </c>
      <c r="AF244" s="5">
        <v>96.756079999999997</v>
      </c>
      <c r="AG244" s="3">
        <f t="shared" si="48"/>
        <v>97.017569999999992</v>
      </c>
      <c r="AH244" s="1">
        <f t="shared" si="54"/>
        <v>5.829007149028087E-2</v>
      </c>
      <c r="AK244" s="11">
        <v>705.65801999999996</v>
      </c>
      <c r="AL244" s="1">
        <v>120</v>
      </c>
      <c r="AM244" s="12">
        <v>40.342619999999997</v>
      </c>
      <c r="AN244" s="3">
        <f t="shared" si="49"/>
        <v>42.928839999999994</v>
      </c>
      <c r="AO244" s="1">
        <f t="shared" si="53"/>
        <v>0.95291395231986809</v>
      </c>
      <c r="AQ244" s="11">
        <v>708.15763000000004</v>
      </c>
      <c r="AR244" s="1">
        <v>120</v>
      </c>
      <c r="AS244" s="13">
        <v>35.17868</v>
      </c>
      <c r="AT244" s="3">
        <f t="shared" si="50"/>
        <v>38.137410000000003</v>
      </c>
      <c r="AU244" s="1">
        <f t="shared" si="52"/>
        <v>1.0324329010021003</v>
      </c>
      <c r="AW244" s="11">
        <v>465.24738000000002</v>
      </c>
      <c r="AX244" s="1">
        <v>120</v>
      </c>
      <c r="AY244" s="12">
        <v>40.21387</v>
      </c>
      <c r="AZ244" s="3">
        <f t="shared" si="51"/>
        <v>41.879519999999999</v>
      </c>
    </row>
    <row r="245" spans="2:52" ht="16" x14ac:dyDescent="0.2">
      <c r="B245" s="4">
        <v>199.93351999999999</v>
      </c>
      <c r="C245" s="1">
        <v>120.5</v>
      </c>
      <c r="D245" s="5">
        <v>99.35548</v>
      </c>
      <c r="E245" s="3">
        <f t="shared" si="44"/>
        <v>100.48192</v>
      </c>
      <c r="F245" s="1">
        <f t="shared" si="43"/>
        <v>4.0199393519799505E-3</v>
      </c>
      <c r="I245" s="4">
        <v>225.00497999999999</v>
      </c>
      <c r="J245" s="1">
        <v>120.5</v>
      </c>
      <c r="K245" s="5">
        <v>92.963160000000002</v>
      </c>
      <c r="L245" s="3">
        <f t="shared" si="45"/>
        <v>96.550229999999999</v>
      </c>
      <c r="M245" s="1">
        <f t="shared" si="57"/>
        <v>6.5869054477821459E-2</v>
      </c>
      <c r="P245" s="4">
        <v>225.01684</v>
      </c>
      <c r="Q245" s="1">
        <v>120.5</v>
      </c>
      <c r="R245" s="5">
        <v>99.112639999999999</v>
      </c>
      <c r="S245" s="3">
        <f t="shared" si="46"/>
        <v>99.036820000000006</v>
      </c>
      <c r="T245" s="1">
        <f t="shared" si="56"/>
        <v>1.883942543434583E-2</v>
      </c>
      <c r="W245" s="4">
        <v>250.00098</v>
      </c>
      <c r="X245" s="1">
        <v>120.5</v>
      </c>
      <c r="Y245" s="3">
        <v>89.1584</v>
      </c>
      <c r="Z245" s="3">
        <f t="shared" si="47"/>
        <v>94.599230000000006</v>
      </c>
      <c r="AA245" s="1">
        <f t="shared" si="55"/>
        <v>9.8102567215509431E-2</v>
      </c>
      <c r="AD245" s="4">
        <v>250.00957</v>
      </c>
      <c r="AE245" s="1">
        <v>120.5</v>
      </c>
      <c r="AF245" s="3">
        <v>96.73563</v>
      </c>
      <c r="AG245" s="3">
        <f t="shared" si="48"/>
        <v>96.997119999999995</v>
      </c>
      <c r="AH245" s="1">
        <f t="shared" si="54"/>
        <v>5.8629564702585471E-2</v>
      </c>
      <c r="AK245" s="11">
        <v>708.15603999999996</v>
      </c>
      <c r="AL245" s="1">
        <v>120.5</v>
      </c>
      <c r="AM245" s="13">
        <v>40.292960000000001</v>
      </c>
      <c r="AN245" s="3">
        <f t="shared" si="49"/>
        <v>42.879179999999998</v>
      </c>
      <c r="AO245" s="1">
        <f t="shared" si="53"/>
        <v>0.9537421941891383</v>
      </c>
      <c r="AQ245" s="11">
        <v>710.65740000000005</v>
      </c>
      <c r="AR245" s="1">
        <v>120.5</v>
      </c>
      <c r="AS245" s="12">
        <v>35.166139999999999</v>
      </c>
      <c r="AT245" s="3">
        <f t="shared" si="50"/>
        <v>38.124870000000001</v>
      </c>
      <c r="AU245" s="1">
        <f t="shared" si="52"/>
        <v>1.032642175708832</v>
      </c>
      <c r="AW245" s="11">
        <v>466.74758000000003</v>
      </c>
      <c r="AX245" s="1">
        <v>120.5</v>
      </c>
      <c r="AY245" s="13">
        <v>40.146720000000002</v>
      </c>
      <c r="AZ245" s="3">
        <f t="shared" si="51"/>
        <v>41.812370000000001</v>
      </c>
    </row>
    <row r="246" spans="2:52" ht="16" x14ac:dyDescent="0.2">
      <c r="B246" s="4">
        <v>199.94391999999999</v>
      </c>
      <c r="C246" s="1">
        <v>121</v>
      </c>
      <c r="D246" s="3">
        <v>99.306020000000004</v>
      </c>
      <c r="E246" s="3">
        <f t="shared" si="44"/>
        <v>100.43246000000001</v>
      </c>
      <c r="F246" s="1">
        <f t="shared" si="43"/>
        <v>4.8394356851301917E-3</v>
      </c>
      <c r="I246" s="4">
        <v>225.00704999999999</v>
      </c>
      <c r="J246" s="1">
        <v>121</v>
      </c>
      <c r="K246" s="3">
        <v>92.945779999999999</v>
      </c>
      <c r="L246" s="3">
        <f t="shared" si="45"/>
        <v>96.532849999999996</v>
      </c>
      <c r="M246" s="1">
        <f t="shared" si="57"/>
        <v>6.6157614497690073E-2</v>
      </c>
      <c r="P246" s="4">
        <v>225.01497000000001</v>
      </c>
      <c r="Q246" s="1">
        <v>121</v>
      </c>
      <c r="R246" s="3">
        <v>99.097930000000005</v>
      </c>
      <c r="S246" s="3">
        <f t="shared" si="46"/>
        <v>99.022110000000012</v>
      </c>
      <c r="T246" s="1">
        <f t="shared" si="56"/>
        <v>1.9084508740239359E-2</v>
      </c>
      <c r="W246" s="4">
        <v>250.00702999999999</v>
      </c>
      <c r="X246" s="1">
        <v>121</v>
      </c>
      <c r="Y246" s="5">
        <v>89.123850000000004</v>
      </c>
      <c r="Z246" s="3">
        <f t="shared" si="47"/>
        <v>94.56468000000001</v>
      </c>
      <c r="AA246" s="1">
        <f t="shared" si="55"/>
        <v>9.8676258670723757E-2</v>
      </c>
      <c r="AD246" s="4">
        <v>250.00993</v>
      </c>
      <c r="AE246" s="1">
        <v>121</v>
      </c>
      <c r="AF246" s="5">
        <v>96.679180000000002</v>
      </c>
      <c r="AG246" s="3">
        <f t="shared" si="48"/>
        <v>96.940669999999997</v>
      </c>
      <c r="AH246" s="1">
        <f t="shared" si="54"/>
        <v>5.9566698777626909E-2</v>
      </c>
      <c r="AK246" s="11">
        <v>710.65823</v>
      </c>
      <c r="AL246" s="1">
        <v>121</v>
      </c>
      <c r="AM246" s="12">
        <v>40.258760000000002</v>
      </c>
      <c r="AN246" s="3">
        <f t="shared" si="49"/>
        <v>42.84498</v>
      </c>
      <c r="AO246" s="1">
        <f t="shared" si="53"/>
        <v>0.95431259032141869</v>
      </c>
      <c r="AQ246" s="11">
        <v>713.16155000000003</v>
      </c>
      <c r="AR246" s="1">
        <v>121</v>
      </c>
      <c r="AS246" s="13">
        <v>35.093719999999998</v>
      </c>
      <c r="AT246" s="3">
        <f t="shared" si="50"/>
        <v>38.05245</v>
      </c>
      <c r="AU246" s="1">
        <f t="shared" si="52"/>
        <v>1.0338507621730681</v>
      </c>
      <c r="AW246" s="11">
        <v>468.24921999999998</v>
      </c>
      <c r="AX246" s="1">
        <v>121</v>
      </c>
      <c r="AY246" s="12">
        <v>40.197279999999999</v>
      </c>
      <c r="AZ246" s="3">
        <f t="shared" si="51"/>
        <v>41.862929999999999</v>
      </c>
    </row>
    <row r="247" spans="2:52" ht="16" x14ac:dyDescent="0.2">
      <c r="B247" s="4">
        <v>199.93621999999999</v>
      </c>
      <c r="C247" s="1">
        <v>121.5</v>
      </c>
      <c r="D247" s="5">
        <v>99.242239999999995</v>
      </c>
      <c r="E247" s="3">
        <f t="shared" si="44"/>
        <v>100.36868</v>
      </c>
      <c r="F247" s="1">
        <f t="shared" si="43"/>
        <v>5.8961982433253625E-3</v>
      </c>
      <c r="I247" s="4">
        <v>225.00615999999999</v>
      </c>
      <c r="J247" s="1">
        <v>121.5</v>
      </c>
      <c r="K247" s="5">
        <v>92.917370000000005</v>
      </c>
      <c r="L247" s="3">
        <f t="shared" si="45"/>
        <v>96.504440000000002</v>
      </c>
      <c r="M247" s="1">
        <f t="shared" si="57"/>
        <v>6.6629305531318614E-2</v>
      </c>
      <c r="P247" s="4">
        <v>225.01047</v>
      </c>
      <c r="Q247" s="1">
        <v>121.5</v>
      </c>
      <c r="R247" s="5">
        <v>98.974699999999999</v>
      </c>
      <c r="S247" s="3">
        <f t="shared" si="46"/>
        <v>98.898880000000005</v>
      </c>
      <c r="T247" s="1">
        <f t="shared" si="56"/>
        <v>2.1137643735839224E-2</v>
      </c>
      <c r="W247" s="4">
        <v>250.00403</v>
      </c>
      <c r="X247" s="1">
        <v>121.5</v>
      </c>
      <c r="Y247" s="3">
        <v>89.101179999999999</v>
      </c>
      <c r="Z247" s="3">
        <f t="shared" si="47"/>
        <v>94.542010000000005</v>
      </c>
      <c r="AA247" s="1">
        <f t="shared" si="55"/>
        <v>9.9052686609644558E-2</v>
      </c>
      <c r="AD247" s="4">
        <v>250.01175000000001</v>
      </c>
      <c r="AE247" s="1">
        <v>121.5</v>
      </c>
      <c r="AF247" s="3">
        <v>96.690010000000001</v>
      </c>
      <c r="AG247" s="3">
        <f t="shared" si="48"/>
        <v>96.951499999999996</v>
      </c>
      <c r="AH247" s="1">
        <f t="shared" si="54"/>
        <v>5.9386908484753607E-2</v>
      </c>
      <c r="AK247" s="11">
        <v>713.16151000000002</v>
      </c>
      <c r="AL247" s="1">
        <v>121.5</v>
      </c>
      <c r="AM247" s="13">
        <v>40.221539999999997</v>
      </c>
      <c r="AN247" s="3">
        <f t="shared" si="49"/>
        <v>42.807759999999995</v>
      </c>
      <c r="AO247" s="1">
        <f t="shared" si="53"/>
        <v>0.95493335476713448</v>
      </c>
      <c r="AQ247" s="11">
        <v>715.66168000000005</v>
      </c>
      <c r="AR247" s="1">
        <v>121.5</v>
      </c>
      <c r="AS247" s="12">
        <v>35.087090000000003</v>
      </c>
      <c r="AT247" s="3">
        <f t="shared" si="50"/>
        <v>38.045820000000006</v>
      </c>
      <c r="AU247" s="1">
        <f t="shared" si="52"/>
        <v>1.0339614074127517</v>
      </c>
      <c r="AW247" s="11">
        <v>469.75655</v>
      </c>
      <c r="AX247" s="1">
        <v>121.5</v>
      </c>
      <c r="AY247" s="13">
        <v>40.147329999999997</v>
      </c>
      <c r="AZ247" s="3">
        <f t="shared" si="51"/>
        <v>41.812979999999996</v>
      </c>
    </row>
    <row r="248" spans="2:52" ht="16" x14ac:dyDescent="0.2">
      <c r="B248" s="4">
        <v>199.92705000000001</v>
      </c>
      <c r="C248" s="1">
        <v>122</v>
      </c>
      <c r="D248" s="3">
        <v>99.176869999999994</v>
      </c>
      <c r="E248" s="3">
        <f t="shared" si="44"/>
        <v>100.30331</v>
      </c>
      <c r="F248" s="1">
        <f t="shared" ref="F248:F311" si="58">($E$119-E248)/($E$119*(1-$N$1))</f>
        <v>6.979305305558208E-3</v>
      </c>
      <c r="I248" s="4">
        <v>225.00403</v>
      </c>
      <c r="J248" s="1">
        <v>122</v>
      </c>
      <c r="K248" s="3">
        <v>92.911879999999996</v>
      </c>
      <c r="L248" s="3">
        <f t="shared" si="45"/>
        <v>96.498949999999994</v>
      </c>
      <c r="M248" s="1">
        <f t="shared" si="57"/>
        <v>6.6720455963371603E-2</v>
      </c>
      <c r="P248" s="4">
        <v>225.00973999999999</v>
      </c>
      <c r="Q248" s="1">
        <v>122</v>
      </c>
      <c r="R248" s="3">
        <v>98.980770000000007</v>
      </c>
      <c r="S248" s="3">
        <f t="shared" si="46"/>
        <v>98.904950000000014</v>
      </c>
      <c r="T248" s="1">
        <f t="shared" si="56"/>
        <v>2.1036511467533558E-2</v>
      </c>
      <c r="W248" s="4">
        <v>250.005</v>
      </c>
      <c r="X248" s="1">
        <v>122</v>
      </c>
      <c r="Y248" s="5">
        <v>89.083749999999995</v>
      </c>
      <c r="Z248" s="3">
        <f t="shared" si="47"/>
        <v>94.52458</v>
      </c>
      <c r="AA248" s="1">
        <f t="shared" si="55"/>
        <v>9.9342106061580573E-2</v>
      </c>
      <c r="AD248" s="4">
        <v>250.01005000000001</v>
      </c>
      <c r="AE248" s="1">
        <v>122</v>
      </c>
      <c r="AF248" s="5">
        <v>96.677409999999995</v>
      </c>
      <c r="AG248" s="3">
        <f t="shared" si="48"/>
        <v>96.93889999999999</v>
      </c>
      <c r="AH248" s="1">
        <f t="shared" si="54"/>
        <v>5.9596082786711593E-2</v>
      </c>
      <c r="AK248" s="11">
        <v>715.65988000000004</v>
      </c>
      <c r="AL248" s="1">
        <v>122</v>
      </c>
      <c r="AM248" s="12">
        <v>40.219749999999998</v>
      </c>
      <c r="AN248" s="3">
        <f t="shared" si="49"/>
        <v>42.805969999999995</v>
      </c>
      <c r="AO248" s="1">
        <f t="shared" si="53"/>
        <v>0.95496320883370711</v>
      </c>
      <c r="AQ248" s="11">
        <v>718.16193999999996</v>
      </c>
      <c r="AR248" s="1">
        <v>122</v>
      </c>
      <c r="AS248" s="13">
        <v>35.026629999999997</v>
      </c>
      <c r="AT248" s="3">
        <f t="shared" si="50"/>
        <v>37.98536</v>
      </c>
      <c r="AU248" s="1">
        <f t="shared" si="52"/>
        <v>1.0349703985426568</v>
      </c>
      <c r="AW248" s="11">
        <v>471.26067</v>
      </c>
      <c r="AX248" s="1">
        <v>122</v>
      </c>
      <c r="AY248" s="12">
        <v>40.189120000000003</v>
      </c>
      <c r="AZ248" s="3">
        <f t="shared" si="51"/>
        <v>41.854770000000002</v>
      </c>
    </row>
    <row r="249" spans="2:52" ht="16" x14ac:dyDescent="0.2">
      <c r="B249" s="4">
        <v>199.92836</v>
      </c>
      <c r="C249" s="1">
        <v>122.5</v>
      </c>
      <c r="D249" s="5">
        <v>99.529300000000006</v>
      </c>
      <c r="E249" s="3">
        <f t="shared" si="44"/>
        <v>100.65574000000001</v>
      </c>
      <c r="F249" s="1">
        <f t="shared" si="58"/>
        <v>1.1399382879243335E-3</v>
      </c>
      <c r="I249" s="4">
        <v>225.00295</v>
      </c>
      <c r="J249" s="1">
        <v>122.5</v>
      </c>
      <c r="K249" s="5">
        <v>92.884320000000002</v>
      </c>
      <c r="L249" s="3">
        <f t="shared" si="45"/>
        <v>96.47139</v>
      </c>
      <c r="M249" s="1">
        <f t="shared" si="57"/>
        <v>6.7178034452875388E-2</v>
      </c>
      <c r="P249" s="4">
        <v>225.00937999999999</v>
      </c>
      <c r="Q249" s="1">
        <v>122.5</v>
      </c>
      <c r="R249" s="5">
        <v>99.041129999999995</v>
      </c>
      <c r="S249" s="3">
        <f t="shared" si="46"/>
        <v>98.965310000000002</v>
      </c>
      <c r="T249" s="1">
        <f t="shared" si="56"/>
        <v>2.0030853524383527E-2</v>
      </c>
      <c r="W249" s="4">
        <v>250.00695999999999</v>
      </c>
      <c r="X249" s="1">
        <v>122.5</v>
      </c>
      <c r="Y249" s="3">
        <v>89.068629999999999</v>
      </c>
      <c r="Z249" s="3">
        <f t="shared" si="47"/>
        <v>94.509460000000004</v>
      </c>
      <c r="AA249" s="1">
        <f t="shared" si="55"/>
        <v>9.9593168718681568E-2</v>
      </c>
      <c r="AD249" s="4">
        <v>250.00939</v>
      </c>
      <c r="AE249" s="1">
        <v>122.5</v>
      </c>
      <c r="AF249" s="3">
        <v>96.608059999999995</v>
      </c>
      <c r="AG249" s="3">
        <f t="shared" si="48"/>
        <v>96.86954999999999</v>
      </c>
      <c r="AH249" s="1">
        <f t="shared" si="54"/>
        <v>6.0747371504233753E-2</v>
      </c>
      <c r="AK249" s="11">
        <v>718.16498000000001</v>
      </c>
      <c r="AL249" s="1">
        <v>122.5</v>
      </c>
      <c r="AM249" s="13">
        <v>40.170630000000003</v>
      </c>
      <c r="AN249" s="3">
        <f t="shared" si="49"/>
        <v>42.75685</v>
      </c>
      <c r="AO249" s="1">
        <f t="shared" si="53"/>
        <v>0.95578244444825711</v>
      </c>
      <c r="AQ249" s="11">
        <v>720.66908000000001</v>
      </c>
      <c r="AR249" s="1">
        <v>122.5</v>
      </c>
      <c r="AS249" s="12">
        <v>35.012140000000002</v>
      </c>
      <c r="AT249" s="3">
        <f t="shared" si="50"/>
        <v>37.970870000000005</v>
      </c>
      <c r="AU249" s="1">
        <f t="shared" si="52"/>
        <v>1.0352122159669426</v>
      </c>
      <c r="AW249" s="11">
        <v>472.75553000000002</v>
      </c>
      <c r="AX249" s="1">
        <v>122.5</v>
      </c>
      <c r="AY249" s="13">
        <v>40.05592</v>
      </c>
      <c r="AZ249" s="3">
        <f t="shared" si="51"/>
        <v>41.72157</v>
      </c>
    </row>
    <row r="250" spans="2:52" ht="16" x14ac:dyDescent="0.2">
      <c r="B250" s="4">
        <v>199.94030000000001</v>
      </c>
      <c r="C250" s="1">
        <v>123</v>
      </c>
      <c r="D250" s="3">
        <v>99.091679999999997</v>
      </c>
      <c r="E250" s="3">
        <f t="shared" si="44"/>
        <v>100.21812</v>
      </c>
      <c r="F250" s="1">
        <f t="shared" si="58"/>
        <v>8.3908073803878082E-3</v>
      </c>
      <c r="I250" s="4">
        <v>225.00393</v>
      </c>
      <c r="J250" s="1">
        <v>123</v>
      </c>
      <c r="K250" s="3">
        <v>92.883859999999999</v>
      </c>
      <c r="L250" s="3">
        <f t="shared" si="45"/>
        <v>96.470929999999996</v>
      </c>
      <c r="M250" s="1">
        <f t="shared" si="57"/>
        <v>6.7185671829695912E-2</v>
      </c>
      <c r="P250" s="4">
        <v>225.00883999999999</v>
      </c>
      <c r="Q250" s="1">
        <v>123</v>
      </c>
      <c r="R250" s="3">
        <v>98.97175</v>
      </c>
      <c r="S250" s="3">
        <f t="shared" si="46"/>
        <v>98.895930000000007</v>
      </c>
      <c r="T250" s="1">
        <f t="shared" si="56"/>
        <v>2.1186793685015692E-2</v>
      </c>
      <c r="W250" s="4">
        <v>250.00497999999999</v>
      </c>
      <c r="X250" s="1">
        <v>123</v>
      </c>
      <c r="Y250" s="5">
        <v>89.045540000000003</v>
      </c>
      <c r="Z250" s="3">
        <f t="shared" si="47"/>
        <v>94.486370000000008</v>
      </c>
      <c r="AA250" s="1">
        <f t="shared" si="55"/>
        <v>9.9976570620299465E-2</v>
      </c>
      <c r="AD250" s="4">
        <v>250.01309000000001</v>
      </c>
      <c r="AE250" s="1">
        <v>123</v>
      </c>
      <c r="AF250" s="5">
        <v>96.75385</v>
      </c>
      <c r="AG250" s="3">
        <f t="shared" si="48"/>
        <v>97.015339999999995</v>
      </c>
      <c r="AH250" s="1">
        <f t="shared" si="54"/>
        <v>5.8327092021500354E-2</v>
      </c>
      <c r="AK250" s="11">
        <v>720.66593999999998</v>
      </c>
      <c r="AL250" s="1">
        <v>123</v>
      </c>
      <c r="AM250" s="12">
        <v>40.158990000000003</v>
      </c>
      <c r="AN250" s="3">
        <f t="shared" si="49"/>
        <v>42.74521</v>
      </c>
      <c r="AO250" s="1">
        <f t="shared" si="53"/>
        <v>0.95597657927222623</v>
      </c>
      <c r="AQ250" s="11">
        <v>723.17033000000004</v>
      </c>
      <c r="AR250" s="1">
        <v>123</v>
      </c>
      <c r="AS250" s="13">
        <v>34.965539999999997</v>
      </c>
      <c r="AT250" s="3">
        <f t="shared" si="50"/>
        <v>37.92427</v>
      </c>
      <c r="AU250" s="1">
        <f t="shared" si="52"/>
        <v>1.0359899034736177</v>
      </c>
      <c r="AW250" s="11">
        <v>474.25833999999998</v>
      </c>
      <c r="AX250" s="1">
        <v>123</v>
      </c>
      <c r="AY250" s="12">
        <v>40.02666</v>
      </c>
      <c r="AZ250" s="3">
        <f t="shared" si="51"/>
        <v>41.692309999999999</v>
      </c>
    </row>
    <row r="251" spans="2:52" ht="16" x14ac:dyDescent="0.2">
      <c r="B251" s="4">
        <v>199.96247</v>
      </c>
      <c r="C251" s="1">
        <v>123.5</v>
      </c>
      <c r="D251" s="5">
        <v>99.302729999999997</v>
      </c>
      <c r="E251" s="3">
        <f t="shared" si="44"/>
        <v>100.42917</v>
      </c>
      <c r="F251" s="1">
        <f t="shared" si="58"/>
        <v>4.8939472689569228E-3</v>
      </c>
      <c r="I251" s="4">
        <v>225.00197</v>
      </c>
      <c r="J251" s="1">
        <v>123.5</v>
      </c>
      <c r="K251" s="5">
        <v>92.862340000000003</v>
      </c>
      <c r="L251" s="3">
        <f t="shared" si="45"/>
        <v>96.44941</v>
      </c>
      <c r="M251" s="1">
        <f t="shared" si="57"/>
        <v>6.7542968240948506E-2</v>
      </c>
      <c r="P251" s="4">
        <v>225.00792000000001</v>
      </c>
      <c r="Q251" s="1">
        <v>123.5</v>
      </c>
      <c r="R251" s="5">
        <v>99.037459999999996</v>
      </c>
      <c r="S251" s="3">
        <f t="shared" si="46"/>
        <v>98.961640000000003</v>
      </c>
      <c r="T251" s="1">
        <f t="shared" si="56"/>
        <v>2.0091999393359025E-2</v>
      </c>
      <c r="W251" s="4">
        <v>250.006</v>
      </c>
      <c r="X251" s="1">
        <v>123.5</v>
      </c>
      <c r="Y251" s="3">
        <v>89.028329999999997</v>
      </c>
      <c r="Z251" s="3">
        <f t="shared" si="47"/>
        <v>94.469160000000002</v>
      </c>
      <c r="AA251" s="1">
        <f t="shared" si="55"/>
        <v>0.10026233704415601</v>
      </c>
      <c r="AD251" s="4">
        <v>250.01381000000001</v>
      </c>
      <c r="AE251" s="1">
        <v>123.5</v>
      </c>
      <c r="AF251" s="3">
        <v>96.637129999999999</v>
      </c>
      <c r="AG251" s="3">
        <f t="shared" si="48"/>
        <v>96.898619999999994</v>
      </c>
      <c r="AH251" s="1">
        <f t="shared" si="54"/>
        <v>6.0264776507573704E-2</v>
      </c>
      <c r="AK251" s="11">
        <v>723.16687999999999</v>
      </c>
      <c r="AL251" s="1">
        <v>123.5</v>
      </c>
      <c r="AM251" s="13">
        <v>40.109740000000002</v>
      </c>
      <c r="AN251" s="3">
        <f t="shared" si="49"/>
        <v>42.695959999999999</v>
      </c>
      <c r="AO251" s="1">
        <f t="shared" si="53"/>
        <v>0.95679798305920905</v>
      </c>
      <c r="AQ251" s="11">
        <v>725.66614000000004</v>
      </c>
      <c r="AR251" s="1">
        <v>123.5</v>
      </c>
      <c r="AS251" s="12">
        <v>34.89179</v>
      </c>
      <c r="AT251" s="3">
        <f t="shared" si="50"/>
        <v>37.850520000000003</v>
      </c>
      <c r="AU251" s="1">
        <f t="shared" si="52"/>
        <v>1.037220685740083</v>
      </c>
      <c r="AW251" s="11">
        <v>475.75756000000001</v>
      </c>
      <c r="AX251" s="1">
        <v>123.5</v>
      </c>
      <c r="AY251" s="13">
        <v>40.016730000000003</v>
      </c>
      <c r="AZ251" s="3">
        <f t="shared" si="51"/>
        <v>41.682380000000002</v>
      </c>
    </row>
    <row r="252" spans="2:52" ht="16" x14ac:dyDescent="0.2">
      <c r="B252" s="4">
        <v>199.98569000000001</v>
      </c>
      <c r="C252" s="1">
        <v>124</v>
      </c>
      <c r="D252" s="3">
        <v>99.372559999999993</v>
      </c>
      <c r="E252" s="3">
        <f t="shared" si="44"/>
        <v>100.499</v>
      </c>
      <c r="F252" s="1">
        <f t="shared" si="58"/>
        <v>3.73694304445465E-3</v>
      </c>
      <c r="I252" s="4">
        <v>225.00703999999999</v>
      </c>
      <c r="J252" s="1">
        <v>124</v>
      </c>
      <c r="K252" s="3">
        <v>92.835229999999996</v>
      </c>
      <c r="L252" s="3">
        <f t="shared" si="45"/>
        <v>96.422299999999993</v>
      </c>
      <c r="M252" s="1">
        <f t="shared" si="57"/>
        <v>6.7993075383562931E-2</v>
      </c>
      <c r="P252" s="4">
        <v>225.01235</v>
      </c>
      <c r="Q252" s="1">
        <v>124</v>
      </c>
      <c r="R252" s="3">
        <v>99.083340000000007</v>
      </c>
      <c r="S252" s="3">
        <f t="shared" si="46"/>
        <v>99.007520000000014</v>
      </c>
      <c r="T252" s="1">
        <f t="shared" si="56"/>
        <v>1.9327592726166461E-2</v>
      </c>
      <c r="W252" s="4">
        <v>250.00303</v>
      </c>
      <c r="X252" s="1">
        <v>124</v>
      </c>
      <c r="Y252" s="5">
        <v>88.995599999999996</v>
      </c>
      <c r="Z252" s="3">
        <f t="shared" si="47"/>
        <v>94.436430000000001</v>
      </c>
      <c r="AA252" s="1">
        <f t="shared" si="55"/>
        <v>0.10080580799434899</v>
      </c>
      <c r="AD252" s="4">
        <v>250.01535999999999</v>
      </c>
      <c r="AE252" s="1">
        <v>124</v>
      </c>
      <c r="AF252" s="5">
        <v>96.608509999999995</v>
      </c>
      <c r="AG252" s="3">
        <f t="shared" si="48"/>
        <v>96.86999999999999</v>
      </c>
      <c r="AH252" s="1">
        <f t="shared" si="54"/>
        <v>6.073990099344953E-2</v>
      </c>
      <c r="AK252" s="11">
        <v>725.67349000000002</v>
      </c>
      <c r="AL252" s="1">
        <v>124</v>
      </c>
      <c r="AM252" s="12">
        <v>40.043129999999998</v>
      </c>
      <c r="AN252" s="3">
        <f t="shared" si="49"/>
        <v>42.629349999999995</v>
      </c>
      <c r="AO252" s="1">
        <f t="shared" si="53"/>
        <v>0.9579089212571974</v>
      </c>
      <c r="AQ252" s="11">
        <v>728.16968999999995</v>
      </c>
      <c r="AR252" s="1">
        <v>124</v>
      </c>
      <c r="AS252" s="13">
        <v>34.879980000000003</v>
      </c>
      <c r="AT252" s="3">
        <f t="shared" si="50"/>
        <v>37.838710000000006</v>
      </c>
      <c r="AU252" s="1">
        <f t="shared" si="52"/>
        <v>1.0374177777884483</v>
      </c>
      <c r="AW252" s="11">
        <v>477.26434999999998</v>
      </c>
      <c r="AX252" s="1">
        <v>124</v>
      </c>
      <c r="AY252" s="12">
        <v>40.0212</v>
      </c>
      <c r="AZ252" s="3">
        <f t="shared" si="51"/>
        <v>41.68685</v>
      </c>
    </row>
    <row r="253" spans="2:52" ht="16" x14ac:dyDescent="0.2">
      <c r="B253" s="4">
        <v>200.00264000000001</v>
      </c>
      <c r="C253" s="1">
        <v>124.5</v>
      </c>
      <c r="D253" s="5">
        <v>99.316720000000004</v>
      </c>
      <c r="E253" s="3">
        <f t="shared" si="44"/>
        <v>100.44316000000001</v>
      </c>
      <c r="F253" s="1">
        <f t="shared" si="58"/>
        <v>4.662148771165206E-3</v>
      </c>
      <c r="I253" s="4">
        <v>225.00695999999999</v>
      </c>
      <c r="J253" s="1">
        <v>124.5</v>
      </c>
      <c r="K253" s="5">
        <v>92.81268</v>
      </c>
      <c r="L253" s="3">
        <f t="shared" si="45"/>
        <v>96.399749999999997</v>
      </c>
      <c r="M253" s="1">
        <f t="shared" si="57"/>
        <v>6.8367472877696123E-2</v>
      </c>
      <c r="P253" s="4">
        <v>225.01429999999999</v>
      </c>
      <c r="Q253" s="1">
        <v>124.5</v>
      </c>
      <c r="R253" s="5">
        <v>98.878100000000003</v>
      </c>
      <c r="S253" s="3">
        <f t="shared" si="46"/>
        <v>98.80228000000001</v>
      </c>
      <c r="T253" s="1">
        <f t="shared" si="56"/>
        <v>2.274709630887279E-2</v>
      </c>
      <c r="W253" s="4">
        <v>250.00602000000001</v>
      </c>
      <c r="X253" s="1">
        <v>124.5</v>
      </c>
      <c r="Y253" s="3">
        <v>88.97457</v>
      </c>
      <c r="Z253" s="3">
        <f t="shared" si="47"/>
        <v>94.415400000000005</v>
      </c>
      <c r="AA253" s="1">
        <f t="shared" si="55"/>
        <v>0.10115500426940417</v>
      </c>
      <c r="AD253" s="4">
        <v>250.01685000000001</v>
      </c>
      <c r="AE253" s="1">
        <v>124.5</v>
      </c>
      <c r="AF253" s="3">
        <v>96.602180000000004</v>
      </c>
      <c r="AG253" s="3">
        <f t="shared" si="48"/>
        <v>96.863669999999999</v>
      </c>
      <c r="AH253" s="1">
        <f t="shared" si="54"/>
        <v>6.0844986178480609E-2</v>
      </c>
      <c r="AK253" s="11">
        <v>728.17308000000003</v>
      </c>
      <c r="AL253" s="1">
        <v>124.5</v>
      </c>
      <c r="AM253" s="13">
        <v>40.023090000000003</v>
      </c>
      <c r="AN253" s="3">
        <f t="shared" si="49"/>
        <v>42.609310000000001</v>
      </c>
      <c r="AO253" s="1">
        <f t="shared" si="53"/>
        <v>0.95824315337681432</v>
      </c>
      <c r="AQ253" s="11">
        <v>730.66764999999998</v>
      </c>
      <c r="AR253" s="1">
        <v>124.5</v>
      </c>
      <c r="AS253" s="12">
        <v>34.80245</v>
      </c>
      <c r="AT253" s="3">
        <f t="shared" si="50"/>
        <v>37.761180000000003</v>
      </c>
      <c r="AU253" s="1">
        <f t="shared" si="52"/>
        <v>1.0387116428612491</v>
      </c>
      <c r="AW253" s="11">
        <v>478.77021000000002</v>
      </c>
      <c r="AX253" s="1">
        <v>124.5</v>
      </c>
      <c r="AY253" s="13">
        <v>40.073659999999997</v>
      </c>
      <c r="AZ253" s="3">
        <f t="shared" si="51"/>
        <v>41.739309999999996</v>
      </c>
    </row>
    <row r="254" spans="2:52" ht="16" x14ac:dyDescent="0.2">
      <c r="B254" s="4">
        <v>200.00989999999999</v>
      </c>
      <c r="C254" s="1">
        <v>125</v>
      </c>
      <c r="D254" s="3">
        <v>99.354960000000005</v>
      </c>
      <c r="E254" s="3">
        <f t="shared" si="44"/>
        <v>100.48140000000001</v>
      </c>
      <c r="F254" s="1">
        <f t="shared" si="58"/>
        <v>4.0285551646211488E-3</v>
      </c>
      <c r="I254" s="4">
        <v>225.0069</v>
      </c>
      <c r="J254" s="1">
        <v>125</v>
      </c>
      <c r="K254" s="3">
        <v>92.82226</v>
      </c>
      <c r="L254" s="3">
        <f t="shared" si="45"/>
        <v>96.409329999999997</v>
      </c>
      <c r="M254" s="1">
        <f t="shared" si="57"/>
        <v>6.8208416203913561E-2</v>
      </c>
      <c r="P254" s="4">
        <v>225.01562000000001</v>
      </c>
      <c r="Q254" s="1">
        <v>125</v>
      </c>
      <c r="R254" s="3">
        <v>98.98442</v>
      </c>
      <c r="S254" s="3">
        <f t="shared" si="46"/>
        <v>98.908600000000007</v>
      </c>
      <c r="T254" s="1">
        <f t="shared" si="56"/>
        <v>2.0975698818552584E-2</v>
      </c>
      <c r="W254" s="4">
        <v>250.00701000000001</v>
      </c>
      <c r="X254" s="1">
        <v>125</v>
      </c>
      <c r="Y254" s="5">
        <v>88.972530000000006</v>
      </c>
      <c r="Z254" s="3">
        <f t="shared" si="47"/>
        <v>94.413360000000011</v>
      </c>
      <c r="AA254" s="1">
        <f t="shared" si="55"/>
        <v>0.101188877802505</v>
      </c>
      <c r="AD254" s="4">
        <v>250.02067</v>
      </c>
      <c r="AE254" s="1">
        <v>125</v>
      </c>
      <c r="AF254" s="5">
        <v>96.647810000000007</v>
      </c>
      <c r="AG254" s="3">
        <f t="shared" si="48"/>
        <v>96.909300000000002</v>
      </c>
      <c r="AH254" s="1">
        <f t="shared" si="54"/>
        <v>6.0087476384961654E-2</v>
      </c>
      <c r="AK254" s="11">
        <v>730.67344000000003</v>
      </c>
      <c r="AL254" s="1">
        <v>125</v>
      </c>
      <c r="AM254" s="12">
        <v>39.955120000000001</v>
      </c>
      <c r="AN254" s="3">
        <f t="shared" si="49"/>
        <v>42.541339999999998</v>
      </c>
      <c r="AO254" s="1">
        <f t="shared" si="53"/>
        <v>0.95937677399409793</v>
      </c>
      <c r="AQ254" s="11">
        <v>733.17867999999999</v>
      </c>
      <c r="AR254" s="1">
        <v>125</v>
      </c>
      <c r="AS254" s="13">
        <v>34.731290000000001</v>
      </c>
      <c r="AT254" s="3">
        <f t="shared" si="50"/>
        <v>37.690020000000004</v>
      </c>
      <c r="AU254" s="1">
        <f t="shared" si="52"/>
        <v>1.0398992017233735</v>
      </c>
      <c r="AW254" s="11">
        <v>480.26125999999999</v>
      </c>
      <c r="AX254" s="1">
        <v>125</v>
      </c>
      <c r="AY254" s="12">
        <v>39.885269999999998</v>
      </c>
      <c r="AZ254" s="3">
        <f t="shared" si="51"/>
        <v>41.550919999999998</v>
      </c>
    </row>
    <row r="255" spans="2:52" ht="16" x14ac:dyDescent="0.2">
      <c r="B255" s="4">
        <v>200.00214</v>
      </c>
      <c r="C255" s="1">
        <v>125.5</v>
      </c>
      <c r="D255" s="5">
        <v>99.275350000000003</v>
      </c>
      <c r="E255" s="3">
        <f t="shared" si="44"/>
        <v>100.40179000000001</v>
      </c>
      <c r="F255" s="1">
        <f t="shared" si="58"/>
        <v>5.3476029422616167E-3</v>
      </c>
      <c r="I255" s="4">
        <v>225.00407999999999</v>
      </c>
      <c r="J255" s="1">
        <v>125.5</v>
      </c>
      <c r="K255" s="5">
        <v>92.824200000000005</v>
      </c>
      <c r="L255" s="3">
        <f t="shared" si="45"/>
        <v>96.411270000000002</v>
      </c>
      <c r="M255" s="1">
        <f t="shared" si="57"/>
        <v>6.8176206397322872E-2</v>
      </c>
      <c r="P255" s="4">
        <v>225.01859999999999</v>
      </c>
      <c r="Q255" s="1">
        <v>125.5</v>
      </c>
      <c r="R255" s="5">
        <v>98.992930000000001</v>
      </c>
      <c r="S255" s="3">
        <f t="shared" si="46"/>
        <v>98.917110000000008</v>
      </c>
      <c r="T255" s="1">
        <f t="shared" si="56"/>
        <v>2.0833913710928173E-2</v>
      </c>
      <c r="W255" s="4">
        <v>250.00601</v>
      </c>
      <c r="X255" s="1">
        <v>125.5</v>
      </c>
      <c r="Y255" s="3">
        <v>88.938239999999993</v>
      </c>
      <c r="Z255" s="3">
        <f t="shared" si="47"/>
        <v>94.379069999999999</v>
      </c>
      <c r="AA255" s="1">
        <f t="shared" si="55"/>
        <v>0.10175825204271656</v>
      </c>
      <c r="AD255" s="4">
        <v>250.01804000000001</v>
      </c>
      <c r="AE255" s="1">
        <v>125.5</v>
      </c>
      <c r="AF255" s="3">
        <v>96.566230000000004</v>
      </c>
      <c r="AG255" s="3">
        <f t="shared" si="48"/>
        <v>96.827719999999999</v>
      </c>
      <c r="AH255" s="1">
        <f t="shared" si="54"/>
        <v>6.1441796984463608E-2</v>
      </c>
      <c r="AK255" s="11">
        <v>733.17084</v>
      </c>
      <c r="AL255" s="1">
        <v>125.5</v>
      </c>
      <c r="AM255" s="13">
        <v>39.922620000000002</v>
      </c>
      <c r="AN255" s="3">
        <f t="shared" si="49"/>
        <v>42.508839999999999</v>
      </c>
      <c r="AO255" s="1">
        <f t="shared" si="53"/>
        <v>0.95991881710225913</v>
      </c>
      <c r="AQ255" s="11">
        <v>735.67619000000002</v>
      </c>
      <c r="AR255" s="1">
        <v>125.5</v>
      </c>
      <c r="AS255" s="12">
        <v>34.69811</v>
      </c>
      <c r="AT255" s="3">
        <f t="shared" si="50"/>
        <v>37.656840000000003</v>
      </c>
      <c r="AU255" s="1">
        <f t="shared" si="52"/>
        <v>1.0404529285789845</v>
      </c>
      <c r="AW255" s="11">
        <v>481.77156000000002</v>
      </c>
      <c r="AX255" s="1">
        <v>125.5</v>
      </c>
      <c r="AY255" s="13">
        <v>39.934570000000001</v>
      </c>
      <c r="AZ255" s="3">
        <f t="shared" si="51"/>
        <v>41.60022</v>
      </c>
    </row>
    <row r="256" spans="2:52" ht="16" x14ac:dyDescent="0.2">
      <c r="B256" s="4">
        <v>199.97827000000001</v>
      </c>
      <c r="C256" s="1">
        <v>126</v>
      </c>
      <c r="D256" s="3">
        <v>99.224230000000006</v>
      </c>
      <c r="E256" s="3">
        <f t="shared" si="44"/>
        <v>100.35067000000001</v>
      </c>
      <c r="F256" s="1">
        <f t="shared" si="58"/>
        <v>6.1946036003821458E-3</v>
      </c>
      <c r="I256" s="4">
        <v>225.00314</v>
      </c>
      <c r="J256" s="1">
        <v>126</v>
      </c>
      <c r="K256" s="3">
        <v>92.804050000000004</v>
      </c>
      <c r="L256" s="3">
        <f t="shared" si="45"/>
        <v>96.391120000000001</v>
      </c>
      <c r="M256" s="1">
        <f t="shared" si="57"/>
        <v>6.8510756708045059E-2</v>
      </c>
      <c r="P256" s="4">
        <v>225.01774</v>
      </c>
      <c r="Q256" s="1">
        <v>126</v>
      </c>
      <c r="R256" s="3">
        <v>99.032150000000001</v>
      </c>
      <c r="S256" s="3">
        <f t="shared" si="46"/>
        <v>98.956330000000008</v>
      </c>
      <c r="T256" s="1">
        <f t="shared" si="56"/>
        <v>2.0180469301876617E-2</v>
      </c>
      <c r="W256" s="4">
        <v>250.00398000000001</v>
      </c>
      <c r="X256" s="1">
        <v>126</v>
      </c>
      <c r="Y256" s="5">
        <v>88.916970000000006</v>
      </c>
      <c r="Z256" s="3">
        <f t="shared" si="47"/>
        <v>94.357800000000012</v>
      </c>
      <c r="AA256" s="1">
        <f t="shared" si="55"/>
        <v>0.10211143343931288</v>
      </c>
      <c r="AD256" s="4">
        <v>250.01803000000001</v>
      </c>
      <c r="AE256" s="1">
        <v>126</v>
      </c>
      <c r="AF256" s="5">
        <v>96.576809999999995</v>
      </c>
      <c r="AG256" s="3">
        <f t="shared" si="48"/>
        <v>96.83829999999999</v>
      </c>
      <c r="AH256" s="1">
        <f t="shared" si="54"/>
        <v>6.1266156975359455E-2</v>
      </c>
      <c r="AK256" s="11">
        <v>735.66957000000002</v>
      </c>
      <c r="AL256" s="1">
        <v>126</v>
      </c>
      <c r="AM256" s="12">
        <v>39.885100000000001</v>
      </c>
      <c r="AN256" s="3">
        <f t="shared" si="49"/>
        <v>42.471319999999999</v>
      </c>
      <c r="AO256" s="1">
        <f t="shared" si="53"/>
        <v>0.96054458502281947</v>
      </c>
      <c r="AQ256" s="11">
        <v>738.17858000000001</v>
      </c>
      <c r="AR256" s="1">
        <v>126</v>
      </c>
      <c r="AS256" s="13">
        <v>34.662869999999998</v>
      </c>
      <c r="AT256" s="3">
        <f t="shared" si="50"/>
        <v>37.621600000000001</v>
      </c>
      <c r="AU256" s="1">
        <f t="shared" si="52"/>
        <v>1.0410410338951912</v>
      </c>
      <c r="AW256" s="11">
        <v>483.27454</v>
      </c>
      <c r="AX256" s="1">
        <v>126</v>
      </c>
      <c r="AY256" s="12">
        <v>39.919289999999997</v>
      </c>
      <c r="AZ256" s="3">
        <f t="shared" si="51"/>
        <v>41.584939999999996</v>
      </c>
    </row>
    <row r="257" spans="2:52" ht="16" x14ac:dyDescent="0.2">
      <c r="B257" s="4">
        <v>199.95296999999999</v>
      </c>
      <c r="C257" s="1">
        <v>126.5</v>
      </c>
      <c r="D257" s="5">
        <v>99.185959999999994</v>
      </c>
      <c r="E257" s="3">
        <f t="shared" si="44"/>
        <v>100.3124</v>
      </c>
      <c r="F257" s="1">
        <f t="shared" si="58"/>
        <v>6.8286942730402811E-3</v>
      </c>
      <c r="I257" s="4">
        <v>225.00706</v>
      </c>
      <c r="J257" s="1">
        <v>126.5</v>
      </c>
      <c r="K257" s="5">
        <v>92.803960000000004</v>
      </c>
      <c r="L257" s="3">
        <f t="shared" si="45"/>
        <v>96.391030000000001</v>
      </c>
      <c r="M257" s="1">
        <f t="shared" si="57"/>
        <v>6.8512250977422987E-2</v>
      </c>
      <c r="P257" s="4">
        <v>225.01883000000001</v>
      </c>
      <c r="Q257" s="1">
        <v>126.5</v>
      </c>
      <c r="R257" s="5">
        <v>99.051730000000006</v>
      </c>
      <c r="S257" s="3">
        <f t="shared" si="46"/>
        <v>98.975910000000013</v>
      </c>
      <c r="T257" s="1">
        <f t="shared" si="56"/>
        <v>1.9854246927342389E-2</v>
      </c>
      <c r="W257" s="4">
        <v>250.005</v>
      </c>
      <c r="X257" s="1">
        <v>126.5</v>
      </c>
      <c r="Y257" s="3">
        <v>88.894080000000002</v>
      </c>
      <c r="Z257" s="3">
        <f t="shared" si="47"/>
        <v>94.334910000000008</v>
      </c>
      <c r="AA257" s="1">
        <f t="shared" si="55"/>
        <v>0.10249151440631316</v>
      </c>
      <c r="AD257" s="4">
        <v>250.02203</v>
      </c>
      <c r="AE257" s="1">
        <v>126.5</v>
      </c>
      <c r="AF257" s="3">
        <v>96.65334</v>
      </c>
      <c r="AG257" s="3">
        <f t="shared" si="48"/>
        <v>96.914829999999995</v>
      </c>
      <c r="AH257" s="1">
        <f t="shared" si="54"/>
        <v>5.9995672107991366E-2</v>
      </c>
      <c r="AK257" s="11">
        <v>738.17100000000005</v>
      </c>
      <c r="AL257" s="1">
        <v>126.5</v>
      </c>
      <c r="AM257" s="13">
        <v>39.85107</v>
      </c>
      <c r="AN257" s="3">
        <f t="shared" si="49"/>
        <v>42.437289999999997</v>
      </c>
      <c r="AO257" s="1">
        <f t="shared" si="53"/>
        <v>0.961112145852688</v>
      </c>
      <c r="AQ257" s="11">
        <v>740.67988000000003</v>
      </c>
      <c r="AR257" s="1">
        <v>126.5</v>
      </c>
      <c r="AS257" s="12">
        <v>34.616039999999998</v>
      </c>
      <c r="AT257" s="3">
        <f t="shared" si="50"/>
        <v>37.574770000000001</v>
      </c>
      <c r="AU257" s="1">
        <f t="shared" si="52"/>
        <v>1.0418225597736803</v>
      </c>
      <c r="AW257" s="11">
        <v>484.77649000000002</v>
      </c>
      <c r="AX257" s="1">
        <v>126.5</v>
      </c>
      <c r="AY257" s="13">
        <v>39.97916</v>
      </c>
      <c r="AZ257" s="3">
        <f t="shared" si="51"/>
        <v>41.64481</v>
      </c>
    </row>
    <row r="258" spans="2:52" ht="16" x14ac:dyDescent="0.2">
      <c r="B258" s="4">
        <v>199.94710000000001</v>
      </c>
      <c r="C258" s="1">
        <v>127</v>
      </c>
      <c r="D258" s="3">
        <v>99.341080000000005</v>
      </c>
      <c r="E258" s="3">
        <f t="shared" si="44"/>
        <v>100.46752000000001</v>
      </c>
      <c r="F258" s="1">
        <f t="shared" si="58"/>
        <v>4.2585310866617163E-3</v>
      </c>
      <c r="I258" s="4">
        <v>225.00803999999999</v>
      </c>
      <c r="J258" s="1">
        <v>127</v>
      </c>
      <c r="K258" s="3">
        <v>92.783299999999997</v>
      </c>
      <c r="L258" s="3">
        <f t="shared" si="45"/>
        <v>96.370369999999994</v>
      </c>
      <c r="M258" s="1">
        <f t="shared" si="57"/>
        <v>6.8855268814620119E-2</v>
      </c>
      <c r="P258" s="4">
        <v>225.02008000000001</v>
      </c>
      <c r="Q258" s="1">
        <v>127</v>
      </c>
      <c r="R258" s="3">
        <v>99.058459999999997</v>
      </c>
      <c r="S258" s="3">
        <f t="shared" si="46"/>
        <v>98.982640000000004</v>
      </c>
      <c r="T258" s="1">
        <f t="shared" si="56"/>
        <v>1.974211839922126E-2</v>
      </c>
      <c r="W258" s="4">
        <v>250.00797</v>
      </c>
      <c r="X258" s="1">
        <v>127</v>
      </c>
      <c r="Y258" s="5">
        <v>88.886319999999998</v>
      </c>
      <c r="Z258" s="3">
        <f t="shared" si="47"/>
        <v>94.327150000000003</v>
      </c>
      <c r="AA258" s="1">
        <f t="shared" si="55"/>
        <v>0.10262036666948152</v>
      </c>
      <c r="AD258" s="4">
        <v>250.02135999999999</v>
      </c>
      <c r="AE258" s="1">
        <v>127</v>
      </c>
      <c r="AF258" s="5">
        <v>96.524370000000005</v>
      </c>
      <c r="AG258" s="3">
        <f t="shared" si="48"/>
        <v>96.78586</v>
      </c>
      <c r="AH258" s="1">
        <f t="shared" si="54"/>
        <v>6.2136720498745905E-2</v>
      </c>
      <c r="AK258" s="11">
        <v>740.67047000000002</v>
      </c>
      <c r="AL258" s="1">
        <v>127</v>
      </c>
      <c r="AM258" s="12">
        <v>39.801729999999999</v>
      </c>
      <c r="AN258" s="3">
        <f t="shared" si="49"/>
        <v>42.387949999999996</v>
      </c>
      <c r="AO258" s="1">
        <f t="shared" si="53"/>
        <v>0.96193505068212415</v>
      </c>
      <c r="AQ258" s="11">
        <v>743.18111999999996</v>
      </c>
      <c r="AR258" s="1">
        <v>127</v>
      </c>
      <c r="AS258" s="13">
        <v>34.604860000000002</v>
      </c>
      <c r="AT258" s="3">
        <f t="shared" si="50"/>
        <v>37.563590000000005</v>
      </c>
      <c r="AU258" s="1">
        <f t="shared" si="52"/>
        <v>1.0420091380209899</v>
      </c>
      <c r="AW258" s="11">
        <v>486.27242999999999</v>
      </c>
      <c r="AX258" s="1">
        <v>127</v>
      </c>
      <c r="AY258" s="12">
        <v>39.799840000000003</v>
      </c>
      <c r="AZ258" s="3">
        <f t="shared" si="51"/>
        <v>41.465490000000003</v>
      </c>
    </row>
    <row r="259" spans="2:52" ht="16" x14ac:dyDescent="0.2">
      <c r="B259" s="4">
        <v>199.95614</v>
      </c>
      <c r="C259" s="1">
        <v>127.5</v>
      </c>
      <c r="D259" s="5">
        <v>99.083119999999994</v>
      </c>
      <c r="E259" s="3">
        <f t="shared" si="44"/>
        <v>100.20956</v>
      </c>
      <c r="F259" s="1">
        <f t="shared" si="58"/>
        <v>8.5326369115598429E-3</v>
      </c>
      <c r="I259" s="4">
        <v>225.00388000000001</v>
      </c>
      <c r="J259" s="1">
        <v>127.5</v>
      </c>
      <c r="K259" s="5">
        <v>92.758089999999996</v>
      </c>
      <c r="L259" s="3">
        <f t="shared" si="45"/>
        <v>96.345159999999993</v>
      </c>
      <c r="M259" s="1">
        <f t="shared" si="57"/>
        <v>6.9273830270367348E-2</v>
      </c>
      <c r="P259" s="4">
        <v>225.02074999999999</v>
      </c>
      <c r="Q259" s="1">
        <v>127.5</v>
      </c>
      <c r="R259" s="5">
        <v>99.124300000000005</v>
      </c>
      <c r="S259" s="3">
        <f t="shared" si="46"/>
        <v>99.048480000000012</v>
      </c>
      <c r="T259" s="1">
        <f t="shared" si="56"/>
        <v>1.8645158177600669E-2</v>
      </c>
      <c r="W259" s="4">
        <v>250.00597999999999</v>
      </c>
      <c r="X259" s="1">
        <v>127.5</v>
      </c>
      <c r="Y259" s="3">
        <v>88.847890000000007</v>
      </c>
      <c r="Z259" s="3">
        <f t="shared" si="47"/>
        <v>94.288720000000012</v>
      </c>
      <c r="AA259" s="1">
        <f t="shared" si="55"/>
        <v>0.1032584842562799</v>
      </c>
      <c r="AD259" s="4">
        <v>250.02058</v>
      </c>
      <c r="AE259" s="1">
        <v>127.5</v>
      </c>
      <c r="AF259" s="3">
        <v>96.488029999999995</v>
      </c>
      <c r="AG259" s="3">
        <f t="shared" si="48"/>
        <v>96.74951999999999</v>
      </c>
      <c r="AH259" s="1">
        <f t="shared" si="54"/>
        <v>6.274000574740872E-2</v>
      </c>
      <c r="AK259" s="11">
        <v>743.17481999999995</v>
      </c>
      <c r="AL259" s="1">
        <v>127.5</v>
      </c>
      <c r="AM259" s="13">
        <v>39.771769999999997</v>
      </c>
      <c r="AN259" s="3">
        <f t="shared" si="49"/>
        <v>42.357989999999994</v>
      </c>
      <c r="AO259" s="1">
        <f t="shared" si="53"/>
        <v>0.96243473103660149</v>
      </c>
      <c r="AQ259" s="11">
        <v>745.68200999999999</v>
      </c>
      <c r="AR259" s="1">
        <v>127.5</v>
      </c>
      <c r="AS259" s="12">
        <v>34.478720000000003</v>
      </c>
      <c r="AT259" s="3">
        <f t="shared" si="50"/>
        <v>37.437450000000005</v>
      </c>
      <c r="AU259" s="1">
        <f t="shared" si="52"/>
        <v>1.0441142346324059</v>
      </c>
      <c r="AW259" s="11">
        <v>487.78057999999999</v>
      </c>
      <c r="AX259" s="1">
        <v>127.5</v>
      </c>
      <c r="AY259" s="13">
        <v>39.954219999999999</v>
      </c>
      <c r="AZ259" s="3">
        <f t="shared" si="51"/>
        <v>41.619869999999999</v>
      </c>
    </row>
    <row r="260" spans="2:52" ht="16" x14ac:dyDescent="0.2">
      <c r="B260" s="4">
        <v>199.96520000000001</v>
      </c>
      <c r="C260" s="1">
        <v>128</v>
      </c>
      <c r="D260" s="3">
        <v>99.267290000000003</v>
      </c>
      <c r="E260" s="3">
        <f t="shared" si="44"/>
        <v>100.39373000000001</v>
      </c>
      <c r="F260" s="1">
        <f t="shared" si="58"/>
        <v>5.4811480382016041E-3</v>
      </c>
      <c r="I260" s="4">
        <v>225.00808000000001</v>
      </c>
      <c r="J260" s="1">
        <v>128</v>
      </c>
      <c r="K260" s="3">
        <v>92.758459999999999</v>
      </c>
      <c r="L260" s="3">
        <f t="shared" si="45"/>
        <v>96.345529999999997</v>
      </c>
      <c r="M260" s="1">
        <f t="shared" si="57"/>
        <v>6.9267687162924751E-2</v>
      </c>
      <c r="P260" s="4">
        <v>225.02395999999999</v>
      </c>
      <c r="Q260" s="1">
        <v>128</v>
      </c>
      <c r="R260" s="3">
        <v>99.026650000000004</v>
      </c>
      <c r="S260" s="3">
        <f t="shared" si="46"/>
        <v>98.950830000000011</v>
      </c>
      <c r="T260" s="1">
        <f t="shared" si="56"/>
        <v>2.027210480034123E-2</v>
      </c>
      <c r="W260" s="4">
        <v>250.01000999999999</v>
      </c>
      <c r="X260" s="1">
        <v>128</v>
      </c>
      <c r="Y260" s="5">
        <v>88.830539999999999</v>
      </c>
      <c r="Z260" s="3">
        <f t="shared" si="47"/>
        <v>94.271370000000005</v>
      </c>
      <c r="AA260" s="1">
        <f t="shared" si="55"/>
        <v>0.10354657533436887</v>
      </c>
      <c r="AD260" s="4">
        <v>250.01768000000001</v>
      </c>
      <c r="AE260" s="1">
        <v>128</v>
      </c>
      <c r="AF260" s="5">
        <v>96.464089999999999</v>
      </c>
      <c r="AG260" s="3">
        <f t="shared" si="48"/>
        <v>96.725579999999994</v>
      </c>
      <c r="AH260" s="1">
        <f t="shared" si="54"/>
        <v>6.3137436921128637E-2</v>
      </c>
      <c r="AK260" s="11">
        <v>745.68163000000004</v>
      </c>
      <c r="AL260" s="1">
        <v>128</v>
      </c>
      <c r="AM260" s="12">
        <v>39.694389999999999</v>
      </c>
      <c r="AN260" s="3">
        <f t="shared" si="49"/>
        <v>42.280609999999996</v>
      </c>
      <c r="AO260" s="1">
        <f t="shared" si="53"/>
        <v>0.96372529398150963</v>
      </c>
      <c r="AQ260" s="11">
        <v>748.18163000000004</v>
      </c>
      <c r="AR260" s="1">
        <v>128</v>
      </c>
      <c r="AS260" s="13">
        <v>34.466970000000003</v>
      </c>
      <c r="AT260" s="3">
        <f t="shared" si="50"/>
        <v>37.425700000000006</v>
      </c>
      <c r="AU260" s="1">
        <f t="shared" si="52"/>
        <v>1.044310325366385</v>
      </c>
      <c r="AW260" s="11">
        <v>489.27616</v>
      </c>
      <c r="AX260" s="1">
        <v>128</v>
      </c>
      <c r="AY260" s="12">
        <v>39.838520000000003</v>
      </c>
      <c r="AZ260" s="3">
        <f t="shared" si="51"/>
        <v>41.504170000000002</v>
      </c>
    </row>
    <row r="261" spans="2:52" ht="16" x14ac:dyDescent="0.2">
      <c r="B261" s="4">
        <v>199.95961</v>
      </c>
      <c r="C261" s="1">
        <v>128.5</v>
      </c>
      <c r="D261" s="5">
        <v>99.377489999999995</v>
      </c>
      <c r="E261" s="3">
        <f t="shared" ref="E261:E324" si="59">100-($D$4-D261)</f>
        <v>100.50393</v>
      </c>
      <c r="F261" s="1">
        <f t="shared" si="58"/>
        <v>3.6552585130670166E-3</v>
      </c>
      <c r="I261" s="4">
        <v>225.00606999999999</v>
      </c>
      <c r="J261" s="1">
        <v>128.5</v>
      </c>
      <c r="K261" s="5">
        <v>92.738579999999999</v>
      </c>
      <c r="L261" s="3">
        <f t="shared" ref="L261:L324" si="60">100-($K$4-K261)</f>
        <v>96.325649999999996</v>
      </c>
      <c r="M261" s="1">
        <f t="shared" si="57"/>
        <v>6.9597754665513184E-2</v>
      </c>
      <c r="P261" s="4">
        <v>225.02137999999999</v>
      </c>
      <c r="Q261" s="1">
        <v>128.5</v>
      </c>
      <c r="R261" s="5">
        <v>99.024959999999993</v>
      </c>
      <c r="S261" s="3">
        <f t="shared" ref="S261:S324" si="61">100-($R$4-R261)</f>
        <v>98.94914</v>
      </c>
      <c r="T261" s="1">
        <f t="shared" si="56"/>
        <v>2.0300261889869636E-2</v>
      </c>
      <c r="W261" s="4">
        <v>250.00503</v>
      </c>
      <c r="X261" s="1">
        <v>128.5</v>
      </c>
      <c r="Y261" s="3">
        <v>88.815380000000005</v>
      </c>
      <c r="Z261" s="3">
        <f t="shared" ref="Z261:Z324" si="62">100-($Y$4-Y261)</f>
        <v>94.25621000000001</v>
      </c>
      <c r="AA261" s="1">
        <f t="shared" si="55"/>
        <v>0.10379830217839339</v>
      </c>
      <c r="AD261" s="4">
        <v>250.01084</v>
      </c>
      <c r="AE261" s="1">
        <v>128.5</v>
      </c>
      <c r="AF261" s="3">
        <v>96.493129999999994</v>
      </c>
      <c r="AG261" s="3">
        <f t="shared" ref="AG261:AG324" si="63">100-($AF$4-AF261)</f>
        <v>96.754619999999989</v>
      </c>
      <c r="AH261" s="1">
        <f t="shared" si="54"/>
        <v>6.2655339958521031E-2</v>
      </c>
      <c r="AK261" s="11">
        <v>748.17587000000003</v>
      </c>
      <c r="AL261" s="1">
        <v>128.5</v>
      </c>
      <c r="AM261" s="13">
        <v>39.653489999999998</v>
      </c>
      <c r="AN261" s="3">
        <f t="shared" ref="AN261:AN281" si="64">100-($AM$4-AM261)</f>
        <v>42.239709999999995</v>
      </c>
      <c r="AO261" s="1">
        <f t="shared" si="53"/>
        <v>0.96440743438531862</v>
      </c>
      <c r="AQ261" s="11">
        <v>750.69059000000004</v>
      </c>
      <c r="AR261" s="1">
        <v>128.5</v>
      </c>
      <c r="AS261" s="12">
        <v>34.424050000000001</v>
      </c>
      <c r="AT261" s="3">
        <f t="shared" ref="AT261:AT280" si="65">100-($AS$4-AS261)</f>
        <v>37.382780000000004</v>
      </c>
      <c r="AU261" s="1">
        <f t="shared" si="52"/>
        <v>1.045026598924035</v>
      </c>
      <c r="AW261" s="11">
        <v>490.78658999999999</v>
      </c>
      <c r="AX261" s="1">
        <v>128.5</v>
      </c>
      <c r="AY261" s="13">
        <v>39.880710000000001</v>
      </c>
      <c r="AZ261" s="3">
        <f t="shared" ref="AZ261:AZ324" si="66">100-($AY$4-AY261)</f>
        <v>41.54636</v>
      </c>
    </row>
    <row r="262" spans="2:52" ht="16" x14ac:dyDescent="0.2">
      <c r="B262" s="4">
        <v>199.93705</v>
      </c>
      <c r="C262" s="1">
        <v>129</v>
      </c>
      <c r="D262" s="3">
        <v>99.040210000000002</v>
      </c>
      <c r="E262" s="3">
        <f t="shared" si="59"/>
        <v>100.16665</v>
      </c>
      <c r="F262" s="1">
        <f t="shared" si="58"/>
        <v>9.2436071431707002E-3</v>
      </c>
      <c r="I262" s="4">
        <v>225.00591</v>
      </c>
      <c r="J262" s="1">
        <v>129</v>
      </c>
      <c r="K262" s="3">
        <v>92.707629999999995</v>
      </c>
      <c r="L262" s="3">
        <f t="shared" si="60"/>
        <v>96.294699999999992</v>
      </c>
      <c r="M262" s="1">
        <f t="shared" si="57"/>
        <v>7.0111617301585286E-2</v>
      </c>
      <c r="P262" s="4">
        <v>225.01857000000001</v>
      </c>
      <c r="Q262" s="1">
        <v>129</v>
      </c>
      <c r="R262" s="3">
        <v>99.021720000000002</v>
      </c>
      <c r="S262" s="3">
        <f t="shared" si="61"/>
        <v>98.945900000000009</v>
      </c>
      <c r="T262" s="1">
        <f t="shared" si="56"/>
        <v>2.0354243528965026E-2</v>
      </c>
      <c r="W262" s="4">
        <v>250.00303</v>
      </c>
      <c r="X262" s="1">
        <v>129</v>
      </c>
      <c r="Y262" s="5">
        <v>88.786469999999994</v>
      </c>
      <c r="Z262" s="3">
        <f t="shared" si="62"/>
        <v>94.2273</v>
      </c>
      <c r="AA262" s="1">
        <f t="shared" si="55"/>
        <v>0.10427834327738773</v>
      </c>
      <c r="AD262" s="4">
        <v>250.00572</v>
      </c>
      <c r="AE262" s="1">
        <v>129</v>
      </c>
      <c r="AF262" s="5">
        <v>96.433359999999993</v>
      </c>
      <c r="AG262" s="3">
        <f t="shared" si="63"/>
        <v>96.694849999999988</v>
      </c>
      <c r="AH262" s="1">
        <f t="shared" si="54"/>
        <v>6.3647589802014889E-2</v>
      </c>
      <c r="AK262" s="11">
        <v>750.68633999999997</v>
      </c>
      <c r="AL262" s="1">
        <v>129</v>
      </c>
      <c r="AM262" s="12">
        <v>39.634300000000003</v>
      </c>
      <c r="AN262" s="3">
        <f t="shared" si="64"/>
        <v>42.22052</v>
      </c>
      <c r="AO262" s="1">
        <f t="shared" si="53"/>
        <v>0.96472748999287594</v>
      </c>
      <c r="AQ262" s="11">
        <v>753.19428000000005</v>
      </c>
      <c r="AR262" s="1">
        <v>129</v>
      </c>
      <c r="AS262" s="13">
        <v>34.311230000000002</v>
      </c>
      <c r="AT262" s="3">
        <f t="shared" si="65"/>
        <v>37.269960000000005</v>
      </c>
      <c r="AU262" s="1">
        <f t="shared" si="52"/>
        <v>1.0469094037416977</v>
      </c>
      <c r="AW262" s="11">
        <v>492.28764999999999</v>
      </c>
      <c r="AX262" s="1">
        <v>129</v>
      </c>
      <c r="AY262" s="12">
        <v>39.85595</v>
      </c>
      <c r="AZ262" s="3">
        <f t="shared" si="66"/>
        <v>41.521599999999999</v>
      </c>
    </row>
    <row r="263" spans="2:52" ht="16" x14ac:dyDescent="0.2">
      <c r="B263" s="4">
        <v>199.92335</v>
      </c>
      <c r="C263" s="1">
        <v>129.5</v>
      </c>
      <c r="D263" s="5">
        <v>99.177099999999996</v>
      </c>
      <c r="E263" s="3">
        <f t="shared" si="59"/>
        <v>100.30354</v>
      </c>
      <c r="F263" s="1">
        <f t="shared" si="58"/>
        <v>6.9754944653514514E-3</v>
      </c>
      <c r="I263" s="4">
        <v>225.00101000000001</v>
      </c>
      <c r="J263" s="1">
        <v>129.5</v>
      </c>
      <c r="K263" s="5">
        <v>92.697339999999997</v>
      </c>
      <c r="L263" s="3">
        <f t="shared" si="60"/>
        <v>96.284409999999994</v>
      </c>
      <c r="M263" s="1">
        <f t="shared" si="57"/>
        <v>7.0282462100460255E-2</v>
      </c>
      <c r="P263" s="4">
        <v>225.02072999999999</v>
      </c>
      <c r="Q263" s="1">
        <v>129.5</v>
      </c>
      <c r="R263" s="5">
        <v>98.955979999999997</v>
      </c>
      <c r="S263" s="3">
        <f t="shared" si="61"/>
        <v>98.880160000000004</v>
      </c>
      <c r="T263" s="1">
        <f t="shared" si="56"/>
        <v>2.1449537650613477E-2</v>
      </c>
      <c r="W263" s="4">
        <v>250.005</v>
      </c>
      <c r="X263" s="1">
        <v>129.5</v>
      </c>
      <c r="Y263" s="3">
        <v>88.763540000000006</v>
      </c>
      <c r="Z263" s="3">
        <f t="shared" si="62"/>
        <v>94.204370000000011</v>
      </c>
      <c r="AA263" s="1">
        <f t="shared" si="55"/>
        <v>0.1046590884313113</v>
      </c>
      <c r="AD263" s="4">
        <v>250.00665000000001</v>
      </c>
      <c r="AE263" s="1">
        <v>129.5</v>
      </c>
      <c r="AF263" s="3">
        <v>96.517560000000003</v>
      </c>
      <c r="AG263" s="3">
        <f t="shared" si="63"/>
        <v>96.779049999999998</v>
      </c>
      <c r="AH263" s="1">
        <f t="shared" si="54"/>
        <v>6.2249774228613643E-2</v>
      </c>
      <c r="AK263" s="11">
        <v>753.18466999999998</v>
      </c>
      <c r="AL263" s="1">
        <v>129.5</v>
      </c>
      <c r="AM263" s="13">
        <v>39.54121</v>
      </c>
      <c r="AN263" s="3">
        <f t="shared" si="64"/>
        <v>42.127429999999997</v>
      </c>
      <c r="AO263" s="1">
        <f t="shared" si="53"/>
        <v>0.96628006823714452</v>
      </c>
      <c r="AQ263" s="11">
        <v>755.69545000000005</v>
      </c>
      <c r="AR263" s="1">
        <v>129.5</v>
      </c>
      <c r="AS263" s="12">
        <v>34.296860000000002</v>
      </c>
      <c r="AT263" s="3">
        <f t="shared" si="65"/>
        <v>37.255590000000005</v>
      </c>
      <c r="AU263" s="1">
        <f t="shared" si="52"/>
        <v>1.0471492185372111</v>
      </c>
      <c r="AW263" s="11">
        <v>493.78187000000003</v>
      </c>
      <c r="AX263" s="1">
        <v>129.5</v>
      </c>
      <c r="AY263" s="13">
        <v>39.718710000000002</v>
      </c>
      <c r="AZ263" s="3">
        <f t="shared" si="66"/>
        <v>41.384360000000001</v>
      </c>
    </row>
    <row r="264" spans="2:52" ht="16" x14ac:dyDescent="0.2">
      <c r="B264" s="4">
        <v>199.92044000000001</v>
      </c>
      <c r="C264" s="1">
        <v>130</v>
      </c>
      <c r="D264" s="3">
        <v>99.373949999999994</v>
      </c>
      <c r="E264" s="3">
        <f t="shared" si="59"/>
        <v>100.50039</v>
      </c>
      <c r="F264" s="1">
        <f t="shared" si="58"/>
        <v>3.7139123145096551E-3</v>
      </c>
      <c r="I264" s="4">
        <v>225.00496000000001</v>
      </c>
      <c r="J264" s="1">
        <v>130</v>
      </c>
      <c r="K264" s="3">
        <v>92.688450000000003</v>
      </c>
      <c r="L264" s="3">
        <f t="shared" si="60"/>
        <v>96.27552</v>
      </c>
      <c r="M264" s="1">
        <f t="shared" si="57"/>
        <v>7.0430062709012017E-2</v>
      </c>
      <c r="P264" s="4">
        <v>225.02142000000001</v>
      </c>
      <c r="Q264" s="1">
        <v>130</v>
      </c>
      <c r="R264" s="3">
        <v>99.007949999999994</v>
      </c>
      <c r="S264" s="3">
        <f t="shared" si="61"/>
        <v>98.932130000000001</v>
      </c>
      <c r="T264" s="1">
        <f t="shared" si="56"/>
        <v>2.0583665495121199E-2</v>
      </c>
      <c r="W264" s="4">
        <v>250.00899999999999</v>
      </c>
      <c r="X264" s="1">
        <v>130</v>
      </c>
      <c r="Y264" s="5">
        <v>88.734809999999996</v>
      </c>
      <c r="Z264" s="3">
        <f t="shared" si="62"/>
        <v>94.175640000000001</v>
      </c>
      <c r="AA264" s="1">
        <f t="shared" si="55"/>
        <v>0.10513614068914967</v>
      </c>
      <c r="AD264" s="4">
        <v>250.01176000000001</v>
      </c>
      <c r="AE264" s="1">
        <v>130</v>
      </c>
      <c r="AF264" s="5">
        <v>96.450299999999999</v>
      </c>
      <c r="AG264" s="3">
        <f t="shared" si="63"/>
        <v>96.711789999999993</v>
      </c>
      <c r="AH264" s="1">
        <f t="shared" si="54"/>
        <v>6.3366366573826993E-2</v>
      </c>
      <c r="AK264" s="11">
        <v>755.67702999999995</v>
      </c>
      <c r="AL264" s="1">
        <v>130</v>
      </c>
      <c r="AM264" s="12">
        <v>39.515230000000003</v>
      </c>
      <c r="AN264" s="3">
        <f t="shared" si="64"/>
        <v>42.10145</v>
      </c>
      <c r="AO264" s="1">
        <f t="shared" si="53"/>
        <v>0.96671336915868389</v>
      </c>
      <c r="AQ264" s="11">
        <v>758.18766000000005</v>
      </c>
      <c r="AR264" s="1">
        <v>130</v>
      </c>
      <c r="AS264" s="13">
        <v>34.23847</v>
      </c>
      <c r="AT264" s="3">
        <f t="shared" si="65"/>
        <v>37.197200000000002</v>
      </c>
      <c r="AU264" s="1">
        <f t="shared" ref="AU264:AU280" si="67">($AT$7-AT264)/($AT$7*(1-$N$1))</f>
        <v>1.0481236643207894</v>
      </c>
      <c r="AW264" s="11">
        <v>495.28352999999998</v>
      </c>
      <c r="AX264" s="1">
        <v>130</v>
      </c>
      <c r="AY264" s="12">
        <v>39.807029999999997</v>
      </c>
      <c r="AZ264" s="3">
        <f t="shared" si="66"/>
        <v>41.472679999999997</v>
      </c>
    </row>
    <row r="265" spans="2:52" ht="16" x14ac:dyDescent="0.2">
      <c r="B265" s="4">
        <v>199.93161000000001</v>
      </c>
      <c r="C265" s="1">
        <v>130.5</v>
      </c>
      <c r="D265" s="5">
        <v>99.306380000000004</v>
      </c>
      <c r="E265" s="3">
        <f t="shared" si="59"/>
        <v>100.43282000000001</v>
      </c>
      <c r="F265" s="1">
        <f t="shared" si="58"/>
        <v>4.8334708917631359E-3</v>
      </c>
      <c r="I265" s="4">
        <v>225.00504000000001</v>
      </c>
      <c r="J265" s="1">
        <v>130.5</v>
      </c>
      <c r="K265" s="5">
        <v>92.683890000000005</v>
      </c>
      <c r="L265" s="3">
        <f t="shared" si="60"/>
        <v>96.270960000000002</v>
      </c>
      <c r="M265" s="1">
        <f t="shared" si="57"/>
        <v>7.050577235749303E-2</v>
      </c>
      <c r="P265" s="4">
        <v>225.02086</v>
      </c>
      <c r="Q265" s="1">
        <v>130.5</v>
      </c>
      <c r="R265" s="5">
        <v>98.965140000000005</v>
      </c>
      <c r="S265" s="3">
        <f t="shared" si="61"/>
        <v>98.889320000000012</v>
      </c>
      <c r="T265" s="1">
        <f t="shared" si="56"/>
        <v>2.1296922893170395E-2</v>
      </c>
      <c r="W265" s="4">
        <v>250.00901999999999</v>
      </c>
      <c r="X265" s="1">
        <v>130.5</v>
      </c>
      <c r="Y265" s="3">
        <v>88.717680000000001</v>
      </c>
      <c r="Z265" s="3">
        <f t="shared" si="62"/>
        <v>94.158510000000007</v>
      </c>
      <c r="AA265" s="1">
        <f t="shared" si="55"/>
        <v>0.10542057873915892</v>
      </c>
      <c r="AD265" s="4">
        <v>250.01491999999999</v>
      </c>
      <c r="AE265" s="1">
        <v>130.5</v>
      </c>
      <c r="AF265" s="3">
        <v>96.439350000000005</v>
      </c>
      <c r="AG265" s="3">
        <f t="shared" si="63"/>
        <v>96.700839999999999</v>
      </c>
      <c r="AH265" s="1">
        <f t="shared" si="54"/>
        <v>6.3548149002909338E-2</v>
      </c>
      <c r="AK265" s="11">
        <v>758.18304999999998</v>
      </c>
      <c r="AL265" s="1">
        <v>130.5</v>
      </c>
      <c r="AM265" s="13">
        <v>39.484969999999997</v>
      </c>
      <c r="AN265" s="3">
        <f t="shared" si="64"/>
        <v>42.071189999999994</v>
      </c>
      <c r="AO265" s="1">
        <f t="shared" ref="AO265:AO281" si="68">($AN$8-AN265)/($AN$8*(1-$N$1))</f>
        <v>0.96721805298800578</v>
      </c>
      <c r="AQ265" s="11">
        <v>760.69826999999998</v>
      </c>
      <c r="AR265" s="1">
        <v>130.5</v>
      </c>
      <c r="AS265" s="12">
        <v>34.239570000000001</v>
      </c>
      <c r="AT265" s="3">
        <f t="shared" si="65"/>
        <v>37.198300000000003</v>
      </c>
      <c r="AU265" s="1">
        <f t="shared" si="67"/>
        <v>1.0481053068903743</v>
      </c>
      <c r="AW265" s="11">
        <v>496.78444999999999</v>
      </c>
      <c r="AX265" s="1">
        <v>130.5</v>
      </c>
      <c r="AY265" s="13">
        <v>39.77617</v>
      </c>
      <c r="AZ265" s="3">
        <f t="shared" si="66"/>
        <v>41.44182</v>
      </c>
    </row>
    <row r="266" spans="2:52" ht="16" x14ac:dyDescent="0.2">
      <c r="B266" s="4">
        <v>199.95235</v>
      </c>
      <c r="C266" s="1">
        <v>131</v>
      </c>
      <c r="D266" s="3">
        <v>99.167150000000007</v>
      </c>
      <c r="E266" s="3">
        <f t="shared" si="59"/>
        <v>100.29359000000001</v>
      </c>
      <c r="F266" s="1">
        <f t="shared" si="58"/>
        <v>7.1403547264682473E-3</v>
      </c>
      <c r="I266" s="4">
        <v>225.00890999999999</v>
      </c>
      <c r="J266" s="1">
        <v>131</v>
      </c>
      <c r="K266" s="3">
        <v>92.696259999999995</v>
      </c>
      <c r="L266" s="3">
        <f t="shared" si="60"/>
        <v>96.283329999999992</v>
      </c>
      <c r="M266" s="1">
        <f t="shared" si="57"/>
        <v>7.0300393332995273E-2</v>
      </c>
      <c r="P266" s="4">
        <v>225.02345</v>
      </c>
      <c r="Q266" s="1">
        <v>131</v>
      </c>
      <c r="R266" s="3">
        <v>98.852980000000002</v>
      </c>
      <c r="S266" s="3">
        <f t="shared" si="61"/>
        <v>98.777160000000009</v>
      </c>
      <c r="T266" s="1">
        <f t="shared" si="56"/>
        <v>2.3165620621860443E-2</v>
      </c>
      <c r="W266" s="4">
        <v>250.01104000000001</v>
      </c>
      <c r="X266" s="1">
        <v>131</v>
      </c>
      <c r="Y266" s="5">
        <v>88.702190000000002</v>
      </c>
      <c r="Z266" s="3">
        <f t="shared" si="62"/>
        <v>94.143020000000007</v>
      </c>
      <c r="AA266" s="1">
        <f t="shared" si="55"/>
        <v>0.10567778512530279</v>
      </c>
      <c r="AD266" s="4">
        <v>250.01733999999999</v>
      </c>
      <c r="AE266" s="1">
        <v>131</v>
      </c>
      <c r="AF266" s="5">
        <v>96.446929999999995</v>
      </c>
      <c r="AG266" s="3">
        <f t="shared" si="63"/>
        <v>96.70841999999999</v>
      </c>
      <c r="AH266" s="1">
        <f t="shared" ref="AH266:AH329" si="69">($AG$9-AG266)/($AG$9*(1-$N$1))</f>
        <v>6.3422312399033245E-2</v>
      </c>
      <c r="AK266" s="11">
        <v>760.69090000000006</v>
      </c>
      <c r="AL266" s="1">
        <v>131</v>
      </c>
      <c r="AM266" s="12">
        <v>39.45176</v>
      </c>
      <c r="AN266" s="3">
        <f t="shared" si="64"/>
        <v>42.037979999999997</v>
      </c>
      <c r="AO266" s="1">
        <f t="shared" si="68"/>
        <v>0.96777193765329905</v>
      </c>
      <c r="AQ266" s="11">
        <v>763.20433000000003</v>
      </c>
      <c r="AR266" s="1">
        <v>131</v>
      </c>
      <c r="AS266" s="13">
        <v>34.103209999999997</v>
      </c>
      <c r="AT266" s="3">
        <f t="shared" si="65"/>
        <v>37.06194</v>
      </c>
      <c r="AU266" s="1">
        <f t="shared" si="67"/>
        <v>1.0503809607189196</v>
      </c>
      <c r="AW266" s="11">
        <v>498.28341999999998</v>
      </c>
      <c r="AX266" s="1">
        <v>131</v>
      </c>
      <c r="AY266" s="12">
        <v>39.693689999999997</v>
      </c>
      <c r="AZ266" s="3">
        <f t="shared" si="66"/>
        <v>41.359339999999996</v>
      </c>
    </row>
    <row r="267" spans="2:52" ht="16" x14ac:dyDescent="0.2">
      <c r="B267" s="4">
        <v>199.97484</v>
      </c>
      <c r="C267" s="1">
        <v>131.5</v>
      </c>
      <c r="D267" s="5">
        <v>99.095920000000007</v>
      </c>
      <c r="E267" s="3">
        <f t="shared" si="59"/>
        <v>100.22236000000001</v>
      </c>
      <c r="F267" s="1">
        <f t="shared" si="58"/>
        <v>8.320555369620208E-3</v>
      </c>
      <c r="I267" s="4">
        <v>225.00704999999999</v>
      </c>
      <c r="J267" s="1">
        <v>131.5</v>
      </c>
      <c r="K267" s="5">
        <v>92.671710000000004</v>
      </c>
      <c r="L267" s="3">
        <f t="shared" si="60"/>
        <v>96.258780000000002</v>
      </c>
      <c r="M267" s="1">
        <f t="shared" si="57"/>
        <v>7.0707996813304266E-2</v>
      </c>
      <c r="P267" s="4">
        <v>225.02137999999999</v>
      </c>
      <c r="Q267" s="1">
        <v>131.5</v>
      </c>
      <c r="R267" s="5">
        <v>98.984430000000003</v>
      </c>
      <c r="S267" s="3">
        <f t="shared" si="61"/>
        <v>98.90861000000001</v>
      </c>
      <c r="T267" s="1">
        <f t="shared" si="56"/>
        <v>2.0975532208555324E-2</v>
      </c>
      <c r="W267" s="4">
        <v>250.00597999999999</v>
      </c>
      <c r="X267" s="1">
        <v>131.5</v>
      </c>
      <c r="Y267" s="3">
        <v>88.669529999999995</v>
      </c>
      <c r="Z267" s="3">
        <f t="shared" si="62"/>
        <v>94.11036</v>
      </c>
      <c r="AA267" s="1">
        <f t="shared" si="55"/>
        <v>0.10622009374837967</v>
      </c>
      <c r="AD267" s="4">
        <v>250.01958999999999</v>
      </c>
      <c r="AE267" s="1">
        <v>131.5</v>
      </c>
      <c r="AF267" s="3">
        <v>96.373530000000002</v>
      </c>
      <c r="AG267" s="3">
        <f t="shared" si="63"/>
        <v>96.635019999999997</v>
      </c>
      <c r="AH267" s="1">
        <f t="shared" si="69"/>
        <v>6.4640835713613162E-2</v>
      </c>
      <c r="AK267" s="11">
        <v>763.19284000000005</v>
      </c>
      <c r="AL267" s="1">
        <v>131.5</v>
      </c>
      <c r="AM267" s="13">
        <v>39.352370000000001</v>
      </c>
      <c r="AN267" s="3">
        <f t="shared" si="64"/>
        <v>41.938589999999998</v>
      </c>
      <c r="AO267" s="1">
        <f t="shared" si="68"/>
        <v>0.96942958886930353</v>
      </c>
      <c r="AQ267" s="11">
        <v>765.70190000000002</v>
      </c>
      <c r="AR267" s="1">
        <v>131.5</v>
      </c>
      <c r="AS267" s="12">
        <v>34.08419</v>
      </c>
      <c r="AT267" s="3">
        <f t="shared" si="65"/>
        <v>37.042920000000002</v>
      </c>
      <c r="AU267" s="1">
        <f t="shared" si="67"/>
        <v>1.0506983773793694</v>
      </c>
      <c r="AW267" s="11">
        <v>499.78755000000001</v>
      </c>
      <c r="AX267" s="1">
        <v>131.5</v>
      </c>
      <c r="AY267" s="13">
        <v>39.719830000000002</v>
      </c>
      <c r="AZ267" s="3">
        <f t="shared" si="66"/>
        <v>41.385480000000001</v>
      </c>
    </row>
    <row r="268" spans="2:52" ht="16" x14ac:dyDescent="0.2">
      <c r="B268" s="4">
        <v>199.99664999999999</v>
      </c>
      <c r="C268" s="1">
        <v>132</v>
      </c>
      <c r="D268" s="3">
        <v>99.332719999999995</v>
      </c>
      <c r="E268" s="3">
        <f t="shared" si="59"/>
        <v>100.45916</v>
      </c>
      <c r="F268" s="1">
        <f t="shared" si="58"/>
        <v>4.3970468437410735E-3</v>
      </c>
      <c r="I268" s="4">
        <v>225.00910999999999</v>
      </c>
      <c r="J268" s="1">
        <v>132</v>
      </c>
      <c r="K268" s="3">
        <v>92.654570000000007</v>
      </c>
      <c r="L268" s="3">
        <f t="shared" si="60"/>
        <v>96.241640000000004</v>
      </c>
      <c r="M268" s="1">
        <f t="shared" si="57"/>
        <v>7.099257211483169E-2</v>
      </c>
      <c r="P268" s="4">
        <v>225.01773</v>
      </c>
      <c r="Q268" s="1">
        <v>132</v>
      </c>
      <c r="R268" s="3">
        <v>98.997410000000002</v>
      </c>
      <c r="S268" s="3">
        <f t="shared" si="61"/>
        <v>98.921590000000009</v>
      </c>
      <c r="T268" s="1">
        <f t="shared" si="56"/>
        <v>2.0759272432178771E-2</v>
      </c>
      <c r="W268" s="4">
        <v>250.00301999999999</v>
      </c>
      <c r="X268" s="1">
        <v>132</v>
      </c>
      <c r="Y268" s="5">
        <v>88.660070000000005</v>
      </c>
      <c r="Z268" s="3">
        <f t="shared" si="62"/>
        <v>94.10090000000001</v>
      </c>
      <c r="AA268" s="1">
        <f t="shared" ref="AA268:AA331" si="70">($Z$11-Z268)/($Z$11*(1-$N$1))</f>
        <v>0.10637717395579856</v>
      </c>
      <c r="AD268" s="4">
        <v>250.02108000000001</v>
      </c>
      <c r="AE268" s="1">
        <v>132</v>
      </c>
      <c r="AF268" s="5">
        <v>96.361930000000001</v>
      </c>
      <c r="AG268" s="3">
        <f t="shared" si="63"/>
        <v>96.623419999999996</v>
      </c>
      <c r="AH268" s="1">
        <f t="shared" si="69"/>
        <v>6.4833408880495047E-2</v>
      </c>
      <c r="AK268" s="11">
        <v>765.69439</v>
      </c>
      <c r="AL268" s="1">
        <v>132</v>
      </c>
      <c r="AM268" s="12">
        <v>39.340040000000002</v>
      </c>
      <c r="AN268" s="3">
        <f t="shared" si="64"/>
        <v>41.926259999999999</v>
      </c>
      <c r="AO268" s="1">
        <f t="shared" si="68"/>
        <v>0.9696352316854151</v>
      </c>
      <c r="AQ268" s="11">
        <v>768.20766000000003</v>
      </c>
      <c r="AR268" s="1">
        <v>132</v>
      </c>
      <c r="AS268" s="13">
        <v>34.079619999999998</v>
      </c>
      <c r="AT268" s="3">
        <f t="shared" si="65"/>
        <v>37.038350000000001</v>
      </c>
      <c r="AU268" s="1">
        <f t="shared" si="67"/>
        <v>1.0507746441584576</v>
      </c>
      <c r="AW268" s="11">
        <v>501.29413</v>
      </c>
      <c r="AX268" s="1">
        <v>132</v>
      </c>
      <c r="AY268" s="12">
        <v>39.725999999999999</v>
      </c>
      <c r="AZ268" s="3">
        <f t="shared" si="66"/>
        <v>41.391649999999998</v>
      </c>
    </row>
    <row r="269" spans="2:52" ht="16" x14ac:dyDescent="0.2">
      <c r="B269" s="4">
        <v>200.01958999999999</v>
      </c>
      <c r="C269" s="1">
        <v>132.5</v>
      </c>
      <c r="D269" s="5">
        <v>99.393000000000001</v>
      </c>
      <c r="E269" s="3">
        <f t="shared" si="59"/>
        <v>100.51944</v>
      </c>
      <c r="F269" s="1">
        <f t="shared" si="58"/>
        <v>3.3982753321700047E-3</v>
      </c>
      <c r="I269" s="4">
        <v>225.00283999999999</v>
      </c>
      <c r="J269" s="1">
        <v>132.5</v>
      </c>
      <c r="K269" s="5">
        <v>92.630340000000004</v>
      </c>
      <c r="L269" s="3">
        <f t="shared" si="60"/>
        <v>96.217410000000001</v>
      </c>
      <c r="M269" s="1">
        <f t="shared" si="57"/>
        <v>7.1394862637352743E-2</v>
      </c>
      <c r="P269" s="4">
        <v>225.02042</v>
      </c>
      <c r="Q269" s="1">
        <v>132.5</v>
      </c>
      <c r="R269" s="5">
        <v>98.958470000000005</v>
      </c>
      <c r="S269" s="3">
        <f t="shared" si="61"/>
        <v>98.882650000000012</v>
      </c>
      <c r="T269" s="1">
        <f t="shared" si="56"/>
        <v>2.1408051761308427E-2</v>
      </c>
      <c r="W269" s="4">
        <v>250.00098</v>
      </c>
      <c r="X269" s="1">
        <v>132.5</v>
      </c>
      <c r="Y269" s="3">
        <v>88.637</v>
      </c>
      <c r="Z269" s="3">
        <f t="shared" si="62"/>
        <v>94.077830000000006</v>
      </c>
      <c r="AA269" s="1">
        <f t="shared" si="70"/>
        <v>0.10676024376395481</v>
      </c>
      <c r="AD269" s="4">
        <v>250.02601999999999</v>
      </c>
      <c r="AE269" s="1">
        <v>132.5</v>
      </c>
      <c r="AF269" s="3">
        <v>96.319389999999999</v>
      </c>
      <c r="AG269" s="3">
        <f t="shared" si="63"/>
        <v>96.580879999999993</v>
      </c>
      <c r="AH269" s="1">
        <f t="shared" si="69"/>
        <v>6.5539621166629092E-2</v>
      </c>
      <c r="AK269" s="11">
        <v>768.18948</v>
      </c>
      <c r="AL269" s="1">
        <v>132.5</v>
      </c>
      <c r="AM269" s="13">
        <v>39.303789999999999</v>
      </c>
      <c r="AN269" s="3">
        <f t="shared" si="64"/>
        <v>41.890009999999997</v>
      </c>
      <c r="AO269" s="1">
        <f t="shared" si="68"/>
        <v>0.97023981822913341</v>
      </c>
      <c r="AQ269" s="11">
        <v>770.70288000000005</v>
      </c>
      <c r="AR269" s="1">
        <v>132.5</v>
      </c>
      <c r="AS269" s="12">
        <v>34.046759999999999</v>
      </c>
      <c r="AT269" s="3">
        <f t="shared" si="65"/>
        <v>37.005490000000002</v>
      </c>
      <c r="AU269" s="1">
        <f t="shared" si="67"/>
        <v>1.0513230306706751</v>
      </c>
      <c r="AW269" s="11">
        <v>502.79647999999997</v>
      </c>
      <c r="AX269" s="1">
        <v>132.5</v>
      </c>
      <c r="AY269" s="13">
        <v>39.79083</v>
      </c>
      <c r="AZ269" s="3">
        <f t="shared" si="66"/>
        <v>41.456479999999999</v>
      </c>
    </row>
    <row r="270" spans="2:52" ht="16" x14ac:dyDescent="0.2">
      <c r="B270" s="4">
        <v>200.0367</v>
      </c>
      <c r="C270" s="1">
        <v>133</v>
      </c>
      <c r="D270" s="3">
        <v>99.341229999999996</v>
      </c>
      <c r="E270" s="3">
        <f t="shared" si="59"/>
        <v>100.46767</v>
      </c>
      <c r="F270" s="1">
        <f t="shared" si="58"/>
        <v>4.2560457560922669E-3</v>
      </c>
      <c r="I270" s="4">
        <v>225.00601</v>
      </c>
      <c r="J270" s="1">
        <v>133</v>
      </c>
      <c r="K270" s="3">
        <v>92.637799999999999</v>
      </c>
      <c r="L270" s="3">
        <f t="shared" si="60"/>
        <v>96.224869999999996</v>
      </c>
      <c r="M270" s="1">
        <f t="shared" si="57"/>
        <v>7.1271004308916738E-2</v>
      </c>
      <c r="P270" s="4">
        <v>225.02025</v>
      </c>
      <c r="Q270" s="1">
        <v>133</v>
      </c>
      <c r="R270" s="3">
        <v>98.914150000000006</v>
      </c>
      <c r="S270" s="3">
        <f t="shared" si="61"/>
        <v>98.838330000000013</v>
      </c>
      <c r="T270" s="1">
        <f t="shared" ref="T270:T333" si="71">($S$13-S270)/($S$13*(1-$N$1))</f>
        <v>2.2146467268936272E-2</v>
      </c>
      <c r="W270" s="4">
        <v>250.00803999999999</v>
      </c>
      <c r="X270" s="1">
        <v>133</v>
      </c>
      <c r="Y270" s="5">
        <v>88.610249999999994</v>
      </c>
      <c r="Z270" s="3">
        <f t="shared" si="62"/>
        <v>94.051079999999999</v>
      </c>
      <c r="AA270" s="1">
        <f t="shared" si="70"/>
        <v>0.10720441876907751</v>
      </c>
      <c r="AD270" s="4">
        <v>250.02497</v>
      </c>
      <c r="AE270" s="1">
        <v>133</v>
      </c>
      <c r="AF270" s="5">
        <v>96.358789999999999</v>
      </c>
      <c r="AG270" s="3">
        <f t="shared" si="63"/>
        <v>96.620279999999994</v>
      </c>
      <c r="AH270" s="1">
        <f t="shared" si="69"/>
        <v>6.4885536444633796E-2</v>
      </c>
      <c r="AK270" s="11">
        <v>770.6943</v>
      </c>
      <c r="AL270" s="1">
        <v>133</v>
      </c>
      <c r="AM270" s="12">
        <v>39.31297</v>
      </c>
      <c r="AN270" s="3">
        <f t="shared" si="64"/>
        <v>41.899189999999997</v>
      </c>
      <c r="AO270" s="1">
        <f t="shared" si="68"/>
        <v>0.97008671189888973</v>
      </c>
      <c r="AQ270" s="11">
        <v>773.20851000000005</v>
      </c>
      <c r="AR270" s="1">
        <v>133</v>
      </c>
      <c r="AS270" s="13">
        <v>33.951770000000003</v>
      </c>
      <c r="AT270" s="3">
        <f t="shared" si="65"/>
        <v>36.910500000000006</v>
      </c>
      <c r="AU270" s="1">
        <f t="shared" si="67"/>
        <v>1.0529082782298822</v>
      </c>
      <c r="AW270" s="11">
        <v>504.29622999999998</v>
      </c>
      <c r="AX270" s="1">
        <v>133</v>
      </c>
      <c r="AY270" s="12">
        <v>39.674599999999998</v>
      </c>
      <c r="AZ270" s="3">
        <f t="shared" si="66"/>
        <v>41.340249999999997</v>
      </c>
    </row>
    <row r="271" spans="2:52" ht="16" x14ac:dyDescent="0.2">
      <c r="B271" s="4">
        <v>200.04517000000001</v>
      </c>
      <c r="C271" s="1">
        <v>133.5</v>
      </c>
      <c r="D271" s="5">
        <v>99.314850000000007</v>
      </c>
      <c r="E271" s="3">
        <f t="shared" si="59"/>
        <v>100.44129000000001</v>
      </c>
      <c r="F271" s="1">
        <f t="shared" si="58"/>
        <v>4.6931325589328636E-3</v>
      </c>
      <c r="I271" s="4">
        <v>225.00699</v>
      </c>
      <c r="J271" s="1">
        <v>133.5</v>
      </c>
      <c r="K271" s="5">
        <v>92.615790000000004</v>
      </c>
      <c r="L271" s="3">
        <f t="shared" si="60"/>
        <v>96.202860000000001</v>
      </c>
      <c r="M271" s="1">
        <f t="shared" si="57"/>
        <v>7.1636436186782407E-2</v>
      </c>
      <c r="P271" s="4">
        <v>225.01956000000001</v>
      </c>
      <c r="Q271" s="1">
        <v>133.5</v>
      </c>
      <c r="R271" s="5">
        <v>98.852980000000002</v>
      </c>
      <c r="S271" s="3">
        <f t="shared" si="61"/>
        <v>98.777160000000009</v>
      </c>
      <c r="T271" s="1">
        <f t="shared" si="71"/>
        <v>2.3165620621860443E-2</v>
      </c>
      <c r="W271" s="4">
        <v>250.00801999999999</v>
      </c>
      <c r="X271" s="1">
        <v>133.5</v>
      </c>
      <c r="Y271" s="3">
        <v>88.592920000000007</v>
      </c>
      <c r="Z271" s="3">
        <f t="shared" si="62"/>
        <v>94.033750000000012</v>
      </c>
      <c r="AA271" s="1">
        <f t="shared" si="70"/>
        <v>0.10749217775370437</v>
      </c>
      <c r="AD271" s="4">
        <v>250.02296000000001</v>
      </c>
      <c r="AE271" s="1">
        <v>133.5</v>
      </c>
      <c r="AF271" s="3">
        <v>96.375979999999998</v>
      </c>
      <c r="AG271" s="3">
        <f t="shared" si="63"/>
        <v>96.637469999999993</v>
      </c>
      <c r="AH271" s="1">
        <f t="shared" si="69"/>
        <v>6.460016293267698E-2</v>
      </c>
      <c r="AK271" s="11">
        <v>773.20042999999998</v>
      </c>
      <c r="AL271" s="1">
        <v>133.5</v>
      </c>
      <c r="AM271" s="13">
        <v>39.221800000000002</v>
      </c>
      <c r="AN271" s="3">
        <f t="shared" si="64"/>
        <v>41.808019999999999</v>
      </c>
      <c r="AO271" s="1">
        <f t="shared" si="68"/>
        <v>0.97160726790415308</v>
      </c>
      <c r="AQ271" s="11">
        <v>775.71141</v>
      </c>
      <c r="AR271" s="1">
        <v>133.5</v>
      </c>
      <c r="AS271" s="12">
        <v>33.95373</v>
      </c>
      <c r="AT271" s="3">
        <f t="shared" si="65"/>
        <v>36.912460000000003</v>
      </c>
      <c r="AU271" s="1">
        <f t="shared" si="67"/>
        <v>1.0528755686265974</v>
      </c>
      <c r="AW271" s="11">
        <v>505.79575</v>
      </c>
      <c r="AX271" s="1">
        <v>133.5</v>
      </c>
      <c r="AY271" s="13">
        <v>39.664050000000003</v>
      </c>
      <c r="AZ271" s="3">
        <f t="shared" si="66"/>
        <v>41.329700000000003</v>
      </c>
    </row>
    <row r="272" spans="2:52" ht="16" x14ac:dyDescent="0.2">
      <c r="B272" s="4">
        <v>200.0402</v>
      </c>
      <c r="C272" s="1">
        <v>134</v>
      </c>
      <c r="D272" s="3">
        <v>99.253380000000007</v>
      </c>
      <c r="E272" s="3">
        <f t="shared" si="59"/>
        <v>100.37982000000001</v>
      </c>
      <c r="F272" s="1">
        <f t="shared" si="58"/>
        <v>5.7116210263560147E-3</v>
      </c>
      <c r="I272" s="4">
        <v>225.0069</v>
      </c>
      <c r="J272" s="1">
        <v>134</v>
      </c>
      <c r="K272" s="3">
        <v>92.586150000000004</v>
      </c>
      <c r="L272" s="3">
        <f t="shared" si="60"/>
        <v>96.173220000000001</v>
      </c>
      <c r="M272" s="1">
        <f t="shared" ref="M272:M335" si="72">($L$15-L272)/($L$15*(1-$N$1))</f>
        <v>7.2128548901909229E-2</v>
      </c>
      <c r="P272" s="4">
        <v>225.01461</v>
      </c>
      <c r="Q272" s="1">
        <v>134</v>
      </c>
      <c r="R272" s="3">
        <v>99.007859999999994</v>
      </c>
      <c r="S272" s="3">
        <f t="shared" si="61"/>
        <v>98.932040000000001</v>
      </c>
      <c r="T272" s="1">
        <f t="shared" si="71"/>
        <v>2.0585164985096077E-2</v>
      </c>
      <c r="W272" s="4">
        <v>250.00997000000001</v>
      </c>
      <c r="X272" s="1">
        <v>134</v>
      </c>
      <c r="Y272" s="5">
        <v>88.565969999999993</v>
      </c>
      <c r="Z272" s="3">
        <f t="shared" si="62"/>
        <v>94.006799999999998</v>
      </c>
      <c r="AA272" s="1">
        <f t="shared" si="70"/>
        <v>0.10793967369344491</v>
      </c>
      <c r="AD272" s="4">
        <v>250.02226999999999</v>
      </c>
      <c r="AE272" s="1">
        <v>134</v>
      </c>
      <c r="AF272" s="5">
        <v>96.34308</v>
      </c>
      <c r="AG272" s="3">
        <f t="shared" si="63"/>
        <v>96.604569999999995</v>
      </c>
      <c r="AH272" s="1">
        <f t="shared" si="69"/>
        <v>6.514634027667808E-2</v>
      </c>
      <c r="AK272" s="11">
        <v>775.69736999999998</v>
      </c>
      <c r="AL272" s="1">
        <v>134</v>
      </c>
      <c r="AM272" s="12">
        <v>39.233600000000003</v>
      </c>
      <c r="AN272" s="3">
        <f t="shared" si="64"/>
        <v>41.81982</v>
      </c>
      <c r="AO272" s="1">
        <f t="shared" si="68"/>
        <v>0.97141046456026681</v>
      </c>
      <c r="AQ272" s="11">
        <v>778.21037000000001</v>
      </c>
      <c r="AR272" s="1">
        <v>134</v>
      </c>
      <c r="AS272" s="13">
        <v>33.949930000000002</v>
      </c>
      <c r="AT272" s="3">
        <f t="shared" si="65"/>
        <v>36.908660000000005</v>
      </c>
      <c r="AU272" s="1">
        <f t="shared" si="67"/>
        <v>1.0529389852043949</v>
      </c>
      <c r="AW272" s="11">
        <v>507.28829000000002</v>
      </c>
      <c r="AX272" s="1">
        <v>134</v>
      </c>
      <c r="AY272" s="12">
        <v>39.591740000000001</v>
      </c>
      <c r="AZ272" s="3">
        <f t="shared" si="66"/>
        <v>41.257390000000001</v>
      </c>
    </row>
    <row r="273" spans="2:52" ht="16" x14ac:dyDescent="0.2">
      <c r="B273" s="4">
        <v>200.02054999999999</v>
      </c>
      <c r="C273" s="1">
        <v>134.5</v>
      </c>
      <c r="D273" s="5">
        <v>99.20335</v>
      </c>
      <c r="E273" s="3">
        <f t="shared" si="59"/>
        <v>100.32979</v>
      </c>
      <c r="F273" s="1">
        <f t="shared" si="58"/>
        <v>6.5405616156709182E-3</v>
      </c>
      <c r="I273" s="4">
        <v>225.01005000000001</v>
      </c>
      <c r="J273" s="1">
        <v>134.5</v>
      </c>
      <c r="K273" s="5">
        <v>92.581100000000006</v>
      </c>
      <c r="L273" s="3">
        <f t="shared" si="60"/>
        <v>96.168170000000003</v>
      </c>
      <c r="M273" s="1">
        <f t="shared" si="72"/>
        <v>7.2212394017003328E-2</v>
      </c>
      <c r="P273" s="4">
        <v>225.01542000000001</v>
      </c>
      <c r="Q273" s="1">
        <v>134.5</v>
      </c>
      <c r="R273" s="5">
        <v>98.90222</v>
      </c>
      <c r="S273" s="3">
        <f t="shared" si="61"/>
        <v>98.826400000000007</v>
      </c>
      <c r="T273" s="1">
        <f t="shared" si="71"/>
        <v>2.2345232995606066E-2</v>
      </c>
      <c r="W273" s="4">
        <v>250.00702999999999</v>
      </c>
      <c r="X273" s="1">
        <v>134.5</v>
      </c>
      <c r="Y273" s="3">
        <v>88.554559999999995</v>
      </c>
      <c r="Z273" s="3">
        <f t="shared" si="62"/>
        <v>93.99539</v>
      </c>
      <c r="AA273" s="1">
        <f t="shared" si="70"/>
        <v>0.10812913301338689</v>
      </c>
      <c r="AD273" s="4">
        <v>250.01517000000001</v>
      </c>
      <c r="AE273" s="1">
        <v>134.5</v>
      </c>
      <c r="AF273" s="3">
        <v>96.2684</v>
      </c>
      <c r="AG273" s="3">
        <f t="shared" si="63"/>
        <v>96.529889999999995</v>
      </c>
      <c r="AH273" s="1">
        <f t="shared" si="69"/>
        <v>6.6386113044155454E-2</v>
      </c>
      <c r="AK273" s="11">
        <v>778.19862000000001</v>
      </c>
      <c r="AL273" s="1">
        <v>134.5</v>
      </c>
      <c r="AM273" s="13">
        <v>39.217680000000001</v>
      </c>
      <c r="AN273" s="3">
        <f t="shared" si="64"/>
        <v>41.803899999999999</v>
      </c>
      <c r="AO273" s="1">
        <f t="shared" si="68"/>
        <v>0.97167598229201835</v>
      </c>
      <c r="AQ273" s="11">
        <v>780.71369000000004</v>
      </c>
      <c r="AR273" s="1">
        <v>134.5</v>
      </c>
      <c r="AS273" s="12">
        <v>33.901499999999999</v>
      </c>
      <c r="AT273" s="3">
        <f t="shared" si="65"/>
        <v>36.860230000000001</v>
      </c>
      <c r="AU273" s="1">
        <f t="shared" si="67"/>
        <v>1.0537472127998513</v>
      </c>
      <c r="AW273" s="11">
        <v>508.79932000000002</v>
      </c>
      <c r="AX273" s="1">
        <v>134.5</v>
      </c>
      <c r="AY273" s="13">
        <v>39.5931</v>
      </c>
      <c r="AZ273" s="3">
        <f t="shared" si="66"/>
        <v>41.258749999999999</v>
      </c>
    </row>
    <row r="274" spans="2:52" ht="16" x14ac:dyDescent="0.2">
      <c r="B274" s="4">
        <v>200.00300999999999</v>
      </c>
      <c r="C274" s="1">
        <v>135</v>
      </c>
      <c r="D274" s="3">
        <v>99.24</v>
      </c>
      <c r="E274" s="3">
        <f t="shared" si="59"/>
        <v>100.36644</v>
      </c>
      <c r="F274" s="1">
        <f t="shared" si="58"/>
        <v>5.9333125131647698E-3</v>
      </c>
      <c r="I274" s="4">
        <v>225.00717</v>
      </c>
      <c r="J274" s="1">
        <v>135</v>
      </c>
      <c r="K274" s="3">
        <v>92.575729999999993</v>
      </c>
      <c r="L274" s="3">
        <f t="shared" si="60"/>
        <v>96.16279999999999</v>
      </c>
      <c r="M274" s="1">
        <f t="shared" si="72"/>
        <v>7.230155208988584E-2</v>
      </c>
      <c r="P274" s="4">
        <v>225.01695000000001</v>
      </c>
      <c r="Q274" s="1">
        <v>135</v>
      </c>
      <c r="R274" s="3">
        <v>98.907300000000006</v>
      </c>
      <c r="S274" s="3">
        <f t="shared" si="61"/>
        <v>98.831480000000013</v>
      </c>
      <c r="T274" s="1">
        <f t="shared" si="71"/>
        <v>2.2260595117024062E-2</v>
      </c>
      <c r="W274" s="4">
        <v>250.00702000000001</v>
      </c>
      <c r="X274" s="1">
        <v>135</v>
      </c>
      <c r="Y274" s="5">
        <v>88.541160000000005</v>
      </c>
      <c r="Z274" s="3">
        <f t="shared" si="62"/>
        <v>93.98199000000001</v>
      </c>
      <c r="AA274" s="1">
        <f t="shared" si="70"/>
        <v>0.10835163563277524</v>
      </c>
      <c r="AD274" s="4">
        <v>250.00827000000001</v>
      </c>
      <c r="AE274" s="1">
        <v>135</v>
      </c>
      <c r="AF274" s="5">
        <v>96.335139999999996</v>
      </c>
      <c r="AG274" s="3">
        <f t="shared" si="63"/>
        <v>96.59662999999999</v>
      </c>
      <c r="AH274" s="1">
        <f t="shared" si="69"/>
        <v>6.5278153289181781E-2</v>
      </c>
      <c r="AK274" s="11">
        <v>780.70199000000002</v>
      </c>
      <c r="AL274" s="1">
        <v>135</v>
      </c>
      <c r="AM274" s="12">
        <v>39.176580000000001</v>
      </c>
      <c r="AN274" s="3">
        <f t="shared" si="64"/>
        <v>41.762799999999999</v>
      </c>
      <c r="AO274" s="1">
        <f t="shared" si="68"/>
        <v>0.97236145834572385</v>
      </c>
      <c r="AQ274" s="11">
        <v>783.21885999999995</v>
      </c>
      <c r="AR274" s="1">
        <v>135</v>
      </c>
      <c r="AS274" s="13">
        <v>33.911090000000002</v>
      </c>
      <c r="AT274" s="3">
        <f t="shared" si="65"/>
        <v>36.869820000000004</v>
      </c>
      <c r="AU274" s="1">
        <f t="shared" si="67"/>
        <v>1.0535871693837779</v>
      </c>
      <c r="AW274" s="11">
        <v>510.30457000000001</v>
      </c>
      <c r="AX274" s="1">
        <v>135</v>
      </c>
      <c r="AY274" s="12">
        <v>39.583849999999998</v>
      </c>
      <c r="AZ274" s="3">
        <f t="shared" si="66"/>
        <v>41.249499999999998</v>
      </c>
    </row>
    <row r="275" spans="2:52" ht="16" x14ac:dyDescent="0.2">
      <c r="B275" s="4">
        <v>199.98964000000001</v>
      </c>
      <c r="C275" s="1">
        <v>135.5</v>
      </c>
      <c r="D275" s="5">
        <v>99.407330000000002</v>
      </c>
      <c r="E275" s="3">
        <f t="shared" si="59"/>
        <v>100.53377</v>
      </c>
      <c r="F275" s="1">
        <f t="shared" si="58"/>
        <v>3.1608434184206172E-3</v>
      </c>
      <c r="I275" s="4">
        <v>225.00396000000001</v>
      </c>
      <c r="J275" s="1">
        <v>135.5</v>
      </c>
      <c r="K275" s="5">
        <v>92.560879999999997</v>
      </c>
      <c r="L275" s="3">
        <f t="shared" si="60"/>
        <v>96.147949999999994</v>
      </c>
      <c r="M275" s="1">
        <f t="shared" si="72"/>
        <v>7.2548106537241822E-2</v>
      </c>
      <c r="P275" s="4">
        <v>225.01704000000001</v>
      </c>
      <c r="Q275" s="1">
        <v>135.5</v>
      </c>
      <c r="R275" s="5">
        <v>98.948430000000002</v>
      </c>
      <c r="S275" s="3">
        <f t="shared" si="61"/>
        <v>98.872610000000009</v>
      </c>
      <c r="T275" s="1">
        <f t="shared" si="71"/>
        <v>2.1575328198505772E-2</v>
      </c>
      <c r="W275" s="4">
        <v>250.006</v>
      </c>
      <c r="X275" s="1">
        <v>135.5</v>
      </c>
      <c r="Y275" s="3">
        <v>88.517979999999994</v>
      </c>
      <c r="Z275" s="3">
        <f t="shared" si="62"/>
        <v>93.95881</v>
      </c>
      <c r="AA275" s="1">
        <f t="shared" si="70"/>
        <v>0.10873653195497135</v>
      </c>
      <c r="AD275" s="4">
        <v>250.00659999999999</v>
      </c>
      <c r="AE275" s="1">
        <v>135.5</v>
      </c>
      <c r="AF275" s="3">
        <v>96.358000000000004</v>
      </c>
      <c r="AG275" s="3">
        <f t="shared" si="63"/>
        <v>96.619489999999999</v>
      </c>
      <c r="AH275" s="1">
        <f t="shared" si="69"/>
        <v>6.4898651341343774E-2</v>
      </c>
      <c r="AK275" s="11">
        <v>783.20078000000001</v>
      </c>
      <c r="AL275" s="1">
        <v>135.5</v>
      </c>
      <c r="AM275" s="13">
        <v>39.231769999999997</v>
      </c>
      <c r="AN275" s="3">
        <f t="shared" si="64"/>
        <v>41.817989999999995</v>
      </c>
      <c r="AO275" s="1">
        <f t="shared" si="68"/>
        <v>0.9714409857568187</v>
      </c>
      <c r="AQ275" s="11">
        <v>785.71853999999996</v>
      </c>
      <c r="AR275" s="1">
        <v>135.5</v>
      </c>
      <c r="AS275" s="12">
        <v>33.888469999999998</v>
      </c>
      <c r="AT275" s="3">
        <f t="shared" si="65"/>
        <v>36.847200000000001</v>
      </c>
      <c r="AU275" s="1">
        <f t="shared" si="67"/>
        <v>1.0539646649074044</v>
      </c>
      <c r="AW275" s="11">
        <v>511.80768</v>
      </c>
      <c r="AX275" s="1">
        <v>135.5</v>
      </c>
      <c r="AY275" s="13">
        <v>39.64669</v>
      </c>
      <c r="AZ275" s="3">
        <f t="shared" si="66"/>
        <v>41.312339999999999</v>
      </c>
    </row>
    <row r="276" spans="2:52" ht="16" x14ac:dyDescent="0.2">
      <c r="B276" s="4">
        <v>199.97343000000001</v>
      </c>
      <c r="C276" s="1">
        <v>136</v>
      </c>
      <c r="D276" s="3">
        <v>99.340860000000006</v>
      </c>
      <c r="E276" s="3">
        <f t="shared" si="59"/>
        <v>100.46730000000001</v>
      </c>
      <c r="F276" s="1">
        <f t="shared" si="58"/>
        <v>4.2621762381637798E-3</v>
      </c>
      <c r="I276" s="4">
        <v>225.00308999999999</v>
      </c>
      <c r="J276" s="1">
        <v>136</v>
      </c>
      <c r="K276" s="3">
        <v>92.52807</v>
      </c>
      <c r="L276" s="3">
        <f t="shared" si="60"/>
        <v>96.115139999999997</v>
      </c>
      <c r="M276" s="1">
        <f t="shared" si="72"/>
        <v>7.3092850740457405E-2</v>
      </c>
      <c r="P276" s="4">
        <v>225.01712000000001</v>
      </c>
      <c r="Q276" s="1">
        <v>136</v>
      </c>
      <c r="R276" s="3">
        <v>99.016810000000007</v>
      </c>
      <c r="S276" s="3">
        <f t="shared" si="61"/>
        <v>98.940990000000014</v>
      </c>
      <c r="T276" s="1">
        <f t="shared" si="71"/>
        <v>2.0436049037594297E-2</v>
      </c>
      <c r="W276" s="4">
        <v>250.00304</v>
      </c>
      <c r="X276" s="1">
        <v>136</v>
      </c>
      <c r="Y276" s="5">
        <v>88.4953</v>
      </c>
      <c r="Z276" s="3">
        <f t="shared" si="62"/>
        <v>93.936130000000006</v>
      </c>
      <c r="AA276" s="1">
        <f t="shared" si="70"/>
        <v>0.10911312594062285</v>
      </c>
      <c r="AD276" s="4">
        <v>250.00709000000001</v>
      </c>
      <c r="AE276" s="1">
        <v>136</v>
      </c>
      <c r="AF276" s="5">
        <v>96.370570000000001</v>
      </c>
      <c r="AG276" s="3">
        <f t="shared" si="63"/>
        <v>96.632059999999996</v>
      </c>
      <c r="AH276" s="1">
        <f t="shared" si="69"/>
        <v>6.4689975073438225E-2</v>
      </c>
      <c r="AK276" s="11">
        <v>785.70590000000004</v>
      </c>
      <c r="AL276" s="1">
        <v>136</v>
      </c>
      <c r="AM276" s="12">
        <v>39.223100000000002</v>
      </c>
      <c r="AN276" s="3">
        <f t="shared" si="64"/>
        <v>41.80932</v>
      </c>
      <c r="AO276" s="1">
        <f t="shared" si="68"/>
        <v>0.9715855861798266</v>
      </c>
      <c r="AQ276" s="11">
        <v>788.22159999999997</v>
      </c>
      <c r="AR276" s="1">
        <v>136</v>
      </c>
      <c r="AS276" s="13">
        <v>33.864530000000002</v>
      </c>
      <c r="AT276" s="3">
        <f t="shared" si="65"/>
        <v>36.823260000000005</v>
      </c>
      <c r="AU276" s="1">
        <f t="shared" si="67"/>
        <v>1.0543641893475288</v>
      </c>
      <c r="AW276" s="11">
        <v>513.30568000000005</v>
      </c>
      <c r="AX276" s="1">
        <v>136</v>
      </c>
      <c r="AY276" s="12">
        <v>39.586750000000002</v>
      </c>
      <c r="AZ276" s="3">
        <f t="shared" si="66"/>
        <v>41.252400000000002</v>
      </c>
    </row>
    <row r="277" spans="2:52" ht="16" x14ac:dyDescent="0.2">
      <c r="B277" s="4">
        <v>199.96659</v>
      </c>
      <c r="C277" s="1">
        <v>136.5</v>
      </c>
      <c r="D277" s="5">
        <v>99.220460000000003</v>
      </c>
      <c r="E277" s="3">
        <f t="shared" si="59"/>
        <v>100.34690000000001</v>
      </c>
      <c r="F277" s="1">
        <f t="shared" si="58"/>
        <v>6.25706824203154E-3</v>
      </c>
      <c r="I277" s="4">
        <v>225.00412</v>
      </c>
      <c r="J277" s="1">
        <v>136.5</v>
      </c>
      <c r="K277" s="5">
        <v>92.548109999999994</v>
      </c>
      <c r="L277" s="3">
        <f t="shared" si="60"/>
        <v>96.135179999999991</v>
      </c>
      <c r="M277" s="1">
        <f t="shared" si="72"/>
        <v>7.2760126758974988E-2</v>
      </c>
      <c r="P277" s="4">
        <v>225.01728</v>
      </c>
      <c r="Q277" s="1">
        <v>136.5</v>
      </c>
      <c r="R277" s="5">
        <v>98.907300000000006</v>
      </c>
      <c r="S277" s="3">
        <f t="shared" si="61"/>
        <v>98.831480000000013</v>
      </c>
      <c r="T277" s="1">
        <f t="shared" si="71"/>
        <v>2.2260595117024062E-2</v>
      </c>
      <c r="W277" s="4">
        <v>250.005</v>
      </c>
      <c r="X277" s="1">
        <v>136.5</v>
      </c>
      <c r="Y277" s="3">
        <v>88.479709999999997</v>
      </c>
      <c r="Z277" s="3">
        <f t="shared" si="62"/>
        <v>93.920540000000003</v>
      </c>
      <c r="AA277" s="1">
        <f t="shared" si="70"/>
        <v>0.10937199279407564</v>
      </c>
      <c r="AD277" s="4">
        <v>250.01206999999999</v>
      </c>
      <c r="AE277" s="1">
        <v>136.5</v>
      </c>
      <c r="AF277" s="3">
        <v>96.287189999999995</v>
      </c>
      <c r="AG277" s="3">
        <f t="shared" si="63"/>
        <v>96.54867999999999</v>
      </c>
      <c r="AH277" s="1">
        <f t="shared" si="69"/>
        <v>6.6074177716077057E-2</v>
      </c>
      <c r="AK277" s="11">
        <v>788.20843000000002</v>
      </c>
      <c r="AL277" s="1">
        <v>136.5</v>
      </c>
      <c r="AM277" s="13">
        <v>39.177289999999999</v>
      </c>
      <c r="AN277" s="3">
        <f t="shared" si="64"/>
        <v>41.763509999999997</v>
      </c>
      <c r="AO277" s="1">
        <f t="shared" si="68"/>
        <v>0.97234961678859178</v>
      </c>
      <c r="AQ277" s="11">
        <v>790.72504000000004</v>
      </c>
      <c r="AR277" s="1">
        <v>136.5</v>
      </c>
      <c r="AS277" s="12">
        <v>33.87191</v>
      </c>
      <c r="AT277" s="3">
        <f t="shared" si="65"/>
        <v>36.830640000000002</v>
      </c>
      <c r="AU277" s="1">
        <f t="shared" si="67"/>
        <v>1.0542410276780168</v>
      </c>
      <c r="AW277" s="11">
        <v>514.79656999999997</v>
      </c>
      <c r="AX277" s="1">
        <v>136.5</v>
      </c>
      <c r="AY277" s="13">
        <v>39.558500000000002</v>
      </c>
      <c r="AZ277" s="3">
        <f t="shared" si="66"/>
        <v>41.224150000000002</v>
      </c>
    </row>
    <row r="278" spans="2:52" ht="16" x14ac:dyDescent="0.2">
      <c r="B278" s="4">
        <v>199.96693999999999</v>
      </c>
      <c r="C278" s="1">
        <v>137</v>
      </c>
      <c r="D278" s="3">
        <v>99.306449999999998</v>
      </c>
      <c r="E278" s="3">
        <f t="shared" si="59"/>
        <v>100.43289</v>
      </c>
      <c r="F278" s="1">
        <f t="shared" si="58"/>
        <v>4.8323110708307568E-3</v>
      </c>
      <c r="I278" s="4">
        <v>225.00299000000001</v>
      </c>
      <c r="J278" s="1">
        <v>137</v>
      </c>
      <c r="K278" s="3">
        <v>92.533500000000004</v>
      </c>
      <c r="L278" s="3">
        <f t="shared" si="60"/>
        <v>96.120570000000001</v>
      </c>
      <c r="M278" s="1">
        <f t="shared" si="72"/>
        <v>7.3002696487989766E-2</v>
      </c>
      <c r="P278" s="4">
        <v>225.01875999999999</v>
      </c>
      <c r="Q278" s="1">
        <v>137</v>
      </c>
      <c r="R278" s="3">
        <v>98.879980000000003</v>
      </c>
      <c r="S278" s="3">
        <f t="shared" si="61"/>
        <v>98.80416000000001</v>
      </c>
      <c r="T278" s="1">
        <f t="shared" si="71"/>
        <v>2.2715773629397605E-2</v>
      </c>
      <c r="W278" s="4">
        <v>250.00502</v>
      </c>
      <c r="X278" s="1">
        <v>137</v>
      </c>
      <c r="Y278" s="5">
        <v>88.422060000000002</v>
      </c>
      <c r="Z278" s="3">
        <f t="shared" si="62"/>
        <v>93.862890000000007</v>
      </c>
      <c r="AA278" s="1">
        <f t="shared" si="70"/>
        <v>0.11032925219763881</v>
      </c>
      <c r="AD278" s="4">
        <v>250.01514</v>
      </c>
      <c r="AE278" s="1">
        <v>137</v>
      </c>
      <c r="AF278" s="5">
        <v>96.281679999999994</v>
      </c>
      <c r="AG278" s="3">
        <f t="shared" si="63"/>
        <v>96.543169999999989</v>
      </c>
      <c r="AH278" s="1">
        <f t="shared" si="69"/>
        <v>6.6165649970345963E-2</v>
      </c>
      <c r="AK278" s="11">
        <v>790.71380999999997</v>
      </c>
      <c r="AL278" s="1">
        <v>137</v>
      </c>
      <c r="AM278" s="12">
        <v>39.191240000000001</v>
      </c>
      <c r="AN278" s="3">
        <f t="shared" si="64"/>
        <v>41.777459999999998</v>
      </c>
      <c r="AO278" s="1">
        <f t="shared" si="68"/>
        <v>0.97211695520831942</v>
      </c>
      <c r="AQ278" s="11">
        <v>793.22794999999996</v>
      </c>
      <c r="AR278" s="1">
        <v>137</v>
      </c>
      <c r="AS278" s="13">
        <v>33.856189999999998</v>
      </c>
      <c r="AT278" s="3">
        <f t="shared" si="65"/>
        <v>36.814920000000001</v>
      </c>
      <c r="AU278" s="1">
        <f t="shared" si="67"/>
        <v>1.0545033720472214</v>
      </c>
      <c r="AW278" s="11">
        <v>516.30055000000004</v>
      </c>
      <c r="AX278" s="1">
        <v>137</v>
      </c>
      <c r="AY278" s="12">
        <v>39.571669999999997</v>
      </c>
      <c r="AZ278" s="3">
        <f t="shared" si="66"/>
        <v>41.237319999999997</v>
      </c>
    </row>
    <row r="279" spans="2:52" ht="16" x14ac:dyDescent="0.2">
      <c r="B279" s="4">
        <v>199.97542999999999</v>
      </c>
      <c r="C279" s="1">
        <v>137.5</v>
      </c>
      <c r="D279" s="5">
        <v>99.092680000000001</v>
      </c>
      <c r="E279" s="3">
        <f t="shared" si="59"/>
        <v>100.21912</v>
      </c>
      <c r="F279" s="1">
        <f t="shared" si="58"/>
        <v>8.3742385099237118E-3</v>
      </c>
      <c r="I279" s="4">
        <v>225.00019</v>
      </c>
      <c r="J279" s="1">
        <v>137.5</v>
      </c>
      <c r="K279" s="5">
        <v>92.510760000000005</v>
      </c>
      <c r="L279" s="3">
        <f t="shared" si="60"/>
        <v>96.097830000000002</v>
      </c>
      <c r="M279" s="1">
        <f t="shared" si="72"/>
        <v>7.3380248550809712E-2</v>
      </c>
      <c r="P279" s="4">
        <v>225.01937000000001</v>
      </c>
      <c r="Q279" s="1">
        <v>137.5</v>
      </c>
      <c r="R279" s="5">
        <v>98.948480000000004</v>
      </c>
      <c r="S279" s="3">
        <f t="shared" si="61"/>
        <v>98.87266000000001</v>
      </c>
      <c r="T279" s="1">
        <f t="shared" si="71"/>
        <v>2.1574495148519703E-2</v>
      </c>
      <c r="W279" s="4">
        <v>250.00397000000001</v>
      </c>
      <c r="X279" s="1">
        <v>137.5</v>
      </c>
      <c r="Y279" s="3">
        <v>88.418390000000002</v>
      </c>
      <c r="Z279" s="3">
        <f t="shared" si="62"/>
        <v>93.859220000000008</v>
      </c>
      <c r="AA279" s="1">
        <f t="shared" si="70"/>
        <v>0.11039019134787431</v>
      </c>
      <c r="AD279" s="4">
        <v>250.01496</v>
      </c>
      <c r="AE279" s="1">
        <v>137.5</v>
      </c>
      <c r="AF279" s="3">
        <v>96.286879999999996</v>
      </c>
      <c r="AG279" s="3">
        <f t="shared" si="63"/>
        <v>96.548369999999991</v>
      </c>
      <c r="AH279" s="1">
        <f t="shared" si="69"/>
        <v>6.6079324067950612E-2</v>
      </c>
      <c r="AK279" s="11">
        <v>793.21046999999999</v>
      </c>
      <c r="AL279" s="1">
        <v>137.5</v>
      </c>
      <c r="AM279" s="13">
        <v>39.16628</v>
      </c>
      <c r="AN279" s="3">
        <f t="shared" si="64"/>
        <v>41.752499999999998</v>
      </c>
      <c r="AO279" s="1">
        <f t="shared" si="68"/>
        <v>0.97253324431538724</v>
      </c>
      <c r="AQ279" s="11">
        <v>795.73153000000002</v>
      </c>
      <c r="AR279" s="1">
        <v>137.5</v>
      </c>
      <c r="AS279" s="12">
        <v>33.85707</v>
      </c>
      <c r="AT279" s="3">
        <f t="shared" si="65"/>
        <v>36.815800000000003</v>
      </c>
      <c r="AU279" s="1">
        <f t="shared" si="67"/>
        <v>1.0544886861028893</v>
      </c>
      <c r="AW279" s="11">
        <v>517.80529999999999</v>
      </c>
      <c r="AX279" s="1">
        <v>137.5</v>
      </c>
      <c r="AY279" s="13">
        <v>39.577849999999998</v>
      </c>
      <c r="AZ279" s="3">
        <f t="shared" si="66"/>
        <v>41.243499999999997</v>
      </c>
    </row>
    <row r="280" spans="2:52" ht="16" x14ac:dyDescent="0.2">
      <c r="B280" s="4">
        <v>199.98416</v>
      </c>
      <c r="C280" s="1">
        <v>138</v>
      </c>
      <c r="D280" s="3">
        <v>99.200770000000006</v>
      </c>
      <c r="E280" s="3">
        <f t="shared" si="59"/>
        <v>100.32721000000001</v>
      </c>
      <c r="F280" s="1">
        <f t="shared" si="58"/>
        <v>6.5833093014679954E-3</v>
      </c>
      <c r="I280" s="4">
        <v>225.00592</v>
      </c>
      <c r="J280" s="1">
        <v>138</v>
      </c>
      <c r="K280" s="3">
        <v>92.491829999999993</v>
      </c>
      <c r="L280" s="3">
        <f t="shared" si="60"/>
        <v>96.07889999999999</v>
      </c>
      <c r="M280" s="1">
        <f t="shared" si="72"/>
        <v>7.3694543209964797E-2</v>
      </c>
      <c r="P280" s="4">
        <v>225.01652999999999</v>
      </c>
      <c r="Q280" s="1">
        <v>138</v>
      </c>
      <c r="R280" s="3">
        <v>98.828800000000001</v>
      </c>
      <c r="S280" s="3">
        <f t="shared" si="61"/>
        <v>98.752980000000008</v>
      </c>
      <c r="T280" s="1">
        <f t="shared" si="71"/>
        <v>2.35684835951105E-2</v>
      </c>
      <c r="W280" s="4">
        <v>250.00501</v>
      </c>
      <c r="X280" s="1">
        <v>138</v>
      </c>
      <c r="Y280" s="5">
        <v>88.391509999999997</v>
      </c>
      <c r="Z280" s="3">
        <f t="shared" si="62"/>
        <v>93.832340000000002</v>
      </c>
      <c r="AA280" s="1">
        <f t="shared" si="70"/>
        <v>0.11083652496049852</v>
      </c>
      <c r="AD280" s="4">
        <v>250.01614000000001</v>
      </c>
      <c r="AE280" s="1">
        <v>138</v>
      </c>
      <c r="AF280" s="5">
        <v>96.235079999999996</v>
      </c>
      <c r="AG280" s="3">
        <f t="shared" si="63"/>
        <v>96.496569999999991</v>
      </c>
      <c r="AH280" s="1">
        <f t="shared" si="69"/>
        <v>6.6939262864888577E-2</v>
      </c>
      <c r="AK280" s="11">
        <v>795.71032000000002</v>
      </c>
      <c r="AL280" s="1">
        <v>138</v>
      </c>
      <c r="AM280" s="12">
        <v>39.138080000000002</v>
      </c>
      <c r="AN280" s="3">
        <f t="shared" si="64"/>
        <v>41.724299999999999</v>
      </c>
      <c r="AO280" s="1">
        <f t="shared" si="68"/>
        <v>0.97300357095077639</v>
      </c>
      <c r="AQ280" s="11">
        <v>798.23195999999996</v>
      </c>
      <c r="AR280" s="1">
        <v>138</v>
      </c>
      <c r="AS280" s="13">
        <v>33.833880000000001</v>
      </c>
      <c r="AT280" s="3">
        <f t="shared" si="65"/>
        <v>36.792610000000003</v>
      </c>
      <c r="AU280" s="1">
        <f t="shared" si="67"/>
        <v>1.0548756941131854</v>
      </c>
      <c r="AW280" s="11">
        <v>519.30948000000001</v>
      </c>
      <c r="AX280" s="1">
        <v>138</v>
      </c>
      <c r="AY280" s="12">
        <v>39.65663</v>
      </c>
      <c r="AZ280" s="3">
        <f t="shared" si="66"/>
        <v>41.322279999999999</v>
      </c>
    </row>
    <row r="281" spans="2:52" ht="16" x14ac:dyDescent="0.2">
      <c r="B281" s="4">
        <v>199.9889</v>
      </c>
      <c r="C281" s="1">
        <v>138.5</v>
      </c>
      <c r="D281" s="5">
        <v>99.399280000000005</v>
      </c>
      <c r="E281" s="3">
        <f t="shared" si="59"/>
        <v>100.52572000000001</v>
      </c>
      <c r="F281" s="1">
        <f t="shared" si="58"/>
        <v>3.2942228256559116E-3</v>
      </c>
      <c r="I281" s="4">
        <v>225.00719000000001</v>
      </c>
      <c r="J281" s="1">
        <v>138.5</v>
      </c>
      <c r="K281" s="5">
        <v>92.466300000000004</v>
      </c>
      <c r="L281" s="3">
        <f t="shared" si="60"/>
        <v>96.053370000000001</v>
      </c>
      <c r="M281" s="1">
        <f t="shared" si="72"/>
        <v>7.4118417623499966E-2</v>
      </c>
      <c r="P281" s="4">
        <v>225.01593</v>
      </c>
      <c r="Q281" s="1">
        <v>138.5</v>
      </c>
      <c r="R281" s="5">
        <v>98.88306</v>
      </c>
      <c r="S281" s="3">
        <f t="shared" si="61"/>
        <v>98.807240000000007</v>
      </c>
      <c r="T281" s="1">
        <f t="shared" si="71"/>
        <v>2.2664457750257449E-2</v>
      </c>
      <c r="W281" s="4">
        <v>250.00496000000001</v>
      </c>
      <c r="X281" s="1">
        <v>138.5</v>
      </c>
      <c r="Y281" s="3">
        <v>88.378069999999994</v>
      </c>
      <c r="Z281" s="3">
        <f t="shared" si="62"/>
        <v>93.818899999999999</v>
      </c>
      <c r="AA281" s="1">
        <f t="shared" si="70"/>
        <v>0.11105969176681062</v>
      </c>
      <c r="AD281" s="4">
        <v>250.01551000000001</v>
      </c>
      <c r="AE281" s="1">
        <v>138.5</v>
      </c>
      <c r="AF281" s="3">
        <v>96.158029999999997</v>
      </c>
      <c r="AG281" s="3">
        <f t="shared" si="63"/>
        <v>96.419519999999991</v>
      </c>
      <c r="AH281" s="1">
        <f t="shared" si="69"/>
        <v>6.8218380322496108E-2</v>
      </c>
      <c r="AK281" s="11">
        <v>798.21149000000003</v>
      </c>
      <c r="AL281" s="1">
        <v>138.5</v>
      </c>
      <c r="AM281" s="13">
        <v>39.15316</v>
      </c>
      <c r="AN281" s="3">
        <f t="shared" si="64"/>
        <v>41.739379999999997</v>
      </c>
      <c r="AO281" s="1">
        <f t="shared" si="68"/>
        <v>0.97275206294858962</v>
      </c>
      <c r="AW281" s="11">
        <v>520.80951000000005</v>
      </c>
      <c r="AX281" s="1">
        <v>138.5</v>
      </c>
      <c r="AY281" s="13">
        <v>39.493949999999998</v>
      </c>
      <c r="AZ281" s="3">
        <f t="shared" si="66"/>
        <v>41.159599999999998</v>
      </c>
    </row>
    <row r="282" spans="2:52" ht="16" x14ac:dyDescent="0.2">
      <c r="B282" s="4">
        <v>199.99257</v>
      </c>
      <c r="C282" s="1">
        <v>139</v>
      </c>
      <c r="D282" s="3">
        <v>99.271100000000004</v>
      </c>
      <c r="E282" s="3">
        <f t="shared" si="59"/>
        <v>100.39754000000001</v>
      </c>
      <c r="F282" s="1">
        <f t="shared" si="58"/>
        <v>5.418020641733674E-3</v>
      </c>
      <c r="I282" s="4">
        <v>225.00799000000001</v>
      </c>
      <c r="J282" s="1">
        <v>139</v>
      </c>
      <c r="K282" s="3">
        <v>92.467910000000003</v>
      </c>
      <c r="L282" s="3">
        <f t="shared" si="60"/>
        <v>96.05498</v>
      </c>
      <c r="M282" s="1">
        <f t="shared" si="72"/>
        <v>7.4091686804628368E-2</v>
      </c>
      <c r="P282" s="4">
        <v>225.01622</v>
      </c>
      <c r="Q282" s="1">
        <v>139</v>
      </c>
      <c r="R282" s="3">
        <v>98.874480000000005</v>
      </c>
      <c r="S282" s="3">
        <f t="shared" si="61"/>
        <v>98.798660000000012</v>
      </c>
      <c r="T282" s="1">
        <f t="shared" si="71"/>
        <v>2.2807409127862218E-2</v>
      </c>
      <c r="W282" s="4">
        <v>249.99997999999999</v>
      </c>
      <c r="X282" s="1">
        <v>139</v>
      </c>
      <c r="Y282" s="5">
        <v>88.347660000000005</v>
      </c>
      <c r="Z282" s="3">
        <f t="shared" si="62"/>
        <v>93.78849000000001</v>
      </c>
      <c r="AA282" s="1">
        <f t="shared" si="70"/>
        <v>0.11156463987543765</v>
      </c>
      <c r="AD282" s="4">
        <v>250.01534000000001</v>
      </c>
      <c r="AE282" s="1">
        <v>139</v>
      </c>
      <c r="AF282" s="5">
        <v>96.200019999999995</v>
      </c>
      <c r="AG282" s="3">
        <f t="shared" si="63"/>
        <v>96.46150999999999</v>
      </c>
      <c r="AH282" s="1">
        <f t="shared" si="69"/>
        <v>6.7521298660653942E-2</v>
      </c>
      <c r="AW282" s="11">
        <v>522.31461000000002</v>
      </c>
      <c r="AX282" s="1">
        <v>139</v>
      </c>
      <c r="AY282" s="12">
        <v>39.411380000000001</v>
      </c>
      <c r="AZ282" s="3">
        <f t="shared" si="66"/>
        <v>41.077030000000001</v>
      </c>
    </row>
    <row r="283" spans="2:52" ht="16" x14ac:dyDescent="0.2">
      <c r="B283" s="4">
        <v>199.99610000000001</v>
      </c>
      <c r="C283" s="1">
        <v>139.5</v>
      </c>
      <c r="D283" s="5">
        <v>99.252859999999998</v>
      </c>
      <c r="E283" s="3">
        <f t="shared" si="59"/>
        <v>100.3793</v>
      </c>
      <c r="F283" s="1">
        <f t="shared" si="58"/>
        <v>5.7202368389974488E-3</v>
      </c>
      <c r="I283" s="4">
        <v>225.00699</v>
      </c>
      <c r="J283" s="1">
        <v>139.5</v>
      </c>
      <c r="K283" s="5">
        <v>92.442670000000007</v>
      </c>
      <c r="L283" s="3">
        <f t="shared" si="60"/>
        <v>96.029740000000004</v>
      </c>
      <c r="M283" s="1">
        <f t="shared" si="72"/>
        <v>7.4510746350168161E-2</v>
      </c>
      <c r="P283" s="4">
        <v>225.01942</v>
      </c>
      <c r="Q283" s="1">
        <v>139.5</v>
      </c>
      <c r="R283" s="5">
        <v>98.876270000000005</v>
      </c>
      <c r="S283" s="3">
        <f t="shared" si="61"/>
        <v>98.800450000000012</v>
      </c>
      <c r="T283" s="1">
        <f t="shared" si="71"/>
        <v>2.2777585938361909E-2</v>
      </c>
      <c r="W283" s="4">
        <v>250.00192999999999</v>
      </c>
      <c r="X283" s="1">
        <v>139.5</v>
      </c>
      <c r="Y283" s="3">
        <v>88.334029999999998</v>
      </c>
      <c r="Z283" s="3">
        <f t="shared" si="62"/>
        <v>93.774860000000004</v>
      </c>
      <c r="AA283" s="1">
        <f t="shared" si="70"/>
        <v>0.11179096156963665</v>
      </c>
      <c r="AD283" s="4">
        <v>250.01774</v>
      </c>
      <c r="AE283" s="1">
        <v>139.5</v>
      </c>
      <c r="AF283" s="3">
        <v>96.272549999999995</v>
      </c>
      <c r="AG283" s="3">
        <f t="shared" si="63"/>
        <v>96.53403999999999</v>
      </c>
      <c r="AH283" s="1">
        <f t="shared" si="69"/>
        <v>6.6317218333590028E-2</v>
      </c>
      <c r="AW283" s="11">
        <v>523.81561999999997</v>
      </c>
      <c r="AX283" s="1">
        <v>139.5</v>
      </c>
      <c r="AY283" s="13">
        <v>39.481529999999999</v>
      </c>
      <c r="AZ283" s="3">
        <f t="shared" si="66"/>
        <v>41.147179999999999</v>
      </c>
    </row>
    <row r="284" spans="2:52" ht="16" x14ac:dyDescent="0.2">
      <c r="B284" s="4">
        <v>199.99596</v>
      </c>
      <c r="C284" s="1">
        <v>140</v>
      </c>
      <c r="D284" s="3">
        <v>99.434060000000002</v>
      </c>
      <c r="E284" s="3">
        <f t="shared" si="59"/>
        <v>100.5605</v>
      </c>
      <c r="F284" s="1">
        <f t="shared" si="58"/>
        <v>2.7179575109174208E-3</v>
      </c>
      <c r="I284" s="4">
        <v>225.00689</v>
      </c>
      <c r="J284" s="1">
        <v>140</v>
      </c>
      <c r="K284" s="3">
        <v>92.440259999999995</v>
      </c>
      <c r="L284" s="3">
        <f t="shared" si="60"/>
        <v>96.027329999999992</v>
      </c>
      <c r="M284" s="1">
        <f t="shared" si="72"/>
        <v>7.4550759563510316E-2</v>
      </c>
      <c r="P284" s="4">
        <v>225.01985999999999</v>
      </c>
      <c r="Q284" s="1">
        <v>140</v>
      </c>
      <c r="R284" s="3">
        <v>99.030950000000004</v>
      </c>
      <c r="S284" s="3">
        <f t="shared" si="61"/>
        <v>98.955130000000011</v>
      </c>
      <c r="T284" s="1">
        <f t="shared" si="71"/>
        <v>2.0200462501541585E-2</v>
      </c>
      <c r="W284" s="4">
        <v>250.00201000000001</v>
      </c>
      <c r="X284" s="1">
        <v>140</v>
      </c>
      <c r="Y284" s="5">
        <v>88.309209999999993</v>
      </c>
      <c r="Z284" s="3">
        <f t="shared" si="62"/>
        <v>93.750039999999998</v>
      </c>
      <c r="AA284" s="1">
        <f t="shared" si="70"/>
        <v>0.11220308955569815</v>
      </c>
      <c r="AD284" s="4">
        <v>250.01725999999999</v>
      </c>
      <c r="AE284" s="1">
        <v>140</v>
      </c>
      <c r="AF284" s="5">
        <v>96.148020000000002</v>
      </c>
      <c r="AG284" s="3">
        <f t="shared" si="63"/>
        <v>96.409509999999997</v>
      </c>
      <c r="AH284" s="1">
        <f t="shared" si="69"/>
        <v>6.8384557684606995E-2</v>
      </c>
      <c r="AW284" s="11">
        <v>525.30953999999997</v>
      </c>
      <c r="AX284" s="1">
        <v>140</v>
      </c>
      <c r="AY284" s="12">
        <v>39.41592</v>
      </c>
      <c r="AZ284" s="3">
        <f t="shared" si="66"/>
        <v>41.081569999999999</v>
      </c>
    </row>
    <row r="285" spans="2:52" ht="16" x14ac:dyDescent="0.2">
      <c r="B285" s="4">
        <v>199.99549999999999</v>
      </c>
      <c r="C285" s="1">
        <v>140.5</v>
      </c>
      <c r="D285" s="5">
        <v>99.10472</v>
      </c>
      <c r="E285" s="3">
        <f t="shared" si="59"/>
        <v>100.23116</v>
      </c>
      <c r="F285" s="1">
        <f t="shared" si="58"/>
        <v>8.1747493095369588E-3</v>
      </c>
      <c r="I285" s="4">
        <v>225.00413</v>
      </c>
      <c r="J285" s="1">
        <v>140.5</v>
      </c>
      <c r="K285" s="5">
        <v>92.435169999999999</v>
      </c>
      <c r="L285" s="3">
        <f t="shared" si="60"/>
        <v>96.022239999999996</v>
      </c>
      <c r="M285" s="1">
        <f t="shared" si="72"/>
        <v>7.4635268798327895E-2</v>
      </c>
      <c r="P285" s="4">
        <v>225.01877999999999</v>
      </c>
      <c r="Q285" s="1">
        <v>140.5</v>
      </c>
      <c r="R285" s="5">
        <v>98.823419999999999</v>
      </c>
      <c r="S285" s="3">
        <f t="shared" si="61"/>
        <v>98.747600000000006</v>
      </c>
      <c r="T285" s="1">
        <f t="shared" si="71"/>
        <v>2.3658119773608686E-2</v>
      </c>
      <c r="W285" s="4">
        <v>250.00299999999999</v>
      </c>
      <c r="X285" s="1">
        <v>140.5</v>
      </c>
      <c r="Y285" s="3">
        <v>88.282129999999995</v>
      </c>
      <c r="Z285" s="3">
        <f t="shared" si="62"/>
        <v>93.72296</v>
      </c>
      <c r="AA285" s="1">
        <f t="shared" si="70"/>
        <v>0.11265274410293996</v>
      </c>
      <c r="AD285" s="4">
        <v>250.01739000000001</v>
      </c>
      <c r="AE285" s="1">
        <v>140.5</v>
      </c>
      <c r="AF285" s="3">
        <v>96.243930000000006</v>
      </c>
      <c r="AG285" s="3">
        <f t="shared" si="63"/>
        <v>96.505420000000001</v>
      </c>
      <c r="AH285" s="1">
        <f t="shared" si="69"/>
        <v>6.6792342819465611E-2</v>
      </c>
      <c r="AW285" s="11">
        <v>526.81037000000003</v>
      </c>
      <c r="AX285" s="1">
        <v>140.5</v>
      </c>
      <c r="AY285" s="13">
        <v>39.374049999999997</v>
      </c>
      <c r="AZ285" s="3">
        <f t="shared" si="66"/>
        <v>41.039699999999996</v>
      </c>
    </row>
    <row r="286" spans="2:52" ht="16" x14ac:dyDescent="0.2">
      <c r="B286" s="4">
        <v>199.99529999999999</v>
      </c>
      <c r="C286" s="1">
        <v>141</v>
      </c>
      <c r="D286" s="3">
        <v>99.18759</v>
      </c>
      <c r="E286" s="3">
        <f t="shared" si="59"/>
        <v>100.31403</v>
      </c>
      <c r="F286" s="1">
        <f t="shared" si="58"/>
        <v>6.8016870141838371E-3</v>
      </c>
      <c r="I286" s="4">
        <v>225.00396000000001</v>
      </c>
      <c r="J286" s="1">
        <v>141</v>
      </c>
      <c r="K286" s="3">
        <v>92.405109999999993</v>
      </c>
      <c r="L286" s="3">
        <f t="shared" si="60"/>
        <v>95.992179999999991</v>
      </c>
      <c r="M286" s="1">
        <f t="shared" si="72"/>
        <v>7.5134354770551762E-2</v>
      </c>
      <c r="P286" s="4">
        <v>225.01542000000001</v>
      </c>
      <c r="Q286" s="1">
        <v>141</v>
      </c>
      <c r="R286" s="3">
        <v>98.875360000000001</v>
      </c>
      <c r="S286" s="3">
        <f t="shared" si="61"/>
        <v>98.799540000000007</v>
      </c>
      <c r="T286" s="1">
        <f t="shared" si="71"/>
        <v>2.2792747448107956E-2</v>
      </c>
      <c r="W286" s="4">
        <v>250.00399999999999</v>
      </c>
      <c r="X286" s="1">
        <v>141</v>
      </c>
      <c r="Y286" s="5">
        <v>88.269030000000001</v>
      </c>
      <c r="Z286" s="3">
        <f t="shared" si="62"/>
        <v>93.709860000000006</v>
      </c>
      <c r="AA286" s="1">
        <f t="shared" si="70"/>
        <v>0.11287026532040177</v>
      </c>
      <c r="AD286" s="4">
        <v>250.01634999999999</v>
      </c>
      <c r="AE286" s="1">
        <v>141</v>
      </c>
      <c r="AF286" s="5">
        <v>96.163449999999997</v>
      </c>
      <c r="AG286" s="3">
        <f t="shared" si="63"/>
        <v>96.424939999999992</v>
      </c>
      <c r="AH286" s="1">
        <f t="shared" si="69"/>
        <v>6.8128402170384045E-2</v>
      </c>
      <c r="AW286" s="11">
        <v>528.30717000000004</v>
      </c>
      <c r="AX286" s="1">
        <v>141</v>
      </c>
      <c r="AY286" s="12">
        <v>39.349400000000003</v>
      </c>
      <c r="AZ286" s="3">
        <f t="shared" si="66"/>
        <v>41.015050000000002</v>
      </c>
    </row>
    <row r="287" spans="2:52" ht="16" x14ac:dyDescent="0.2">
      <c r="B287" s="4">
        <v>199.99476000000001</v>
      </c>
      <c r="C287" s="1">
        <v>141.5</v>
      </c>
      <c r="D287" s="5">
        <v>99.25564</v>
      </c>
      <c r="E287" s="3">
        <f t="shared" si="59"/>
        <v>100.38208</v>
      </c>
      <c r="F287" s="1">
        <f t="shared" si="58"/>
        <v>5.6741753791074582E-3</v>
      </c>
      <c r="I287" s="4">
        <v>225.00494</v>
      </c>
      <c r="J287" s="1">
        <v>141.5</v>
      </c>
      <c r="K287" s="5">
        <v>92.412670000000006</v>
      </c>
      <c r="L287" s="3">
        <f t="shared" si="60"/>
        <v>95.999740000000003</v>
      </c>
      <c r="M287" s="1">
        <f t="shared" si="72"/>
        <v>7.5008836142806651E-2</v>
      </c>
      <c r="P287" s="4">
        <v>225.01598999999999</v>
      </c>
      <c r="Q287" s="1">
        <v>141.5</v>
      </c>
      <c r="R287" s="5">
        <v>99.000540000000001</v>
      </c>
      <c r="S287" s="3">
        <f t="shared" si="61"/>
        <v>98.924720000000008</v>
      </c>
      <c r="T287" s="1">
        <f t="shared" si="71"/>
        <v>2.0707123503052545E-2</v>
      </c>
      <c r="W287" s="4">
        <v>250.00301999999999</v>
      </c>
      <c r="X287" s="1">
        <v>141.5</v>
      </c>
      <c r="Y287" s="3">
        <v>88.251609999999999</v>
      </c>
      <c r="Z287" s="3">
        <f t="shared" si="62"/>
        <v>93.692440000000005</v>
      </c>
      <c r="AA287" s="1">
        <f t="shared" si="70"/>
        <v>0.11315951872560685</v>
      </c>
      <c r="AD287" s="4">
        <v>250.01523</v>
      </c>
      <c r="AE287" s="1">
        <v>141.5</v>
      </c>
      <c r="AF287" s="3">
        <v>96.169579999999996</v>
      </c>
      <c r="AG287" s="3">
        <f t="shared" si="63"/>
        <v>96.431069999999991</v>
      </c>
      <c r="AH287" s="1">
        <f t="shared" si="69"/>
        <v>6.8026637212368041E-2</v>
      </c>
      <c r="AW287" s="11">
        <v>529.81165999999996</v>
      </c>
      <c r="AX287" s="1">
        <v>141.5</v>
      </c>
      <c r="AY287" s="13">
        <v>39.403210000000001</v>
      </c>
      <c r="AZ287" s="3">
        <f t="shared" si="66"/>
        <v>41.068860000000001</v>
      </c>
    </row>
    <row r="288" spans="2:52" ht="16" x14ac:dyDescent="0.2">
      <c r="B288" s="4">
        <v>200.00121999999999</v>
      </c>
      <c r="C288" s="1">
        <v>142</v>
      </c>
      <c r="D288" s="3">
        <v>99.309880000000007</v>
      </c>
      <c r="E288" s="3">
        <f t="shared" si="59"/>
        <v>100.43632000000001</v>
      </c>
      <c r="F288" s="1">
        <f t="shared" si="58"/>
        <v>4.7754798451390326E-3</v>
      </c>
      <c r="I288" s="4">
        <v>225.00396000000001</v>
      </c>
      <c r="J288" s="1">
        <v>142</v>
      </c>
      <c r="K288" s="3">
        <v>92.401799999999994</v>
      </c>
      <c r="L288" s="3">
        <f t="shared" si="60"/>
        <v>95.988869999999991</v>
      </c>
      <c r="M288" s="1">
        <f t="shared" si="72"/>
        <v>7.5189310677672858E-2</v>
      </c>
      <c r="P288" s="4">
        <v>225.01659000000001</v>
      </c>
      <c r="Q288" s="1">
        <v>142</v>
      </c>
      <c r="R288" s="3">
        <v>98.878410000000002</v>
      </c>
      <c r="S288" s="3">
        <f t="shared" si="61"/>
        <v>98.802590000000009</v>
      </c>
      <c r="T288" s="1">
        <f t="shared" si="71"/>
        <v>2.2741931398959348E-2</v>
      </c>
      <c r="W288" s="4">
        <v>250.00597999999999</v>
      </c>
      <c r="X288" s="1">
        <v>142</v>
      </c>
      <c r="Y288" s="5">
        <v>88.230410000000006</v>
      </c>
      <c r="Z288" s="3">
        <f t="shared" si="62"/>
        <v>93.671240000000012</v>
      </c>
      <c r="AA288" s="1">
        <f t="shared" si="70"/>
        <v>0.11351153779508706</v>
      </c>
      <c r="AD288" s="4">
        <v>250.01696000000001</v>
      </c>
      <c r="AE288" s="1">
        <v>142</v>
      </c>
      <c r="AF288" s="5">
        <v>96.17165</v>
      </c>
      <c r="AG288" s="3">
        <f t="shared" si="63"/>
        <v>96.433139999999995</v>
      </c>
      <c r="AH288" s="1">
        <f t="shared" si="69"/>
        <v>6.7992272862760619E-2</v>
      </c>
      <c r="AW288" s="11">
        <v>531.31938000000002</v>
      </c>
      <c r="AX288" s="1">
        <v>142</v>
      </c>
      <c r="AY288" s="12">
        <v>39.410319999999999</v>
      </c>
      <c r="AZ288" s="3">
        <f t="shared" si="66"/>
        <v>41.075969999999998</v>
      </c>
    </row>
    <row r="289" spans="2:52" ht="16" x14ac:dyDescent="0.2">
      <c r="B289" s="4">
        <v>200.01334</v>
      </c>
      <c r="C289" s="1">
        <v>142.5</v>
      </c>
      <c r="D289" s="5">
        <v>99.340389999999999</v>
      </c>
      <c r="E289" s="3">
        <f t="shared" si="59"/>
        <v>100.46683</v>
      </c>
      <c r="F289" s="1">
        <f t="shared" si="58"/>
        <v>4.269963607281985E-3</v>
      </c>
      <c r="I289" s="4">
        <v>225.00603000000001</v>
      </c>
      <c r="J289" s="1">
        <v>142.5</v>
      </c>
      <c r="K289" s="5">
        <v>92.364090000000004</v>
      </c>
      <c r="L289" s="3">
        <f t="shared" si="60"/>
        <v>95.951160000000002</v>
      </c>
      <c r="M289" s="1">
        <f t="shared" si="72"/>
        <v>7.5815409547019263E-2</v>
      </c>
      <c r="P289" s="4">
        <v>225.01781</v>
      </c>
      <c r="Q289" s="1">
        <v>142.5</v>
      </c>
      <c r="R289" s="5">
        <v>98.71669</v>
      </c>
      <c r="S289" s="3">
        <f t="shared" si="61"/>
        <v>98.640870000000007</v>
      </c>
      <c r="T289" s="1">
        <f t="shared" si="71"/>
        <v>2.5436348273814476E-2</v>
      </c>
      <c r="W289" s="4">
        <v>250.00595000000001</v>
      </c>
      <c r="X289" s="1">
        <v>142.5</v>
      </c>
      <c r="Y289" s="3">
        <v>88.217060000000004</v>
      </c>
      <c r="Z289" s="3">
        <f t="shared" si="62"/>
        <v>93.657890000000009</v>
      </c>
      <c r="AA289" s="1">
        <f t="shared" si="70"/>
        <v>0.11373321018082118</v>
      </c>
      <c r="AD289" s="4">
        <v>250.01882000000001</v>
      </c>
      <c r="AE289" s="1">
        <v>142.5</v>
      </c>
      <c r="AF289" s="3">
        <v>96.151960000000003</v>
      </c>
      <c r="AG289" s="3">
        <f t="shared" si="63"/>
        <v>96.413449999999997</v>
      </c>
      <c r="AH289" s="1">
        <f t="shared" si="69"/>
        <v>6.8319149212407462E-2</v>
      </c>
      <c r="AW289" s="11">
        <v>532.81643999999994</v>
      </c>
      <c r="AX289" s="1">
        <v>142.5</v>
      </c>
      <c r="AY289" s="13">
        <v>39.356900000000003</v>
      </c>
      <c r="AZ289" s="3">
        <f t="shared" si="66"/>
        <v>41.022550000000003</v>
      </c>
    </row>
    <row r="290" spans="2:52" ht="16" x14ac:dyDescent="0.2">
      <c r="B290" s="4">
        <v>200.02424999999999</v>
      </c>
      <c r="C290" s="1">
        <v>143</v>
      </c>
      <c r="D290" s="3">
        <v>99.256519999999995</v>
      </c>
      <c r="E290" s="3">
        <f t="shared" si="59"/>
        <v>100.38296</v>
      </c>
      <c r="F290" s="1">
        <f t="shared" si="58"/>
        <v>5.659594773099204E-3</v>
      </c>
      <c r="I290" s="4">
        <v>225.01104000000001</v>
      </c>
      <c r="J290" s="1">
        <v>143</v>
      </c>
      <c r="K290" s="3">
        <v>92.382689999999997</v>
      </c>
      <c r="L290" s="3">
        <f t="shared" si="60"/>
        <v>95.969759999999994</v>
      </c>
      <c r="M290" s="1">
        <f t="shared" si="72"/>
        <v>7.5506593875583533E-2</v>
      </c>
      <c r="P290" s="4">
        <v>225.01584</v>
      </c>
      <c r="Q290" s="1">
        <v>143</v>
      </c>
      <c r="R290" s="3">
        <v>98.855230000000006</v>
      </c>
      <c r="S290" s="3">
        <f t="shared" si="61"/>
        <v>98.779410000000013</v>
      </c>
      <c r="T290" s="1">
        <f t="shared" si="71"/>
        <v>2.312813337248848E-2</v>
      </c>
      <c r="W290" s="4">
        <v>250.00400999999999</v>
      </c>
      <c r="X290" s="1">
        <v>143</v>
      </c>
      <c r="Y290" s="5">
        <v>88.186480000000003</v>
      </c>
      <c r="Z290" s="3">
        <f t="shared" si="62"/>
        <v>93.627310000000008</v>
      </c>
      <c r="AA290" s="1">
        <f t="shared" si="70"/>
        <v>0.11424098108387347</v>
      </c>
      <c r="AD290" s="4">
        <v>250.02008000000001</v>
      </c>
      <c r="AE290" s="1">
        <v>143</v>
      </c>
      <c r="AF290" s="5">
        <v>96.063860000000005</v>
      </c>
      <c r="AG290" s="3">
        <f t="shared" si="63"/>
        <v>96.32535</v>
      </c>
      <c r="AH290" s="1">
        <f t="shared" si="69"/>
        <v>6.9781709212604986E-2</v>
      </c>
      <c r="AW290" s="11">
        <v>534.31753000000003</v>
      </c>
      <c r="AX290" s="1">
        <v>143</v>
      </c>
      <c r="AY290" s="12">
        <v>39.315089999999998</v>
      </c>
      <c r="AZ290" s="3">
        <f t="shared" si="66"/>
        <v>40.980739999999997</v>
      </c>
    </row>
    <row r="291" spans="2:52" ht="16" x14ac:dyDescent="0.2">
      <c r="B291" s="4">
        <v>200.02305999999999</v>
      </c>
      <c r="C291" s="1">
        <v>143.5</v>
      </c>
      <c r="D291" s="5">
        <v>99.260599999999997</v>
      </c>
      <c r="E291" s="3">
        <f t="shared" si="59"/>
        <v>100.38704</v>
      </c>
      <c r="F291" s="1">
        <f t="shared" si="58"/>
        <v>5.5919937816059822E-3</v>
      </c>
      <c r="I291" s="4">
        <v>225.00389999999999</v>
      </c>
      <c r="J291" s="1">
        <v>143.5</v>
      </c>
      <c r="K291" s="5">
        <v>92.349059999999994</v>
      </c>
      <c r="L291" s="3">
        <f t="shared" si="60"/>
        <v>95.936129999999991</v>
      </c>
      <c r="M291" s="1">
        <f t="shared" si="72"/>
        <v>7.6064952533131308E-2</v>
      </c>
      <c r="P291" s="4">
        <v>225.01946000000001</v>
      </c>
      <c r="Q291" s="1">
        <v>143.5</v>
      </c>
      <c r="R291" s="5">
        <v>98.799620000000004</v>
      </c>
      <c r="S291" s="3">
        <f t="shared" si="61"/>
        <v>98.723800000000011</v>
      </c>
      <c r="T291" s="1">
        <f t="shared" si="71"/>
        <v>2.4054651566964708E-2</v>
      </c>
      <c r="W291" s="4">
        <v>250.00097</v>
      </c>
      <c r="X291" s="1">
        <v>143.5</v>
      </c>
      <c r="Y291" s="3">
        <v>88.155770000000004</v>
      </c>
      <c r="Z291" s="3">
        <f t="shared" si="62"/>
        <v>93.596600000000009</v>
      </c>
      <c r="AA291" s="1">
        <f t="shared" si="70"/>
        <v>0.11475091059442727</v>
      </c>
      <c r="AD291" s="4">
        <v>250.02023</v>
      </c>
      <c r="AE291" s="1">
        <v>143.5</v>
      </c>
      <c r="AF291" s="3">
        <v>96.157660000000007</v>
      </c>
      <c r="AG291" s="3">
        <f t="shared" si="63"/>
        <v>96.419150000000002</v>
      </c>
      <c r="AH291" s="1">
        <f t="shared" si="69"/>
        <v>6.822452274247405E-2</v>
      </c>
      <c r="AW291" s="11">
        <v>535.82438000000002</v>
      </c>
      <c r="AX291" s="1">
        <v>143.5</v>
      </c>
      <c r="AY291" s="13">
        <v>39.341880000000003</v>
      </c>
      <c r="AZ291" s="3">
        <f t="shared" si="66"/>
        <v>41.007530000000003</v>
      </c>
    </row>
    <row r="292" spans="2:52" ht="16" x14ac:dyDescent="0.2">
      <c r="B292" s="4">
        <v>200.01652000000001</v>
      </c>
      <c r="C292" s="1">
        <v>144</v>
      </c>
      <c r="D292" s="3">
        <v>99.247060000000005</v>
      </c>
      <c r="E292" s="3">
        <f t="shared" si="59"/>
        <v>100.37350000000001</v>
      </c>
      <c r="F292" s="1">
        <f t="shared" si="58"/>
        <v>5.8163362876886438E-3</v>
      </c>
      <c r="I292" s="4">
        <v>225.00393</v>
      </c>
      <c r="J292" s="1">
        <v>144</v>
      </c>
      <c r="K292" s="3">
        <v>92.350620000000006</v>
      </c>
      <c r="L292" s="3">
        <f t="shared" si="60"/>
        <v>95.937690000000003</v>
      </c>
      <c r="M292" s="1">
        <f t="shared" si="72"/>
        <v>7.6039051863913909E-2</v>
      </c>
      <c r="P292" s="4">
        <v>225.01938999999999</v>
      </c>
      <c r="Q292" s="1">
        <v>144</v>
      </c>
      <c r="R292" s="3">
        <v>98.861369999999994</v>
      </c>
      <c r="S292" s="3">
        <f t="shared" si="61"/>
        <v>98.785550000000001</v>
      </c>
      <c r="T292" s="1">
        <f t="shared" si="71"/>
        <v>2.3025834834202692E-2</v>
      </c>
      <c r="W292" s="4">
        <v>250.00402</v>
      </c>
      <c r="X292" s="1">
        <v>144</v>
      </c>
      <c r="Y292" s="5">
        <v>88.140219999999999</v>
      </c>
      <c r="Z292" s="3">
        <f t="shared" si="62"/>
        <v>93.581050000000005</v>
      </c>
      <c r="AA292" s="1">
        <f t="shared" si="70"/>
        <v>0.11500911326095654</v>
      </c>
      <c r="AD292" s="4">
        <v>250.01899</v>
      </c>
      <c r="AE292" s="1">
        <v>144</v>
      </c>
      <c r="AF292" s="5">
        <v>96.082300000000004</v>
      </c>
      <c r="AG292" s="3">
        <f t="shared" si="63"/>
        <v>96.343789999999998</v>
      </c>
      <c r="AH292" s="1">
        <f t="shared" si="69"/>
        <v>6.9475584281803171E-2</v>
      </c>
      <c r="AW292" s="11">
        <v>537.32258999999999</v>
      </c>
      <c r="AX292" s="1">
        <v>144</v>
      </c>
      <c r="AY292" s="12">
        <v>39.304839999999999</v>
      </c>
      <c r="AZ292" s="3">
        <f t="shared" si="66"/>
        <v>40.970489999999998</v>
      </c>
    </row>
    <row r="293" spans="2:52" ht="16" x14ac:dyDescent="0.2">
      <c r="B293" s="4">
        <v>200.00820999999999</v>
      </c>
      <c r="C293" s="1">
        <v>144.5</v>
      </c>
      <c r="D293" s="5">
        <v>99.377930000000006</v>
      </c>
      <c r="E293" s="3">
        <f t="shared" si="59"/>
        <v>100.50437000000001</v>
      </c>
      <c r="F293" s="1">
        <f t="shared" si="58"/>
        <v>3.647968210062654E-3</v>
      </c>
      <c r="I293" s="4">
        <v>225.00296</v>
      </c>
      <c r="J293" s="1">
        <v>144.5</v>
      </c>
      <c r="K293" s="5">
        <v>92.324920000000006</v>
      </c>
      <c r="L293" s="3">
        <f t="shared" si="60"/>
        <v>95.911990000000003</v>
      </c>
      <c r="M293" s="1">
        <f t="shared" si="72"/>
        <v>7.6465748786274212E-2</v>
      </c>
      <c r="P293" s="4">
        <v>225.01812000000001</v>
      </c>
      <c r="Q293" s="1">
        <v>144.5</v>
      </c>
      <c r="R293" s="5">
        <v>98.814710000000005</v>
      </c>
      <c r="S293" s="3">
        <f t="shared" si="61"/>
        <v>98.738890000000012</v>
      </c>
      <c r="T293" s="1">
        <f t="shared" si="71"/>
        <v>2.3803237081177139E-2</v>
      </c>
      <c r="W293" s="4">
        <v>250.00699</v>
      </c>
      <c r="X293" s="1">
        <v>144.5</v>
      </c>
      <c r="Y293" s="3">
        <v>88.111710000000002</v>
      </c>
      <c r="Z293" s="3">
        <f t="shared" si="62"/>
        <v>93.552540000000008</v>
      </c>
      <c r="AA293" s="1">
        <f t="shared" si="70"/>
        <v>0.11548251249071519</v>
      </c>
      <c r="AD293" s="4">
        <v>250.01983000000001</v>
      </c>
      <c r="AE293" s="1">
        <v>144.5</v>
      </c>
      <c r="AF293" s="3">
        <v>96.087220000000002</v>
      </c>
      <c r="AG293" s="3">
        <f t="shared" si="63"/>
        <v>96.348709999999997</v>
      </c>
      <c r="AH293" s="1">
        <f t="shared" si="69"/>
        <v>6.9393906697229155E-2</v>
      </c>
      <c r="AW293" s="11">
        <v>538.82659000000001</v>
      </c>
      <c r="AX293" s="1">
        <v>144.5</v>
      </c>
      <c r="AY293" s="13">
        <v>39.326700000000002</v>
      </c>
      <c r="AZ293" s="3">
        <f t="shared" si="66"/>
        <v>40.992350000000002</v>
      </c>
    </row>
    <row r="294" spans="2:52" ht="16" x14ac:dyDescent="0.2">
      <c r="B294" s="4">
        <v>200.00867</v>
      </c>
      <c r="C294" s="1">
        <v>145</v>
      </c>
      <c r="D294" s="3">
        <v>99.183920000000001</v>
      </c>
      <c r="E294" s="3">
        <f t="shared" si="59"/>
        <v>100.31036</v>
      </c>
      <c r="F294" s="1">
        <f t="shared" si="58"/>
        <v>6.8624947687867749E-3</v>
      </c>
      <c r="I294" s="4">
        <v>225.00409999999999</v>
      </c>
      <c r="J294" s="1">
        <v>145</v>
      </c>
      <c r="K294" s="3">
        <v>92.329580000000007</v>
      </c>
      <c r="L294" s="3">
        <f t="shared" si="60"/>
        <v>95.916650000000004</v>
      </c>
      <c r="M294" s="1">
        <f t="shared" si="72"/>
        <v>7.6388378838484344E-2</v>
      </c>
      <c r="P294" s="4">
        <v>225.01882000000001</v>
      </c>
      <c r="Q294" s="1">
        <v>145</v>
      </c>
      <c r="R294" s="3">
        <v>98.882490000000004</v>
      </c>
      <c r="S294" s="3">
        <f t="shared" si="61"/>
        <v>98.806670000000011</v>
      </c>
      <c r="T294" s="1">
        <f t="shared" si="71"/>
        <v>2.2673954520098266E-2</v>
      </c>
      <c r="W294" s="4">
        <v>250.00502</v>
      </c>
      <c r="X294" s="1">
        <v>145</v>
      </c>
      <c r="Y294" s="5">
        <v>88.088520000000003</v>
      </c>
      <c r="Z294" s="3">
        <f t="shared" si="62"/>
        <v>93.529350000000008</v>
      </c>
      <c r="AA294" s="1">
        <f t="shared" si="70"/>
        <v>0.11586757485964201</v>
      </c>
      <c r="AD294" s="4">
        <v>250.02063000000001</v>
      </c>
      <c r="AE294" s="1">
        <v>145</v>
      </c>
      <c r="AF294" s="5">
        <v>96.039770000000004</v>
      </c>
      <c r="AG294" s="3">
        <f t="shared" si="63"/>
        <v>96.301259999999999</v>
      </c>
      <c r="AH294" s="1">
        <f t="shared" si="69"/>
        <v>7.0181630556586383E-2</v>
      </c>
      <c r="AW294" s="11">
        <v>540.32237999999995</v>
      </c>
      <c r="AX294" s="1">
        <v>145</v>
      </c>
      <c r="AY294" s="12">
        <v>39.276420000000002</v>
      </c>
      <c r="AZ294" s="3">
        <f t="shared" si="66"/>
        <v>40.942070000000001</v>
      </c>
    </row>
    <row r="295" spans="2:52" ht="16" x14ac:dyDescent="0.2">
      <c r="B295" s="4">
        <v>200.01410000000001</v>
      </c>
      <c r="C295" s="1">
        <v>145.5</v>
      </c>
      <c r="D295" s="5">
        <v>99.269940000000005</v>
      </c>
      <c r="E295" s="3">
        <f t="shared" si="59"/>
        <v>100.39638000000001</v>
      </c>
      <c r="F295" s="1">
        <f t="shared" si="58"/>
        <v>5.4372405314719137E-3</v>
      </c>
      <c r="I295" s="4">
        <v>225.00496999999999</v>
      </c>
      <c r="J295" s="1">
        <v>145.5</v>
      </c>
      <c r="K295" s="5">
        <v>92.308980000000005</v>
      </c>
      <c r="L295" s="3">
        <f t="shared" si="60"/>
        <v>95.896050000000002</v>
      </c>
      <c r="M295" s="1">
        <f t="shared" si="72"/>
        <v>7.6730400496096127E-2</v>
      </c>
      <c r="P295" s="4">
        <v>225.0222</v>
      </c>
      <c r="Q295" s="1">
        <v>145.5</v>
      </c>
      <c r="R295" s="5">
        <v>98.857299999999995</v>
      </c>
      <c r="S295" s="3">
        <f t="shared" si="61"/>
        <v>98.781480000000002</v>
      </c>
      <c r="T295" s="1">
        <f t="shared" si="71"/>
        <v>2.309364510306651E-2</v>
      </c>
      <c r="W295" s="4">
        <v>250.00503</v>
      </c>
      <c r="X295" s="1">
        <v>145.5</v>
      </c>
      <c r="Y295" s="3">
        <v>88.065709999999996</v>
      </c>
      <c r="Z295" s="3">
        <f t="shared" si="62"/>
        <v>93.506540000000001</v>
      </c>
      <c r="AA295" s="1">
        <f t="shared" si="70"/>
        <v>0.11624632745279524</v>
      </c>
      <c r="AD295" s="4">
        <v>250.02366000000001</v>
      </c>
      <c r="AE295" s="1">
        <v>145.5</v>
      </c>
      <c r="AF295" s="3">
        <v>96.021680000000003</v>
      </c>
      <c r="AG295" s="3">
        <f t="shared" si="63"/>
        <v>96.283169999999998</v>
      </c>
      <c r="AH295" s="1">
        <f t="shared" si="69"/>
        <v>7.0481945090111645E-2</v>
      </c>
      <c r="AW295" s="11">
        <v>541.82362999999998</v>
      </c>
      <c r="AX295" s="1">
        <v>145.5</v>
      </c>
      <c r="AY295" s="13">
        <v>39.219439999999999</v>
      </c>
      <c r="AZ295" s="3">
        <f t="shared" si="66"/>
        <v>40.885089999999998</v>
      </c>
    </row>
    <row r="296" spans="2:52" ht="16" x14ac:dyDescent="0.2">
      <c r="B296" s="4">
        <v>200.02598</v>
      </c>
      <c r="C296" s="1">
        <v>146</v>
      </c>
      <c r="D296" s="3">
        <v>99.201710000000006</v>
      </c>
      <c r="E296" s="3">
        <f t="shared" si="59"/>
        <v>100.32815000000001</v>
      </c>
      <c r="F296" s="1">
        <f t="shared" si="58"/>
        <v>6.5677345632318201E-3</v>
      </c>
      <c r="I296" s="4">
        <v>225.00502</v>
      </c>
      <c r="J296" s="1">
        <v>146</v>
      </c>
      <c r="K296" s="3">
        <v>92.294560000000004</v>
      </c>
      <c r="L296" s="3">
        <f t="shared" si="60"/>
        <v>95.881630000000001</v>
      </c>
      <c r="M296" s="1">
        <f t="shared" si="72"/>
        <v>7.6969815656424384E-2</v>
      </c>
      <c r="P296" s="4">
        <v>225.02034</v>
      </c>
      <c r="Q296" s="1">
        <v>146</v>
      </c>
      <c r="R296" s="3">
        <v>98.800740000000005</v>
      </c>
      <c r="S296" s="3">
        <f t="shared" si="61"/>
        <v>98.724920000000012</v>
      </c>
      <c r="T296" s="1">
        <f t="shared" si="71"/>
        <v>2.4035991247277354E-2</v>
      </c>
      <c r="W296" s="4">
        <v>250.00197</v>
      </c>
      <c r="X296" s="1">
        <v>146</v>
      </c>
      <c r="Y296" s="5">
        <v>88.052310000000006</v>
      </c>
      <c r="Z296" s="3">
        <f t="shared" si="62"/>
        <v>93.493140000000011</v>
      </c>
      <c r="AA296" s="1">
        <f t="shared" si="70"/>
        <v>0.11646883007218359</v>
      </c>
      <c r="AD296" s="4">
        <v>250.02807999999999</v>
      </c>
      <c r="AE296" s="1">
        <v>146</v>
      </c>
      <c r="AF296" s="5">
        <v>96.076639999999998</v>
      </c>
      <c r="AG296" s="3">
        <f t="shared" si="63"/>
        <v>96.338129999999992</v>
      </c>
      <c r="AH296" s="1">
        <f t="shared" si="69"/>
        <v>6.9569546706333557E-2</v>
      </c>
      <c r="AW296" s="11">
        <v>543.32474999999999</v>
      </c>
      <c r="AX296" s="1">
        <v>146</v>
      </c>
      <c r="AY296" s="12">
        <v>39.165550000000003</v>
      </c>
      <c r="AZ296" s="3">
        <f t="shared" si="66"/>
        <v>40.831200000000003</v>
      </c>
    </row>
    <row r="297" spans="2:52" ht="16" x14ac:dyDescent="0.2">
      <c r="B297" s="4">
        <v>200.03423000000001</v>
      </c>
      <c r="C297" s="1">
        <v>146.5</v>
      </c>
      <c r="D297" s="5">
        <v>99.369770000000003</v>
      </c>
      <c r="E297" s="3">
        <f t="shared" si="59"/>
        <v>100.49621</v>
      </c>
      <c r="F297" s="1">
        <f t="shared" si="58"/>
        <v>3.7831701930490982E-3</v>
      </c>
      <c r="I297" s="4">
        <v>225.00700000000001</v>
      </c>
      <c r="J297" s="1">
        <v>146.5</v>
      </c>
      <c r="K297" s="5">
        <v>92.287430000000001</v>
      </c>
      <c r="L297" s="3">
        <f t="shared" si="60"/>
        <v>95.874499999999998</v>
      </c>
      <c r="M297" s="1">
        <f t="shared" si="72"/>
        <v>7.7088194997141521E-2</v>
      </c>
      <c r="P297" s="4">
        <v>225.01786999999999</v>
      </c>
      <c r="Q297" s="1">
        <v>146.5</v>
      </c>
      <c r="R297" s="5">
        <v>98.916510000000002</v>
      </c>
      <c r="S297" s="3">
        <f t="shared" si="61"/>
        <v>98.840690000000009</v>
      </c>
      <c r="T297" s="1">
        <f t="shared" si="71"/>
        <v>2.2107147309595145E-2</v>
      </c>
      <c r="W297" s="4">
        <v>249.99999</v>
      </c>
      <c r="X297" s="1">
        <v>146.5</v>
      </c>
      <c r="Y297" s="3">
        <v>88.040610000000001</v>
      </c>
      <c r="Z297" s="3">
        <f t="shared" si="62"/>
        <v>93.481440000000006</v>
      </c>
      <c r="AA297" s="1">
        <f t="shared" si="70"/>
        <v>0.1166631047473214</v>
      </c>
      <c r="AD297" s="4">
        <v>250.02688000000001</v>
      </c>
      <c r="AE297" s="1">
        <v>146.5</v>
      </c>
      <c r="AF297" s="3">
        <v>96.054969999999997</v>
      </c>
      <c r="AG297" s="3">
        <f t="shared" si="63"/>
        <v>96.316459999999992</v>
      </c>
      <c r="AH297" s="1">
        <f t="shared" si="69"/>
        <v>6.9929293303430964E-2</v>
      </c>
      <c r="AW297" s="11">
        <v>544.82160999999996</v>
      </c>
      <c r="AX297" s="1">
        <v>146.5</v>
      </c>
      <c r="AY297" s="13">
        <v>39.248730000000002</v>
      </c>
      <c r="AZ297" s="3">
        <f t="shared" si="66"/>
        <v>40.914380000000001</v>
      </c>
    </row>
    <row r="298" spans="2:52" ht="16" x14ac:dyDescent="0.2">
      <c r="B298" s="4">
        <v>200.03299000000001</v>
      </c>
      <c r="C298" s="1">
        <v>147</v>
      </c>
      <c r="D298" s="3">
        <v>99.171369999999996</v>
      </c>
      <c r="E298" s="3">
        <f t="shared" si="59"/>
        <v>100.29781</v>
      </c>
      <c r="F298" s="1">
        <f t="shared" si="58"/>
        <v>7.0704340931102682E-3</v>
      </c>
      <c r="I298" s="4">
        <v>225.00603000000001</v>
      </c>
      <c r="J298" s="1">
        <v>147</v>
      </c>
      <c r="K298" s="3">
        <v>92.263400000000004</v>
      </c>
      <c r="L298" s="3">
        <f t="shared" si="60"/>
        <v>95.850470000000001</v>
      </c>
      <c r="M298" s="1">
        <f t="shared" si="72"/>
        <v>7.7487164921044877E-2</v>
      </c>
      <c r="P298" s="4">
        <v>225.01392999999999</v>
      </c>
      <c r="Q298" s="1">
        <v>147</v>
      </c>
      <c r="R298" s="3">
        <v>98.763130000000004</v>
      </c>
      <c r="S298" s="3">
        <f t="shared" si="61"/>
        <v>98.687310000000011</v>
      </c>
      <c r="T298" s="1">
        <f t="shared" si="71"/>
        <v>2.4662611446778358E-2</v>
      </c>
      <c r="W298" s="4">
        <v>250.00801999999999</v>
      </c>
      <c r="X298" s="1">
        <v>147</v>
      </c>
      <c r="Y298" s="5">
        <v>88.021609999999995</v>
      </c>
      <c r="Z298" s="3">
        <f t="shared" si="62"/>
        <v>93.462440000000001</v>
      </c>
      <c r="AA298" s="1">
        <f t="shared" si="70"/>
        <v>0.11697859353600669</v>
      </c>
      <c r="AD298" s="4">
        <v>250.02736999999999</v>
      </c>
      <c r="AE298" s="1">
        <v>147</v>
      </c>
      <c r="AF298" s="5">
        <v>96.089330000000004</v>
      </c>
      <c r="AG298" s="3">
        <f t="shared" si="63"/>
        <v>96.350819999999999</v>
      </c>
      <c r="AH298" s="1">
        <f t="shared" si="69"/>
        <v>6.9358878302218721E-2</v>
      </c>
      <c r="AW298" s="11">
        <v>546.32538</v>
      </c>
      <c r="AX298" s="1">
        <v>147</v>
      </c>
      <c r="AY298" s="12">
        <v>39.209809999999997</v>
      </c>
      <c r="AZ298" s="3">
        <f t="shared" si="66"/>
        <v>40.875459999999997</v>
      </c>
    </row>
    <row r="299" spans="2:52" ht="16" x14ac:dyDescent="0.2">
      <c r="B299" s="4">
        <v>200.03353999999999</v>
      </c>
      <c r="C299" s="1">
        <v>147.5</v>
      </c>
      <c r="D299" s="5">
        <v>99.106409999999997</v>
      </c>
      <c r="E299" s="3">
        <f t="shared" si="59"/>
        <v>100.23285</v>
      </c>
      <c r="F299" s="1">
        <f t="shared" si="58"/>
        <v>8.1467479184528287E-3</v>
      </c>
      <c r="I299" s="4">
        <v>225.00095999999999</v>
      </c>
      <c r="J299" s="1">
        <v>147.5</v>
      </c>
      <c r="K299" s="5">
        <v>92.23563</v>
      </c>
      <c r="L299" s="3">
        <f t="shared" si="60"/>
        <v>95.822699999999998</v>
      </c>
      <c r="M299" s="1">
        <f t="shared" si="72"/>
        <v>7.7948230039097302E-2</v>
      </c>
      <c r="P299" s="4">
        <v>225.01668000000001</v>
      </c>
      <c r="Q299" s="1">
        <v>147.5</v>
      </c>
      <c r="R299" s="5">
        <v>98.860650000000007</v>
      </c>
      <c r="S299" s="3">
        <f t="shared" si="61"/>
        <v>98.784830000000014</v>
      </c>
      <c r="T299" s="1">
        <f t="shared" si="71"/>
        <v>2.3037830754001485E-2</v>
      </c>
      <c r="W299" s="4">
        <v>250.006</v>
      </c>
      <c r="X299" s="1">
        <v>147.5</v>
      </c>
      <c r="Y299" s="3">
        <v>87.979339999999993</v>
      </c>
      <c r="Z299" s="3">
        <f t="shared" si="62"/>
        <v>93.420169999999999</v>
      </c>
      <c r="AA299" s="1">
        <f t="shared" si="70"/>
        <v>0.11768047306746585</v>
      </c>
      <c r="AD299" s="4">
        <v>250.02921000000001</v>
      </c>
      <c r="AE299" s="1">
        <v>147.5</v>
      </c>
      <c r="AF299" s="3">
        <v>96.00949</v>
      </c>
      <c r="AG299" s="3">
        <f t="shared" si="63"/>
        <v>96.270979999999994</v>
      </c>
      <c r="AH299" s="1">
        <f t="shared" si="69"/>
        <v>7.0684312926688433E-2</v>
      </c>
      <c r="AW299" s="11">
        <v>547.83055999999999</v>
      </c>
      <c r="AX299" s="1">
        <v>147.5</v>
      </c>
      <c r="AY299" s="13">
        <v>39.106250000000003</v>
      </c>
      <c r="AZ299" s="3">
        <f t="shared" si="66"/>
        <v>40.771900000000002</v>
      </c>
    </row>
    <row r="300" spans="2:52" ht="16" x14ac:dyDescent="0.2">
      <c r="B300" s="4">
        <v>200.036</v>
      </c>
      <c r="C300" s="1">
        <v>148</v>
      </c>
      <c r="D300" s="3">
        <v>99.145629999999997</v>
      </c>
      <c r="E300" s="3">
        <f t="shared" si="59"/>
        <v>100.27207</v>
      </c>
      <c r="F300" s="1">
        <f t="shared" si="58"/>
        <v>7.4969168188540602E-3</v>
      </c>
      <c r="I300" s="4">
        <v>225.00384</v>
      </c>
      <c r="J300" s="1">
        <v>148</v>
      </c>
      <c r="K300" s="3">
        <v>92.239940000000004</v>
      </c>
      <c r="L300" s="3">
        <f t="shared" si="60"/>
        <v>95.827010000000001</v>
      </c>
      <c r="M300" s="1">
        <f t="shared" si="72"/>
        <v>7.7876671138888173E-2</v>
      </c>
      <c r="P300" s="4">
        <v>225.02154999999999</v>
      </c>
      <c r="Q300" s="1">
        <v>148</v>
      </c>
      <c r="R300" s="3">
        <v>98.725629999999995</v>
      </c>
      <c r="S300" s="3">
        <f t="shared" si="61"/>
        <v>98.649810000000002</v>
      </c>
      <c r="T300" s="1">
        <f t="shared" si="71"/>
        <v>2.5287398936310195E-2</v>
      </c>
      <c r="W300" s="4">
        <v>249.99901</v>
      </c>
      <c r="X300" s="1">
        <v>148</v>
      </c>
      <c r="Y300" s="5">
        <v>87.963970000000003</v>
      </c>
      <c r="Z300" s="3">
        <f t="shared" si="62"/>
        <v>93.404800000000009</v>
      </c>
      <c r="AA300" s="1">
        <f t="shared" si="70"/>
        <v>0.11793568689283891</v>
      </c>
      <c r="AD300" s="4">
        <v>250.03075000000001</v>
      </c>
      <c r="AE300" s="1">
        <v>148</v>
      </c>
      <c r="AF300" s="5">
        <v>95.985560000000007</v>
      </c>
      <c r="AG300" s="3">
        <f t="shared" si="63"/>
        <v>96.247050000000002</v>
      </c>
      <c r="AH300" s="1">
        <f t="shared" si="69"/>
        <v>7.1081578089057532E-2</v>
      </c>
      <c r="AW300" s="11">
        <v>549.33455000000004</v>
      </c>
      <c r="AX300" s="1">
        <v>148</v>
      </c>
      <c r="AY300" s="12">
        <v>39.123469999999998</v>
      </c>
      <c r="AZ300" s="3">
        <f t="shared" si="66"/>
        <v>40.789119999999997</v>
      </c>
    </row>
    <row r="301" spans="2:52" ht="16" x14ac:dyDescent="0.2">
      <c r="B301" s="4">
        <v>200.03407999999999</v>
      </c>
      <c r="C301" s="1">
        <v>148.5</v>
      </c>
      <c r="D301" s="5">
        <v>99.357010000000002</v>
      </c>
      <c r="E301" s="3">
        <f t="shared" si="59"/>
        <v>100.48345</v>
      </c>
      <c r="F301" s="1">
        <f t="shared" si="58"/>
        <v>3.9945889801699629E-3</v>
      </c>
      <c r="I301" s="4">
        <v>225.00303</v>
      </c>
      <c r="J301" s="1">
        <v>148.5</v>
      </c>
      <c r="K301" s="5">
        <v>92.26361</v>
      </c>
      <c r="L301" s="3">
        <f t="shared" si="60"/>
        <v>95.850679999999997</v>
      </c>
      <c r="M301" s="1">
        <f t="shared" si="72"/>
        <v>7.7483678292496486E-2</v>
      </c>
      <c r="P301" s="4">
        <v>225.02316999999999</v>
      </c>
      <c r="Q301" s="1">
        <v>148.5</v>
      </c>
      <c r="R301" s="5">
        <v>98.909139999999994</v>
      </c>
      <c r="S301" s="3">
        <f t="shared" si="61"/>
        <v>98.833320000000001</v>
      </c>
      <c r="T301" s="1">
        <f t="shared" si="71"/>
        <v>2.2229938877537919E-2</v>
      </c>
      <c r="W301" s="4">
        <v>250.00599</v>
      </c>
      <c r="X301" s="1">
        <v>148.5</v>
      </c>
      <c r="Y301" s="3">
        <v>87.946740000000005</v>
      </c>
      <c r="Z301" s="3">
        <f t="shared" si="62"/>
        <v>93.387570000000011</v>
      </c>
      <c r="AA301" s="1">
        <f t="shared" si="70"/>
        <v>0.11822178541015708</v>
      </c>
      <c r="AD301" s="4">
        <v>250.02758</v>
      </c>
      <c r="AE301" s="1">
        <v>148.5</v>
      </c>
      <c r="AF301" s="3">
        <v>96.086669999999998</v>
      </c>
      <c r="AG301" s="3">
        <f t="shared" si="63"/>
        <v>96.348159999999993</v>
      </c>
      <c r="AH301" s="1">
        <f t="shared" si="69"/>
        <v>6.9403037321521033E-2</v>
      </c>
      <c r="AW301" s="11">
        <v>550.83344</v>
      </c>
      <c r="AX301" s="1">
        <v>148.5</v>
      </c>
      <c r="AY301" s="13">
        <v>38.975540000000002</v>
      </c>
      <c r="AZ301" s="3">
        <f t="shared" si="66"/>
        <v>40.641190000000002</v>
      </c>
    </row>
    <row r="302" spans="2:52" ht="16" x14ac:dyDescent="0.2">
      <c r="B302" s="4">
        <v>200.03457</v>
      </c>
      <c r="C302" s="1">
        <v>149</v>
      </c>
      <c r="D302" s="3">
        <v>99.280940000000001</v>
      </c>
      <c r="E302" s="3">
        <f t="shared" si="59"/>
        <v>100.40738</v>
      </c>
      <c r="F302" s="1">
        <f t="shared" si="58"/>
        <v>5.2549829563677932E-3</v>
      </c>
      <c r="I302" s="4">
        <v>225.00799000000001</v>
      </c>
      <c r="J302" s="1">
        <v>149</v>
      </c>
      <c r="K302" s="3">
        <v>92.212500000000006</v>
      </c>
      <c r="L302" s="3">
        <f t="shared" si="60"/>
        <v>95.799570000000003</v>
      </c>
      <c r="M302" s="1">
        <f t="shared" si="72"/>
        <v>7.8332257269221481E-2</v>
      </c>
      <c r="P302" s="4">
        <v>225.02198000000001</v>
      </c>
      <c r="Q302" s="1">
        <v>149</v>
      </c>
      <c r="R302" s="3">
        <v>98.699860000000001</v>
      </c>
      <c r="S302" s="3">
        <f t="shared" si="61"/>
        <v>98.624040000000008</v>
      </c>
      <c r="T302" s="1">
        <f t="shared" si="71"/>
        <v>2.571675289911628E-2</v>
      </c>
      <c r="W302" s="4">
        <v>250.00502</v>
      </c>
      <c r="X302" s="1">
        <v>149</v>
      </c>
      <c r="Y302" s="5">
        <v>87.944900000000004</v>
      </c>
      <c r="Z302" s="3">
        <f t="shared" si="62"/>
        <v>93.385730000000009</v>
      </c>
      <c r="AA302" s="1">
        <f t="shared" si="70"/>
        <v>0.11825233800864031</v>
      </c>
      <c r="AD302" s="4">
        <v>250.01868999999999</v>
      </c>
      <c r="AE302" s="1">
        <v>149</v>
      </c>
      <c r="AF302" s="5">
        <v>95.963120000000004</v>
      </c>
      <c r="AG302" s="3">
        <f t="shared" si="63"/>
        <v>96.224609999999998</v>
      </c>
      <c r="AH302" s="1">
        <f t="shared" si="69"/>
        <v>7.1454107560163516E-2</v>
      </c>
      <c r="AW302" s="11">
        <v>552.33676000000003</v>
      </c>
      <c r="AX302" s="1">
        <v>149</v>
      </c>
      <c r="AY302" s="12">
        <v>39.049509999999998</v>
      </c>
      <c r="AZ302" s="3">
        <f t="shared" si="66"/>
        <v>40.715159999999997</v>
      </c>
    </row>
    <row r="303" spans="2:52" ht="16" x14ac:dyDescent="0.2">
      <c r="B303" s="4">
        <v>200.03247999999999</v>
      </c>
      <c r="C303" s="1">
        <v>149.5</v>
      </c>
      <c r="D303" s="5">
        <v>99.300839999999994</v>
      </c>
      <c r="E303" s="3">
        <f t="shared" si="59"/>
        <v>100.42728</v>
      </c>
      <c r="F303" s="1">
        <f t="shared" si="58"/>
        <v>4.9252624341339663E-3</v>
      </c>
      <c r="I303" s="4">
        <v>225.00695999999999</v>
      </c>
      <c r="J303" s="1">
        <v>149.5</v>
      </c>
      <c r="K303" s="5">
        <v>92.22139</v>
      </c>
      <c r="L303" s="3">
        <f t="shared" si="60"/>
        <v>95.808459999999997</v>
      </c>
      <c r="M303" s="1">
        <f t="shared" si="72"/>
        <v>7.8184656660669719E-2</v>
      </c>
      <c r="P303" s="4">
        <v>225.01553000000001</v>
      </c>
      <c r="Q303" s="1">
        <v>149.5</v>
      </c>
      <c r="R303" s="5">
        <v>98.776300000000006</v>
      </c>
      <c r="S303" s="3">
        <f t="shared" si="61"/>
        <v>98.700480000000013</v>
      </c>
      <c r="T303" s="1">
        <f t="shared" si="71"/>
        <v>2.4443186080454787E-2</v>
      </c>
      <c r="W303" s="4">
        <v>250.00102000000001</v>
      </c>
      <c r="X303" s="1">
        <v>149.5</v>
      </c>
      <c r="Y303" s="3">
        <v>87.912239999999997</v>
      </c>
      <c r="Z303" s="3">
        <f t="shared" si="62"/>
        <v>93.353070000000002</v>
      </c>
      <c r="AA303" s="1">
        <f t="shared" si="70"/>
        <v>0.1187946466317172</v>
      </c>
      <c r="AD303" s="4">
        <v>250.01283000000001</v>
      </c>
      <c r="AE303" s="1">
        <v>149.5</v>
      </c>
      <c r="AF303" s="3">
        <v>95.977239999999995</v>
      </c>
      <c r="AG303" s="3">
        <f t="shared" si="63"/>
        <v>96.23872999999999</v>
      </c>
      <c r="AH303" s="1">
        <f t="shared" si="69"/>
        <v>7.1219699532890229E-2</v>
      </c>
      <c r="AW303" s="11">
        <v>553.83280000000002</v>
      </c>
      <c r="AX303" s="1">
        <v>149.5</v>
      </c>
      <c r="AY303" s="13">
        <v>39.011420000000001</v>
      </c>
      <c r="AZ303" s="3">
        <f t="shared" si="66"/>
        <v>40.677070000000001</v>
      </c>
    </row>
    <row r="304" spans="2:52" ht="16" x14ac:dyDescent="0.2">
      <c r="B304" s="4">
        <v>200.03997000000001</v>
      </c>
      <c r="C304" s="1">
        <v>150</v>
      </c>
      <c r="D304" s="3">
        <v>99.216390000000004</v>
      </c>
      <c r="E304" s="3">
        <f t="shared" si="59"/>
        <v>100.34283000000001</v>
      </c>
      <c r="F304" s="1">
        <f t="shared" si="58"/>
        <v>6.3245035448200688E-3</v>
      </c>
      <c r="I304" s="4">
        <v>225.00496999999999</v>
      </c>
      <c r="J304" s="1">
        <v>150</v>
      </c>
      <c r="K304" s="3">
        <v>92.196439999999996</v>
      </c>
      <c r="L304" s="3">
        <f t="shared" si="60"/>
        <v>95.783509999999993</v>
      </c>
      <c r="M304" s="1">
        <f t="shared" si="72"/>
        <v>7.8598901338214122E-2</v>
      </c>
      <c r="P304" s="4">
        <v>225.00959</v>
      </c>
      <c r="Q304" s="1">
        <v>150</v>
      </c>
      <c r="R304" s="3">
        <v>98.796369999999996</v>
      </c>
      <c r="S304" s="3">
        <f t="shared" si="61"/>
        <v>98.720550000000003</v>
      </c>
      <c r="T304" s="1">
        <f t="shared" si="71"/>
        <v>2.4108799816057593E-2</v>
      </c>
      <c r="W304" s="4">
        <v>250.00200000000001</v>
      </c>
      <c r="X304" s="1">
        <v>150</v>
      </c>
      <c r="Y304" s="5">
        <v>87.889250000000004</v>
      </c>
      <c r="Z304" s="3">
        <f t="shared" si="62"/>
        <v>93.330080000000009</v>
      </c>
      <c r="AA304" s="1">
        <f t="shared" si="70"/>
        <v>0.11917638806602616</v>
      </c>
      <c r="AD304" s="4">
        <v>250.01788999999999</v>
      </c>
      <c r="AE304" s="1">
        <v>150</v>
      </c>
      <c r="AF304" s="5">
        <v>95.912779999999998</v>
      </c>
      <c r="AG304" s="3">
        <f t="shared" si="63"/>
        <v>96.174269999999993</v>
      </c>
      <c r="AH304" s="1">
        <f t="shared" si="69"/>
        <v>7.2289808699890587E-2</v>
      </c>
      <c r="AW304" s="11">
        <v>555.33536000000004</v>
      </c>
      <c r="AX304" s="1">
        <v>150</v>
      </c>
      <c r="AY304" s="12">
        <v>39.018329999999999</v>
      </c>
      <c r="AZ304" s="3">
        <f t="shared" si="66"/>
        <v>40.683979999999998</v>
      </c>
    </row>
    <row r="305" spans="2:52" ht="16" x14ac:dyDescent="0.2">
      <c r="B305" s="4">
        <v>200.04945000000001</v>
      </c>
      <c r="C305" s="1">
        <v>150.5</v>
      </c>
      <c r="D305" s="5">
        <v>99.207359999999994</v>
      </c>
      <c r="E305" s="3">
        <f t="shared" si="59"/>
        <v>100.3338</v>
      </c>
      <c r="F305" s="1">
        <f t="shared" si="58"/>
        <v>6.4741204451103105E-3</v>
      </c>
      <c r="I305" s="4">
        <v>225.01197999999999</v>
      </c>
      <c r="J305" s="1">
        <v>150.5</v>
      </c>
      <c r="K305" s="5">
        <v>92.179640000000006</v>
      </c>
      <c r="L305" s="3">
        <f t="shared" si="60"/>
        <v>95.766710000000003</v>
      </c>
      <c r="M305" s="1">
        <f t="shared" si="72"/>
        <v>7.8877831622091485E-2</v>
      </c>
      <c r="P305" s="4">
        <v>225.01367999999999</v>
      </c>
      <c r="Q305" s="1">
        <v>150.5</v>
      </c>
      <c r="R305" s="5">
        <v>98.875739999999993</v>
      </c>
      <c r="S305" s="3">
        <f t="shared" si="61"/>
        <v>98.79992</v>
      </c>
      <c r="T305" s="1">
        <f t="shared" si="71"/>
        <v>2.2786416268214156E-2</v>
      </c>
      <c r="W305" s="4">
        <v>250.00698</v>
      </c>
      <c r="X305" s="1">
        <v>150.5</v>
      </c>
      <c r="Y305" s="3">
        <v>87.862340000000003</v>
      </c>
      <c r="Z305" s="3">
        <f t="shared" si="62"/>
        <v>93.303170000000009</v>
      </c>
      <c r="AA305" s="1">
        <f t="shared" si="70"/>
        <v>0.11962321981884295</v>
      </c>
      <c r="AD305" s="4">
        <v>250.02089000000001</v>
      </c>
      <c r="AE305" s="1">
        <v>150.5</v>
      </c>
      <c r="AF305" s="3">
        <v>95.811999999999998</v>
      </c>
      <c r="AG305" s="3">
        <f t="shared" si="63"/>
        <v>96.073489999999993</v>
      </c>
      <c r="AH305" s="1">
        <f t="shared" si="69"/>
        <v>7.3962871092852128E-2</v>
      </c>
      <c r="AW305" s="11">
        <v>556.83055000000002</v>
      </c>
      <c r="AX305" s="1">
        <v>150.5</v>
      </c>
      <c r="AY305" s="13">
        <v>39.04372</v>
      </c>
      <c r="AZ305" s="3">
        <f t="shared" si="66"/>
        <v>40.70937</v>
      </c>
    </row>
    <row r="306" spans="2:52" ht="16" x14ac:dyDescent="0.2">
      <c r="B306" s="4">
        <v>200.05375000000001</v>
      </c>
      <c r="C306" s="1">
        <v>151</v>
      </c>
      <c r="D306" s="3">
        <v>99.269109999999998</v>
      </c>
      <c r="E306" s="3">
        <f t="shared" si="59"/>
        <v>100.39555</v>
      </c>
      <c r="F306" s="1">
        <f t="shared" si="58"/>
        <v>5.4509926939571747E-3</v>
      </c>
      <c r="I306" s="4">
        <v>225.01009999999999</v>
      </c>
      <c r="J306" s="1">
        <v>151</v>
      </c>
      <c r="K306" s="3">
        <v>92.176580000000001</v>
      </c>
      <c r="L306" s="3">
        <f t="shared" si="60"/>
        <v>95.763649999999998</v>
      </c>
      <c r="M306" s="1">
        <f t="shared" si="72"/>
        <v>7.8928636780940697E-2</v>
      </c>
      <c r="P306" s="4">
        <v>225.01616000000001</v>
      </c>
      <c r="Q306" s="1">
        <v>151</v>
      </c>
      <c r="R306" s="3">
        <v>98.802580000000006</v>
      </c>
      <c r="S306" s="3">
        <f t="shared" si="61"/>
        <v>98.726760000000013</v>
      </c>
      <c r="T306" s="1">
        <f t="shared" si="71"/>
        <v>2.4005335007790979E-2</v>
      </c>
      <c r="W306" s="4">
        <v>250.00900999999999</v>
      </c>
      <c r="X306" s="1">
        <v>151</v>
      </c>
      <c r="Y306" s="5">
        <v>87.837620000000001</v>
      </c>
      <c r="Z306" s="3">
        <f t="shared" si="62"/>
        <v>93.278450000000007</v>
      </c>
      <c r="AA306" s="1">
        <f t="shared" si="70"/>
        <v>0.12003368733759552</v>
      </c>
      <c r="AD306" s="4">
        <v>250.01893999999999</v>
      </c>
      <c r="AE306" s="1">
        <v>151</v>
      </c>
      <c r="AF306" s="5">
        <v>95.883629999999997</v>
      </c>
      <c r="AG306" s="3">
        <f t="shared" si="63"/>
        <v>96.145119999999991</v>
      </c>
      <c r="AH306" s="1">
        <f t="shared" si="69"/>
        <v>7.277373178735666E-2</v>
      </c>
      <c r="AW306" s="11">
        <v>558.33461</v>
      </c>
      <c r="AX306" s="1">
        <v>151</v>
      </c>
      <c r="AY306" s="12">
        <v>39.00985</v>
      </c>
      <c r="AZ306" s="3">
        <f t="shared" si="66"/>
        <v>40.6755</v>
      </c>
    </row>
    <row r="307" spans="2:52" ht="16" x14ac:dyDescent="0.2">
      <c r="B307" s="4">
        <v>200.05026000000001</v>
      </c>
      <c r="C307" s="1">
        <v>151.5</v>
      </c>
      <c r="D307" s="5">
        <v>99.31335</v>
      </c>
      <c r="E307" s="3">
        <f t="shared" si="59"/>
        <v>100.43979</v>
      </c>
      <c r="F307" s="1">
        <f t="shared" si="58"/>
        <v>4.7179858646290091E-3</v>
      </c>
      <c r="I307" s="4">
        <v>225.00602000000001</v>
      </c>
      <c r="J307" s="1">
        <v>151.5</v>
      </c>
      <c r="K307" s="5">
        <v>92.161649999999995</v>
      </c>
      <c r="L307" s="3">
        <f t="shared" si="60"/>
        <v>95.748719999999992</v>
      </c>
      <c r="M307" s="1">
        <f t="shared" si="72"/>
        <v>7.91765194677439E-2</v>
      </c>
      <c r="P307" s="4">
        <v>225.01293000000001</v>
      </c>
      <c r="Q307" s="1">
        <v>151.5</v>
      </c>
      <c r="R307" s="5">
        <v>98.757000000000005</v>
      </c>
      <c r="S307" s="3">
        <f t="shared" si="61"/>
        <v>98.681180000000012</v>
      </c>
      <c r="T307" s="1">
        <f t="shared" si="71"/>
        <v>2.4764743375067122E-2</v>
      </c>
      <c r="W307" s="4">
        <v>250.00498999999999</v>
      </c>
      <c r="X307" s="1">
        <v>151.5</v>
      </c>
      <c r="Y307" s="3">
        <v>87.810450000000003</v>
      </c>
      <c r="Z307" s="3">
        <f t="shared" si="62"/>
        <v>93.251280000000008</v>
      </c>
      <c r="AA307" s="1">
        <f t="shared" si="70"/>
        <v>0.12048483630541532</v>
      </c>
      <c r="AD307" s="4">
        <v>250.02059</v>
      </c>
      <c r="AE307" s="1">
        <v>151.5</v>
      </c>
      <c r="AF307" s="3">
        <v>95.801789999999997</v>
      </c>
      <c r="AG307" s="3">
        <f t="shared" si="63"/>
        <v>96.063279999999992</v>
      </c>
      <c r="AH307" s="1">
        <f t="shared" si="69"/>
        <v>7.4132368681978339E-2</v>
      </c>
      <c r="AW307" s="11">
        <v>559.83447999999999</v>
      </c>
      <c r="AX307" s="1">
        <v>151.5</v>
      </c>
      <c r="AY307" s="13">
        <v>39.004809999999999</v>
      </c>
      <c r="AZ307" s="3">
        <f t="shared" si="66"/>
        <v>40.670459999999999</v>
      </c>
    </row>
    <row r="308" spans="2:52" ht="16" x14ac:dyDescent="0.2">
      <c r="B308" s="4">
        <v>200.04017999999999</v>
      </c>
      <c r="C308" s="1">
        <v>152</v>
      </c>
      <c r="D308" s="3">
        <v>99.22045</v>
      </c>
      <c r="E308" s="3">
        <f t="shared" si="59"/>
        <v>100.34689</v>
      </c>
      <c r="F308" s="1">
        <f t="shared" si="58"/>
        <v>6.2572339307362329E-3</v>
      </c>
      <c r="I308" s="4">
        <v>225.00395</v>
      </c>
      <c r="J308" s="1">
        <v>152</v>
      </c>
      <c r="K308" s="3">
        <v>92.139139999999998</v>
      </c>
      <c r="L308" s="3">
        <f t="shared" si="60"/>
        <v>95.726209999999995</v>
      </c>
      <c r="M308" s="1">
        <f t="shared" si="72"/>
        <v>7.9550252842153585E-2</v>
      </c>
      <c r="P308" s="4">
        <v>225.01587000000001</v>
      </c>
      <c r="Q308" s="1">
        <v>152</v>
      </c>
      <c r="R308" s="3">
        <v>98.847369999999998</v>
      </c>
      <c r="S308" s="3">
        <f t="shared" si="61"/>
        <v>98.771550000000005</v>
      </c>
      <c r="T308" s="1">
        <f t="shared" si="71"/>
        <v>2.3259088830294455E-2</v>
      </c>
      <c r="W308" s="4">
        <v>250.00702000000001</v>
      </c>
      <c r="X308" s="1">
        <v>152</v>
      </c>
      <c r="Y308" s="5">
        <v>87.795339999999996</v>
      </c>
      <c r="Z308" s="3">
        <f t="shared" si="62"/>
        <v>93.236170000000001</v>
      </c>
      <c r="AA308" s="1">
        <f t="shared" si="70"/>
        <v>0.12073573291578561</v>
      </c>
      <c r="AD308" s="4">
        <v>250.01831000000001</v>
      </c>
      <c r="AE308" s="1">
        <v>152</v>
      </c>
      <c r="AF308" s="5">
        <v>95.904030000000006</v>
      </c>
      <c r="AG308" s="3">
        <f t="shared" si="63"/>
        <v>96.165520000000001</v>
      </c>
      <c r="AH308" s="1">
        <f t="shared" si="69"/>
        <v>7.2435068631805655E-2</v>
      </c>
      <c r="AW308" s="11">
        <v>561.33636000000001</v>
      </c>
      <c r="AX308" s="1">
        <v>152</v>
      </c>
      <c r="AY308" s="12">
        <v>39.02026</v>
      </c>
      <c r="AZ308" s="3">
        <f t="shared" si="66"/>
        <v>40.68591</v>
      </c>
    </row>
    <row r="309" spans="2:52" ht="16" x14ac:dyDescent="0.2">
      <c r="B309" s="4">
        <v>200.03536</v>
      </c>
      <c r="C309" s="1">
        <v>152.5</v>
      </c>
      <c r="D309" s="5">
        <v>99.351060000000004</v>
      </c>
      <c r="E309" s="3">
        <f t="shared" si="59"/>
        <v>100.47750000000001</v>
      </c>
      <c r="F309" s="1">
        <f t="shared" si="58"/>
        <v>4.0931737594308423E-3</v>
      </c>
      <c r="I309" s="4">
        <v>225.00906000000001</v>
      </c>
      <c r="J309" s="1">
        <v>152.5</v>
      </c>
      <c r="K309" s="5">
        <v>92.144810000000007</v>
      </c>
      <c r="L309" s="3">
        <f t="shared" si="60"/>
        <v>95.731880000000004</v>
      </c>
      <c r="M309" s="1">
        <f t="shared" si="72"/>
        <v>7.9456113871344755E-2</v>
      </c>
      <c r="P309" s="4">
        <v>225.01636999999999</v>
      </c>
      <c r="Q309" s="1">
        <v>152.5</v>
      </c>
      <c r="R309" s="5">
        <v>98.674099999999996</v>
      </c>
      <c r="S309" s="3">
        <f t="shared" si="61"/>
        <v>98.598280000000003</v>
      </c>
      <c r="T309" s="1">
        <f t="shared" si="71"/>
        <v>2.6145940251925345E-2</v>
      </c>
      <c r="W309" s="4">
        <v>250.00699</v>
      </c>
      <c r="X309" s="1">
        <v>152.5</v>
      </c>
      <c r="Y309" s="3">
        <v>87.785579999999996</v>
      </c>
      <c r="Z309" s="3">
        <f t="shared" si="62"/>
        <v>93.226410000000001</v>
      </c>
      <c r="AA309" s="1">
        <f t="shared" si="70"/>
        <v>0.12089779452513127</v>
      </c>
      <c r="AD309" s="4">
        <v>250.01729</v>
      </c>
      <c r="AE309" s="1">
        <v>152.5</v>
      </c>
      <c r="AF309" s="3">
        <v>95.845830000000007</v>
      </c>
      <c r="AG309" s="3">
        <f t="shared" si="63"/>
        <v>96.107320000000001</v>
      </c>
      <c r="AH309" s="1">
        <f t="shared" si="69"/>
        <v>7.3401254693230139E-2</v>
      </c>
      <c r="AW309" s="11">
        <v>562.83448999999996</v>
      </c>
      <c r="AX309" s="1">
        <v>152.5</v>
      </c>
      <c r="AY309" s="13">
        <v>38.935000000000002</v>
      </c>
      <c r="AZ309" s="3">
        <f t="shared" si="66"/>
        <v>40.600650000000002</v>
      </c>
    </row>
    <row r="310" spans="2:52" ht="16" x14ac:dyDescent="0.2">
      <c r="B310" s="4">
        <v>200.03679</v>
      </c>
      <c r="C310" s="1">
        <v>153</v>
      </c>
      <c r="D310" s="3">
        <v>99.281180000000006</v>
      </c>
      <c r="E310" s="3">
        <f t="shared" si="59"/>
        <v>100.40762000000001</v>
      </c>
      <c r="F310" s="1">
        <f t="shared" si="58"/>
        <v>5.2510064274563437E-3</v>
      </c>
      <c r="I310" s="4">
        <v>225.00391999999999</v>
      </c>
      <c r="J310" s="1">
        <v>153</v>
      </c>
      <c r="K310" s="3">
        <v>92.135670000000005</v>
      </c>
      <c r="L310" s="3">
        <f t="shared" si="60"/>
        <v>95.722740000000002</v>
      </c>
      <c r="M310" s="1">
        <f t="shared" si="72"/>
        <v>7.9607865228168651E-2</v>
      </c>
      <c r="P310" s="4">
        <v>225.01553999999999</v>
      </c>
      <c r="Q310" s="1">
        <v>153</v>
      </c>
      <c r="R310" s="3">
        <v>98.651139999999998</v>
      </c>
      <c r="S310" s="3">
        <f t="shared" si="61"/>
        <v>98.575320000000005</v>
      </c>
      <c r="T310" s="1">
        <f t="shared" si="71"/>
        <v>2.652847680551591E-2</v>
      </c>
      <c r="W310" s="4">
        <v>250.01098999999999</v>
      </c>
      <c r="X310" s="1">
        <v>153</v>
      </c>
      <c r="Y310" s="5">
        <v>87.762609999999995</v>
      </c>
      <c r="Z310" s="3">
        <f t="shared" si="62"/>
        <v>93.203440000000001</v>
      </c>
      <c r="AA310" s="1">
        <f t="shared" si="70"/>
        <v>0.1212792038659786</v>
      </c>
      <c r="AD310" s="4">
        <v>250.01727</v>
      </c>
      <c r="AE310" s="1">
        <v>153</v>
      </c>
      <c r="AF310" s="5">
        <v>95.875829999999993</v>
      </c>
      <c r="AG310" s="3">
        <f t="shared" si="63"/>
        <v>96.137319999999988</v>
      </c>
      <c r="AH310" s="1">
        <f t="shared" si="69"/>
        <v>7.2903220640949687E-2</v>
      </c>
      <c r="AW310" s="11">
        <v>564.33937000000003</v>
      </c>
      <c r="AX310" s="1">
        <v>153</v>
      </c>
      <c r="AY310" s="12">
        <v>39.031300000000002</v>
      </c>
      <c r="AZ310" s="3">
        <f t="shared" si="66"/>
        <v>40.696950000000001</v>
      </c>
    </row>
    <row r="311" spans="2:52" ht="16" x14ac:dyDescent="0.2">
      <c r="B311" s="4">
        <v>200.04076000000001</v>
      </c>
      <c r="C311" s="1">
        <v>153.5</v>
      </c>
      <c r="D311" s="5">
        <v>99.273970000000006</v>
      </c>
      <c r="E311" s="3">
        <f t="shared" si="59"/>
        <v>100.40041000000001</v>
      </c>
      <c r="F311" s="1">
        <f t="shared" si="58"/>
        <v>5.37046798350192E-3</v>
      </c>
      <c r="I311" s="4">
        <v>225.00496000000001</v>
      </c>
      <c r="J311" s="1">
        <v>153.5</v>
      </c>
      <c r="K311" s="5">
        <v>92.135090000000005</v>
      </c>
      <c r="L311" s="3">
        <f t="shared" si="60"/>
        <v>95.722160000000002</v>
      </c>
      <c r="M311" s="1">
        <f t="shared" si="72"/>
        <v>7.9617494964159652E-2</v>
      </c>
      <c r="P311" s="4">
        <v>225.01759999999999</v>
      </c>
      <c r="Q311" s="1">
        <v>153.5</v>
      </c>
      <c r="R311" s="5">
        <v>98.747330000000005</v>
      </c>
      <c r="S311" s="3">
        <f t="shared" si="61"/>
        <v>98.671510000000012</v>
      </c>
      <c r="T311" s="1">
        <f t="shared" si="71"/>
        <v>2.4925855242367692E-2</v>
      </c>
      <c r="W311" s="4">
        <v>250.00299999999999</v>
      </c>
      <c r="X311" s="1">
        <v>153.5</v>
      </c>
      <c r="Y311" s="3">
        <v>87.741770000000002</v>
      </c>
      <c r="Z311" s="3">
        <f t="shared" si="62"/>
        <v>93.182600000000008</v>
      </c>
      <c r="AA311" s="1">
        <f t="shared" si="70"/>
        <v>0.12162524525314687</v>
      </c>
      <c r="AD311" s="4">
        <v>250.01262</v>
      </c>
      <c r="AE311" s="1">
        <v>153.5</v>
      </c>
      <c r="AF311" s="3">
        <v>95.796809999999994</v>
      </c>
      <c r="AG311" s="3">
        <f t="shared" si="63"/>
        <v>96.058299999999988</v>
      </c>
      <c r="AH311" s="1">
        <f t="shared" si="69"/>
        <v>7.4215042334656978E-2</v>
      </c>
      <c r="AW311" s="11">
        <v>565.84529999999995</v>
      </c>
      <c r="AX311" s="1">
        <v>153.5</v>
      </c>
      <c r="AY311" s="13">
        <v>38.936810000000001</v>
      </c>
      <c r="AZ311" s="3">
        <f t="shared" si="66"/>
        <v>40.602460000000001</v>
      </c>
    </row>
    <row r="312" spans="2:52" ht="16" x14ac:dyDescent="0.2">
      <c r="B312" s="4">
        <v>200.04928000000001</v>
      </c>
      <c r="C312" s="1">
        <v>154</v>
      </c>
      <c r="D312" s="3">
        <v>99.205749999999995</v>
      </c>
      <c r="E312" s="3">
        <f t="shared" si="59"/>
        <v>100.33219</v>
      </c>
      <c r="F312" s="1">
        <f t="shared" ref="F312:F375" si="73">($E$119-E312)/($E$119*(1-$N$1))</f>
        <v>6.5007963265573693E-3</v>
      </c>
      <c r="I312" s="4">
        <v>225.00296</v>
      </c>
      <c r="J312" s="1">
        <v>154</v>
      </c>
      <c r="K312" s="3">
        <v>92.109949999999998</v>
      </c>
      <c r="L312" s="3">
        <f t="shared" si="60"/>
        <v>95.697019999999995</v>
      </c>
      <c r="M312" s="1">
        <f t="shared" si="72"/>
        <v>8.0034894210390825E-2</v>
      </c>
      <c r="P312" s="4">
        <v>225.01401000000001</v>
      </c>
      <c r="Q312" s="1">
        <v>154</v>
      </c>
      <c r="R312" s="3">
        <v>98.741680000000002</v>
      </c>
      <c r="S312" s="3">
        <f t="shared" si="61"/>
        <v>98.665860000000009</v>
      </c>
      <c r="T312" s="1">
        <f t="shared" si="71"/>
        <v>2.5019989890790514E-2</v>
      </c>
      <c r="W312" s="4">
        <v>250.00305</v>
      </c>
      <c r="X312" s="1">
        <v>154</v>
      </c>
      <c r="Y312" s="5">
        <v>87.709019999999995</v>
      </c>
      <c r="Z312" s="3">
        <f t="shared" si="62"/>
        <v>93.149850000000001</v>
      </c>
      <c r="AA312" s="1">
        <f t="shared" si="70"/>
        <v>0.12216904829680174</v>
      </c>
      <c r="AD312" s="4">
        <v>250.01145</v>
      </c>
      <c r="AE312" s="1">
        <v>154</v>
      </c>
      <c r="AF312" s="5">
        <v>95.74915</v>
      </c>
      <c r="AG312" s="3">
        <f t="shared" si="63"/>
        <v>96.010639999999995</v>
      </c>
      <c r="AH312" s="1">
        <f t="shared" si="69"/>
        <v>7.5006252432380099E-2</v>
      </c>
      <c r="AW312" s="11">
        <v>567.34445000000005</v>
      </c>
      <c r="AX312" s="1">
        <v>154</v>
      </c>
      <c r="AY312" s="12">
        <v>38.893210000000003</v>
      </c>
      <c r="AZ312" s="3">
        <f t="shared" si="66"/>
        <v>40.558860000000003</v>
      </c>
    </row>
    <row r="313" spans="2:52" ht="16" x14ac:dyDescent="0.2">
      <c r="B313" s="4">
        <v>200.05394000000001</v>
      </c>
      <c r="C313" s="1">
        <v>154.5</v>
      </c>
      <c r="D313" s="5">
        <v>99.187719999999999</v>
      </c>
      <c r="E313" s="3">
        <f t="shared" si="59"/>
        <v>100.31416</v>
      </c>
      <c r="F313" s="1">
        <f t="shared" si="73"/>
        <v>6.7995330610235369E-3</v>
      </c>
      <c r="I313" s="4">
        <v>225.00596999999999</v>
      </c>
      <c r="J313" s="1">
        <v>154.5</v>
      </c>
      <c r="K313" s="5">
        <v>92.095349999999996</v>
      </c>
      <c r="L313" s="3">
        <f t="shared" si="60"/>
        <v>95.682419999999993</v>
      </c>
      <c r="M313" s="1">
        <f t="shared" si="72"/>
        <v>8.027729790947491E-2</v>
      </c>
      <c r="P313" s="4">
        <v>225.01246</v>
      </c>
      <c r="Q313" s="1">
        <v>154.5</v>
      </c>
      <c r="R313" s="5">
        <v>98.691680000000005</v>
      </c>
      <c r="S313" s="3">
        <f t="shared" si="61"/>
        <v>98.615860000000012</v>
      </c>
      <c r="T313" s="1">
        <f t="shared" si="71"/>
        <v>2.5853039876832726E-2</v>
      </c>
      <c r="W313" s="4">
        <v>250.00901999999999</v>
      </c>
      <c r="X313" s="1">
        <v>154.5</v>
      </c>
      <c r="Y313" s="3">
        <v>87.701300000000003</v>
      </c>
      <c r="Z313" s="3">
        <f t="shared" si="62"/>
        <v>93.142130000000009</v>
      </c>
      <c r="AA313" s="1">
        <f t="shared" si="70"/>
        <v>0.12229723637304633</v>
      </c>
      <c r="AD313" s="4">
        <v>250.00916000000001</v>
      </c>
      <c r="AE313" s="1">
        <v>154.5</v>
      </c>
      <c r="AF313" s="3">
        <v>95.772909999999996</v>
      </c>
      <c r="AG313" s="3">
        <f t="shared" si="63"/>
        <v>96.034399999999991</v>
      </c>
      <c r="AH313" s="1">
        <f t="shared" si="69"/>
        <v>7.4611809462973883E-2</v>
      </c>
      <c r="AW313" s="11">
        <v>568.84322999999995</v>
      </c>
      <c r="AX313" s="1">
        <v>154.5</v>
      </c>
      <c r="AY313" s="13">
        <v>38.840960000000003</v>
      </c>
      <c r="AZ313" s="3">
        <f t="shared" si="66"/>
        <v>40.506610000000002</v>
      </c>
    </row>
    <row r="314" spans="2:52" ht="16" x14ac:dyDescent="0.2">
      <c r="B314" s="4">
        <v>200.0532</v>
      </c>
      <c r="C314" s="1">
        <v>155</v>
      </c>
      <c r="D314" s="3">
        <v>99.27655</v>
      </c>
      <c r="E314" s="3">
        <f t="shared" si="59"/>
        <v>100.40299</v>
      </c>
      <c r="F314" s="1">
        <f t="shared" si="73"/>
        <v>5.3277202977048427E-3</v>
      </c>
      <c r="I314" s="4">
        <v>225.00385</v>
      </c>
      <c r="J314" s="1">
        <v>155</v>
      </c>
      <c r="K314" s="3">
        <v>92.097160000000002</v>
      </c>
      <c r="L314" s="3">
        <f t="shared" si="60"/>
        <v>95.684229999999999</v>
      </c>
      <c r="M314" s="1">
        <f t="shared" si="72"/>
        <v>8.0247246491985613E-2</v>
      </c>
      <c r="P314" s="4">
        <v>225.01254</v>
      </c>
      <c r="Q314" s="1">
        <v>155</v>
      </c>
      <c r="R314" s="3">
        <v>98.785390000000007</v>
      </c>
      <c r="S314" s="3">
        <f t="shared" si="61"/>
        <v>98.709570000000014</v>
      </c>
      <c r="T314" s="1">
        <f t="shared" si="71"/>
        <v>2.4291737592992295E-2</v>
      </c>
      <c r="W314" s="4">
        <v>250.00901999999999</v>
      </c>
      <c r="X314" s="1">
        <v>155</v>
      </c>
      <c r="Y314" s="5">
        <v>87.669110000000003</v>
      </c>
      <c r="Z314" s="3">
        <f t="shared" si="62"/>
        <v>93.109940000000009</v>
      </c>
      <c r="AA314" s="1">
        <f t="shared" si="70"/>
        <v>0.12283174079977141</v>
      </c>
      <c r="AD314" s="4">
        <v>250.00989999999999</v>
      </c>
      <c r="AE314" s="1">
        <v>155</v>
      </c>
      <c r="AF314" s="5">
        <v>95.849040000000002</v>
      </c>
      <c r="AG314" s="3">
        <f t="shared" si="63"/>
        <v>96.110529999999997</v>
      </c>
      <c r="AH314" s="1">
        <f t="shared" si="69"/>
        <v>7.3347965049636185E-2</v>
      </c>
      <c r="AW314" s="11">
        <v>570.34366</v>
      </c>
      <c r="AX314" s="1">
        <v>155</v>
      </c>
      <c r="AY314" s="12">
        <v>38.817219999999999</v>
      </c>
      <c r="AZ314" s="3">
        <f t="shared" si="66"/>
        <v>40.482869999999998</v>
      </c>
    </row>
    <row r="315" spans="2:52" ht="16" x14ac:dyDescent="0.2">
      <c r="B315" s="4">
        <v>200.04741000000001</v>
      </c>
      <c r="C315" s="1">
        <v>155.5</v>
      </c>
      <c r="D315" s="5">
        <v>99.232200000000006</v>
      </c>
      <c r="E315" s="3">
        <f t="shared" si="59"/>
        <v>100.35864000000001</v>
      </c>
      <c r="F315" s="1">
        <f t="shared" si="73"/>
        <v>6.0625497027839226E-3</v>
      </c>
      <c r="I315" s="4">
        <v>225.00406000000001</v>
      </c>
      <c r="J315" s="1">
        <v>155.5</v>
      </c>
      <c r="K315" s="5">
        <v>92.090050000000005</v>
      </c>
      <c r="L315" s="3">
        <f t="shared" si="60"/>
        <v>95.677120000000002</v>
      </c>
      <c r="M315" s="1">
        <f t="shared" si="72"/>
        <v>8.0365293772840893E-2</v>
      </c>
      <c r="P315" s="4">
        <v>225.01399000000001</v>
      </c>
      <c r="Q315" s="1">
        <v>155.5</v>
      </c>
      <c r="R315" s="5">
        <v>98.784679999999994</v>
      </c>
      <c r="S315" s="3">
        <f t="shared" si="61"/>
        <v>98.708860000000001</v>
      </c>
      <c r="T315" s="1">
        <f t="shared" si="71"/>
        <v>2.43035669027943E-2</v>
      </c>
      <c r="W315" s="4">
        <v>249.9999</v>
      </c>
      <c r="X315" s="1">
        <v>155.5</v>
      </c>
      <c r="Y315" s="3">
        <v>87.637230000000002</v>
      </c>
      <c r="Z315" s="3">
        <f t="shared" si="62"/>
        <v>93.078060000000008</v>
      </c>
      <c r="AA315" s="1">
        <f t="shared" si="70"/>
        <v>0.12336109777783902</v>
      </c>
      <c r="AD315" s="4">
        <v>250.00828000000001</v>
      </c>
      <c r="AE315" s="1">
        <v>155.5</v>
      </c>
      <c r="AF315" s="3">
        <v>95.779489999999996</v>
      </c>
      <c r="AG315" s="3">
        <f t="shared" si="63"/>
        <v>96.04097999999999</v>
      </c>
      <c r="AH315" s="1">
        <f t="shared" si="69"/>
        <v>7.4502573994173649E-2</v>
      </c>
      <c r="AW315" s="11">
        <v>571.85032999999999</v>
      </c>
      <c r="AX315" s="1">
        <v>155.5</v>
      </c>
      <c r="AY315" s="13">
        <v>38.868229999999997</v>
      </c>
      <c r="AZ315" s="3">
        <f t="shared" si="66"/>
        <v>40.533879999999996</v>
      </c>
    </row>
    <row r="316" spans="2:52" ht="16" x14ac:dyDescent="0.2">
      <c r="B316" s="4">
        <v>200.04182</v>
      </c>
      <c r="C316" s="1">
        <v>156</v>
      </c>
      <c r="D316" s="3">
        <v>99.418199999999999</v>
      </c>
      <c r="E316" s="3">
        <f t="shared" si="59"/>
        <v>100.54464</v>
      </c>
      <c r="F316" s="1">
        <f t="shared" si="73"/>
        <v>2.9807397964767965E-3</v>
      </c>
      <c r="I316" s="4">
        <v>225.00399999999999</v>
      </c>
      <c r="J316" s="1">
        <v>156</v>
      </c>
      <c r="K316" s="3">
        <v>92.06268</v>
      </c>
      <c r="L316" s="3">
        <f t="shared" si="60"/>
        <v>95.649749999999997</v>
      </c>
      <c r="M316" s="1">
        <f t="shared" si="72"/>
        <v>8.0819717693658144E-2</v>
      </c>
      <c r="P316" s="4">
        <v>225.01384999999999</v>
      </c>
      <c r="Q316" s="1">
        <v>156</v>
      </c>
      <c r="R316" s="3">
        <v>98.645480000000006</v>
      </c>
      <c r="S316" s="3">
        <f t="shared" si="61"/>
        <v>98.569660000000013</v>
      </c>
      <c r="T316" s="1">
        <f t="shared" si="71"/>
        <v>2.6622778063935759E-2</v>
      </c>
      <c r="W316" s="4">
        <v>250.00298000000001</v>
      </c>
      <c r="X316" s="1">
        <v>156</v>
      </c>
      <c r="Y316" s="5">
        <v>87.64385</v>
      </c>
      <c r="Z316" s="3">
        <f t="shared" si="62"/>
        <v>93.084680000000006</v>
      </c>
      <c r="AA316" s="1">
        <f t="shared" si="70"/>
        <v>0.12325117484199188</v>
      </c>
      <c r="AD316" s="4">
        <v>250.00756000000001</v>
      </c>
      <c r="AE316" s="1">
        <v>156</v>
      </c>
      <c r="AF316" s="5">
        <v>95.763270000000006</v>
      </c>
      <c r="AG316" s="3">
        <f t="shared" si="63"/>
        <v>96.024760000000001</v>
      </c>
      <c r="AH316" s="1">
        <f t="shared" si="69"/>
        <v>7.4771844405106577E-2</v>
      </c>
      <c r="AW316" s="11">
        <v>573.35544000000004</v>
      </c>
      <c r="AX316" s="1">
        <v>156</v>
      </c>
      <c r="AY316" s="12">
        <v>38.882019999999997</v>
      </c>
      <c r="AZ316" s="3">
        <f t="shared" si="66"/>
        <v>40.547669999999997</v>
      </c>
    </row>
    <row r="317" spans="2:52" ht="16" x14ac:dyDescent="0.2">
      <c r="B317" s="4">
        <v>200.03292999999999</v>
      </c>
      <c r="C317" s="1">
        <v>156.5</v>
      </c>
      <c r="D317" s="5">
        <v>99.256460000000004</v>
      </c>
      <c r="E317" s="3">
        <f t="shared" si="59"/>
        <v>100.38290000000001</v>
      </c>
      <c r="F317" s="1">
        <f t="shared" si="73"/>
        <v>5.6605889053268892E-3</v>
      </c>
      <c r="I317" s="4">
        <v>225.00801999999999</v>
      </c>
      <c r="J317" s="1">
        <v>156.5</v>
      </c>
      <c r="K317" s="5">
        <v>92.051150000000007</v>
      </c>
      <c r="L317" s="3">
        <f t="shared" si="60"/>
        <v>95.638220000000004</v>
      </c>
      <c r="M317" s="1">
        <f t="shared" si="72"/>
        <v>8.1011150203962101E-2</v>
      </c>
      <c r="P317" s="4">
        <v>225.01338999999999</v>
      </c>
      <c r="Q317" s="1">
        <v>156.5</v>
      </c>
      <c r="R317" s="5">
        <v>98.777910000000006</v>
      </c>
      <c r="S317" s="3">
        <f t="shared" si="61"/>
        <v>98.702090000000013</v>
      </c>
      <c r="T317" s="1">
        <f t="shared" si="71"/>
        <v>2.4416361870904235E-2</v>
      </c>
      <c r="W317" s="4">
        <v>250.00905</v>
      </c>
      <c r="X317" s="1">
        <v>156.5</v>
      </c>
      <c r="Y317" s="3">
        <v>87.613060000000004</v>
      </c>
      <c r="Z317" s="3">
        <f t="shared" si="62"/>
        <v>93.05389000000001</v>
      </c>
      <c r="AA317" s="1">
        <f t="shared" si="70"/>
        <v>0.12376243272639273</v>
      </c>
      <c r="AD317" s="4">
        <v>250.00605999999999</v>
      </c>
      <c r="AE317" s="1">
        <v>156.5</v>
      </c>
      <c r="AF317" s="3">
        <v>95.739980000000003</v>
      </c>
      <c r="AG317" s="3">
        <f t="shared" si="63"/>
        <v>96.001469999999998</v>
      </c>
      <c r="AH317" s="1">
        <f t="shared" si="69"/>
        <v>7.515848484102719E-2</v>
      </c>
      <c r="AW317" s="11">
        <v>574.85451999999998</v>
      </c>
      <c r="AX317" s="1">
        <v>156.5</v>
      </c>
      <c r="AY317" s="13">
        <v>38.829039999999999</v>
      </c>
      <c r="AZ317" s="3">
        <f t="shared" si="66"/>
        <v>40.494689999999999</v>
      </c>
    </row>
    <row r="318" spans="2:52" ht="16" x14ac:dyDescent="0.2">
      <c r="B318" s="4">
        <v>200.0172</v>
      </c>
      <c r="C318" s="1">
        <v>157</v>
      </c>
      <c r="D318" s="3">
        <v>99.234849999999994</v>
      </c>
      <c r="E318" s="3">
        <f t="shared" si="59"/>
        <v>100.36129</v>
      </c>
      <c r="F318" s="1">
        <f t="shared" si="73"/>
        <v>6.0186421960544663E-3</v>
      </c>
      <c r="I318" s="4">
        <v>225.00594000000001</v>
      </c>
      <c r="J318" s="1">
        <v>157</v>
      </c>
      <c r="K318" s="3">
        <v>92.049499999999995</v>
      </c>
      <c r="L318" s="3">
        <f t="shared" si="60"/>
        <v>95.636569999999992</v>
      </c>
      <c r="M318" s="1">
        <f t="shared" si="72"/>
        <v>8.1038545142557414E-2</v>
      </c>
      <c r="P318" s="4">
        <v>225.01411999999999</v>
      </c>
      <c r="Q318" s="1">
        <v>157</v>
      </c>
      <c r="R318" s="3">
        <v>98.754140000000007</v>
      </c>
      <c r="S318" s="3">
        <f t="shared" si="61"/>
        <v>98.678320000000014</v>
      </c>
      <c r="T318" s="1">
        <f t="shared" si="71"/>
        <v>2.4812393834268708E-2</v>
      </c>
      <c r="W318" s="4">
        <v>250.01102</v>
      </c>
      <c r="X318" s="1">
        <v>157</v>
      </c>
      <c r="Y318" s="5">
        <v>87.584379999999996</v>
      </c>
      <c r="Z318" s="3">
        <f t="shared" si="62"/>
        <v>93.025210000000001</v>
      </c>
      <c r="AA318" s="1">
        <f t="shared" si="70"/>
        <v>0.12423865475057663</v>
      </c>
      <c r="AD318" s="4">
        <v>250.00834</v>
      </c>
      <c r="AE318" s="1">
        <v>157</v>
      </c>
      <c r="AF318" s="5">
        <v>95.814819999999997</v>
      </c>
      <c r="AG318" s="3">
        <f t="shared" si="63"/>
        <v>96.076309999999992</v>
      </c>
      <c r="AH318" s="1">
        <f t="shared" si="69"/>
        <v>7.3916055891937754E-2</v>
      </c>
      <c r="AW318" s="11">
        <v>576.35249999999996</v>
      </c>
      <c r="AX318" s="1">
        <v>157</v>
      </c>
      <c r="AY318" s="12">
        <v>38.78642</v>
      </c>
      <c r="AZ318" s="3">
        <f t="shared" si="66"/>
        <v>40.452069999999999</v>
      </c>
    </row>
    <row r="319" spans="2:52" ht="16" x14ac:dyDescent="0.2">
      <c r="B319" s="4">
        <v>200.00676999999999</v>
      </c>
      <c r="C319" s="1">
        <v>157.5</v>
      </c>
      <c r="D319" s="5">
        <v>99.170540000000003</v>
      </c>
      <c r="E319" s="3">
        <f t="shared" si="59"/>
        <v>100.29698</v>
      </c>
      <c r="F319" s="1">
        <f t="shared" si="73"/>
        <v>7.0841862555952942E-3</v>
      </c>
      <c r="I319" s="4">
        <v>225.00789</v>
      </c>
      <c r="J319" s="1">
        <v>157.5</v>
      </c>
      <c r="K319" s="5">
        <v>92.033500000000004</v>
      </c>
      <c r="L319" s="3">
        <f t="shared" si="60"/>
        <v>95.620570000000001</v>
      </c>
      <c r="M319" s="1">
        <f t="shared" si="72"/>
        <v>8.1304193031964456E-2</v>
      </c>
      <c r="P319" s="4">
        <v>225.01307</v>
      </c>
      <c r="Q319" s="1">
        <v>157.5</v>
      </c>
      <c r="R319" s="5">
        <v>98.753649999999993</v>
      </c>
      <c r="S319" s="3">
        <f t="shared" si="61"/>
        <v>98.67783</v>
      </c>
      <c r="T319" s="1">
        <f t="shared" si="71"/>
        <v>2.4820557724132147E-2</v>
      </c>
      <c r="W319" s="4">
        <v>250.00801999999999</v>
      </c>
      <c r="X319" s="1">
        <v>157.5</v>
      </c>
      <c r="Y319" s="3">
        <v>87.563419999999994</v>
      </c>
      <c r="Z319" s="3">
        <f t="shared" si="62"/>
        <v>93.004249999999999</v>
      </c>
      <c r="AA319" s="1">
        <f t="shared" si="70"/>
        <v>0.12458668869851572</v>
      </c>
      <c r="AD319" s="4">
        <v>250.00859</v>
      </c>
      <c r="AE319" s="1">
        <v>157.5</v>
      </c>
      <c r="AF319" s="3">
        <v>95.741699999999994</v>
      </c>
      <c r="AG319" s="3">
        <f t="shared" si="63"/>
        <v>96.003189999999989</v>
      </c>
      <c r="AH319" s="1">
        <f t="shared" si="69"/>
        <v>7.5129930888696558E-2</v>
      </c>
      <c r="AW319" s="11">
        <v>577.85823000000005</v>
      </c>
      <c r="AX319" s="1">
        <v>157.5</v>
      </c>
      <c r="AY319" s="13">
        <v>38.746369999999999</v>
      </c>
      <c r="AZ319" s="3">
        <f t="shared" si="66"/>
        <v>40.412019999999998</v>
      </c>
    </row>
    <row r="320" spans="2:52" ht="16" x14ac:dyDescent="0.2">
      <c r="B320" s="4">
        <v>200.00753</v>
      </c>
      <c r="C320" s="1">
        <v>158</v>
      </c>
      <c r="D320" s="3">
        <v>99.263850000000005</v>
      </c>
      <c r="E320" s="3">
        <f t="shared" si="59"/>
        <v>100.39029000000001</v>
      </c>
      <c r="F320" s="1">
        <f t="shared" si="73"/>
        <v>5.5381449525977854E-3</v>
      </c>
      <c r="I320" s="4">
        <v>225.00496999999999</v>
      </c>
      <c r="J320" s="1">
        <v>158</v>
      </c>
      <c r="K320" s="3">
        <v>92.016769999999994</v>
      </c>
      <c r="L320" s="3">
        <f t="shared" si="60"/>
        <v>95.603839999999991</v>
      </c>
      <c r="M320" s="1">
        <f t="shared" si="72"/>
        <v>8.1581961106326012E-2</v>
      </c>
      <c r="P320" s="4">
        <v>225.01286999999999</v>
      </c>
      <c r="Q320" s="1">
        <v>158</v>
      </c>
      <c r="R320" s="3">
        <v>98.771929999999998</v>
      </c>
      <c r="S320" s="3">
        <f t="shared" si="61"/>
        <v>98.696110000000004</v>
      </c>
      <c r="T320" s="1">
        <f t="shared" si="71"/>
        <v>2.4515994649235026E-2</v>
      </c>
      <c r="W320" s="4">
        <v>250.00504000000001</v>
      </c>
      <c r="X320" s="1">
        <v>158</v>
      </c>
      <c r="Y320" s="5">
        <v>87.536429999999996</v>
      </c>
      <c r="Z320" s="3">
        <f t="shared" si="62"/>
        <v>92.977260000000001</v>
      </c>
      <c r="AA320" s="1">
        <f t="shared" si="70"/>
        <v>0.12503484882517954</v>
      </c>
      <c r="AD320" s="4">
        <v>250.00996000000001</v>
      </c>
      <c r="AE320" s="1">
        <v>158</v>
      </c>
      <c r="AF320" s="5">
        <v>95.671639999999996</v>
      </c>
      <c r="AG320" s="3">
        <f t="shared" si="63"/>
        <v>95.933129999999991</v>
      </c>
      <c r="AH320" s="1">
        <f t="shared" si="69"/>
        <v>7.6293006412122666E-2</v>
      </c>
      <c r="AW320" s="11">
        <v>579.35456999999997</v>
      </c>
      <c r="AX320" s="1">
        <v>158</v>
      </c>
      <c r="AY320" s="12">
        <v>38.764679999999998</v>
      </c>
      <c r="AZ320" s="3">
        <f t="shared" si="66"/>
        <v>40.430329999999998</v>
      </c>
    </row>
    <row r="321" spans="2:52" ht="16" x14ac:dyDescent="0.2">
      <c r="B321" s="4">
        <v>200.01240000000001</v>
      </c>
      <c r="C321" s="1">
        <v>158.5</v>
      </c>
      <c r="D321" s="5">
        <v>99.297780000000003</v>
      </c>
      <c r="E321" s="3">
        <f t="shared" si="59"/>
        <v>100.42422000000001</v>
      </c>
      <c r="F321" s="1">
        <f t="shared" si="73"/>
        <v>4.9759631777537066E-3</v>
      </c>
      <c r="I321" s="4">
        <v>225.00505999999999</v>
      </c>
      <c r="J321" s="1">
        <v>158.5</v>
      </c>
      <c r="K321" s="5">
        <v>92.015020000000007</v>
      </c>
      <c r="L321" s="3">
        <f t="shared" si="60"/>
        <v>95.602090000000004</v>
      </c>
      <c r="M321" s="1">
        <f t="shared" si="72"/>
        <v>8.1611016344229709E-2</v>
      </c>
      <c r="P321" s="4">
        <v>225.01248000000001</v>
      </c>
      <c r="Q321" s="1">
        <v>158.5</v>
      </c>
      <c r="R321" s="5">
        <v>98.837760000000003</v>
      </c>
      <c r="S321" s="3">
        <f t="shared" si="61"/>
        <v>98.76194000000001</v>
      </c>
      <c r="T321" s="1">
        <f t="shared" si="71"/>
        <v>2.3419201037611696E-2</v>
      </c>
      <c r="W321" s="4">
        <v>250.00398000000001</v>
      </c>
      <c r="X321" s="1">
        <v>158.5</v>
      </c>
      <c r="Y321" s="3">
        <v>87.499920000000003</v>
      </c>
      <c r="Z321" s="3">
        <f t="shared" si="62"/>
        <v>92.940750000000008</v>
      </c>
      <c r="AA321" s="1">
        <f t="shared" si="70"/>
        <v>0.12564108543964767</v>
      </c>
      <c r="AD321" s="4">
        <v>250.01205999999999</v>
      </c>
      <c r="AE321" s="1">
        <v>158.5</v>
      </c>
      <c r="AF321" s="3">
        <v>95.740099999999998</v>
      </c>
      <c r="AG321" s="3">
        <f t="shared" si="63"/>
        <v>96.001589999999993</v>
      </c>
      <c r="AH321" s="1">
        <f t="shared" si="69"/>
        <v>7.515649270481814E-2</v>
      </c>
      <c r="AW321" s="11">
        <v>580.85455999999999</v>
      </c>
      <c r="AX321" s="1">
        <v>158.5</v>
      </c>
      <c r="AY321" s="13">
        <v>38.76003</v>
      </c>
      <c r="AZ321" s="3">
        <f t="shared" si="66"/>
        <v>40.42568</v>
      </c>
    </row>
    <row r="322" spans="2:52" ht="16" x14ac:dyDescent="0.2">
      <c r="B322" s="4">
        <v>200.01862</v>
      </c>
      <c r="C322" s="1">
        <v>159</v>
      </c>
      <c r="D322" s="3">
        <v>99.25685</v>
      </c>
      <c r="E322" s="3">
        <f t="shared" si="59"/>
        <v>100.38329</v>
      </c>
      <c r="F322" s="1">
        <f t="shared" si="73"/>
        <v>5.6541270458459903E-3</v>
      </c>
      <c r="I322" s="4">
        <v>225.00209000000001</v>
      </c>
      <c r="J322" s="1">
        <v>159</v>
      </c>
      <c r="K322" s="3">
        <v>91.980379999999997</v>
      </c>
      <c r="L322" s="3">
        <f t="shared" si="60"/>
        <v>95.567449999999994</v>
      </c>
      <c r="M322" s="1">
        <f t="shared" si="72"/>
        <v>8.2186144024796445E-2</v>
      </c>
      <c r="P322" s="4">
        <v>225.01405</v>
      </c>
      <c r="Q322" s="1">
        <v>159</v>
      </c>
      <c r="R322" s="3">
        <v>98.659360000000007</v>
      </c>
      <c r="S322" s="3">
        <f t="shared" si="61"/>
        <v>98.583540000000013</v>
      </c>
      <c r="T322" s="1">
        <f t="shared" si="71"/>
        <v>2.6391523387810419E-2</v>
      </c>
      <c r="W322" s="4">
        <v>250.00191000000001</v>
      </c>
      <c r="X322" s="1">
        <v>159</v>
      </c>
      <c r="Y322" s="5">
        <v>87.503889999999998</v>
      </c>
      <c r="Z322" s="3">
        <f t="shared" si="62"/>
        <v>92.944720000000004</v>
      </c>
      <c r="AA322" s="1">
        <f t="shared" si="70"/>
        <v>0.12557516488748563</v>
      </c>
      <c r="AD322" s="4">
        <v>250.01462000000001</v>
      </c>
      <c r="AE322" s="1">
        <v>159</v>
      </c>
      <c r="AF322" s="5">
        <v>95.670730000000006</v>
      </c>
      <c r="AG322" s="3">
        <f t="shared" si="63"/>
        <v>95.932220000000001</v>
      </c>
      <c r="AH322" s="1">
        <f t="shared" si="69"/>
        <v>7.6308113445041681E-2</v>
      </c>
      <c r="AW322" s="11">
        <v>582.36071000000004</v>
      </c>
      <c r="AX322" s="1">
        <v>159</v>
      </c>
      <c r="AY322" s="12">
        <v>38.759619999999998</v>
      </c>
      <c r="AZ322" s="3">
        <f t="shared" si="66"/>
        <v>40.425269999999998</v>
      </c>
    </row>
    <row r="323" spans="2:52" ht="16" x14ac:dyDescent="0.2">
      <c r="B323" s="4">
        <v>200.02078</v>
      </c>
      <c r="C323" s="1">
        <v>159.5</v>
      </c>
      <c r="D323" s="5">
        <v>99.143349999999998</v>
      </c>
      <c r="E323" s="3">
        <f t="shared" si="59"/>
        <v>100.26979</v>
      </c>
      <c r="F323" s="1">
        <f t="shared" si="73"/>
        <v>7.5346938435120027E-3</v>
      </c>
      <c r="I323" s="4">
        <v>225.00300999999999</v>
      </c>
      <c r="J323" s="1">
        <v>159.5</v>
      </c>
      <c r="K323" s="5">
        <v>91.987799999999993</v>
      </c>
      <c r="L323" s="3">
        <f t="shared" si="60"/>
        <v>95.57486999999999</v>
      </c>
      <c r="M323" s="1">
        <f t="shared" si="72"/>
        <v>8.2062949816083919E-2</v>
      </c>
      <c r="P323" s="4">
        <v>225.01938999999999</v>
      </c>
      <c r="Q323" s="1">
        <v>159.5</v>
      </c>
      <c r="R323" s="5">
        <v>98.657020000000003</v>
      </c>
      <c r="S323" s="3">
        <f t="shared" si="61"/>
        <v>98.58120000000001</v>
      </c>
      <c r="T323" s="1">
        <f t="shared" si="71"/>
        <v>2.6430510127157261E-2</v>
      </c>
      <c r="W323" s="4">
        <v>250.01102</v>
      </c>
      <c r="X323" s="1">
        <v>159.5</v>
      </c>
      <c r="Y323" s="3">
        <v>87.450090000000003</v>
      </c>
      <c r="Z323" s="3">
        <f t="shared" si="62"/>
        <v>92.890920000000008</v>
      </c>
      <c r="AA323" s="1">
        <f t="shared" si="70"/>
        <v>0.12646849629965731</v>
      </c>
      <c r="AD323" s="4">
        <v>250.01743999999999</v>
      </c>
      <c r="AE323" s="1">
        <v>159.5</v>
      </c>
      <c r="AF323" s="3">
        <v>95.579800000000006</v>
      </c>
      <c r="AG323" s="3">
        <f t="shared" si="63"/>
        <v>95.841290000000001</v>
      </c>
      <c r="AH323" s="1">
        <f t="shared" si="69"/>
        <v>7.7817654657504412E-2</v>
      </c>
      <c r="AW323" s="11">
        <v>583.85549000000003</v>
      </c>
      <c r="AX323" s="1">
        <v>159.5</v>
      </c>
      <c r="AY323" s="13">
        <v>38.70449</v>
      </c>
      <c r="AZ323" s="3">
        <f t="shared" si="66"/>
        <v>40.370139999999999</v>
      </c>
    </row>
    <row r="324" spans="2:52" ht="16" x14ac:dyDescent="0.2">
      <c r="B324" s="4">
        <v>200.01226</v>
      </c>
      <c r="C324" s="1">
        <v>160</v>
      </c>
      <c r="D324" s="3">
        <v>99.289540000000002</v>
      </c>
      <c r="E324" s="3">
        <f t="shared" si="59"/>
        <v>100.41598</v>
      </c>
      <c r="F324" s="1">
        <f t="shared" si="73"/>
        <v>5.1124906703772215E-3</v>
      </c>
      <c r="I324" s="4">
        <v>225.00405000000001</v>
      </c>
      <c r="J324" s="1">
        <v>160</v>
      </c>
      <c r="K324" s="3">
        <v>91.980369999999994</v>
      </c>
      <c r="L324" s="3">
        <f t="shared" si="60"/>
        <v>95.567439999999991</v>
      </c>
      <c r="M324" s="1">
        <f t="shared" si="72"/>
        <v>8.2186310054727374E-2</v>
      </c>
      <c r="P324" s="4">
        <v>225.01799</v>
      </c>
      <c r="Q324" s="1">
        <v>160</v>
      </c>
      <c r="R324" s="3">
        <v>98.64658</v>
      </c>
      <c r="S324" s="3">
        <f t="shared" si="61"/>
        <v>98.570760000000007</v>
      </c>
      <c r="T324" s="1">
        <f t="shared" si="71"/>
        <v>2.660445096424293E-2</v>
      </c>
      <c r="W324" s="4">
        <v>250.00403</v>
      </c>
      <c r="X324" s="1">
        <v>160</v>
      </c>
      <c r="Y324" s="5">
        <v>87.448059999999998</v>
      </c>
      <c r="Z324" s="3">
        <f t="shared" si="62"/>
        <v>92.888890000000004</v>
      </c>
      <c r="AA324" s="1">
        <f t="shared" si="70"/>
        <v>0.12650220378602745</v>
      </c>
      <c r="AD324" s="4">
        <v>250.01783</v>
      </c>
      <c r="AE324" s="1">
        <v>160</v>
      </c>
      <c r="AF324" s="5">
        <v>95.6661</v>
      </c>
      <c r="AG324" s="3">
        <f t="shared" si="63"/>
        <v>95.927589999999995</v>
      </c>
      <c r="AH324" s="1">
        <f t="shared" si="69"/>
        <v>7.6384976700443766E-2</v>
      </c>
      <c r="AW324" s="11">
        <v>585.35239000000001</v>
      </c>
      <c r="AX324" s="1">
        <v>160</v>
      </c>
      <c r="AY324" s="12">
        <v>38.650149999999996</v>
      </c>
      <c r="AZ324" s="3">
        <f t="shared" si="66"/>
        <v>40.315799999999996</v>
      </c>
    </row>
    <row r="325" spans="2:52" ht="16" x14ac:dyDescent="0.2">
      <c r="B325" s="4">
        <v>199.99888000000001</v>
      </c>
      <c r="C325" s="1">
        <v>160.5</v>
      </c>
      <c r="D325" s="5">
        <v>99.185429999999997</v>
      </c>
      <c r="E325" s="3">
        <f t="shared" ref="E325:E388" si="74">100-($D$4-D325)</f>
        <v>100.31187</v>
      </c>
      <c r="F325" s="1">
        <f t="shared" si="73"/>
        <v>6.8374757743861724E-3</v>
      </c>
      <c r="I325" s="4">
        <v>225.00209000000001</v>
      </c>
      <c r="J325" s="1">
        <v>160.5</v>
      </c>
      <c r="K325" s="5">
        <v>91.968950000000007</v>
      </c>
      <c r="L325" s="3">
        <f t="shared" ref="L325:L388" si="75">100-($K$4-K325)</f>
        <v>95.556020000000004</v>
      </c>
      <c r="M325" s="1">
        <f t="shared" si="72"/>
        <v>8.2375916235791533E-2</v>
      </c>
      <c r="P325" s="4">
        <v>225.01445000000001</v>
      </c>
      <c r="Q325" s="1">
        <v>160.5</v>
      </c>
      <c r="R325" s="5">
        <v>98.674580000000006</v>
      </c>
      <c r="S325" s="3">
        <f t="shared" ref="S325:S388" si="76">100-($R$4-R325)</f>
        <v>98.598760000000013</v>
      </c>
      <c r="T325" s="1">
        <f t="shared" si="71"/>
        <v>2.6137942972059167E-2</v>
      </c>
      <c r="W325" s="4">
        <v>250.005</v>
      </c>
      <c r="X325" s="1">
        <v>160.5</v>
      </c>
      <c r="Y325" s="3">
        <v>87.438659999999999</v>
      </c>
      <c r="Z325" s="3">
        <f t="shared" ref="Z325:Z388" si="77">100-($Y$4-Y325)</f>
        <v>92.879490000000004</v>
      </c>
      <c r="AA325" s="1">
        <f t="shared" si="70"/>
        <v>0.12665828771306117</v>
      </c>
      <c r="AD325" s="4">
        <v>250.02047999999999</v>
      </c>
      <c r="AE325" s="1">
        <v>160.5</v>
      </c>
      <c r="AF325" s="3">
        <v>95.689520000000002</v>
      </c>
      <c r="AG325" s="3">
        <f t="shared" ref="AG325:AG388" si="78">100-($AF$4-AF325)</f>
        <v>95.951009999999997</v>
      </c>
      <c r="AH325" s="1">
        <f t="shared" si="69"/>
        <v>7.5996178116963298E-2</v>
      </c>
      <c r="AW325" s="11">
        <v>586.86533999999995</v>
      </c>
      <c r="AX325" s="1">
        <v>160.5</v>
      </c>
      <c r="AY325" s="13">
        <v>38.647109999999998</v>
      </c>
      <c r="AZ325" s="3">
        <f t="shared" ref="AZ325:AZ333" si="79">100-($AY$4-AY325)</f>
        <v>40.312759999999997</v>
      </c>
    </row>
    <row r="326" spans="2:52" ht="16" x14ac:dyDescent="0.2">
      <c r="B326" s="4">
        <v>199.9873</v>
      </c>
      <c r="C326" s="1">
        <v>161</v>
      </c>
      <c r="D326" s="3">
        <v>99.191090000000003</v>
      </c>
      <c r="E326" s="3">
        <f t="shared" si="74"/>
        <v>100.31753</v>
      </c>
      <c r="F326" s="1">
        <f t="shared" si="73"/>
        <v>6.7436959675597347E-3</v>
      </c>
      <c r="I326" s="4">
        <v>225.00194999999999</v>
      </c>
      <c r="J326" s="1">
        <v>161</v>
      </c>
      <c r="K326" s="3">
        <v>91.963719999999995</v>
      </c>
      <c r="L326" s="3">
        <f t="shared" si="75"/>
        <v>95.550789999999992</v>
      </c>
      <c r="M326" s="1">
        <f t="shared" si="72"/>
        <v>8.2462749889641709E-2</v>
      </c>
      <c r="P326" s="4">
        <v>225.01122000000001</v>
      </c>
      <c r="Q326" s="1">
        <v>161</v>
      </c>
      <c r="R326" s="3">
        <v>98.607849999999999</v>
      </c>
      <c r="S326" s="3">
        <f t="shared" si="76"/>
        <v>98.532030000000006</v>
      </c>
      <c r="T326" s="1">
        <f t="shared" si="71"/>
        <v>2.7249731483431284E-2</v>
      </c>
      <c r="W326" s="4">
        <v>250.00001</v>
      </c>
      <c r="X326" s="1">
        <v>161</v>
      </c>
      <c r="Y326" s="5">
        <v>87.405950000000004</v>
      </c>
      <c r="Z326" s="3">
        <f t="shared" si="77"/>
        <v>92.84678000000001</v>
      </c>
      <c r="AA326" s="1">
        <f t="shared" si="70"/>
        <v>0.12720142656979228</v>
      </c>
      <c r="AD326" s="4">
        <v>250.02213</v>
      </c>
      <c r="AE326" s="1">
        <v>161</v>
      </c>
      <c r="AF326" s="5">
        <v>95.673280000000005</v>
      </c>
      <c r="AG326" s="3">
        <f t="shared" si="78"/>
        <v>95.93477</v>
      </c>
      <c r="AH326" s="1">
        <f t="shared" si="69"/>
        <v>7.6265780550597836E-2</v>
      </c>
      <c r="AW326" s="11">
        <v>588.36443999999995</v>
      </c>
      <c r="AX326" s="1">
        <v>161</v>
      </c>
      <c r="AY326" s="12">
        <v>38.698590000000003</v>
      </c>
      <c r="AZ326" s="3">
        <f t="shared" si="79"/>
        <v>40.364240000000002</v>
      </c>
    </row>
    <row r="327" spans="2:52" ht="16" x14ac:dyDescent="0.2">
      <c r="B327" s="4">
        <v>199.9931</v>
      </c>
      <c r="C327" s="1">
        <v>161.5</v>
      </c>
      <c r="D327" s="5">
        <v>99.258809999999997</v>
      </c>
      <c r="E327" s="3">
        <f t="shared" si="74"/>
        <v>100.38525</v>
      </c>
      <c r="F327" s="1">
        <f t="shared" si="73"/>
        <v>5.6216520597365685E-3</v>
      </c>
      <c r="I327" s="4">
        <v>225.00588999999999</v>
      </c>
      <c r="J327" s="1">
        <v>161.5</v>
      </c>
      <c r="K327" s="5">
        <v>91.963470000000001</v>
      </c>
      <c r="L327" s="3">
        <f t="shared" si="75"/>
        <v>95.550539999999998</v>
      </c>
      <c r="M327" s="1">
        <f t="shared" si="72"/>
        <v>8.2466900637913593E-2</v>
      </c>
      <c r="P327" s="4">
        <v>225.00900999999999</v>
      </c>
      <c r="Q327" s="1">
        <v>161.5</v>
      </c>
      <c r="R327" s="5">
        <v>98.586209999999994</v>
      </c>
      <c r="S327" s="3">
        <f t="shared" si="76"/>
        <v>98.510390000000001</v>
      </c>
      <c r="T327" s="1">
        <f t="shared" si="71"/>
        <v>2.7610275517390457E-2</v>
      </c>
      <c r="W327" s="4">
        <v>250.00391999999999</v>
      </c>
      <c r="X327" s="1">
        <v>161.5</v>
      </c>
      <c r="Y327" s="3">
        <v>87.394530000000003</v>
      </c>
      <c r="Z327" s="3">
        <f t="shared" si="77"/>
        <v>92.835360000000009</v>
      </c>
      <c r="AA327" s="1">
        <f t="shared" si="70"/>
        <v>0.12739105193646519</v>
      </c>
      <c r="AD327" s="4">
        <v>250.02061</v>
      </c>
      <c r="AE327" s="1">
        <v>161.5</v>
      </c>
      <c r="AF327" s="3">
        <v>95.626509999999996</v>
      </c>
      <c r="AG327" s="3">
        <f t="shared" si="78"/>
        <v>95.887999999999991</v>
      </c>
      <c r="AH327" s="1">
        <f t="shared" si="69"/>
        <v>7.7042215638103567E-2</v>
      </c>
      <c r="AW327" s="11">
        <v>589.86035000000004</v>
      </c>
      <c r="AX327" s="1">
        <v>161.5</v>
      </c>
      <c r="AY327" s="13">
        <v>38.665109999999999</v>
      </c>
      <c r="AZ327" s="3">
        <f t="shared" si="79"/>
        <v>40.330759999999998</v>
      </c>
    </row>
    <row r="328" spans="2:52" ht="16" x14ac:dyDescent="0.2">
      <c r="B328" s="4">
        <v>200.01701</v>
      </c>
      <c r="C328" s="1">
        <v>162</v>
      </c>
      <c r="D328" s="3">
        <v>99.14479</v>
      </c>
      <c r="E328" s="3">
        <f t="shared" si="74"/>
        <v>100.27123</v>
      </c>
      <c r="F328" s="1">
        <f t="shared" si="73"/>
        <v>7.5108346700437792E-3</v>
      </c>
      <c r="I328" s="4">
        <v>225.00697</v>
      </c>
      <c r="J328" s="1">
        <v>162</v>
      </c>
      <c r="K328" s="3">
        <v>91.930639999999997</v>
      </c>
      <c r="L328" s="3">
        <f t="shared" si="75"/>
        <v>95.517709999999994</v>
      </c>
      <c r="M328" s="1">
        <f t="shared" si="72"/>
        <v>8.3011976900991047E-2</v>
      </c>
      <c r="P328" s="4">
        <v>225.00982999999999</v>
      </c>
      <c r="Q328" s="1">
        <v>162</v>
      </c>
      <c r="R328" s="3">
        <v>98.697419999999994</v>
      </c>
      <c r="S328" s="3">
        <f t="shared" si="76"/>
        <v>98.621600000000001</v>
      </c>
      <c r="T328" s="1">
        <f t="shared" si="71"/>
        <v>2.5757405738435261E-2</v>
      </c>
      <c r="W328" s="4">
        <v>250.00002000000001</v>
      </c>
      <c r="X328" s="1">
        <v>162</v>
      </c>
      <c r="Y328" s="5">
        <v>87.379260000000002</v>
      </c>
      <c r="Z328" s="3">
        <f t="shared" si="77"/>
        <v>92.820090000000008</v>
      </c>
      <c r="AA328" s="1">
        <f t="shared" si="70"/>
        <v>0.12764460529452956</v>
      </c>
      <c r="AD328" s="4">
        <v>250.01921999999999</v>
      </c>
      <c r="AE328" s="1">
        <v>162</v>
      </c>
      <c r="AF328" s="5">
        <v>95.647000000000006</v>
      </c>
      <c r="AG328" s="3">
        <f t="shared" si="78"/>
        <v>95.90849</v>
      </c>
      <c r="AH328" s="1">
        <f t="shared" si="69"/>
        <v>7.6702058380395705E-2</v>
      </c>
      <c r="AW328" s="11">
        <v>591.36630000000002</v>
      </c>
      <c r="AX328" s="1">
        <v>162</v>
      </c>
      <c r="AY328" s="12">
        <v>38.579509999999999</v>
      </c>
      <c r="AZ328" s="3">
        <f t="shared" si="79"/>
        <v>40.245159999999998</v>
      </c>
    </row>
    <row r="329" spans="2:52" ht="16" x14ac:dyDescent="0.2">
      <c r="B329" s="4">
        <v>200.04039</v>
      </c>
      <c r="C329" s="1">
        <v>162.5</v>
      </c>
      <c r="D329" s="5">
        <v>99.34657</v>
      </c>
      <c r="E329" s="3">
        <f t="shared" si="74"/>
        <v>100.47301</v>
      </c>
      <c r="F329" s="1">
        <f t="shared" si="73"/>
        <v>4.167567987814349E-3</v>
      </c>
      <c r="I329" s="4">
        <v>225.00201999999999</v>
      </c>
      <c r="J329" s="1">
        <v>162.5</v>
      </c>
      <c r="K329" s="5">
        <v>91.908159999999995</v>
      </c>
      <c r="L329" s="3">
        <f t="shared" si="75"/>
        <v>95.495229999999992</v>
      </c>
      <c r="M329" s="1">
        <f t="shared" si="72"/>
        <v>8.3385212185608168E-2</v>
      </c>
      <c r="P329" s="4">
        <v>225.00962000000001</v>
      </c>
      <c r="Q329" s="1">
        <v>162.5</v>
      </c>
      <c r="R329" s="5">
        <v>98.712620000000001</v>
      </c>
      <c r="S329" s="3">
        <f t="shared" si="76"/>
        <v>98.636800000000008</v>
      </c>
      <c r="T329" s="1">
        <f t="shared" si="71"/>
        <v>2.5504158542678294E-2</v>
      </c>
      <c r="W329" s="4">
        <v>250.00802999999999</v>
      </c>
      <c r="X329" s="1">
        <v>162.5</v>
      </c>
      <c r="Y329" s="3">
        <v>87.346630000000005</v>
      </c>
      <c r="Z329" s="3">
        <f t="shared" si="77"/>
        <v>92.78746000000001</v>
      </c>
      <c r="AA329" s="1">
        <f t="shared" si="70"/>
        <v>0.12818641577741363</v>
      </c>
      <c r="AD329" s="4">
        <v>250.01569000000001</v>
      </c>
      <c r="AE329" s="1">
        <v>162.5</v>
      </c>
      <c r="AF329" s="3">
        <v>95.544560000000004</v>
      </c>
      <c r="AG329" s="3">
        <f t="shared" si="78"/>
        <v>95.806049999999999</v>
      </c>
      <c r="AH329" s="1">
        <f t="shared" si="69"/>
        <v>7.8402678657583463E-2</v>
      </c>
      <c r="AW329" s="11">
        <v>592.85451</v>
      </c>
      <c r="AX329" s="1">
        <v>162.5</v>
      </c>
      <c r="AY329" s="13">
        <v>38.808280000000003</v>
      </c>
      <c r="AZ329" s="3">
        <f t="shared" si="79"/>
        <v>40.473930000000003</v>
      </c>
    </row>
    <row r="330" spans="2:52" ht="16" x14ac:dyDescent="0.2">
      <c r="B330" s="4">
        <v>200.04625999999999</v>
      </c>
      <c r="C330" s="1">
        <v>163</v>
      </c>
      <c r="D330" s="3">
        <v>99.275700000000001</v>
      </c>
      <c r="E330" s="3">
        <f t="shared" si="74"/>
        <v>100.40214</v>
      </c>
      <c r="F330" s="1">
        <f t="shared" si="73"/>
        <v>5.3418038375992538E-3</v>
      </c>
      <c r="I330" s="4">
        <v>225.01098999999999</v>
      </c>
      <c r="J330" s="1">
        <v>163</v>
      </c>
      <c r="K330" s="3">
        <v>91.91995</v>
      </c>
      <c r="L330" s="3">
        <f t="shared" si="75"/>
        <v>95.507019999999997</v>
      </c>
      <c r="M330" s="1">
        <f t="shared" si="72"/>
        <v>8.3189462897101163E-2</v>
      </c>
      <c r="P330" s="4">
        <v>225.00987000000001</v>
      </c>
      <c r="Q330" s="1">
        <v>163</v>
      </c>
      <c r="R330" s="3">
        <v>98.683949999999996</v>
      </c>
      <c r="S330" s="3">
        <f t="shared" si="76"/>
        <v>98.608130000000003</v>
      </c>
      <c r="T330" s="1">
        <f t="shared" si="71"/>
        <v>2.5981829404675017E-2</v>
      </c>
      <c r="W330" s="4">
        <v>250.01402999999999</v>
      </c>
      <c r="X330" s="1">
        <v>163</v>
      </c>
      <c r="Y330" s="5">
        <v>87.327529999999996</v>
      </c>
      <c r="Z330" s="3">
        <f t="shared" si="77"/>
        <v>92.768360000000001</v>
      </c>
      <c r="AA330" s="1">
        <f t="shared" si="70"/>
        <v>0.12850356503340785</v>
      </c>
      <c r="AD330" s="4">
        <v>250.01226</v>
      </c>
      <c r="AE330" s="1">
        <v>163</v>
      </c>
      <c r="AF330" s="5">
        <v>95.660709999999995</v>
      </c>
      <c r="AG330" s="3">
        <f t="shared" si="78"/>
        <v>95.922199999999989</v>
      </c>
      <c r="AH330" s="1">
        <f t="shared" ref="AH330:AH393" si="80">($AG$9-AG330)/($AG$9*(1-$N$1))</f>
        <v>7.6474456818503622E-2</v>
      </c>
      <c r="AW330" s="11">
        <v>594.36051999999995</v>
      </c>
      <c r="AX330" s="1">
        <v>163</v>
      </c>
      <c r="AY330" s="12">
        <v>38.633040000000001</v>
      </c>
      <c r="AZ330" s="3">
        <f t="shared" si="79"/>
        <v>40.298690000000001</v>
      </c>
    </row>
    <row r="331" spans="2:52" ht="16" x14ac:dyDescent="0.2">
      <c r="B331" s="4">
        <v>200.04319000000001</v>
      </c>
      <c r="C331" s="1">
        <v>163.5</v>
      </c>
      <c r="D331" s="5">
        <v>99.208110000000005</v>
      </c>
      <c r="E331" s="3">
        <f t="shared" si="74"/>
        <v>100.33455000000001</v>
      </c>
      <c r="F331" s="1">
        <f t="shared" si="73"/>
        <v>6.4616937922621197E-3</v>
      </c>
      <c r="I331" s="4">
        <v>225.00611000000001</v>
      </c>
      <c r="J331" s="1">
        <v>163.5</v>
      </c>
      <c r="K331" s="5">
        <v>91.933930000000004</v>
      </c>
      <c r="L331" s="3">
        <f t="shared" si="75"/>
        <v>95.521000000000001</v>
      </c>
      <c r="M331" s="1">
        <f t="shared" si="72"/>
        <v>8.2957353053731572E-2</v>
      </c>
      <c r="P331" s="4">
        <v>225.01302000000001</v>
      </c>
      <c r="Q331" s="1">
        <v>163.5</v>
      </c>
      <c r="R331" s="5">
        <v>98.628990000000002</v>
      </c>
      <c r="S331" s="3">
        <f t="shared" si="76"/>
        <v>98.553170000000009</v>
      </c>
      <c r="T331" s="1">
        <f t="shared" si="71"/>
        <v>2.689751794933257E-2</v>
      </c>
      <c r="W331" s="4">
        <v>250.01803000000001</v>
      </c>
      <c r="X331" s="1">
        <v>163.5</v>
      </c>
      <c r="Y331" s="3">
        <v>87.30453</v>
      </c>
      <c r="Z331" s="3">
        <f t="shared" si="77"/>
        <v>92.745360000000005</v>
      </c>
      <c r="AA331" s="1">
        <f t="shared" si="70"/>
        <v>0.12888547251444776</v>
      </c>
      <c r="AD331" s="4">
        <v>250.01092</v>
      </c>
      <c r="AE331" s="1">
        <v>163.5</v>
      </c>
      <c r="AF331" s="3">
        <v>95.537819999999996</v>
      </c>
      <c r="AG331" s="3">
        <f t="shared" si="78"/>
        <v>95.799309999999991</v>
      </c>
      <c r="AH331" s="1">
        <f t="shared" si="80"/>
        <v>7.8514570307995982E-2</v>
      </c>
      <c r="AW331" s="11">
        <v>595.87234999999998</v>
      </c>
      <c r="AX331" s="1">
        <v>163.5</v>
      </c>
      <c r="AY331" s="13">
        <v>38.682720000000003</v>
      </c>
      <c r="AZ331" s="3">
        <f t="shared" si="79"/>
        <v>40.348370000000003</v>
      </c>
    </row>
    <row r="332" spans="2:52" ht="16" x14ac:dyDescent="0.2">
      <c r="B332" s="4">
        <v>200.03892999999999</v>
      </c>
      <c r="C332" s="1">
        <v>164</v>
      </c>
      <c r="D332" s="3">
        <v>99.135339999999999</v>
      </c>
      <c r="E332" s="3">
        <f t="shared" si="74"/>
        <v>100.26178</v>
      </c>
      <c r="F332" s="1">
        <f t="shared" si="73"/>
        <v>7.6674104959287611E-3</v>
      </c>
      <c r="I332" s="4">
        <v>225.00584000000001</v>
      </c>
      <c r="J332" s="1">
        <v>164</v>
      </c>
      <c r="K332" s="3">
        <v>91.875500000000002</v>
      </c>
      <c r="L332" s="3">
        <f t="shared" si="75"/>
        <v>95.462569999999999</v>
      </c>
      <c r="M332" s="1">
        <f t="shared" si="72"/>
        <v>8.3927465939860474E-2</v>
      </c>
      <c r="P332" s="4">
        <v>225.01473999999999</v>
      </c>
      <c r="Q332" s="1">
        <v>164</v>
      </c>
      <c r="R332" s="3">
        <v>98.595849999999999</v>
      </c>
      <c r="S332" s="3">
        <f t="shared" si="76"/>
        <v>98.520030000000006</v>
      </c>
      <c r="T332" s="1">
        <f t="shared" si="71"/>
        <v>2.7449663480081432E-2</v>
      </c>
      <c r="W332" s="4">
        <v>250.01701</v>
      </c>
      <c r="X332" s="1">
        <v>164</v>
      </c>
      <c r="Y332" s="5">
        <v>87.283249999999995</v>
      </c>
      <c r="Z332" s="3">
        <f t="shared" si="77"/>
        <v>92.724080000000001</v>
      </c>
      <c r="AA332" s="1">
        <f t="shared" ref="AA332:AA395" si="81">($Z$11-Z332)/($Z$11*(1-$N$1))</f>
        <v>0.12923881995777525</v>
      </c>
      <c r="AD332" s="4">
        <v>250.01325</v>
      </c>
      <c r="AE332" s="1">
        <v>164</v>
      </c>
      <c r="AF332" s="5">
        <v>95.587569999999999</v>
      </c>
      <c r="AG332" s="3">
        <f t="shared" si="78"/>
        <v>95.849059999999994</v>
      </c>
      <c r="AH332" s="1">
        <f t="shared" si="80"/>
        <v>7.7688663837963814E-2</v>
      </c>
      <c r="AW332" s="11">
        <v>597.37027</v>
      </c>
      <c r="AX332" s="1">
        <v>164</v>
      </c>
      <c r="AY332" s="12">
        <v>38.565269999999998</v>
      </c>
      <c r="AZ332" s="3">
        <f t="shared" si="79"/>
        <v>40.230919999999998</v>
      </c>
    </row>
    <row r="333" spans="2:52" ht="16" x14ac:dyDescent="0.2">
      <c r="B333" s="4">
        <v>200.03697</v>
      </c>
      <c r="C333" s="1">
        <v>164.5</v>
      </c>
      <c r="D333" s="5">
        <v>99.294979999999995</v>
      </c>
      <c r="E333" s="3">
        <f t="shared" si="74"/>
        <v>100.42142</v>
      </c>
      <c r="F333" s="1">
        <f t="shared" si="73"/>
        <v>5.0223560150530824E-3</v>
      </c>
      <c r="I333" s="4">
        <v>225.00709000000001</v>
      </c>
      <c r="J333" s="1">
        <v>164.5</v>
      </c>
      <c r="K333" s="5">
        <v>91.896460000000005</v>
      </c>
      <c r="L333" s="3">
        <f t="shared" si="75"/>
        <v>95.483530000000002</v>
      </c>
      <c r="M333" s="1">
        <f t="shared" si="72"/>
        <v>8.3579467204737024E-2</v>
      </c>
      <c r="P333" s="4">
        <v>225.01495</v>
      </c>
      <c r="Q333" s="1">
        <v>164.5</v>
      </c>
      <c r="R333" s="5">
        <v>98.683300000000003</v>
      </c>
      <c r="S333" s="3">
        <f t="shared" si="76"/>
        <v>98.60748000000001</v>
      </c>
      <c r="T333" s="1">
        <f t="shared" si="71"/>
        <v>2.5992659054493453E-2</v>
      </c>
      <c r="W333" s="4">
        <v>250.00794999999999</v>
      </c>
      <c r="X333" s="1">
        <v>164.5</v>
      </c>
      <c r="Y333" s="3">
        <v>87.264080000000007</v>
      </c>
      <c r="Z333" s="3">
        <f t="shared" si="77"/>
        <v>92.704910000000012</v>
      </c>
      <c r="AA333" s="1">
        <f t="shared" si="81"/>
        <v>0.12955713154088533</v>
      </c>
      <c r="AD333" s="4">
        <v>250.01415</v>
      </c>
      <c r="AE333" s="1">
        <v>164.5</v>
      </c>
      <c r="AF333" s="3">
        <v>95.499939999999995</v>
      </c>
      <c r="AG333" s="3">
        <f t="shared" si="78"/>
        <v>95.76142999999999</v>
      </c>
      <c r="AH333" s="1">
        <f t="shared" si="80"/>
        <v>7.9143421304675735E-2</v>
      </c>
      <c r="AW333" s="11">
        <v>598.86617999999999</v>
      </c>
      <c r="AX333" s="1">
        <v>164.5</v>
      </c>
      <c r="AY333" s="13">
        <v>38.525419999999997</v>
      </c>
      <c r="AZ333" s="3">
        <f t="shared" si="79"/>
        <v>40.191069999999996</v>
      </c>
    </row>
    <row r="334" spans="2:52" x14ac:dyDescent="0.2">
      <c r="B334" s="4">
        <v>200.04217</v>
      </c>
      <c r="C334" s="1">
        <v>165</v>
      </c>
      <c r="D334" s="3">
        <v>99.217699999999994</v>
      </c>
      <c r="E334" s="3">
        <f t="shared" si="74"/>
        <v>100.34414</v>
      </c>
      <c r="F334" s="1">
        <f t="shared" si="73"/>
        <v>6.3027983245123806E-3</v>
      </c>
      <c r="I334" s="4">
        <v>225.00297</v>
      </c>
      <c r="J334" s="1">
        <v>165</v>
      </c>
      <c r="K334" s="3">
        <v>91.883470000000003</v>
      </c>
      <c r="L334" s="3">
        <f t="shared" si="75"/>
        <v>95.47054</v>
      </c>
      <c r="M334" s="1">
        <f t="shared" si="72"/>
        <v>8.379514008494951E-2</v>
      </c>
      <c r="P334" s="4">
        <v>225.01705000000001</v>
      </c>
      <c r="Q334" s="1">
        <v>165</v>
      </c>
      <c r="R334" s="3">
        <v>98.621790000000004</v>
      </c>
      <c r="S334" s="3">
        <f t="shared" si="76"/>
        <v>98.545970000000011</v>
      </c>
      <c r="T334" s="1">
        <f t="shared" ref="T334:T397" si="82">($S$13-S334)/($S$13*(1-$N$1))</f>
        <v>2.7017477147322614E-2</v>
      </c>
      <c r="W334" s="4">
        <v>250.00400999999999</v>
      </c>
      <c r="X334" s="1">
        <v>165</v>
      </c>
      <c r="Y334" s="5">
        <v>87.241190000000003</v>
      </c>
      <c r="Z334" s="3">
        <f t="shared" si="77"/>
        <v>92.682020000000009</v>
      </c>
      <c r="AA334" s="1">
        <f t="shared" si="81"/>
        <v>0.12993721250788562</v>
      </c>
      <c r="AD334" s="4">
        <v>250.01302999999999</v>
      </c>
      <c r="AE334" s="1">
        <v>165</v>
      </c>
      <c r="AF334" s="5">
        <v>95.523780000000002</v>
      </c>
      <c r="AG334" s="3">
        <f t="shared" si="78"/>
        <v>95.785269999999997</v>
      </c>
      <c r="AH334" s="1">
        <f t="shared" si="80"/>
        <v>7.8747650244463244E-2</v>
      </c>
    </row>
    <row r="335" spans="2:52" x14ac:dyDescent="0.2">
      <c r="B335" s="4">
        <v>200.05247</v>
      </c>
      <c r="C335" s="1">
        <v>165.5</v>
      </c>
      <c r="D335" s="5">
        <v>99.163550000000001</v>
      </c>
      <c r="E335" s="3">
        <f t="shared" si="74"/>
        <v>100.28999</v>
      </c>
      <c r="F335" s="1">
        <f t="shared" si="73"/>
        <v>7.2000026601388061E-3</v>
      </c>
      <c r="I335" s="4">
        <v>225.00595999999999</v>
      </c>
      <c r="J335" s="1">
        <v>165.5</v>
      </c>
      <c r="K335" s="5">
        <v>91.874030000000005</v>
      </c>
      <c r="L335" s="3">
        <f t="shared" si="75"/>
        <v>95.461100000000002</v>
      </c>
      <c r="M335" s="1">
        <f t="shared" si="72"/>
        <v>8.3951872339699724E-2</v>
      </c>
      <c r="P335" s="4">
        <v>225.01776000000001</v>
      </c>
      <c r="Q335" s="1">
        <v>165.5</v>
      </c>
      <c r="R335" s="5">
        <v>98.688069999999996</v>
      </c>
      <c r="S335" s="3">
        <f t="shared" si="76"/>
        <v>98.612250000000003</v>
      </c>
      <c r="T335" s="1">
        <f t="shared" si="82"/>
        <v>2.591318608582513E-2</v>
      </c>
      <c r="W335" s="4">
        <v>250.00501</v>
      </c>
      <c r="X335" s="1">
        <v>165.5</v>
      </c>
      <c r="Y335" s="3">
        <v>87.208659999999995</v>
      </c>
      <c r="Z335" s="3">
        <f t="shared" si="77"/>
        <v>92.64949</v>
      </c>
      <c r="AA335" s="1">
        <f t="shared" si="81"/>
        <v>0.13047736252346101</v>
      </c>
      <c r="AD335" s="4">
        <v>250.01528999999999</v>
      </c>
      <c r="AE335" s="1">
        <v>165.5</v>
      </c>
      <c r="AF335" s="3">
        <v>95.495440000000002</v>
      </c>
      <c r="AG335" s="3">
        <f t="shared" si="78"/>
        <v>95.756929999999997</v>
      </c>
      <c r="AH335" s="1">
        <f t="shared" si="80"/>
        <v>7.9218126412517728E-2</v>
      </c>
    </row>
    <row r="336" spans="2:52" x14ac:dyDescent="0.2">
      <c r="B336" s="4">
        <v>200.05385000000001</v>
      </c>
      <c r="C336" s="1">
        <v>166</v>
      </c>
      <c r="D336" s="3">
        <v>99.19811</v>
      </c>
      <c r="E336" s="3">
        <f t="shared" si="74"/>
        <v>100.32455</v>
      </c>
      <c r="F336" s="1">
        <f t="shared" si="73"/>
        <v>6.6273824969023789E-3</v>
      </c>
      <c r="I336" s="4">
        <v>225.00586000000001</v>
      </c>
      <c r="J336" s="1">
        <v>166</v>
      </c>
      <c r="K336" s="3">
        <v>91.866879999999995</v>
      </c>
      <c r="L336" s="3">
        <f t="shared" si="75"/>
        <v>95.453949999999992</v>
      </c>
      <c r="M336" s="1">
        <f t="shared" ref="M336:M399" si="83">($L$15-L336)/($L$15*(1-$N$1))</f>
        <v>8.4070583740278731E-2</v>
      </c>
      <c r="P336" s="4">
        <v>225.01687999999999</v>
      </c>
      <c r="Q336" s="1">
        <v>166</v>
      </c>
      <c r="R336" s="3">
        <v>98.581019999999995</v>
      </c>
      <c r="S336" s="3">
        <f t="shared" si="76"/>
        <v>98.505200000000002</v>
      </c>
      <c r="T336" s="1">
        <f t="shared" si="82"/>
        <v>2.7696746105941625E-2</v>
      </c>
      <c r="W336" s="4">
        <v>250.00603000000001</v>
      </c>
      <c r="X336" s="1">
        <v>166</v>
      </c>
      <c r="Y336" s="5">
        <v>87.193200000000004</v>
      </c>
      <c r="Z336" s="3">
        <f t="shared" si="77"/>
        <v>92.63403000000001</v>
      </c>
      <c r="AA336" s="1">
        <f t="shared" si="81"/>
        <v>0.13073407076941207</v>
      </c>
      <c r="AD336" s="4">
        <v>250.01678999999999</v>
      </c>
      <c r="AE336" s="1">
        <v>166</v>
      </c>
      <c r="AF336" s="5">
        <v>95.630700000000004</v>
      </c>
      <c r="AG336" s="3">
        <f t="shared" si="78"/>
        <v>95.892189999999999</v>
      </c>
      <c r="AH336" s="1">
        <f t="shared" si="80"/>
        <v>7.6972656882134893E-2</v>
      </c>
    </row>
    <row r="337" spans="2:34" x14ac:dyDescent="0.2">
      <c r="B337" s="4">
        <v>200.04608999999999</v>
      </c>
      <c r="C337" s="1">
        <v>166.5</v>
      </c>
      <c r="D337" s="5">
        <v>99.218410000000006</v>
      </c>
      <c r="E337" s="3">
        <f t="shared" si="74"/>
        <v>100.34485000000001</v>
      </c>
      <c r="F337" s="1">
        <f t="shared" si="73"/>
        <v>6.2910344264827259E-3</v>
      </c>
      <c r="I337" s="4">
        <v>225.00899000000001</v>
      </c>
      <c r="J337" s="1">
        <v>166.5</v>
      </c>
      <c r="K337" s="5">
        <v>91.861980000000003</v>
      </c>
      <c r="L337" s="3">
        <f t="shared" si="75"/>
        <v>95.44905</v>
      </c>
      <c r="M337" s="1">
        <f t="shared" si="83"/>
        <v>8.4151938406409554E-2</v>
      </c>
      <c r="P337" s="4">
        <v>225.01772</v>
      </c>
      <c r="Q337" s="1">
        <v>166.5</v>
      </c>
      <c r="R337" s="5">
        <v>98.518969999999996</v>
      </c>
      <c r="S337" s="3">
        <f t="shared" si="76"/>
        <v>98.443150000000003</v>
      </c>
      <c r="T337" s="1">
        <f t="shared" si="82"/>
        <v>2.8730561138620058E-2</v>
      </c>
      <c r="W337" s="4">
        <v>250.00299000000001</v>
      </c>
      <c r="X337" s="1">
        <v>166.5</v>
      </c>
      <c r="Y337" s="3">
        <v>87.174109999999999</v>
      </c>
      <c r="Z337" s="3">
        <f t="shared" si="77"/>
        <v>92.614940000000004</v>
      </c>
      <c r="AA337" s="1">
        <f t="shared" si="81"/>
        <v>0.13105105397867534</v>
      </c>
      <c r="AD337" s="4">
        <v>250.01715999999999</v>
      </c>
      <c r="AE337" s="1">
        <v>166.5</v>
      </c>
      <c r="AF337" s="3">
        <v>95.544589999999999</v>
      </c>
      <c r="AG337" s="3">
        <f t="shared" si="78"/>
        <v>95.806079999999994</v>
      </c>
      <c r="AH337" s="1">
        <f t="shared" si="80"/>
        <v>7.840218062353127E-2</v>
      </c>
    </row>
    <row r="338" spans="2:34" x14ac:dyDescent="0.2">
      <c r="B338" s="4">
        <v>200.03131999999999</v>
      </c>
      <c r="C338" s="1">
        <v>167</v>
      </c>
      <c r="D338" s="3">
        <v>99.188320000000004</v>
      </c>
      <c r="E338" s="3">
        <f t="shared" si="74"/>
        <v>100.31476000000001</v>
      </c>
      <c r="F338" s="1">
        <f t="shared" si="73"/>
        <v>6.7895917387450324E-3</v>
      </c>
      <c r="I338" s="4">
        <v>225.00594000000001</v>
      </c>
      <c r="J338" s="1">
        <v>167</v>
      </c>
      <c r="K338" s="3">
        <v>91.830190000000002</v>
      </c>
      <c r="L338" s="3">
        <f t="shared" si="75"/>
        <v>95.417259999999999</v>
      </c>
      <c r="M338" s="1">
        <f t="shared" si="83"/>
        <v>8.4679747556675469E-2</v>
      </c>
      <c r="P338" s="4">
        <v>225.01802000000001</v>
      </c>
      <c r="Q338" s="1">
        <v>167</v>
      </c>
      <c r="R338" s="3">
        <v>98.653919999999999</v>
      </c>
      <c r="S338" s="3">
        <f t="shared" si="76"/>
        <v>98.578100000000006</v>
      </c>
      <c r="T338" s="1">
        <f t="shared" si="82"/>
        <v>2.6482159226291938E-2</v>
      </c>
      <c r="W338" s="4">
        <v>249.99997999999999</v>
      </c>
      <c r="X338" s="1">
        <v>167</v>
      </c>
      <c r="Y338" s="5">
        <v>87.145169999999993</v>
      </c>
      <c r="Z338" s="3">
        <f t="shared" si="77"/>
        <v>92.585999999999999</v>
      </c>
      <c r="AA338" s="1">
        <f t="shared" si="81"/>
        <v>0.13153159321786226</v>
      </c>
      <c r="AD338" s="4">
        <v>250.01501999999999</v>
      </c>
      <c r="AE338" s="1">
        <v>167</v>
      </c>
      <c r="AF338" s="5">
        <v>95.506910000000005</v>
      </c>
      <c r="AG338" s="3">
        <f t="shared" si="78"/>
        <v>95.7684</v>
      </c>
      <c r="AH338" s="1">
        <f t="shared" si="80"/>
        <v>7.9027711393195699E-2</v>
      </c>
    </row>
    <row r="339" spans="2:34" x14ac:dyDescent="0.2">
      <c r="B339" s="4">
        <v>200.01573999999999</v>
      </c>
      <c r="C339" s="1">
        <v>167.5</v>
      </c>
      <c r="D339" s="5">
        <v>99.172809999999998</v>
      </c>
      <c r="E339" s="3">
        <f t="shared" si="74"/>
        <v>100.29925</v>
      </c>
      <c r="F339" s="1">
        <f t="shared" si="73"/>
        <v>7.0465749196420447E-3</v>
      </c>
      <c r="I339" s="4">
        <v>225.00197</v>
      </c>
      <c r="J339" s="1">
        <v>167.5</v>
      </c>
      <c r="K339" s="5">
        <v>91.843109999999996</v>
      </c>
      <c r="L339" s="3">
        <f t="shared" si="75"/>
        <v>95.430179999999993</v>
      </c>
      <c r="M339" s="1">
        <f t="shared" si="83"/>
        <v>8.4465236885979261E-2</v>
      </c>
      <c r="P339" s="4">
        <v>225.01517999999999</v>
      </c>
      <c r="Q339" s="1">
        <v>167.5</v>
      </c>
      <c r="R339" s="5">
        <v>98.643680000000003</v>
      </c>
      <c r="S339" s="3">
        <f t="shared" si="76"/>
        <v>98.56786000000001</v>
      </c>
      <c r="T339" s="1">
        <f t="shared" si="82"/>
        <v>2.6652767863433326E-2</v>
      </c>
      <c r="W339" s="4">
        <v>250.00402</v>
      </c>
      <c r="X339" s="1">
        <v>167.5</v>
      </c>
      <c r="Y339" s="3">
        <v>87.116439999999997</v>
      </c>
      <c r="Z339" s="3">
        <f t="shared" si="77"/>
        <v>92.557270000000003</v>
      </c>
      <c r="AA339" s="1">
        <f t="shared" si="81"/>
        <v>0.13200864547570038</v>
      </c>
      <c r="AD339" s="4">
        <v>250.01307</v>
      </c>
      <c r="AE339" s="1">
        <v>167.5</v>
      </c>
      <c r="AF339" s="3">
        <v>95.444659999999999</v>
      </c>
      <c r="AG339" s="3">
        <f t="shared" si="78"/>
        <v>95.706149999999994</v>
      </c>
      <c r="AH339" s="1">
        <f t="shared" si="80"/>
        <v>8.0061132051678197E-2</v>
      </c>
    </row>
    <row r="340" spans="2:34" x14ac:dyDescent="0.2">
      <c r="B340" s="4">
        <v>200.00582</v>
      </c>
      <c r="C340" s="1">
        <v>168</v>
      </c>
      <c r="D340" s="3">
        <v>99.168210000000002</v>
      </c>
      <c r="E340" s="3">
        <f t="shared" si="74"/>
        <v>100.29465</v>
      </c>
      <c r="F340" s="1">
        <f t="shared" si="73"/>
        <v>7.1227917237764648E-3</v>
      </c>
      <c r="I340" s="4">
        <v>225.00706</v>
      </c>
      <c r="J340" s="1">
        <v>168</v>
      </c>
      <c r="K340" s="3">
        <v>91.834130000000002</v>
      </c>
      <c r="L340" s="3">
        <f t="shared" si="75"/>
        <v>95.421199999999999</v>
      </c>
      <c r="M340" s="1">
        <f t="shared" si="83"/>
        <v>8.4614331763908951E-2</v>
      </c>
      <c r="P340" s="4">
        <v>225.01791</v>
      </c>
      <c r="Q340" s="1">
        <v>168</v>
      </c>
      <c r="R340" s="3">
        <v>98.66319</v>
      </c>
      <c r="S340" s="3">
        <f t="shared" si="76"/>
        <v>98.587370000000007</v>
      </c>
      <c r="T340" s="1">
        <f t="shared" si="82"/>
        <v>2.6327711758879692E-2</v>
      </c>
      <c r="W340" s="4">
        <v>250.00701000000001</v>
      </c>
      <c r="X340" s="1">
        <v>168</v>
      </c>
      <c r="Y340" s="5">
        <v>87.110860000000002</v>
      </c>
      <c r="Z340" s="3">
        <f t="shared" si="77"/>
        <v>92.551690000000008</v>
      </c>
      <c r="AA340" s="1">
        <f t="shared" si="81"/>
        <v>0.13210129955153521</v>
      </c>
      <c r="AD340" s="4">
        <v>250.00953999999999</v>
      </c>
      <c r="AE340" s="1">
        <v>168</v>
      </c>
      <c r="AF340" s="5">
        <v>95.375680000000003</v>
      </c>
      <c r="AG340" s="3">
        <f t="shared" si="78"/>
        <v>95.637169999999998</v>
      </c>
      <c r="AH340" s="1">
        <f t="shared" si="80"/>
        <v>8.1206278349222158E-2</v>
      </c>
    </row>
    <row r="341" spans="2:34" x14ac:dyDescent="0.2">
      <c r="B341" s="4">
        <v>200.00549000000001</v>
      </c>
      <c r="C341" s="1">
        <v>168.5</v>
      </c>
      <c r="D341" s="5">
        <v>99.197140000000005</v>
      </c>
      <c r="E341" s="3">
        <f t="shared" si="74"/>
        <v>100.32358000000001</v>
      </c>
      <c r="F341" s="1">
        <f t="shared" si="73"/>
        <v>6.6434543012523972E-3</v>
      </c>
      <c r="I341" s="4">
        <v>225.00399999999999</v>
      </c>
      <c r="J341" s="1">
        <v>168.5</v>
      </c>
      <c r="K341" s="5">
        <v>91.804950000000005</v>
      </c>
      <c r="L341" s="3">
        <f t="shared" si="75"/>
        <v>95.392020000000002</v>
      </c>
      <c r="M341" s="1">
        <f t="shared" si="83"/>
        <v>8.5098807102215263E-2</v>
      </c>
      <c r="P341" s="4">
        <v>225.01818</v>
      </c>
      <c r="Q341" s="1">
        <v>168.5</v>
      </c>
      <c r="R341" s="5">
        <v>98.640940000000001</v>
      </c>
      <c r="S341" s="3">
        <f t="shared" si="76"/>
        <v>98.565120000000007</v>
      </c>
      <c r="T341" s="1">
        <f t="shared" si="82"/>
        <v>2.6698419002668491E-2</v>
      </c>
      <c r="W341" s="4">
        <v>250.00797</v>
      </c>
      <c r="X341" s="1">
        <v>168.5</v>
      </c>
      <c r="Y341" s="3">
        <v>87.104830000000007</v>
      </c>
      <c r="Z341" s="3">
        <f t="shared" si="77"/>
        <v>92.545660000000012</v>
      </c>
      <c r="AA341" s="1">
        <f t="shared" si="81"/>
        <v>0.13220142573025997</v>
      </c>
      <c r="AD341" s="4">
        <v>250.01021</v>
      </c>
      <c r="AE341" s="1">
        <v>168.5</v>
      </c>
      <c r="AF341" s="3">
        <v>95.393529999999998</v>
      </c>
      <c r="AG341" s="3">
        <f t="shared" si="78"/>
        <v>95.655019999999993</v>
      </c>
      <c r="AH341" s="1">
        <f t="shared" si="80"/>
        <v>8.0909948088115233E-2</v>
      </c>
    </row>
    <row r="342" spans="2:34" x14ac:dyDescent="0.2">
      <c r="B342" s="4">
        <v>200.00892999999999</v>
      </c>
      <c r="C342" s="1">
        <v>169</v>
      </c>
      <c r="D342" s="3">
        <v>99.217479999999995</v>
      </c>
      <c r="E342" s="3">
        <f t="shared" si="74"/>
        <v>100.34392</v>
      </c>
      <c r="F342" s="1">
        <f t="shared" si="73"/>
        <v>6.3064434760144441E-3</v>
      </c>
      <c r="I342" s="4">
        <v>225.00693000000001</v>
      </c>
      <c r="J342" s="1">
        <v>169</v>
      </c>
      <c r="K342" s="3">
        <v>91.808409999999995</v>
      </c>
      <c r="L342" s="3">
        <f t="shared" si="75"/>
        <v>95.395479999999992</v>
      </c>
      <c r="M342" s="1">
        <f t="shared" si="83"/>
        <v>8.5041360746131126E-2</v>
      </c>
      <c r="P342" s="4">
        <v>225.01723000000001</v>
      </c>
      <c r="Q342" s="1">
        <v>169</v>
      </c>
      <c r="R342" s="3">
        <v>98.681399999999996</v>
      </c>
      <c r="S342" s="3">
        <f t="shared" si="76"/>
        <v>98.605580000000003</v>
      </c>
      <c r="T342" s="1">
        <f t="shared" si="82"/>
        <v>2.6024314953963162E-2</v>
      </c>
      <c r="W342" s="4">
        <v>250.00399999999999</v>
      </c>
      <c r="X342" s="1">
        <v>169</v>
      </c>
      <c r="Y342" s="5">
        <v>87.074349999999995</v>
      </c>
      <c r="Z342" s="3">
        <f t="shared" si="77"/>
        <v>92.515180000000001</v>
      </c>
      <c r="AA342" s="1">
        <f t="shared" si="81"/>
        <v>0.13270753616600356</v>
      </c>
      <c r="AD342" s="4">
        <v>250.00890999999999</v>
      </c>
      <c r="AE342" s="1">
        <v>169</v>
      </c>
      <c r="AF342" s="5">
        <v>95.472250000000003</v>
      </c>
      <c r="AG342" s="3">
        <f t="shared" si="78"/>
        <v>95.733739999999997</v>
      </c>
      <c r="AH342" s="1">
        <f t="shared" si="80"/>
        <v>7.9603106734930679E-2</v>
      </c>
    </row>
    <row r="343" spans="2:34" x14ac:dyDescent="0.2">
      <c r="B343" s="4">
        <v>200.01039</v>
      </c>
      <c r="C343" s="1">
        <v>169.5</v>
      </c>
      <c r="D343" s="5">
        <v>99.190510000000003</v>
      </c>
      <c r="E343" s="3">
        <f t="shared" si="74"/>
        <v>100.31695000000001</v>
      </c>
      <c r="F343" s="1">
        <f t="shared" si="73"/>
        <v>6.7533059124288541E-3</v>
      </c>
      <c r="I343" s="4">
        <v>225.00596999999999</v>
      </c>
      <c r="J343" s="1">
        <v>169.5</v>
      </c>
      <c r="K343" s="5">
        <v>91.803479999999993</v>
      </c>
      <c r="L343" s="3">
        <f t="shared" si="75"/>
        <v>95.39054999999999</v>
      </c>
      <c r="M343" s="1">
        <f t="shared" si="83"/>
        <v>8.5123213502054748E-2</v>
      </c>
      <c r="P343" s="4">
        <v>225.01464999999999</v>
      </c>
      <c r="Q343" s="1">
        <v>169.5</v>
      </c>
      <c r="R343" s="5">
        <v>98.702629999999999</v>
      </c>
      <c r="S343" s="3">
        <f t="shared" si="76"/>
        <v>98.626810000000006</v>
      </c>
      <c r="T343" s="1">
        <f t="shared" si="82"/>
        <v>2.5670601929889573E-2</v>
      </c>
      <c r="W343" s="4">
        <v>250.00801999999999</v>
      </c>
      <c r="X343" s="1">
        <v>169.5</v>
      </c>
      <c r="Y343" s="3">
        <v>87.083910000000003</v>
      </c>
      <c r="Z343" s="3">
        <f t="shared" si="77"/>
        <v>92.524740000000008</v>
      </c>
      <c r="AA343" s="1">
        <f t="shared" si="81"/>
        <v>0.13254879549127552</v>
      </c>
      <c r="AD343" s="4">
        <v>250.00783999999999</v>
      </c>
      <c r="AE343" s="1">
        <v>169.5</v>
      </c>
      <c r="AF343" s="3">
        <v>95.446600000000004</v>
      </c>
      <c r="AG343" s="3">
        <f t="shared" si="78"/>
        <v>95.708089999999999</v>
      </c>
      <c r="AH343" s="1">
        <f t="shared" si="80"/>
        <v>8.002892584963063E-2</v>
      </c>
    </row>
    <row r="344" spans="2:34" x14ac:dyDescent="0.2">
      <c r="B344" s="4">
        <v>200.02076</v>
      </c>
      <c r="C344" s="1">
        <v>170</v>
      </c>
      <c r="D344" s="3">
        <v>99.20711</v>
      </c>
      <c r="E344" s="3">
        <f t="shared" si="74"/>
        <v>100.33355</v>
      </c>
      <c r="F344" s="1">
        <f t="shared" si="73"/>
        <v>6.4782626627262162E-3</v>
      </c>
      <c r="I344" s="4">
        <v>225.00595999999999</v>
      </c>
      <c r="J344" s="1">
        <v>170</v>
      </c>
      <c r="K344" s="3">
        <v>91.792069999999995</v>
      </c>
      <c r="L344" s="3">
        <f t="shared" si="75"/>
        <v>95.379139999999992</v>
      </c>
      <c r="M344" s="1">
        <f t="shared" si="83"/>
        <v>8.5312653653188214E-2</v>
      </c>
      <c r="P344" s="4">
        <v>225.01438999999999</v>
      </c>
      <c r="Q344" s="1">
        <v>170</v>
      </c>
      <c r="R344" s="3">
        <v>98.682220000000001</v>
      </c>
      <c r="S344" s="3">
        <f t="shared" si="76"/>
        <v>98.606400000000008</v>
      </c>
      <c r="T344" s="1">
        <f t="shared" si="82"/>
        <v>2.6010652934191993E-2</v>
      </c>
      <c r="W344" s="4">
        <v>250.01302000000001</v>
      </c>
      <c r="X344" s="1">
        <v>170</v>
      </c>
      <c r="Y344" s="5">
        <v>87.055040000000005</v>
      </c>
      <c r="Z344" s="3">
        <f t="shared" si="77"/>
        <v>92.495870000000011</v>
      </c>
      <c r="AA344" s="1">
        <f t="shared" si="81"/>
        <v>0.13302817240334611</v>
      </c>
      <c r="AD344" s="4">
        <v>250.01022</v>
      </c>
      <c r="AE344" s="1">
        <v>170</v>
      </c>
      <c r="AF344" s="5">
        <v>95.478139999999996</v>
      </c>
      <c r="AG344" s="3">
        <f t="shared" si="78"/>
        <v>95.739629999999991</v>
      </c>
      <c r="AH344" s="1">
        <f t="shared" si="80"/>
        <v>7.9505326049333011E-2</v>
      </c>
    </row>
    <row r="345" spans="2:34" x14ac:dyDescent="0.2">
      <c r="B345" s="4">
        <v>200.04536999999999</v>
      </c>
      <c r="C345" s="1">
        <v>170.5</v>
      </c>
      <c r="D345" s="5">
        <v>99.326359999999994</v>
      </c>
      <c r="E345" s="3">
        <f t="shared" si="74"/>
        <v>100.4528</v>
      </c>
      <c r="F345" s="1">
        <f t="shared" si="73"/>
        <v>4.5024248598922378E-3</v>
      </c>
      <c r="I345" s="4">
        <v>225.00108</v>
      </c>
      <c r="J345" s="1">
        <v>170.5</v>
      </c>
      <c r="K345" s="5">
        <v>91.762020000000007</v>
      </c>
      <c r="L345" s="3">
        <f t="shared" si="75"/>
        <v>95.349090000000004</v>
      </c>
      <c r="M345" s="1">
        <f t="shared" si="83"/>
        <v>8.5811573595480903E-2</v>
      </c>
      <c r="P345" s="4">
        <v>225.01647</v>
      </c>
      <c r="Q345" s="1">
        <v>170.5</v>
      </c>
      <c r="R345" s="5">
        <v>98.589389999999995</v>
      </c>
      <c r="S345" s="3">
        <f t="shared" si="76"/>
        <v>98.513570000000001</v>
      </c>
      <c r="T345" s="1">
        <f t="shared" si="82"/>
        <v>2.7557293538278162E-2</v>
      </c>
      <c r="W345" s="4">
        <v>250.00899000000001</v>
      </c>
      <c r="X345" s="1">
        <v>170.5</v>
      </c>
      <c r="Y345" s="3">
        <v>87.015029999999996</v>
      </c>
      <c r="Z345" s="3">
        <f t="shared" si="77"/>
        <v>92.455860000000001</v>
      </c>
      <c r="AA345" s="1">
        <f t="shared" si="81"/>
        <v>0.13369252537362492</v>
      </c>
      <c r="AD345" s="4">
        <v>250.01215999999999</v>
      </c>
      <c r="AE345" s="1">
        <v>170.5</v>
      </c>
      <c r="AF345" s="3">
        <v>95.423069999999996</v>
      </c>
      <c r="AG345" s="3">
        <f t="shared" si="78"/>
        <v>95.684559999999991</v>
      </c>
      <c r="AH345" s="1">
        <f t="shared" si="80"/>
        <v>8.041955055796958E-2</v>
      </c>
    </row>
    <row r="346" spans="2:34" x14ac:dyDescent="0.2">
      <c r="B346" s="4">
        <v>200.07456999999999</v>
      </c>
      <c r="C346" s="1">
        <v>171</v>
      </c>
      <c r="D346" s="3">
        <v>99.245859999999993</v>
      </c>
      <c r="E346" s="3">
        <f t="shared" si="74"/>
        <v>100.3723</v>
      </c>
      <c r="F346" s="1">
        <f t="shared" si="73"/>
        <v>5.8362189322456537E-3</v>
      </c>
      <c r="I346" s="4">
        <v>225.00304</v>
      </c>
      <c r="J346" s="1">
        <v>171</v>
      </c>
      <c r="K346" s="3">
        <v>91.751739999999998</v>
      </c>
      <c r="L346" s="3">
        <f t="shared" si="75"/>
        <v>95.338809999999995</v>
      </c>
      <c r="M346" s="1">
        <f t="shared" si="83"/>
        <v>8.5982252364425166E-2</v>
      </c>
      <c r="P346" s="4">
        <v>225.01752999999999</v>
      </c>
      <c r="Q346" s="1">
        <v>171</v>
      </c>
      <c r="R346" s="3">
        <v>98.534779999999998</v>
      </c>
      <c r="S346" s="3">
        <f t="shared" si="76"/>
        <v>98.458960000000005</v>
      </c>
      <c r="T346" s="1">
        <f t="shared" si="82"/>
        <v>2.8467150733033464E-2</v>
      </c>
      <c r="W346" s="4">
        <v>250.005</v>
      </c>
      <c r="X346" s="1">
        <v>171</v>
      </c>
      <c r="Y346" s="5">
        <v>87.010930000000002</v>
      </c>
      <c r="Z346" s="3">
        <f t="shared" si="77"/>
        <v>92.451760000000007</v>
      </c>
      <c r="AA346" s="1">
        <f t="shared" si="81"/>
        <v>0.13376060453328847</v>
      </c>
      <c r="AD346" s="4">
        <v>250.01669000000001</v>
      </c>
      <c r="AE346" s="1">
        <v>171</v>
      </c>
      <c r="AF346" s="5">
        <v>95.370159999999998</v>
      </c>
      <c r="AG346" s="3">
        <f t="shared" si="78"/>
        <v>95.631649999999993</v>
      </c>
      <c r="AH346" s="1">
        <f t="shared" si="80"/>
        <v>8.129791661484187E-2</v>
      </c>
    </row>
    <row r="347" spans="2:34" x14ac:dyDescent="0.2">
      <c r="B347" s="4">
        <v>200.08989</v>
      </c>
      <c r="C347" s="1">
        <v>171.5</v>
      </c>
      <c r="D347" s="5">
        <v>99.263649999999998</v>
      </c>
      <c r="E347" s="3">
        <f t="shared" si="74"/>
        <v>100.39009</v>
      </c>
      <c r="F347" s="1">
        <f t="shared" si="73"/>
        <v>5.5414587266906989E-3</v>
      </c>
      <c r="I347" s="4">
        <v>225.00686999999999</v>
      </c>
      <c r="J347" s="1">
        <v>171.5</v>
      </c>
      <c r="K347" s="5">
        <v>91.762680000000003</v>
      </c>
      <c r="L347" s="3">
        <f t="shared" si="75"/>
        <v>95.34975</v>
      </c>
      <c r="M347" s="1">
        <f t="shared" si="83"/>
        <v>8.5800615620042917E-2</v>
      </c>
      <c r="P347" s="4">
        <v>225.01873000000001</v>
      </c>
      <c r="Q347" s="1">
        <v>171.5</v>
      </c>
      <c r="R347" s="5">
        <v>98.56626</v>
      </c>
      <c r="S347" s="3">
        <f t="shared" si="76"/>
        <v>98.490440000000007</v>
      </c>
      <c r="T347" s="1">
        <f t="shared" si="82"/>
        <v>2.7942662461821224E-2</v>
      </c>
      <c r="W347" s="4">
        <v>250.00898000000001</v>
      </c>
      <c r="X347" s="1">
        <v>171.5</v>
      </c>
      <c r="Y347" s="3">
        <v>86.972790000000003</v>
      </c>
      <c r="Z347" s="3">
        <f t="shared" si="77"/>
        <v>92.413620000000009</v>
      </c>
      <c r="AA347" s="1">
        <f t="shared" si="81"/>
        <v>0.13439390676489127</v>
      </c>
      <c r="AD347" s="4">
        <v>250.01557</v>
      </c>
      <c r="AE347" s="1">
        <v>171.5</v>
      </c>
      <c r="AF347" s="3">
        <v>95.44238</v>
      </c>
      <c r="AG347" s="3">
        <f t="shared" si="78"/>
        <v>95.703869999999995</v>
      </c>
      <c r="AH347" s="1">
        <f t="shared" si="80"/>
        <v>8.0098982639651511E-2</v>
      </c>
    </row>
    <row r="348" spans="2:34" x14ac:dyDescent="0.2">
      <c r="B348" s="4">
        <v>200.08201</v>
      </c>
      <c r="C348" s="1">
        <v>172</v>
      </c>
      <c r="D348" s="3">
        <v>99.201440000000005</v>
      </c>
      <c r="E348" s="3">
        <f t="shared" si="74"/>
        <v>100.32788000000001</v>
      </c>
      <c r="F348" s="1">
        <f t="shared" si="73"/>
        <v>6.5722081582571118E-3</v>
      </c>
      <c r="I348" s="4">
        <v>225.00505000000001</v>
      </c>
      <c r="J348" s="1">
        <v>172</v>
      </c>
      <c r="K348" s="3">
        <v>91.742710000000002</v>
      </c>
      <c r="L348" s="3">
        <f t="shared" si="75"/>
        <v>95.32978</v>
      </c>
      <c r="M348" s="1">
        <f t="shared" si="83"/>
        <v>8.6132177392009276E-2</v>
      </c>
      <c r="P348" s="4">
        <v>225.02015</v>
      </c>
      <c r="Q348" s="1">
        <v>172</v>
      </c>
      <c r="R348" s="3">
        <v>98.57029</v>
      </c>
      <c r="S348" s="3">
        <f t="shared" si="76"/>
        <v>98.494470000000007</v>
      </c>
      <c r="T348" s="1">
        <f t="shared" si="82"/>
        <v>2.7875518632946215E-2</v>
      </c>
      <c r="W348" s="4">
        <v>250.00599</v>
      </c>
      <c r="X348" s="1">
        <v>172</v>
      </c>
      <c r="Y348" s="5">
        <v>86.942070000000001</v>
      </c>
      <c r="Z348" s="3">
        <f t="shared" si="77"/>
        <v>92.382900000000006</v>
      </c>
      <c r="AA348" s="1">
        <f t="shared" si="81"/>
        <v>0.134904002322176</v>
      </c>
      <c r="AD348" s="4">
        <v>250.01553000000001</v>
      </c>
      <c r="AE348" s="1">
        <v>172</v>
      </c>
      <c r="AF348" s="5">
        <v>95.340350000000001</v>
      </c>
      <c r="AG348" s="3">
        <f t="shared" si="78"/>
        <v>95.601839999999996</v>
      </c>
      <c r="AH348" s="1">
        <f t="shared" si="80"/>
        <v>8.1792796451458066E-2</v>
      </c>
    </row>
    <row r="349" spans="2:34" x14ac:dyDescent="0.2">
      <c r="B349" s="4">
        <v>200.05685</v>
      </c>
      <c r="C349" s="1">
        <v>172.5</v>
      </c>
      <c r="D349" s="5">
        <v>99.231319999999997</v>
      </c>
      <c r="E349" s="3">
        <f t="shared" si="74"/>
        <v>100.35776</v>
      </c>
      <c r="F349" s="1">
        <f t="shared" si="73"/>
        <v>6.0771303087924118E-3</v>
      </c>
      <c r="I349" s="4">
        <v>225.00496000000001</v>
      </c>
      <c r="J349" s="1">
        <v>172.5</v>
      </c>
      <c r="K349" s="5">
        <v>91.726399999999998</v>
      </c>
      <c r="L349" s="3">
        <f t="shared" si="75"/>
        <v>95.313469999999995</v>
      </c>
      <c r="M349" s="1">
        <f t="shared" si="83"/>
        <v>8.6402972209273801E-2</v>
      </c>
      <c r="P349" s="4">
        <v>225.01962</v>
      </c>
      <c r="Q349" s="1">
        <v>172.5</v>
      </c>
      <c r="R349" s="5">
        <v>98.573030000000003</v>
      </c>
      <c r="S349" s="3">
        <f t="shared" si="76"/>
        <v>98.49721000000001</v>
      </c>
      <c r="T349" s="1">
        <f t="shared" si="82"/>
        <v>2.7829867493711052E-2</v>
      </c>
      <c r="W349" s="4">
        <v>250.00801000000001</v>
      </c>
      <c r="X349" s="1">
        <v>172.5</v>
      </c>
      <c r="Y349" s="3">
        <v>86.949730000000002</v>
      </c>
      <c r="Z349" s="3">
        <f t="shared" si="77"/>
        <v>92.390560000000008</v>
      </c>
      <c r="AA349" s="1">
        <f t="shared" si="81"/>
        <v>0.13477681052631657</v>
      </c>
      <c r="AD349" s="4">
        <v>250.01906</v>
      </c>
      <c r="AE349" s="1">
        <v>172.5</v>
      </c>
      <c r="AF349" s="3">
        <v>95.406040000000004</v>
      </c>
      <c r="AG349" s="3">
        <f t="shared" si="78"/>
        <v>95.667529999999999</v>
      </c>
      <c r="AH349" s="1">
        <f t="shared" si="80"/>
        <v>8.0702267888314097E-2</v>
      </c>
    </row>
    <row r="350" spans="2:34" x14ac:dyDescent="0.2">
      <c r="B350" s="4">
        <v>200.03980999999999</v>
      </c>
      <c r="C350" s="1">
        <v>173</v>
      </c>
      <c r="D350" s="3">
        <v>99.243099999999998</v>
      </c>
      <c r="E350" s="3">
        <f t="shared" si="74"/>
        <v>100.36954</v>
      </c>
      <c r="F350" s="1">
        <f t="shared" si="73"/>
        <v>5.8819490147262584E-3</v>
      </c>
      <c r="I350" s="4">
        <v>225.00803999999999</v>
      </c>
      <c r="J350" s="1">
        <v>173</v>
      </c>
      <c r="K350" s="3">
        <v>91.73339</v>
      </c>
      <c r="L350" s="3">
        <f t="shared" si="75"/>
        <v>95.320459999999997</v>
      </c>
      <c r="M350" s="1">
        <f t="shared" si="83"/>
        <v>8.6286917287588999E-2</v>
      </c>
      <c r="P350" s="4">
        <v>225.01964000000001</v>
      </c>
      <c r="Q350" s="1">
        <v>173</v>
      </c>
      <c r="R350" s="3">
        <v>98.569370000000006</v>
      </c>
      <c r="S350" s="3">
        <f t="shared" si="76"/>
        <v>98.493550000000013</v>
      </c>
      <c r="T350" s="1">
        <f t="shared" si="82"/>
        <v>2.7890846752689286E-2</v>
      </c>
      <c r="W350" s="4">
        <v>250.00400999999999</v>
      </c>
      <c r="X350" s="1">
        <v>173</v>
      </c>
      <c r="Y350" s="5">
        <v>86.922910000000002</v>
      </c>
      <c r="Z350" s="3">
        <f t="shared" si="77"/>
        <v>92.363740000000007</v>
      </c>
      <c r="AA350" s="1">
        <f t="shared" si="81"/>
        <v>0.13522214785855538</v>
      </c>
      <c r="AD350" s="4">
        <v>250.02443</v>
      </c>
      <c r="AE350" s="1">
        <v>173</v>
      </c>
      <c r="AF350" s="5">
        <v>95.345569999999995</v>
      </c>
      <c r="AG350" s="3">
        <f t="shared" si="78"/>
        <v>95.60705999999999</v>
      </c>
      <c r="AH350" s="1">
        <f t="shared" si="80"/>
        <v>8.1706138526361327E-2</v>
      </c>
    </row>
    <row r="351" spans="2:34" x14ac:dyDescent="0.2">
      <c r="B351" s="4">
        <v>200.04549</v>
      </c>
      <c r="C351" s="1">
        <v>173.5</v>
      </c>
      <c r="D351" s="5">
        <v>99.06756</v>
      </c>
      <c r="E351" s="3">
        <f t="shared" si="74"/>
        <v>100.194</v>
      </c>
      <c r="F351" s="1">
        <f t="shared" si="73"/>
        <v>8.7904485359798484E-3</v>
      </c>
      <c r="I351" s="4">
        <v>225.00889000000001</v>
      </c>
      <c r="J351" s="1">
        <v>173.5</v>
      </c>
      <c r="K351" s="5">
        <v>91.697149999999993</v>
      </c>
      <c r="L351" s="3">
        <f t="shared" si="75"/>
        <v>95.284219999999991</v>
      </c>
      <c r="M351" s="1">
        <f t="shared" si="83"/>
        <v>8.6888609757096391E-2</v>
      </c>
      <c r="P351" s="4">
        <v>225.01898</v>
      </c>
      <c r="Q351" s="1">
        <v>173.5</v>
      </c>
      <c r="R351" s="5">
        <v>98.611189999999993</v>
      </c>
      <c r="S351" s="3">
        <f t="shared" si="76"/>
        <v>98.53537</v>
      </c>
      <c r="T351" s="1">
        <f t="shared" si="82"/>
        <v>2.7194083744363752E-2</v>
      </c>
      <c r="W351" s="4">
        <v>250.00395</v>
      </c>
      <c r="X351" s="1">
        <v>173.5</v>
      </c>
      <c r="Y351" s="3">
        <v>86.897810000000007</v>
      </c>
      <c r="Z351" s="3">
        <f t="shared" si="77"/>
        <v>92.338640000000012</v>
      </c>
      <c r="AA351" s="1">
        <f t="shared" si="81"/>
        <v>0.13563892515308154</v>
      </c>
      <c r="AD351" s="4">
        <v>250.02549999999999</v>
      </c>
      <c r="AE351" s="1">
        <v>173.5</v>
      </c>
      <c r="AF351" s="3">
        <v>95.318910000000002</v>
      </c>
      <c r="AG351" s="3">
        <f t="shared" si="78"/>
        <v>95.580399999999997</v>
      </c>
      <c r="AH351" s="1">
        <f t="shared" si="80"/>
        <v>8.2148724787487956E-2</v>
      </c>
    </row>
    <row r="352" spans="2:34" x14ac:dyDescent="0.2">
      <c r="B352" s="4">
        <v>200.0616</v>
      </c>
      <c r="C352" s="1">
        <v>174</v>
      </c>
      <c r="D352" s="3">
        <v>99.225020000000001</v>
      </c>
      <c r="E352" s="3">
        <f t="shared" si="74"/>
        <v>100.35146</v>
      </c>
      <c r="F352" s="1">
        <f t="shared" si="73"/>
        <v>6.181514192715655E-3</v>
      </c>
      <c r="I352" s="4">
        <v>225.00403</v>
      </c>
      <c r="J352" s="1">
        <v>174</v>
      </c>
      <c r="K352" s="3">
        <v>91.69717</v>
      </c>
      <c r="L352" s="3">
        <f t="shared" si="75"/>
        <v>95.284239999999997</v>
      </c>
      <c r="M352" s="1">
        <f t="shared" si="83"/>
        <v>8.6888277697234534E-2</v>
      </c>
      <c r="P352" s="4">
        <v>225.02008000000001</v>
      </c>
      <c r="Q352" s="1">
        <v>174</v>
      </c>
      <c r="R352" s="3">
        <v>98.527869999999993</v>
      </c>
      <c r="S352" s="3">
        <f t="shared" si="76"/>
        <v>98.45205</v>
      </c>
      <c r="T352" s="1">
        <f t="shared" si="82"/>
        <v>2.8582278241104583E-2</v>
      </c>
      <c r="W352" s="4">
        <v>250.00304</v>
      </c>
      <c r="X352" s="1">
        <v>174</v>
      </c>
      <c r="Y352" s="5">
        <v>86.876769999999993</v>
      </c>
      <c r="Z352" s="3">
        <f t="shared" si="77"/>
        <v>92.317599999999999</v>
      </c>
      <c r="AA352" s="1">
        <f t="shared" si="81"/>
        <v>0.13598828747486788</v>
      </c>
      <c r="AD352" s="4">
        <v>250.02408</v>
      </c>
      <c r="AE352" s="1">
        <v>174</v>
      </c>
      <c r="AF352" s="5">
        <v>95.229039999999998</v>
      </c>
      <c r="AG352" s="3">
        <f t="shared" si="78"/>
        <v>95.490529999999993</v>
      </c>
      <c r="AH352" s="1">
        <f t="shared" si="80"/>
        <v>8.3640668796770179E-2</v>
      </c>
    </row>
    <row r="353" spans="2:34" x14ac:dyDescent="0.2">
      <c r="B353" s="4">
        <v>200.07225</v>
      </c>
      <c r="C353" s="1">
        <v>174.5</v>
      </c>
      <c r="D353" s="5">
        <v>99.113560000000007</v>
      </c>
      <c r="E353" s="3">
        <f t="shared" si="74"/>
        <v>100.24000000000001</v>
      </c>
      <c r="F353" s="1">
        <f t="shared" si="73"/>
        <v>8.0282804946349394E-3</v>
      </c>
      <c r="I353" s="4">
        <v>225.00393</v>
      </c>
      <c r="J353" s="1">
        <v>174.5</v>
      </c>
      <c r="K353" s="5">
        <v>91.680899999999994</v>
      </c>
      <c r="L353" s="3">
        <f t="shared" si="75"/>
        <v>95.267969999999991</v>
      </c>
      <c r="M353" s="1">
        <f t="shared" si="83"/>
        <v>8.7158408394775566E-2</v>
      </c>
      <c r="P353" s="4">
        <v>225.01877999999999</v>
      </c>
      <c r="Q353" s="1">
        <v>174.5</v>
      </c>
      <c r="R353" s="5">
        <v>98.596620000000001</v>
      </c>
      <c r="S353" s="3">
        <f t="shared" si="76"/>
        <v>98.520800000000008</v>
      </c>
      <c r="T353" s="1">
        <f t="shared" si="82"/>
        <v>2.7436834510296333E-2</v>
      </c>
      <c r="W353" s="4">
        <v>250.00597999999999</v>
      </c>
      <c r="X353" s="1">
        <v>174.5</v>
      </c>
      <c r="Y353" s="3">
        <v>86.851920000000007</v>
      </c>
      <c r="Z353" s="3">
        <f t="shared" si="77"/>
        <v>92.292750000000012</v>
      </c>
      <c r="AA353" s="1">
        <f t="shared" si="81"/>
        <v>0.13640091360112172</v>
      </c>
      <c r="AD353" s="4">
        <v>250.02180000000001</v>
      </c>
      <c r="AE353" s="1">
        <v>174.5</v>
      </c>
      <c r="AF353" s="3">
        <v>95.266869999999997</v>
      </c>
      <c r="AG353" s="3">
        <f t="shared" si="78"/>
        <v>95.528359999999992</v>
      </c>
      <c r="AH353" s="1">
        <f t="shared" si="80"/>
        <v>8.3012647856844257E-2</v>
      </c>
    </row>
    <row r="354" spans="2:34" x14ac:dyDescent="0.2">
      <c r="B354" s="4">
        <v>200.07311999999999</v>
      </c>
      <c r="C354" s="1">
        <v>175</v>
      </c>
      <c r="D354" s="3">
        <v>99.195030000000003</v>
      </c>
      <c r="E354" s="3">
        <f t="shared" si="74"/>
        <v>100.32147000000001</v>
      </c>
      <c r="F354" s="1">
        <f t="shared" si="73"/>
        <v>6.6784146179315043E-3</v>
      </c>
      <c r="I354" s="4">
        <v>225.00395</v>
      </c>
      <c r="J354" s="1">
        <v>175</v>
      </c>
      <c r="K354" s="3">
        <v>91.681020000000004</v>
      </c>
      <c r="L354" s="3">
        <f t="shared" si="75"/>
        <v>95.268090000000001</v>
      </c>
      <c r="M354" s="1">
        <f t="shared" si="83"/>
        <v>8.7156416035604853E-2</v>
      </c>
      <c r="P354" s="4">
        <v>225.02018000000001</v>
      </c>
      <c r="Q354" s="1">
        <v>175</v>
      </c>
      <c r="R354" s="3">
        <v>98.460999999999999</v>
      </c>
      <c r="S354" s="3">
        <f t="shared" si="76"/>
        <v>98.385180000000005</v>
      </c>
      <c r="T354" s="1">
        <f t="shared" si="82"/>
        <v>2.9696399292437413E-2</v>
      </c>
      <c r="W354" s="4">
        <v>250.00799000000001</v>
      </c>
      <c r="X354" s="1">
        <v>175</v>
      </c>
      <c r="Y354" s="5">
        <v>86.844080000000005</v>
      </c>
      <c r="Z354" s="3">
        <f t="shared" si="77"/>
        <v>92.284910000000011</v>
      </c>
      <c r="AA354" s="1">
        <f t="shared" si="81"/>
        <v>0.13653109423813711</v>
      </c>
      <c r="AD354" s="4">
        <v>250.01884000000001</v>
      </c>
      <c r="AE354" s="1">
        <v>175</v>
      </c>
      <c r="AF354" s="5">
        <v>95.291830000000004</v>
      </c>
      <c r="AG354" s="3">
        <f t="shared" si="78"/>
        <v>95.553319999999999</v>
      </c>
      <c r="AH354" s="1">
        <f t="shared" si="80"/>
        <v>8.2598283525346608E-2</v>
      </c>
    </row>
    <row r="355" spans="2:34" x14ac:dyDescent="0.2">
      <c r="B355" s="4">
        <v>200.06412</v>
      </c>
      <c r="C355" s="1">
        <v>175.5</v>
      </c>
      <c r="D355" s="5">
        <v>99.221869999999996</v>
      </c>
      <c r="E355" s="3">
        <f t="shared" si="74"/>
        <v>100.34831</v>
      </c>
      <c r="F355" s="1">
        <f t="shared" si="73"/>
        <v>6.2337061346773946E-3</v>
      </c>
      <c r="I355" s="4">
        <v>225.00402</v>
      </c>
      <c r="J355" s="1">
        <v>175.5</v>
      </c>
      <c r="K355" s="5">
        <v>91.662480000000002</v>
      </c>
      <c r="L355" s="3">
        <f t="shared" si="75"/>
        <v>95.249549999999999</v>
      </c>
      <c r="M355" s="1">
        <f t="shared" si="83"/>
        <v>8.7464235527455456E-2</v>
      </c>
      <c r="P355" s="4">
        <v>225.02266</v>
      </c>
      <c r="Q355" s="1">
        <v>175.5</v>
      </c>
      <c r="R355" s="5">
        <v>98.530019999999993</v>
      </c>
      <c r="S355" s="3">
        <f t="shared" si="76"/>
        <v>98.4542</v>
      </c>
      <c r="T355" s="1">
        <f t="shared" si="82"/>
        <v>2.8546457091704763E-2</v>
      </c>
      <c r="W355" s="4">
        <v>250.006</v>
      </c>
      <c r="X355" s="1">
        <v>175.5</v>
      </c>
      <c r="Y355" s="3">
        <v>86.834609999999998</v>
      </c>
      <c r="Z355" s="3">
        <f t="shared" si="77"/>
        <v>92.275440000000003</v>
      </c>
      <c r="AA355" s="1">
        <f t="shared" si="81"/>
        <v>0.13668834049228717</v>
      </c>
      <c r="AD355" s="4">
        <v>250.01349999999999</v>
      </c>
      <c r="AE355" s="1">
        <v>175.5</v>
      </c>
      <c r="AF355" s="3">
        <v>95.234579999999994</v>
      </c>
      <c r="AG355" s="3">
        <f t="shared" si="78"/>
        <v>95.496069999999989</v>
      </c>
      <c r="AH355" s="1">
        <f t="shared" si="80"/>
        <v>8.3548698508449079E-2</v>
      </c>
    </row>
    <row r="356" spans="2:34" x14ac:dyDescent="0.2">
      <c r="B356" s="4">
        <v>200.04796999999999</v>
      </c>
      <c r="C356" s="1">
        <v>176</v>
      </c>
      <c r="D356" s="3">
        <v>99.207909999999998</v>
      </c>
      <c r="E356" s="3">
        <f t="shared" si="74"/>
        <v>100.33435</v>
      </c>
      <c r="F356" s="1">
        <f t="shared" si="73"/>
        <v>6.4650075663550332E-3</v>
      </c>
      <c r="I356" s="4">
        <v>225.00798</v>
      </c>
      <c r="J356" s="1">
        <v>176</v>
      </c>
      <c r="K356" s="3">
        <v>91.664699999999996</v>
      </c>
      <c r="L356" s="3">
        <f t="shared" si="75"/>
        <v>95.251769999999993</v>
      </c>
      <c r="M356" s="1">
        <f t="shared" si="83"/>
        <v>8.7427376882800306E-2</v>
      </c>
      <c r="P356" s="4">
        <v>225.02014</v>
      </c>
      <c r="Q356" s="1">
        <v>176</v>
      </c>
      <c r="R356" s="3">
        <v>98.509799999999998</v>
      </c>
      <c r="S356" s="3">
        <f t="shared" si="76"/>
        <v>98.433980000000005</v>
      </c>
      <c r="T356" s="1">
        <f t="shared" si="82"/>
        <v>2.8883342506060165E-2</v>
      </c>
      <c r="W356" s="4">
        <v>250.00602000000001</v>
      </c>
      <c r="X356" s="1">
        <v>176</v>
      </c>
      <c r="Y356" s="5">
        <v>86.802160000000001</v>
      </c>
      <c r="Z356" s="3">
        <f t="shared" si="77"/>
        <v>92.242990000000006</v>
      </c>
      <c r="AA356" s="1">
        <f t="shared" si="81"/>
        <v>0.13722716213401528</v>
      </c>
      <c r="AD356" s="4">
        <v>250.01527999999999</v>
      </c>
      <c r="AE356" s="1">
        <v>176</v>
      </c>
      <c r="AF356" s="5">
        <v>95.362989999999996</v>
      </c>
      <c r="AG356" s="3">
        <f t="shared" si="78"/>
        <v>95.624479999999991</v>
      </c>
      <c r="AH356" s="1">
        <f t="shared" si="80"/>
        <v>8.1416946753336994E-2</v>
      </c>
    </row>
    <row r="357" spans="2:34" x14ac:dyDescent="0.2">
      <c r="B357" s="4">
        <v>200.03738000000001</v>
      </c>
      <c r="C357" s="1">
        <v>176.5</v>
      </c>
      <c r="D357" s="5">
        <v>99.272850000000005</v>
      </c>
      <c r="E357" s="3">
        <f t="shared" si="74"/>
        <v>100.39929000000001</v>
      </c>
      <c r="F357" s="1">
        <f t="shared" si="73"/>
        <v>5.3890251184216227E-3</v>
      </c>
      <c r="I357" s="4">
        <v>225.00699</v>
      </c>
      <c r="J357" s="1">
        <v>176.5</v>
      </c>
      <c r="K357" s="5">
        <v>91.655289999999994</v>
      </c>
      <c r="L357" s="3">
        <f t="shared" si="75"/>
        <v>95.242359999999991</v>
      </c>
      <c r="M357" s="1">
        <f t="shared" si="83"/>
        <v>8.7583611047757956E-2</v>
      </c>
      <c r="P357" s="4">
        <v>225.02081000000001</v>
      </c>
      <c r="Q357" s="1">
        <v>176.5</v>
      </c>
      <c r="R357" s="5">
        <v>98.521889999999999</v>
      </c>
      <c r="S357" s="3">
        <f t="shared" si="76"/>
        <v>98.446070000000006</v>
      </c>
      <c r="T357" s="1">
        <f t="shared" si="82"/>
        <v>2.8681911019435138E-2</v>
      </c>
      <c r="W357" s="4">
        <v>250.00700000000001</v>
      </c>
      <c r="X357" s="1">
        <v>176.5</v>
      </c>
      <c r="Y357" s="3">
        <v>86.786689999999993</v>
      </c>
      <c r="Z357" s="3">
        <f t="shared" si="77"/>
        <v>92.227519999999998</v>
      </c>
      <c r="AA357" s="1">
        <f t="shared" si="81"/>
        <v>0.13748403642669751</v>
      </c>
      <c r="AD357" s="4">
        <v>250.01785000000001</v>
      </c>
      <c r="AE357" s="1">
        <v>176.5</v>
      </c>
      <c r="AF357" s="3">
        <v>95.220140000000001</v>
      </c>
      <c r="AG357" s="3">
        <f t="shared" si="78"/>
        <v>95.481629999999996</v>
      </c>
      <c r="AH357" s="1">
        <f t="shared" si="80"/>
        <v>8.3788418898946726E-2</v>
      </c>
    </row>
    <row r="358" spans="2:34" x14ac:dyDescent="0.2">
      <c r="B358" s="4">
        <v>200.02837</v>
      </c>
      <c r="C358" s="1">
        <v>177</v>
      </c>
      <c r="D358" s="3">
        <v>99.256630000000001</v>
      </c>
      <c r="E358" s="3">
        <f t="shared" si="74"/>
        <v>100.38307</v>
      </c>
      <c r="F358" s="1">
        <f t="shared" si="73"/>
        <v>5.6577721973480538E-3</v>
      </c>
      <c r="I358" s="4">
        <v>225.00399999999999</v>
      </c>
      <c r="J358" s="1">
        <v>177</v>
      </c>
      <c r="K358" s="3">
        <v>91.611360000000005</v>
      </c>
      <c r="L358" s="3">
        <f t="shared" si="75"/>
        <v>95.198430000000002</v>
      </c>
      <c r="M358" s="1">
        <f t="shared" si="83"/>
        <v>8.8312980534111379E-2</v>
      </c>
      <c r="P358" s="4">
        <v>225.02074999999999</v>
      </c>
      <c r="Q358" s="1">
        <v>177</v>
      </c>
      <c r="R358" s="3">
        <v>98.594480000000004</v>
      </c>
      <c r="S358" s="3">
        <f t="shared" si="76"/>
        <v>98.518660000000011</v>
      </c>
      <c r="T358" s="1">
        <f t="shared" si="82"/>
        <v>2.7472489049698897E-2</v>
      </c>
      <c r="W358" s="4">
        <v>250.00396000000001</v>
      </c>
      <c r="X358" s="1">
        <v>177</v>
      </c>
      <c r="Y358" s="5">
        <v>86.769360000000006</v>
      </c>
      <c r="Z358" s="3">
        <f t="shared" si="77"/>
        <v>92.210190000000011</v>
      </c>
      <c r="AA358" s="1">
        <f t="shared" si="81"/>
        <v>0.13777179541132437</v>
      </c>
      <c r="AD358" s="4">
        <v>250.01917</v>
      </c>
      <c r="AE358" s="1">
        <v>177</v>
      </c>
      <c r="AF358" s="5">
        <v>95.249989999999997</v>
      </c>
      <c r="AG358" s="3">
        <f t="shared" si="78"/>
        <v>95.511479999999992</v>
      </c>
      <c r="AH358" s="1">
        <f t="shared" si="80"/>
        <v>8.3292875016927517E-2</v>
      </c>
    </row>
    <row r="359" spans="2:34" x14ac:dyDescent="0.2">
      <c r="B359" s="4">
        <v>200.02185</v>
      </c>
      <c r="C359" s="1">
        <v>177.5</v>
      </c>
      <c r="D359" s="5">
        <v>99.280760000000001</v>
      </c>
      <c r="E359" s="3">
        <f t="shared" si="74"/>
        <v>100.4072</v>
      </c>
      <c r="F359" s="1">
        <f t="shared" si="73"/>
        <v>5.2579653530513207E-3</v>
      </c>
      <c r="I359" s="4">
        <v>225.00496999999999</v>
      </c>
      <c r="J359" s="1">
        <v>177.5</v>
      </c>
      <c r="K359" s="5">
        <v>91.631640000000004</v>
      </c>
      <c r="L359" s="3">
        <f t="shared" si="75"/>
        <v>95.218710000000002</v>
      </c>
      <c r="M359" s="1">
        <f t="shared" si="83"/>
        <v>8.7976271834287773E-2</v>
      </c>
      <c r="P359" s="4">
        <v>225.01965999999999</v>
      </c>
      <c r="Q359" s="1">
        <v>177.5</v>
      </c>
      <c r="R359" s="5">
        <v>98.535319999999999</v>
      </c>
      <c r="S359" s="3">
        <f t="shared" si="76"/>
        <v>98.459500000000006</v>
      </c>
      <c r="T359" s="1">
        <f t="shared" si="82"/>
        <v>2.8458153793184192E-2</v>
      </c>
      <c r="W359" s="4">
        <v>250.00396000000001</v>
      </c>
      <c r="X359" s="1">
        <v>177.5</v>
      </c>
      <c r="Y359" s="3">
        <v>86.734840000000005</v>
      </c>
      <c r="Z359" s="3">
        <f t="shared" si="77"/>
        <v>92.175670000000011</v>
      </c>
      <c r="AA359" s="1">
        <f t="shared" si="81"/>
        <v>0.13834498872634612</v>
      </c>
      <c r="AD359" s="4">
        <v>250.02121</v>
      </c>
      <c r="AE359" s="1">
        <v>177.5</v>
      </c>
      <c r="AF359" s="3">
        <v>95.33484</v>
      </c>
      <c r="AG359" s="3">
        <f t="shared" si="78"/>
        <v>95.596329999999995</v>
      </c>
      <c r="AH359" s="1">
        <f t="shared" si="80"/>
        <v>8.1884268705726973E-2</v>
      </c>
    </row>
    <row r="360" spans="2:34" x14ac:dyDescent="0.2">
      <c r="B360" s="4">
        <v>200.01541</v>
      </c>
      <c r="C360" s="1">
        <v>178</v>
      </c>
      <c r="D360" s="3">
        <v>99.162549999999996</v>
      </c>
      <c r="E360" s="3">
        <f t="shared" si="74"/>
        <v>100.28899</v>
      </c>
      <c r="F360" s="1">
        <f t="shared" si="73"/>
        <v>7.2165715306029025E-3</v>
      </c>
      <c r="I360" s="4">
        <v>225.00307000000001</v>
      </c>
      <c r="J360" s="1">
        <v>178</v>
      </c>
      <c r="K360" s="3">
        <v>91.593649999999997</v>
      </c>
      <c r="L360" s="3">
        <f t="shared" si="75"/>
        <v>95.180719999999994</v>
      </c>
      <c r="M360" s="1">
        <f t="shared" si="83"/>
        <v>8.8607019541699097E-2</v>
      </c>
      <c r="P360" s="4">
        <v>225.01849000000001</v>
      </c>
      <c r="Q360" s="1">
        <v>178</v>
      </c>
      <c r="R360" s="3">
        <v>98.55789</v>
      </c>
      <c r="S360" s="3">
        <f t="shared" si="76"/>
        <v>98.482070000000007</v>
      </c>
      <c r="T360" s="1">
        <f t="shared" si="82"/>
        <v>2.8082115029484687E-2</v>
      </c>
      <c r="W360" s="4">
        <v>249.99995999999999</v>
      </c>
      <c r="X360" s="1">
        <v>178</v>
      </c>
      <c r="Y360" s="5">
        <v>86.729079999999996</v>
      </c>
      <c r="Z360" s="3">
        <f t="shared" si="77"/>
        <v>92.169910000000002</v>
      </c>
      <c r="AA360" s="1">
        <f t="shared" si="81"/>
        <v>0.13844063164333714</v>
      </c>
      <c r="AD360" s="4">
        <v>250.02029999999999</v>
      </c>
      <c r="AE360" s="1">
        <v>178</v>
      </c>
      <c r="AF360" s="5">
        <v>95.197050000000004</v>
      </c>
      <c r="AG360" s="3">
        <f t="shared" si="78"/>
        <v>95.458539999999999</v>
      </c>
      <c r="AH360" s="1">
        <f t="shared" si="80"/>
        <v>8.4171739107852028E-2</v>
      </c>
    </row>
    <row r="361" spans="2:34" x14ac:dyDescent="0.2">
      <c r="B361" s="4">
        <v>200.00621000000001</v>
      </c>
      <c r="C361" s="1">
        <v>178.5</v>
      </c>
      <c r="D361" s="5">
        <v>99.235870000000006</v>
      </c>
      <c r="E361" s="3">
        <f t="shared" si="74"/>
        <v>100.36231000000001</v>
      </c>
      <c r="F361" s="1">
        <f t="shared" si="73"/>
        <v>6.0017419481809848E-3</v>
      </c>
      <c r="I361" s="4">
        <v>225.00498999999999</v>
      </c>
      <c r="J361" s="1">
        <v>178.5</v>
      </c>
      <c r="K361" s="5">
        <v>91.604140000000001</v>
      </c>
      <c r="L361" s="3">
        <f t="shared" si="75"/>
        <v>95.191209999999998</v>
      </c>
      <c r="M361" s="1">
        <f t="shared" si="83"/>
        <v>8.8432854144206444E-2</v>
      </c>
      <c r="P361" s="4">
        <v>225.01701</v>
      </c>
      <c r="Q361" s="1">
        <v>178.5</v>
      </c>
      <c r="R361" s="5">
        <v>98.606880000000004</v>
      </c>
      <c r="S361" s="3">
        <f t="shared" si="76"/>
        <v>98.531060000000011</v>
      </c>
      <c r="T361" s="1">
        <f t="shared" si="82"/>
        <v>2.7265892653160421E-2</v>
      </c>
      <c r="W361" s="4">
        <v>250.00702999999999</v>
      </c>
      <c r="X361" s="1">
        <v>178.5</v>
      </c>
      <c r="Y361" s="3">
        <v>86.692760000000007</v>
      </c>
      <c r="Z361" s="3">
        <f t="shared" si="77"/>
        <v>92.133590000000012</v>
      </c>
      <c r="AA361" s="1">
        <f t="shared" si="81"/>
        <v>0.13904371336991836</v>
      </c>
      <c r="AD361" s="4">
        <v>250.02112</v>
      </c>
      <c r="AE361" s="1">
        <v>178.5</v>
      </c>
      <c r="AF361" s="3">
        <v>95.166309999999996</v>
      </c>
      <c r="AG361" s="3">
        <f t="shared" si="78"/>
        <v>95.427799999999991</v>
      </c>
      <c r="AH361" s="1">
        <f t="shared" si="80"/>
        <v>8.46820580000891E-2</v>
      </c>
    </row>
    <row r="362" spans="2:34" x14ac:dyDescent="0.2">
      <c r="B362" s="4">
        <v>200.00026</v>
      </c>
      <c r="C362" s="1">
        <v>179</v>
      </c>
      <c r="D362" s="3">
        <v>99.086150000000004</v>
      </c>
      <c r="E362" s="3">
        <f t="shared" si="74"/>
        <v>100.21259000000001</v>
      </c>
      <c r="F362" s="1">
        <f t="shared" si="73"/>
        <v>8.4824332340537115E-3</v>
      </c>
      <c r="I362" s="4">
        <v>225.00403</v>
      </c>
      <c r="J362" s="1">
        <v>179</v>
      </c>
      <c r="K362" s="3">
        <v>91.572789999999998</v>
      </c>
      <c r="L362" s="3">
        <f t="shared" si="75"/>
        <v>95.159859999999995</v>
      </c>
      <c r="M362" s="1">
        <f t="shared" si="83"/>
        <v>8.8953357977513706E-2</v>
      </c>
      <c r="P362" s="4">
        <v>225.01705999999999</v>
      </c>
      <c r="Q362" s="1">
        <v>179</v>
      </c>
      <c r="R362" s="3">
        <v>98.508970000000005</v>
      </c>
      <c r="S362" s="3">
        <f t="shared" si="76"/>
        <v>98.433150000000012</v>
      </c>
      <c r="T362" s="1">
        <f t="shared" si="82"/>
        <v>2.8897171135828358E-2</v>
      </c>
      <c r="W362" s="4">
        <v>250.00399999999999</v>
      </c>
      <c r="X362" s="1">
        <v>179</v>
      </c>
      <c r="Y362" s="5">
        <v>86.671400000000006</v>
      </c>
      <c r="Z362" s="3">
        <f t="shared" si="77"/>
        <v>92.112230000000011</v>
      </c>
      <c r="AA362" s="1">
        <f t="shared" si="81"/>
        <v>0.13939838918709291</v>
      </c>
      <c r="AD362" s="4">
        <v>250.01775000000001</v>
      </c>
      <c r="AE362" s="1">
        <v>179</v>
      </c>
      <c r="AF362" s="5">
        <v>95.182959999999994</v>
      </c>
      <c r="AG362" s="3">
        <f t="shared" si="78"/>
        <v>95.444449999999989</v>
      </c>
      <c r="AH362" s="1">
        <f t="shared" si="80"/>
        <v>8.4405649101073343E-2</v>
      </c>
    </row>
    <row r="363" spans="2:34" x14ac:dyDescent="0.2">
      <c r="B363" s="4">
        <v>199.99969999999999</v>
      </c>
      <c r="C363" s="1">
        <v>179.5</v>
      </c>
      <c r="D363" s="5">
        <v>99.212180000000004</v>
      </c>
      <c r="E363" s="3">
        <f t="shared" si="74"/>
        <v>100.33862000000001</v>
      </c>
      <c r="F363" s="1">
        <f t="shared" si="73"/>
        <v>6.3942584894735909E-3</v>
      </c>
      <c r="I363" s="4">
        <v>225.00110000000001</v>
      </c>
      <c r="J363" s="1">
        <v>179.5</v>
      </c>
      <c r="K363" s="5">
        <v>91.560280000000006</v>
      </c>
      <c r="L363" s="3">
        <f t="shared" si="75"/>
        <v>95.147350000000003</v>
      </c>
      <c r="M363" s="1">
        <f t="shared" si="83"/>
        <v>8.9161061421043825E-2</v>
      </c>
      <c r="P363" s="4">
        <v>225.01784000000001</v>
      </c>
      <c r="Q363" s="1">
        <v>179.5</v>
      </c>
      <c r="R363" s="5">
        <v>98.45523</v>
      </c>
      <c r="S363" s="3">
        <f t="shared" si="76"/>
        <v>98.379410000000007</v>
      </c>
      <c r="T363" s="1">
        <f t="shared" si="82"/>
        <v>2.9792533260826658E-2</v>
      </c>
      <c r="W363" s="4">
        <v>250.00501</v>
      </c>
      <c r="X363" s="1">
        <v>179.5</v>
      </c>
      <c r="Y363" s="3">
        <v>86.652360000000002</v>
      </c>
      <c r="Z363" s="3">
        <f t="shared" si="77"/>
        <v>92.093190000000007</v>
      </c>
      <c r="AA363" s="1">
        <f t="shared" si="81"/>
        <v>0.13971454216270171</v>
      </c>
      <c r="AD363" s="4">
        <v>250.01588000000001</v>
      </c>
      <c r="AE363" s="1">
        <v>179.5</v>
      </c>
      <c r="AF363" s="3">
        <v>95.147710000000004</v>
      </c>
      <c r="AG363" s="3">
        <f t="shared" si="78"/>
        <v>95.409199999999998</v>
      </c>
      <c r="AH363" s="1">
        <f t="shared" si="80"/>
        <v>8.4990839112502978E-2</v>
      </c>
    </row>
    <row r="364" spans="2:34" x14ac:dyDescent="0.2">
      <c r="B364" s="4">
        <v>200.00136000000001</v>
      </c>
      <c r="C364" s="1">
        <v>180</v>
      </c>
      <c r="D364" s="3">
        <v>99.261480000000006</v>
      </c>
      <c r="E364" s="3">
        <f t="shared" si="74"/>
        <v>100.38792000000001</v>
      </c>
      <c r="F364" s="1">
        <f t="shared" si="73"/>
        <v>5.5774131755974921E-3</v>
      </c>
      <c r="I364" s="4">
        <v>225.00188</v>
      </c>
      <c r="J364" s="1">
        <v>180</v>
      </c>
      <c r="K364" s="3">
        <v>91.560249999999996</v>
      </c>
      <c r="L364" s="3">
        <f t="shared" si="75"/>
        <v>95.147319999999993</v>
      </c>
      <c r="M364" s="1">
        <f t="shared" si="83"/>
        <v>8.9161559510836624E-2</v>
      </c>
      <c r="P364" s="4">
        <v>225.01777999999999</v>
      </c>
      <c r="Q364" s="1">
        <v>180</v>
      </c>
      <c r="R364" s="3">
        <v>98.543859999999995</v>
      </c>
      <c r="S364" s="3">
        <f t="shared" si="76"/>
        <v>98.468040000000002</v>
      </c>
      <c r="T364" s="1">
        <f t="shared" si="82"/>
        <v>2.8315868855568235E-2</v>
      </c>
      <c r="W364" s="4">
        <v>250.00398999999999</v>
      </c>
      <c r="X364" s="1">
        <v>180</v>
      </c>
      <c r="Y364" s="5">
        <v>86.633279999999999</v>
      </c>
      <c r="Z364" s="3">
        <f t="shared" si="77"/>
        <v>92.074110000000005</v>
      </c>
      <c r="AA364" s="1">
        <f t="shared" si="81"/>
        <v>0.14003135932523406</v>
      </c>
      <c r="AD364" s="4">
        <v>250.01775000000001</v>
      </c>
      <c r="AE364" s="1">
        <v>180</v>
      </c>
      <c r="AF364" s="5">
        <v>95.130229999999997</v>
      </c>
      <c r="AG364" s="3">
        <f t="shared" si="78"/>
        <v>95.391719999999992</v>
      </c>
      <c r="AH364" s="1">
        <f t="shared" si="80"/>
        <v>8.5281026953631961E-2</v>
      </c>
    </row>
    <row r="365" spans="2:34" x14ac:dyDescent="0.2">
      <c r="B365" s="4">
        <v>200.00004999999999</v>
      </c>
      <c r="C365" s="1">
        <v>180.5</v>
      </c>
      <c r="D365" s="5">
        <v>99.318190000000001</v>
      </c>
      <c r="E365" s="3">
        <f t="shared" si="74"/>
        <v>100.44463</v>
      </c>
      <c r="F365" s="1">
        <f t="shared" si="73"/>
        <v>4.6377925315831394E-3</v>
      </c>
      <c r="I365" s="4">
        <v>225.001</v>
      </c>
      <c r="J365" s="1">
        <v>180.5</v>
      </c>
      <c r="K365" s="5">
        <v>91.545550000000006</v>
      </c>
      <c r="L365" s="3">
        <f t="shared" si="75"/>
        <v>95.132620000000003</v>
      </c>
      <c r="M365" s="1">
        <f t="shared" si="83"/>
        <v>8.9405623509229315E-2</v>
      </c>
      <c r="P365" s="4">
        <v>225.02088000000001</v>
      </c>
      <c r="Q365" s="1">
        <v>180.5</v>
      </c>
      <c r="R365" s="5">
        <v>98.487830000000002</v>
      </c>
      <c r="S365" s="3">
        <f t="shared" si="76"/>
        <v>98.412010000000009</v>
      </c>
      <c r="T365" s="1">
        <f t="shared" si="82"/>
        <v>2.9249384669927068E-2</v>
      </c>
      <c r="W365" s="4">
        <v>249.99895000000001</v>
      </c>
      <c r="X365" s="1">
        <v>180.5</v>
      </c>
      <c r="Y365" s="3">
        <v>86.604550000000003</v>
      </c>
      <c r="Z365" s="3">
        <f t="shared" si="77"/>
        <v>92.045380000000009</v>
      </c>
      <c r="AA365" s="1">
        <f t="shared" si="81"/>
        <v>0.14050841158307217</v>
      </c>
      <c r="AD365" s="4">
        <v>250.01777999999999</v>
      </c>
      <c r="AE365" s="1">
        <v>180.5</v>
      </c>
      <c r="AF365" s="3">
        <v>95.17774</v>
      </c>
      <c r="AG365" s="3">
        <f t="shared" si="78"/>
        <v>95.439229999999995</v>
      </c>
      <c r="AH365" s="1">
        <f t="shared" si="80"/>
        <v>8.4492307026170083E-2</v>
      </c>
    </row>
    <row r="366" spans="2:34" x14ac:dyDescent="0.2">
      <c r="B366" s="4">
        <v>200.00200000000001</v>
      </c>
      <c r="C366" s="1">
        <v>181</v>
      </c>
      <c r="D366" s="3">
        <v>99.1678</v>
      </c>
      <c r="E366" s="3">
        <f t="shared" si="74"/>
        <v>100.29424</v>
      </c>
      <c r="F366" s="1">
        <f t="shared" si="73"/>
        <v>7.1295849606667488E-3</v>
      </c>
      <c r="I366" s="4">
        <v>225.00604999999999</v>
      </c>
      <c r="J366" s="1">
        <v>181</v>
      </c>
      <c r="K366" s="3">
        <v>91.521569999999997</v>
      </c>
      <c r="L366" s="3">
        <f t="shared" si="75"/>
        <v>95.108639999999994</v>
      </c>
      <c r="M366" s="1">
        <f t="shared" si="83"/>
        <v>8.9803763283478485E-2</v>
      </c>
      <c r="P366" s="4">
        <v>225.02486999999999</v>
      </c>
      <c r="Q366" s="1">
        <v>181</v>
      </c>
      <c r="R366" s="3">
        <v>98.626249999999999</v>
      </c>
      <c r="S366" s="3">
        <f t="shared" si="76"/>
        <v>98.550430000000006</v>
      </c>
      <c r="T366" s="1">
        <f t="shared" si="82"/>
        <v>2.6943169088567736E-2</v>
      </c>
      <c r="W366" s="4">
        <v>250.00300999999999</v>
      </c>
      <c r="X366" s="1">
        <v>181</v>
      </c>
      <c r="Y366" s="5">
        <v>86.598650000000006</v>
      </c>
      <c r="Z366" s="3">
        <f t="shared" si="77"/>
        <v>92.039480000000012</v>
      </c>
      <c r="AA366" s="1">
        <f t="shared" si="81"/>
        <v>0.14060637915429541</v>
      </c>
      <c r="AD366" s="4">
        <v>250.02213</v>
      </c>
      <c r="AE366" s="1">
        <v>181</v>
      </c>
      <c r="AF366" s="5">
        <v>95.178529999999995</v>
      </c>
      <c r="AG366" s="3">
        <f t="shared" si="78"/>
        <v>95.44001999999999</v>
      </c>
      <c r="AH366" s="1">
        <f t="shared" si="80"/>
        <v>8.4479192129460118E-2</v>
      </c>
    </row>
    <row r="367" spans="2:34" x14ac:dyDescent="0.2">
      <c r="B367" s="4">
        <v>199.99982</v>
      </c>
      <c r="C367" s="1">
        <v>181.5</v>
      </c>
      <c r="D367" s="5">
        <v>99.098640000000003</v>
      </c>
      <c r="E367" s="3">
        <f t="shared" si="74"/>
        <v>100.22508000000001</v>
      </c>
      <c r="F367" s="1">
        <f t="shared" si="73"/>
        <v>8.2754880419581376E-3</v>
      </c>
      <c r="I367" s="4">
        <v>225.00585000000001</v>
      </c>
      <c r="J367" s="1">
        <v>181.5</v>
      </c>
      <c r="K367" s="5">
        <v>91.535979999999995</v>
      </c>
      <c r="L367" s="3">
        <f t="shared" si="75"/>
        <v>95.123049999999992</v>
      </c>
      <c r="M367" s="1">
        <f t="shared" si="83"/>
        <v>8.9564514153081171E-2</v>
      </c>
      <c r="P367" s="4">
        <v>225.02445</v>
      </c>
      <c r="Q367" s="1">
        <v>181.5</v>
      </c>
      <c r="R367" s="5">
        <v>98.486329999999995</v>
      </c>
      <c r="S367" s="3">
        <f t="shared" si="76"/>
        <v>98.410510000000002</v>
      </c>
      <c r="T367" s="1">
        <f t="shared" si="82"/>
        <v>2.9274376169508457E-2</v>
      </c>
      <c r="W367" s="4">
        <v>250.00102999999999</v>
      </c>
      <c r="X367" s="1">
        <v>181.5</v>
      </c>
      <c r="Y367" s="3">
        <v>86.581500000000005</v>
      </c>
      <c r="Z367" s="3">
        <f t="shared" si="77"/>
        <v>92.022330000000011</v>
      </c>
      <c r="AA367" s="1">
        <f t="shared" si="81"/>
        <v>0.14089114929776655</v>
      </c>
      <c r="AD367" s="4">
        <v>250.02251999999999</v>
      </c>
      <c r="AE367" s="1">
        <v>181.5</v>
      </c>
      <c r="AF367" s="3">
        <v>95.000489999999999</v>
      </c>
      <c r="AG367" s="3">
        <f t="shared" si="78"/>
        <v>95.261979999999994</v>
      </c>
      <c r="AH367" s="1">
        <f t="shared" si="80"/>
        <v>8.7434858218395084E-2</v>
      </c>
    </row>
    <row r="368" spans="2:34" x14ac:dyDescent="0.2">
      <c r="B368" s="4">
        <v>199.99294</v>
      </c>
      <c r="C368" s="1">
        <v>182</v>
      </c>
      <c r="D368" s="3">
        <v>99.207049999999995</v>
      </c>
      <c r="E368" s="3">
        <f t="shared" si="74"/>
        <v>100.33349</v>
      </c>
      <c r="F368" s="1">
        <f t="shared" si="73"/>
        <v>6.4792567949541373E-3</v>
      </c>
      <c r="I368" s="4">
        <v>225.00797</v>
      </c>
      <c r="J368" s="1">
        <v>182</v>
      </c>
      <c r="K368" s="3">
        <v>91.521550000000005</v>
      </c>
      <c r="L368" s="3">
        <f t="shared" si="75"/>
        <v>95.108620000000002</v>
      </c>
      <c r="M368" s="1">
        <f t="shared" si="83"/>
        <v>8.9804095343340121E-2</v>
      </c>
      <c r="P368" s="4">
        <v>225.02382</v>
      </c>
      <c r="Q368" s="1">
        <v>182</v>
      </c>
      <c r="R368" s="3">
        <v>98.506379999999993</v>
      </c>
      <c r="S368" s="3">
        <f t="shared" si="76"/>
        <v>98.43056</v>
      </c>
      <c r="T368" s="1">
        <f t="shared" si="82"/>
        <v>2.8940323125105548E-2</v>
      </c>
      <c r="W368" s="4">
        <v>249.99895000000001</v>
      </c>
      <c r="X368" s="1">
        <v>182</v>
      </c>
      <c r="Y368" s="5">
        <v>86.556569999999994</v>
      </c>
      <c r="Z368" s="3">
        <f t="shared" si="77"/>
        <v>91.997399999999999</v>
      </c>
      <c r="AA368" s="1">
        <f t="shared" si="81"/>
        <v>0.1413051037978679</v>
      </c>
      <c r="AD368" s="4">
        <v>250.01795999999999</v>
      </c>
      <c r="AE368" s="1">
        <v>182</v>
      </c>
      <c r="AF368" s="5">
        <v>95.016900000000007</v>
      </c>
      <c r="AG368" s="3">
        <f t="shared" si="78"/>
        <v>95.278390000000002</v>
      </c>
      <c r="AH368" s="1">
        <f t="shared" si="80"/>
        <v>8.7162433591797428E-2</v>
      </c>
    </row>
    <row r="369" spans="2:34" x14ac:dyDescent="0.2">
      <c r="B369" s="4">
        <v>199.98931999999999</v>
      </c>
      <c r="C369" s="1">
        <v>182.5</v>
      </c>
      <c r="D369" s="5">
        <v>99.18383</v>
      </c>
      <c r="E369" s="3">
        <f t="shared" si="74"/>
        <v>100.31027</v>
      </c>
      <c r="F369" s="1">
        <f t="shared" si="73"/>
        <v>6.8639859671285382E-3</v>
      </c>
      <c r="I369" s="4">
        <v>225.00507999999999</v>
      </c>
      <c r="J369" s="1">
        <v>182.5</v>
      </c>
      <c r="K369" s="5">
        <v>91.504230000000007</v>
      </c>
      <c r="L369" s="3">
        <f t="shared" si="75"/>
        <v>95.091300000000004</v>
      </c>
      <c r="M369" s="1">
        <f t="shared" si="83"/>
        <v>9.0091659183623371E-2</v>
      </c>
      <c r="P369" s="4">
        <v>225.02170000000001</v>
      </c>
      <c r="Q369" s="1">
        <v>182.5</v>
      </c>
      <c r="R369" s="5">
        <v>98.513099999999994</v>
      </c>
      <c r="S369" s="3">
        <f t="shared" si="76"/>
        <v>98.437280000000001</v>
      </c>
      <c r="T369" s="1">
        <f t="shared" si="82"/>
        <v>2.8828361206981446E-2</v>
      </c>
      <c r="W369" s="4">
        <v>250.001</v>
      </c>
      <c r="X369" s="1">
        <v>182.5</v>
      </c>
      <c r="Y369" s="3">
        <v>86.547049999999999</v>
      </c>
      <c r="Z369" s="3">
        <f t="shared" si="77"/>
        <v>91.987880000000004</v>
      </c>
      <c r="AA369" s="1">
        <f t="shared" si="81"/>
        <v>0.1414631802856722</v>
      </c>
      <c r="AD369" s="4">
        <v>250.01766000000001</v>
      </c>
      <c r="AE369" s="1">
        <v>182.5</v>
      </c>
      <c r="AF369" s="3">
        <v>95.023799999999994</v>
      </c>
      <c r="AG369" s="3">
        <f t="shared" si="78"/>
        <v>95.285289999999989</v>
      </c>
      <c r="AH369" s="1">
        <f t="shared" si="80"/>
        <v>8.7047885759773083E-2</v>
      </c>
    </row>
    <row r="370" spans="2:34" x14ac:dyDescent="0.2">
      <c r="B370" s="4">
        <v>199.99226999999999</v>
      </c>
      <c r="C370" s="1">
        <v>183</v>
      </c>
      <c r="D370" s="3">
        <v>99.081419999999994</v>
      </c>
      <c r="E370" s="3">
        <f t="shared" si="74"/>
        <v>100.20786</v>
      </c>
      <c r="F370" s="1">
        <f t="shared" si="73"/>
        <v>8.5608039913486669E-3</v>
      </c>
      <c r="I370" s="4">
        <v>225.00399999999999</v>
      </c>
      <c r="J370" s="1">
        <v>183</v>
      </c>
      <c r="K370" s="3">
        <v>91.489239999999995</v>
      </c>
      <c r="L370" s="3">
        <f t="shared" si="75"/>
        <v>95.076309999999992</v>
      </c>
      <c r="M370" s="1">
        <f t="shared" si="83"/>
        <v>9.0340538050011923E-2</v>
      </c>
      <c r="P370" s="4">
        <v>225.01929999999999</v>
      </c>
      <c r="Q370" s="1">
        <v>183</v>
      </c>
      <c r="R370" s="3">
        <v>98.4636</v>
      </c>
      <c r="S370" s="3">
        <f t="shared" si="76"/>
        <v>98.387780000000006</v>
      </c>
      <c r="T370" s="1">
        <f t="shared" si="82"/>
        <v>2.9653080693163195E-2</v>
      </c>
      <c r="W370" s="4">
        <v>250.00808000000001</v>
      </c>
      <c r="X370" s="1">
        <v>183</v>
      </c>
      <c r="Y370" s="5">
        <v>86.499170000000007</v>
      </c>
      <c r="Z370" s="3">
        <f t="shared" si="77"/>
        <v>91.940000000000012</v>
      </c>
      <c r="AA370" s="1">
        <f t="shared" si="81"/>
        <v>0.14225821203315875</v>
      </c>
      <c r="AD370" s="4">
        <v>250.02026000000001</v>
      </c>
      <c r="AE370" s="1">
        <v>183</v>
      </c>
      <c r="AF370" s="5">
        <v>95.066469999999995</v>
      </c>
      <c r="AG370" s="3">
        <f t="shared" si="78"/>
        <v>95.32795999999999</v>
      </c>
      <c r="AH370" s="1">
        <f t="shared" si="80"/>
        <v>8.6339515326079183E-2</v>
      </c>
    </row>
    <row r="371" spans="2:34" x14ac:dyDescent="0.2">
      <c r="B371" s="4">
        <v>199.99969999999999</v>
      </c>
      <c r="C371" s="1">
        <v>183.5</v>
      </c>
      <c r="D371" s="5">
        <v>99.23021</v>
      </c>
      <c r="E371" s="3">
        <f t="shared" si="74"/>
        <v>100.35665</v>
      </c>
      <c r="F371" s="1">
        <f t="shared" si="73"/>
        <v>6.0955217550074225E-3</v>
      </c>
      <c r="I371" s="4">
        <v>225.00518</v>
      </c>
      <c r="J371" s="1">
        <v>183.5</v>
      </c>
      <c r="K371" s="5">
        <v>91.476209999999995</v>
      </c>
      <c r="L371" s="3">
        <f t="shared" si="75"/>
        <v>95.063279999999992</v>
      </c>
      <c r="M371" s="1">
        <f t="shared" si="83"/>
        <v>9.0556875049947916E-2</v>
      </c>
      <c r="P371" s="4">
        <v>225.01918000000001</v>
      </c>
      <c r="Q371" s="1">
        <v>183.5</v>
      </c>
      <c r="R371" s="5">
        <v>98.402760000000001</v>
      </c>
      <c r="S371" s="3">
        <f t="shared" si="76"/>
        <v>98.326940000000008</v>
      </c>
      <c r="T371" s="1">
        <f t="shared" si="82"/>
        <v>3.06667359161794E-2</v>
      </c>
      <c r="W371" s="4">
        <v>250.01098999999999</v>
      </c>
      <c r="X371" s="1">
        <v>183.5</v>
      </c>
      <c r="Y371" s="3">
        <v>86.493340000000003</v>
      </c>
      <c r="Z371" s="3">
        <f t="shared" si="77"/>
        <v>91.934170000000009</v>
      </c>
      <c r="AA371" s="1">
        <f t="shared" si="81"/>
        <v>0.14235501727726591</v>
      </c>
      <c r="AD371" s="4">
        <v>250.02393000000001</v>
      </c>
      <c r="AE371" s="1">
        <v>183.5</v>
      </c>
      <c r="AF371" s="3">
        <v>94.948989999999995</v>
      </c>
      <c r="AG371" s="3">
        <f t="shared" si="78"/>
        <v>95.21047999999999</v>
      </c>
      <c r="AH371" s="1">
        <f t="shared" si="80"/>
        <v>8.8289816674810312E-2</v>
      </c>
    </row>
    <row r="372" spans="2:34" x14ac:dyDescent="0.2">
      <c r="B372" s="4">
        <v>200.01424</v>
      </c>
      <c r="C372" s="1">
        <v>184</v>
      </c>
      <c r="D372" s="3">
        <v>99.190880000000007</v>
      </c>
      <c r="E372" s="3">
        <f t="shared" si="74"/>
        <v>100.31732000000001</v>
      </c>
      <c r="F372" s="1">
        <f t="shared" si="73"/>
        <v>6.7471754303571052E-3</v>
      </c>
      <c r="I372" s="4">
        <v>225.01002</v>
      </c>
      <c r="J372" s="1">
        <v>184</v>
      </c>
      <c r="K372" s="3">
        <v>91.461619999999996</v>
      </c>
      <c r="L372" s="3">
        <f t="shared" si="75"/>
        <v>95.048689999999993</v>
      </c>
      <c r="M372" s="1">
        <f t="shared" si="83"/>
        <v>9.0799112719101072E-2</v>
      </c>
      <c r="P372" s="4">
        <v>225.02241000000001</v>
      </c>
      <c r="Q372" s="1">
        <v>184</v>
      </c>
      <c r="R372" s="3">
        <v>98.507189999999994</v>
      </c>
      <c r="S372" s="3">
        <f t="shared" si="76"/>
        <v>98.431370000000001</v>
      </c>
      <c r="T372" s="1">
        <f t="shared" si="82"/>
        <v>2.8926827715331643E-2</v>
      </c>
      <c r="W372" s="4">
        <v>250.00897000000001</v>
      </c>
      <c r="X372" s="1">
        <v>184</v>
      </c>
      <c r="Y372" s="5">
        <v>86.470060000000004</v>
      </c>
      <c r="Z372" s="3">
        <f t="shared" si="77"/>
        <v>91.910890000000009</v>
      </c>
      <c r="AA372" s="1">
        <f t="shared" si="81"/>
        <v>0.14274157406677071</v>
      </c>
      <c r="AD372" s="4">
        <v>250.02311</v>
      </c>
      <c r="AE372" s="1">
        <v>184</v>
      </c>
      <c r="AF372" s="5">
        <v>95.075990000000004</v>
      </c>
      <c r="AG372" s="3">
        <f t="shared" si="78"/>
        <v>95.337479999999999</v>
      </c>
      <c r="AH372" s="1">
        <f t="shared" si="80"/>
        <v>8.6181472520155303E-2</v>
      </c>
    </row>
    <row r="373" spans="2:34" x14ac:dyDescent="0.2">
      <c r="B373" s="4">
        <v>200.03622999999999</v>
      </c>
      <c r="C373" s="1">
        <v>184.5</v>
      </c>
      <c r="D373" s="5">
        <v>99.057329999999993</v>
      </c>
      <c r="E373" s="3">
        <f t="shared" si="74"/>
        <v>100.18377</v>
      </c>
      <c r="F373" s="1">
        <f t="shared" si="73"/>
        <v>8.9599480808268631E-3</v>
      </c>
      <c r="I373" s="4">
        <v>225.00802999999999</v>
      </c>
      <c r="J373" s="1">
        <v>184.5</v>
      </c>
      <c r="K373" s="5">
        <v>91.430509999999998</v>
      </c>
      <c r="L373" s="3">
        <f t="shared" si="75"/>
        <v>95.017579999999995</v>
      </c>
      <c r="M373" s="1">
        <f t="shared" si="83"/>
        <v>9.1315631834067143E-2</v>
      </c>
      <c r="P373" s="4">
        <v>225.02179000000001</v>
      </c>
      <c r="Q373" s="1">
        <v>184.5</v>
      </c>
      <c r="R373" s="5">
        <v>98.545419999999993</v>
      </c>
      <c r="S373" s="3">
        <f t="shared" si="76"/>
        <v>98.4696</v>
      </c>
      <c r="T373" s="1">
        <f t="shared" si="82"/>
        <v>2.8289877696003753E-2</v>
      </c>
      <c r="W373" s="4">
        <v>249.99994000000001</v>
      </c>
      <c r="X373" s="1">
        <v>184.5</v>
      </c>
      <c r="Y373" s="3">
        <v>86.45881</v>
      </c>
      <c r="Z373" s="3">
        <f t="shared" si="77"/>
        <v>91.899640000000005</v>
      </c>
      <c r="AA373" s="1">
        <f t="shared" si="81"/>
        <v>0.14292837663901858</v>
      </c>
      <c r="AD373" s="4">
        <v>250.02276000000001</v>
      </c>
      <c r="AE373" s="1">
        <v>184.5</v>
      </c>
      <c r="AF373" s="3">
        <v>95.174660000000003</v>
      </c>
      <c r="AG373" s="3">
        <f t="shared" si="78"/>
        <v>95.436149999999998</v>
      </c>
      <c r="AH373" s="1">
        <f t="shared" si="80"/>
        <v>8.4543438522204195E-2</v>
      </c>
    </row>
    <row r="374" spans="2:34" x14ac:dyDescent="0.2">
      <c r="B374" s="4">
        <v>200.05513999999999</v>
      </c>
      <c r="C374" s="1">
        <v>185</v>
      </c>
      <c r="D374" s="3">
        <v>99.226730000000003</v>
      </c>
      <c r="E374" s="3">
        <f t="shared" si="74"/>
        <v>100.35317000000001</v>
      </c>
      <c r="F374" s="1">
        <f t="shared" si="73"/>
        <v>6.1531814242221398E-3</v>
      </c>
      <c r="I374" s="4">
        <v>225.00609</v>
      </c>
      <c r="J374" s="1">
        <v>185</v>
      </c>
      <c r="K374" s="3">
        <v>91.437839999999994</v>
      </c>
      <c r="L374" s="3">
        <f t="shared" si="75"/>
        <v>95.024909999999991</v>
      </c>
      <c r="M374" s="1">
        <f t="shared" si="83"/>
        <v>9.119393189473253E-2</v>
      </c>
      <c r="P374" s="4">
        <v>225.01786000000001</v>
      </c>
      <c r="Q374" s="1">
        <v>185</v>
      </c>
      <c r="R374" s="3">
        <v>98.449659999999994</v>
      </c>
      <c r="S374" s="3">
        <f t="shared" si="76"/>
        <v>98.373840000000001</v>
      </c>
      <c r="T374" s="1">
        <f t="shared" si="82"/>
        <v>2.9885335029271865E-2</v>
      </c>
      <c r="W374" s="4">
        <v>250.00303</v>
      </c>
      <c r="X374" s="1">
        <v>185</v>
      </c>
      <c r="Y374" s="5">
        <v>86.441469999999995</v>
      </c>
      <c r="Z374" s="3">
        <f t="shared" si="77"/>
        <v>91.882300000000001</v>
      </c>
      <c r="AA374" s="1">
        <f t="shared" si="81"/>
        <v>0.14321630167037663</v>
      </c>
      <c r="AD374" s="4">
        <v>250.02059</v>
      </c>
      <c r="AE374" s="1">
        <v>185</v>
      </c>
      <c r="AF374" s="5">
        <v>95.081789999999998</v>
      </c>
      <c r="AG374" s="3">
        <f t="shared" si="78"/>
        <v>95.343279999999993</v>
      </c>
      <c r="AH374" s="1">
        <f t="shared" si="80"/>
        <v>8.6085185936714478E-2</v>
      </c>
    </row>
    <row r="375" spans="2:34" x14ac:dyDescent="0.2">
      <c r="B375" s="4">
        <v>200.04427000000001</v>
      </c>
      <c r="C375" s="1">
        <v>185.5</v>
      </c>
      <c r="D375" s="5">
        <v>99.13888</v>
      </c>
      <c r="E375" s="3">
        <f t="shared" si="74"/>
        <v>100.26532</v>
      </c>
      <c r="F375" s="1">
        <f t="shared" si="73"/>
        <v>7.6087566944861235E-3</v>
      </c>
      <c r="I375" s="4">
        <v>225.00797</v>
      </c>
      <c r="J375" s="1">
        <v>185.5</v>
      </c>
      <c r="K375" s="5">
        <v>91.403670000000005</v>
      </c>
      <c r="L375" s="3">
        <f t="shared" si="75"/>
        <v>94.990740000000002</v>
      </c>
      <c r="M375" s="1">
        <f t="shared" si="83"/>
        <v>9.1761256168547578E-2</v>
      </c>
      <c r="P375" s="4">
        <v>225.01563999999999</v>
      </c>
      <c r="Q375" s="1">
        <v>185.5</v>
      </c>
      <c r="R375" s="5">
        <v>98.511870000000002</v>
      </c>
      <c r="S375" s="3">
        <f t="shared" si="76"/>
        <v>98.436050000000009</v>
      </c>
      <c r="T375" s="1">
        <f t="shared" si="82"/>
        <v>2.8848854236637959E-2</v>
      </c>
      <c r="W375" s="4">
        <v>250.00796</v>
      </c>
      <c r="X375" s="1">
        <v>185.5</v>
      </c>
      <c r="Y375" s="3">
        <v>86.4148</v>
      </c>
      <c r="Z375" s="3">
        <f t="shared" si="77"/>
        <v>91.855630000000005</v>
      </c>
      <c r="AA375" s="1">
        <f t="shared" si="81"/>
        <v>0.14365914830165205</v>
      </c>
      <c r="AD375" s="4">
        <v>250.02045000000001</v>
      </c>
      <c r="AE375" s="1">
        <v>185.5</v>
      </c>
      <c r="AF375" s="3">
        <v>95.117109999999997</v>
      </c>
      <c r="AG375" s="3">
        <f t="shared" si="78"/>
        <v>95.378599999999992</v>
      </c>
      <c r="AH375" s="1">
        <f t="shared" si="80"/>
        <v>8.5498833845829389E-2</v>
      </c>
    </row>
    <row r="376" spans="2:34" x14ac:dyDescent="0.2">
      <c r="B376" s="4">
        <v>200.01692</v>
      </c>
      <c r="C376" s="1">
        <v>186</v>
      </c>
      <c r="D376" s="3">
        <v>99.163560000000004</v>
      </c>
      <c r="E376" s="3">
        <f t="shared" si="74"/>
        <v>100.29</v>
      </c>
      <c r="F376" s="1">
        <f t="shared" ref="F376:F439" si="84">($E$119-E376)/($E$119*(1-$N$1))</f>
        <v>7.1998369714341131E-3</v>
      </c>
      <c r="I376" s="4">
        <v>225.00692000000001</v>
      </c>
      <c r="J376" s="1">
        <v>186</v>
      </c>
      <c r="K376" s="3">
        <v>91.412689999999998</v>
      </c>
      <c r="L376" s="3">
        <f t="shared" si="75"/>
        <v>94.999759999999995</v>
      </c>
      <c r="M376" s="1">
        <f t="shared" si="83"/>
        <v>9.161149717089441E-2</v>
      </c>
      <c r="P376" s="4">
        <v>225.01614000000001</v>
      </c>
      <c r="Q376" s="1">
        <v>186</v>
      </c>
      <c r="R376" s="3">
        <v>98.492140000000006</v>
      </c>
      <c r="S376" s="3">
        <f t="shared" si="76"/>
        <v>98.416320000000013</v>
      </c>
      <c r="T376" s="1">
        <f t="shared" si="82"/>
        <v>2.9177575761130163E-2</v>
      </c>
      <c r="W376" s="4">
        <v>250.00899999999999</v>
      </c>
      <c r="X376" s="1">
        <v>186</v>
      </c>
      <c r="Y376" s="5">
        <v>86.414689999999993</v>
      </c>
      <c r="Z376" s="3">
        <f t="shared" si="77"/>
        <v>91.855519999999999</v>
      </c>
      <c r="AA376" s="1">
        <f t="shared" si="81"/>
        <v>0.1436609748156919</v>
      </c>
      <c r="AD376" s="4">
        <v>250.01527999999999</v>
      </c>
      <c r="AE376" s="1">
        <v>186</v>
      </c>
      <c r="AF376" s="5">
        <v>94.936080000000004</v>
      </c>
      <c r="AG376" s="3">
        <f t="shared" si="78"/>
        <v>95.197569999999999</v>
      </c>
      <c r="AH376" s="1">
        <f t="shared" si="80"/>
        <v>8.8504137328641611E-2</v>
      </c>
    </row>
    <row r="377" spans="2:34" x14ac:dyDescent="0.2">
      <c r="B377" s="4">
        <v>200.00245000000001</v>
      </c>
      <c r="C377" s="1">
        <v>186.5</v>
      </c>
      <c r="D377" s="5">
        <v>99.194100000000006</v>
      </c>
      <c r="E377" s="3">
        <f t="shared" si="74"/>
        <v>100.32054000000001</v>
      </c>
      <c r="F377" s="1">
        <f t="shared" si="84"/>
        <v>6.6938236674629874E-3</v>
      </c>
      <c r="I377" s="4">
        <v>225.00326999999999</v>
      </c>
      <c r="J377" s="1">
        <v>186.5</v>
      </c>
      <c r="K377" s="5">
        <v>91.398910000000001</v>
      </c>
      <c r="L377" s="3">
        <f t="shared" si="75"/>
        <v>94.985979999999998</v>
      </c>
      <c r="M377" s="1">
        <f t="shared" si="83"/>
        <v>9.1840286415646302E-2</v>
      </c>
      <c r="P377" s="4">
        <v>225.01402999999999</v>
      </c>
      <c r="Q377" s="1">
        <v>186.5</v>
      </c>
      <c r="R377" s="5">
        <v>98.528720000000007</v>
      </c>
      <c r="S377" s="3">
        <f t="shared" si="76"/>
        <v>98.452900000000014</v>
      </c>
      <c r="T377" s="1">
        <f t="shared" si="82"/>
        <v>2.8568116391341634E-2</v>
      </c>
      <c r="W377" s="4">
        <v>250.00803999999999</v>
      </c>
      <c r="X377" s="1">
        <v>186.5</v>
      </c>
      <c r="Y377" s="3">
        <v>86.374369999999999</v>
      </c>
      <c r="Z377" s="3">
        <f t="shared" si="77"/>
        <v>91.815200000000004</v>
      </c>
      <c r="AA377" s="1">
        <f t="shared" si="81"/>
        <v>0.14433047523462797</v>
      </c>
      <c r="AD377" s="4">
        <v>250.01678999999999</v>
      </c>
      <c r="AE377" s="1">
        <v>186.5</v>
      </c>
      <c r="AF377" s="3">
        <v>94.997309999999999</v>
      </c>
      <c r="AG377" s="3">
        <f t="shared" si="78"/>
        <v>95.258799999999994</v>
      </c>
      <c r="AH377" s="1">
        <f t="shared" si="80"/>
        <v>8.7487649827936845E-2</v>
      </c>
    </row>
    <row r="378" spans="2:34" x14ac:dyDescent="0.2">
      <c r="B378" s="4">
        <v>200.00348</v>
      </c>
      <c r="C378" s="1">
        <v>187</v>
      </c>
      <c r="D378" s="3">
        <v>99.193340000000006</v>
      </c>
      <c r="E378" s="3">
        <f t="shared" si="74"/>
        <v>100.31978000000001</v>
      </c>
      <c r="F378" s="1">
        <f t="shared" si="84"/>
        <v>6.7064160090156344E-3</v>
      </c>
      <c r="I378" s="4">
        <v>225.00212999999999</v>
      </c>
      <c r="J378" s="1">
        <v>187</v>
      </c>
      <c r="K378" s="3">
        <v>91.394239999999996</v>
      </c>
      <c r="L378" s="3">
        <f t="shared" si="75"/>
        <v>94.981309999999993</v>
      </c>
      <c r="M378" s="1">
        <f t="shared" si="83"/>
        <v>9.1917822393367099E-2</v>
      </c>
      <c r="P378" s="4">
        <v>225.01438999999999</v>
      </c>
      <c r="Q378" s="1">
        <v>187</v>
      </c>
      <c r="R378" s="3">
        <v>98.497540000000001</v>
      </c>
      <c r="S378" s="3">
        <f t="shared" si="76"/>
        <v>98.421720000000008</v>
      </c>
      <c r="T378" s="1">
        <f t="shared" si="82"/>
        <v>2.9087606362637689E-2</v>
      </c>
      <c r="W378" s="4">
        <v>250.00402</v>
      </c>
      <c r="X378" s="1">
        <v>187</v>
      </c>
      <c r="Y378" s="5">
        <v>86.364639999999994</v>
      </c>
      <c r="Z378" s="3">
        <f t="shared" si="77"/>
        <v>91.80547</v>
      </c>
      <c r="AA378" s="1">
        <f t="shared" si="81"/>
        <v>0.14449203870378105</v>
      </c>
      <c r="AD378" s="4">
        <v>250.01902999999999</v>
      </c>
      <c r="AE378" s="1">
        <v>187</v>
      </c>
      <c r="AF378" s="5">
        <v>95.01652</v>
      </c>
      <c r="AG378" s="3">
        <f t="shared" si="78"/>
        <v>95.278009999999995</v>
      </c>
      <c r="AH378" s="1">
        <f t="shared" si="80"/>
        <v>8.7168742023126425E-2</v>
      </c>
    </row>
    <row r="379" spans="2:34" x14ac:dyDescent="0.2">
      <c r="B379" s="4">
        <v>200.02036000000001</v>
      </c>
      <c r="C379" s="1">
        <v>187.5</v>
      </c>
      <c r="D379" s="5">
        <v>99.215190000000007</v>
      </c>
      <c r="E379" s="3">
        <f t="shared" si="74"/>
        <v>100.34163000000001</v>
      </c>
      <c r="F379" s="1">
        <f t="shared" si="84"/>
        <v>6.3443861893768437E-3</v>
      </c>
      <c r="I379" s="4">
        <v>225.00595999999999</v>
      </c>
      <c r="J379" s="1">
        <v>187.5</v>
      </c>
      <c r="K379" s="5">
        <v>91.380619999999993</v>
      </c>
      <c r="L379" s="3">
        <f t="shared" si="75"/>
        <v>94.96768999999999</v>
      </c>
      <c r="M379" s="1">
        <f t="shared" si="83"/>
        <v>9.2143955159225022E-2</v>
      </c>
      <c r="P379" s="4">
        <v>225.01177000000001</v>
      </c>
      <c r="Q379" s="1">
        <v>187.5</v>
      </c>
      <c r="R379" s="5">
        <v>98.425640000000001</v>
      </c>
      <c r="S379" s="3">
        <f t="shared" si="76"/>
        <v>98.349820000000008</v>
      </c>
      <c r="T379" s="1">
        <f t="shared" si="82"/>
        <v>3.028553224256645E-2</v>
      </c>
      <c r="W379" s="4">
        <v>250.00496000000001</v>
      </c>
      <c r="X379" s="1">
        <v>187.5</v>
      </c>
      <c r="Y379" s="3">
        <v>86.332049999999995</v>
      </c>
      <c r="Z379" s="3">
        <f t="shared" si="77"/>
        <v>91.772880000000001</v>
      </c>
      <c r="AA379" s="1">
        <f t="shared" si="81"/>
        <v>0.1450331849997416</v>
      </c>
      <c r="AD379" s="4">
        <v>250.01597000000001</v>
      </c>
      <c r="AE379" s="1">
        <v>187.5</v>
      </c>
      <c r="AF379" s="3">
        <v>94.943160000000006</v>
      </c>
      <c r="AG379" s="3">
        <f t="shared" si="78"/>
        <v>95.204650000000001</v>
      </c>
      <c r="AH379" s="1">
        <f t="shared" si="80"/>
        <v>8.838660129230333E-2</v>
      </c>
    </row>
    <row r="380" spans="2:34" x14ac:dyDescent="0.2">
      <c r="B380" s="4">
        <v>200.03532000000001</v>
      </c>
      <c r="C380" s="1">
        <v>188</v>
      </c>
      <c r="D380" s="3">
        <v>99.033019999999993</v>
      </c>
      <c r="E380" s="3">
        <f t="shared" si="74"/>
        <v>100.15946</v>
      </c>
      <c r="F380" s="1">
        <f t="shared" si="84"/>
        <v>9.3627373218071255E-3</v>
      </c>
      <c r="I380" s="4">
        <v>225.00509</v>
      </c>
      <c r="J380" s="1">
        <v>188</v>
      </c>
      <c r="K380" s="3">
        <v>91.353579999999994</v>
      </c>
      <c r="L380" s="3">
        <f t="shared" si="75"/>
        <v>94.940649999999991</v>
      </c>
      <c r="M380" s="1">
        <f t="shared" si="83"/>
        <v>9.2592900092323155E-2</v>
      </c>
      <c r="P380" s="4">
        <v>225.00927999999999</v>
      </c>
      <c r="Q380" s="1">
        <v>188</v>
      </c>
      <c r="R380" s="3">
        <v>98.43074</v>
      </c>
      <c r="S380" s="3">
        <f t="shared" si="76"/>
        <v>98.354920000000007</v>
      </c>
      <c r="T380" s="1">
        <f t="shared" si="82"/>
        <v>3.0200561143990161E-2</v>
      </c>
      <c r="W380" s="4">
        <v>250.00701000000001</v>
      </c>
      <c r="X380" s="1">
        <v>188</v>
      </c>
      <c r="Y380" s="5">
        <v>86.316969999999998</v>
      </c>
      <c r="Z380" s="3">
        <f t="shared" si="77"/>
        <v>91.757800000000003</v>
      </c>
      <c r="AA380" s="1">
        <f t="shared" si="81"/>
        <v>0.14528358346991907</v>
      </c>
      <c r="AD380" s="4">
        <v>250.01644999999999</v>
      </c>
      <c r="AE380" s="1">
        <v>188</v>
      </c>
      <c r="AF380" s="5">
        <v>94.859750000000005</v>
      </c>
      <c r="AG380" s="3">
        <f t="shared" si="78"/>
        <v>95.12124</v>
      </c>
      <c r="AH380" s="1">
        <f t="shared" si="80"/>
        <v>8.9771301968994383E-2</v>
      </c>
    </row>
    <row r="381" spans="2:34" x14ac:dyDescent="0.2">
      <c r="B381" s="4">
        <v>200.05016000000001</v>
      </c>
      <c r="C381" s="1">
        <v>188.5</v>
      </c>
      <c r="D381" s="5">
        <v>99.096419999999995</v>
      </c>
      <c r="E381" s="3">
        <f t="shared" si="74"/>
        <v>100.22286</v>
      </c>
      <c r="F381" s="1">
        <f t="shared" si="84"/>
        <v>8.3122709343883949E-3</v>
      </c>
      <c r="I381" s="4">
        <v>225.00694999999999</v>
      </c>
      <c r="J381" s="1">
        <v>188.5</v>
      </c>
      <c r="K381" s="5">
        <v>91.329580000000007</v>
      </c>
      <c r="L381" s="3">
        <f t="shared" si="75"/>
        <v>94.916650000000004</v>
      </c>
      <c r="M381" s="1">
        <f t="shared" si="83"/>
        <v>9.2991371926433725E-2</v>
      </c>
      <c r="P381" s="4">
        <v>225.01412999999999</v>
      </c>
      <c r="Q381" s="1">
        <v>188.5</v>
      </c>
      <c r="R381" s="5">
        <v>98.426820000000006</v>
      </c>
      <c r="S381" s="3">
        <f t="shared" si="76"/>
        <v>98.351000000000013</v>
      </c>
      <c r="T381" s="1">
        <f t="shared" si="82"/>
        <v>3.026587226289577E-2</v>
      </c>
      <c r="W381" s="4">
        <v>250.00698</v>
      </c>
      <c r="X381" s="1">
        <v>188.5</v>
      </c>
      <c r="Y381" s="3">
        <v>86.274630000000002</v>
      </c>
      <c r="Z381" s="3">
        <f t="shared" si="77"/>
        <v>91.715460000000007</v>
      </c>
      <c r="AA381" s="1">
        <f t="shared" si="81"/>
        <v>0.14598662532849432</v>
      </c>
      <c r="AD381" s="4">
        <v>250.02036000000001</v>
      </c>
      <c r="AE381" s="1">
        <v>188.5</v>
      </c>
      <c r="AF381" s="3">
        <v>94.980760000000004</v>
      </c>
      <c r="AG381" s="3">
        <f t="shared" si="78"/>
        <v>95.242249999999999</v>
      </c>
      <c r="AH381" s="1">
        <f t="shared" si="80"/>
        <v>8.7762398613444925E-2</v>
      </c>
    </row>
    <row r="382" spans="2:34" x14ac:dyDescent="0.2">
      <c r="B382" s="4">
        <v>200.07032000000001</v>
      </c>
      <c r="C382" s="1">
        <v>189</v>
      </c>
      <c r="D382" s="3">
        <v>99.102289999999996</v>
      </c>
      <c r="E382" s="3">
        <f t="shared" si="74"/>
        <v>100.22873</v>
      </c>
      <c r="F382" s="1">
        <f t="shared" si="84"/>
        <v>8.2150116647645866E-3</v>
      </c>
      <c r="I382" s="4">
        <v>225.00507999999999</v>
      </c>
      <c r="J382" s="1">
        <v>189</v>
      </c>
      <c r="K382" s="3">
        <v>91.353719999999996</v>
      </c>
      <c r="L382" s="3">
        <f t="shared" si="75"/>
        <v>94.940789999999993</v>
      </c>
      <c r="M382" s="1">
        <f t="shared" si="83"/>
        <v>9.259057567329082E-2</v>
      </c>
      <c r="P382" s="4">
        <v>225.01489000000001</v>
      </c>
      <c r="Q382" s="1">
        <v>189</v>
      </c>
      <c r="R382" s="3">
        <v>98.486990000000006</v>
      </c>
      <c r="S382" s="3">
        <f t="shared" si="76"/>
        <v>98.411170000000013</v>
      </c>
      <c r="T382" s="1">
        <f t="shared" si="82"/>
        <v>2.9263379909692522E-2</v>
      </c>
      <c r="W382" s="4">
        <v>250.00794999999999</v>
      </c>
      <c r="X382" s="1">
        <v>189</v>
      </c>
      <c r="Y382" s="5">
        <v>86.276629999999997</v>
      </c>
      <c r="Z382" s="3">
        <f t="shared" si="77"/>
        <v>91.717460000000003</v>
      </c>
      <c r="AA382" s="1">
        <f t="shared" si="81"/>
        <v>0.14595341598231701</v>
      </c>
      <c r="AD382" s="4">
        <v>250.01885999999999</v>
      </c>
      <c r="AE382" s="1">
        <v>189</v>
      </c>
      <c r="AF382" s="5">
        <v>94.865679999999998</v>
      </c>
      <c r="AG382" s="3">
        <f t="shared" si="78"/>
        <v>95.127169999999992</v>
      </c>
      <c r="AH382" s="1">
        <f t="shared" si="80"/>
        <v>8.9672857237993689E-2</v>
      </c>
    </row>
    <row r="383" spans="2:34" x14ac:dyDescent="0.2">
      <c r="B383" s="4">
        <v>200.09732</v>
      </c>
      <c r="C383" s="1">
        <v>189.5</v>
      </c>
      <c r="D383" s="5">
        <v>99.149140000000003</v>
      </c>
      <c r="E383" s="3">
        <f t="shared" si="74"/>
        <v>100.27558000000001</v>
      </c>
      <c r="F383" s="1">
        <f t="shared" si="84"/>
        <v>7.4387600835252648E-3</v>
      </c>
      <c r="I383" s="4">
        <v>225.00495000000001</v>
      </c>
      <c r="J383" s="1">
        <v>189.5</v>
      </c>
      <c r="K383" s="5">
        <v>91.300759999999997</v>
      </c>
      <c r="L383" s="3">
        <f t="shared" si="75"/>
        <v>94.887829999999994</v>
      </c>
      <c r="M383" s="1">
        <f t="shared" si="83"/>
        <v>9.346987018722859E-2</v>
      </c>
      <c r="P383" s="4">
        <v>225.01516000000001</v>
      </c>
      <c r="Q383" s="1">
        <v>189.5</v>
      </c>
      <c r="R383" s="5">
        <v>98.404290000000003</v>
      </c>
      <c r="S383" s="3">
        <f t="shared" si="76"/>
        <v>98.32847000000001</v>
      </c>
      <c r="T383" s="1">
        <f t="shared" si="82"/>
        <v>3.0641244586606466E-2</v>
      </c>
      <c r="W383" s="4">
        <v>250.00801999999999</v>
      </c>
      <c r="X383" s="1">
        <v>189.5</v>
      </c>
      <c r="Y383" s="3">
        <v>86.24024</v>
      </c>
      <c r="Z383" s="3">
        <f t="shared" si="77"/>
        <v>91.681070000000005</v>
      </c>
      <c r="AA383" s="1">
        <f t="shared" si="81"/>
        <v>0.14655766003601456</v>
      </c>
      <c r="AD383" s="4">
        <v>250.01936000000001</v>
      </c>
      <c r="AE383" s="1">
        <v>189.5</v>
      </c>
      <c r="AF383" s="3">
        <v>94.87764</v>
      </c>
      <c r="AG383" s="3">
        <f t="shared" si="78"/>
        <v>95.139129999999994</v>
      </c>
      <c r="AH383" s="1">
        <f t="shared" si="80"/>
        <v>8.9474307662484431E-2</v>
      </c>
    </row>
    <row r="384" spans="2:34" x14ac:dyDescent="0.2">
      <c r="B384" s="4">
        <v>200.11854</v>
      </c>
      <c r="C384" s="1">
        <v>190</v>
      </c>
      <c r="D384" s="3">
        <v>99.086619999999996</v>
      </c>
      <c r="E384" s="3">
        <f t="shared" si="74"/>
        <v>100.21306</v>
      </c>
      <c r="F384" s="1">
        <f t="shared" si="84"/>
        <v>8.4746458649357405E-3</v>
      </c>
      <c r="I384" s="4">
        <v>225.00004000000001</v>
      </c>
      <c r="J384" s="1">
        <v>190</v>
      </c>
      <c r="K384" s="3">
        <v>91.304670000000002</v>
      </c>
      <c r="L384" s="3">
        <f t="shared" si="75"/>
        <v>94.891739999999999</v>
      </c>
      <c r="M384" s="1">
        <f t="shared" si="83"/>
        <v>9.3404952484254636E-2</v>
      </c>
      <c r="P384" s="4">
        <v>225.01525000000001</v>
      </c>
      <c r="Q384" s="1">
        <v>190</v>
      </c>
      <c r="R384" s="3">
        <v>98.468559999999997</v>
      </c>
      <c r="S384" s="3">
        <f t="shared" si="76"/>
        <v>98.392740000000003</v>
      </c>
      <c r="T384" s="1">
        <f t="shared" si="82"/>
        <v>2.9570442134547854E-2</v>
      </c>
      <c r="W384" s="4">
        <v>250.01300000000001</v>
      </c>
      <c r="X384" s="1">
        <v>190</v>
      </c>
      <c r="Y384" s="5">
        <v>86.232299999999995</v>
      </c>
      <c r="Z384" s="3">
        <f t="shared" si="77"/>
        <v>91.67313</v>
      </c>
      <c r="AA384" s="1">
        <f t="shared" si="81"/>
        <v>0.14668950114033888</v>
      </c>
      <c r="AD384" s="4">
        <v>250.02005</v>
      </c>
      <c r="AE384" s="1">
        <v>190</v>
      </c>
      <c r="AF384" s="5">
        <v>94.914280000000005</v>
      </c>
      <c r="AG384" s="3">
        <f t="shared" si="78"/>
        <v>95.17577</v>
      </c>
      <c r="AH384" s="1">
        <f t="shared" si="80"/>
        <v>8.8866042073298873E-2</v>
      </c>
    </row>
    <row r="385" spans="2:34" x14ac:dyDescent="0.2">
      <c r="B385" s="4">
        <v>200.12393</v>
      </c>
      <c r="C385" s="1">
        <v>190.5</v>
      </c>
      <c r="D385" s="5">
        <v>99.055090000000007</v>
      </c>
      <c r="E385" s="3">
        <f t="shared" si="74"/>
        <v>100.18153000000001</v>
      </c>
      <c r="F385" s="1">
        <f t="shared" si="84"/>
        <v>8.9970623506660345E-3</v>
      </c>
      <c r="I385" s="4">
        <v>225.00103999999999</v>
      </c>
      <c r="J385" s="1">
        <v>190.5</v>
      </c>
      <c r="K385" s="5">
        <v>91.286090000000002</v>
      </c>
      <c r="L385" s="3">
        <f t="shared" si="75"/>
        <v>94.873159999999999</v>
      </c>
      <c r="M385" s="1">
        <f t="shared" si="83"/>
        <v>9.3713436095828731E-2</v>
      </c>
      <c r="P385" s="4">
        <v>225.01560000000001</v>
      </c>
      <c r="Q385" s="1">
        <v>190.5</v>
      </c>
      <c r="R385" s="5">
        <v>98.502650000000003</v>
      </c>
      <c r="S385" s="3">
        <f t="shared" si="76"/>
        <v>98.42683000000001</v>
      </c>
      <c r="T385" s="1">
        <f t="shared" si="82"/>
        <v>2.900246865406414E-2</v>
      </c>
      <c r="W385" s="4">
        <v>250.00303</v>
      </c>
      <c r="X385" s="1">
        <v>190.5</v>
      </c>
      <c r="Y385" s="3">
        <v>86.215260000000001</v>
      </c>
      <c r="Z385" s="3">
        <f t="shared" si="77"/>
        <v>91.656090000000006</v>
      </c>
      <c r="AA385" s="1">
        <f t="shared" si="81"/>
        <v>0.14697244476977014</v>
      </c>
      <c r="AD385" s="4">
        <v>250.01961</v>
      </c>
      <c r="AE385" s="1">
        <v>190.5</v>
      </c>
      <c r="AF385" s="3">
        <v>94.884600000000006</v>
      </c>
      <c r="AG385" s="3">
        <f t="shared" si="78"/>
        <v>95.146090000000001</v>
      </c>
      <c r="AH385" s="1">
        <f t="shared" si="80"/>
        <v>8.9358763762355214E-2</v>
      </c>
    </row>
    <row r="386" spans="2:34" x14ac:dyDescent="0.2">
      <c r="B386" s="4">
        <v>200.10986</v>
      </c>
      <c r="C386" s="1">
        <v>191</v>
      </c>
      <c r="D386" s="3">
        <v>99.121560000000002</v>
      </c>
      <c r="E386" s="3">
        <f t="shared" si="74"/>
        <v>100.248</v>
      </c>
      <c r="F386" s="1">
        <f t="shared" si="84"/>
        <v>7.8957295309228723E-3</v>
      </c>
      <c r="I386" s="4">
        <v>225.00505999999999</v>
      </c>
      <c r="J386" s="1">
        <v>191</v>
      </c>
      <c r="K386" s="3">
        <v>91.304310000000001</v>
      </c>
      <c r="L386" s="3">
        <f t="shared" si="75"/>
        <v>94.891379999999998</v>
      </c>
      <c r="M386" s="1">
        <f t="shared" si="83"/>
        <v>9.3410929561766304E-2</v>
      </c>
      <c r="P386" s="4">
        <v>225.01840999999999</v>
      </c>
      <c r="Q386" s="1">
        <v>191</v>
      </c>
      <c r="R386" s="3">
        <v>98.366190000000003</v>
      </c>
      <c r="S386" s="3">
        <f t="shared" si="76"/>
        <v>98.29037000000001</v>
      </c>
      <c r="T386" s="1">
        <f t="shared" si="82"/>
        <v>3.1276028675970673E-2</v>
      </c>
      <c r="W386" s="4">
        <v>250.00400999999999</v>
      </c>
      <c r="X386" s="1">
        <v>191</v>
      </c>
      <c r="Y386" s="5">
        <v>86.188469999999995</v>
      </c>
      <c r="Z386" s="3">
        <f t="shared" si="77"/>
        <v>91.629300000000001</v>
      </c>
      <c r="AA386" s="1">
        <f t="shared" si="81"/>
        <v>0.14741728396181639</v>
      </c>
      <c r="AD386" s="4">
        <v>250.01752999999999</v>
      </c>
      <c r="AE386" s="1">
        <v>191</v>
      </c>
      <c r="AF386" s="5">
        <v>94.854780000000005</v>
      </c>
      <c r="AG386" s="3">
        <f t="shared" si="78"/>
        <v>95.11627</v>
      </c>
      <c r="AH386" s="1">
        <f t="shared" si="80"/>
        <v>8.9853809610322216E-2</v>
      </c>
    </row>
    <row r="387" spans="2:34" x14ac:dyDescent="0.2">
      <c r="B387" s="4">
        <v>200.07953000000001</v>
      </c>
      <c r="C387" s="1">
        <v>191.5</v>
      </c>
      <c r="D387" s="5">
        <v>99.212140000000005</v>
      </c>
      <c r="E387" s="3">
        <f t="shared" si="74"/>
        <v>100.33858000000001</v>
      </c>
      <c r="F387" s="1">
        <f t="shared" si="84"/>
        <v>6.3949212442921261E-3</v>
      </c>
      <c r="I387" s="4">
        <v>225.00715</v>
      </c>
      <c r="J387" s="1">
        <v>191.5</v>
      </c>
      <c r="K387" s="5">
        <v>91.273399999999995</v>
      </c>
      <c r="L387" s="3">
        <f t="shared" si="75"/>
        <v>94.860469999999992</v>
      </c>
      <c r="M387" s="1">
        <f t="shared" si="83"/>
        <v>9.3924128078114913E-2</v>
      </c>
      <c r="P387" s="4">
        <v>225.01763</v>
      </c>
      <c r="Q387" s="1">
        <v>191.5</v>
      </c>
      <c r="R387" s="5">
        <v>98.407309999999995</v>
      </c>
      <c r="S387" s="3">
        <f t="shared" si="76"/>
        <v>98.331490000000002</v>
      </c>
      <c r="T387" s="1">
        <f t="shared" si="82"/>
        <v>3.0590928367449643E-2</v>
      </c>
      <c r="W387" s="4">
        <v>250.00200000000001</v>
      </c>
      <c r="X387" s="1">
        <v>191.5</v>
      </c>
      <c r="Y387" s="3">
        <v>86.178629999999998</v>
      </c>
      <c r="Z387" s="3">
        <f t="shared" si="77"/>
        <v>91.619460000000004</v>
      </c>
      <c r="AA387" s="1">
        <f t="shared" si="81"/>
        <v>0.14758067394500907</v>
      </c>
      <c r="AD387" s="4">
        <v>250.01439999999999</v>
      </c>
      <c r="AE387" s="1">
        <v>191.5</v>
      </c>
      <c r="AF387" s="3">
        <v>94.865499999999997</v>
      </c>
      <c r="AG387" s="3">
        <f t="shared" si="78"/>
        <v>95.126989999999992</v>
      </c>
      <c r="AH387" s="1">
        <f t="shared" si="80"/>
        <v>8.9675845442307389E-2</v>
      </c>
    </row>
    <row r="388" spans="2:34" x14ac:dyDescent="0.2">
      <c r="B388" s="4">
        <v>200.05383</v>
      </c>
      <c r="C388" s="1">
        <v>192</v>
      </c>
      <c r="D388" s="3">
        <v>99.206540000000004</v>
      </c>
      <c r="E388" s="3">
        <f t="shared" si="74"/>
        <v>100.33298000000001</v>
      </c>
      <c r="F388" s="1">
        <f t="shared" si="84"/>
        <v>6.4877069188906435E-3</v>
      </c>
      <c r="I388" s="4">
        <v>225.0061</v>
      </c>
      <c r="J388" s="1">
        <v>192</v>
      </c>
      <c r="K388" s="3">
        <v>91.256659999999997</v>
      </c>
      <c r="L388" s="3">
        <f t="shared" si="75"/>
        <v>94.843729999999994</v>
      </c>
      <c r="M388" s="1">
        <f t="shared" si="83"/>
        <v>9.4202062182407162E-2</v>
      </c>
      <c r="P388" s="4">
        <v>225.01560000000001</v>
      </c>
      <c r="Q388" s="1">
        <v>192</v>
      </c>
      <c r="R388" s="3">
        <v>98.393439999999998</v>
      </c>
      <c r="S388" s="3">
        <f t="shared" si="76"/>
        <v>98.317620000000005</v>
      </c>
      <c r="T388" s="1">
        <f t="shared" si="82"/>
        <v>3.082201643357772E-2</v>
      </c>
      <c r="W388" s="4">
        <v>250</v>
      </c>
      <c r="X388" s="1">
        <v>192</v>
      </c>
      <c r="Y388" s="5">
        <v>86.171009999999995</v>
      </c>
      <c r="Z388" s="3">
        <f t="shared" si="77"/>
        <v>91.611840000000001</v>
      </c>
      <c r="AA388" s="1">
        <f t="shared" si="81"/>
        <v>0.14770720155394498</v>
      </c>
      <c r="AD388" s="4">
        <v>250.01155</v>
      </c>
      <c r="AE388" s="1">
        <v>192</v>
      </c>
      <c r="AF388" s="5">
        <v>94.770359999999997</v>
      </c>
      <c r="AG388" s="3">
        <f t="shared" si="78"/>
        <v>95.031849999999991</v>
      </c>
      <c r="AH388" s="1">
        <f t="shared" si="80"/>
        <v>9.1255277433440168E-2</v>
      </c>
    </row>
    <row r="389" spans="2:34" x14ac:dyDescent="0.2">
      <c r="B389" s="4">
        <v>200.03898000000001</v>
      </c>
      <c r="C389" s="1">
        <v>192.5</v>
      </c>
      <c r="D389" s="5">
        <v>99.037229999999994</v>
      </c>
      <c r="E389" s="3">
        <f t="shared" ref="E389:E452" si="85">100-($D$4-D389)</f>
        <v>100.16367</v>
      </c>
      <c r="F389" s="1">
        <f t="shared" si="84"/>
        <v>9.2929823771536035E-3</v>
      </c>
      <c r="I389" s="4">
        <v>225.00712999999999</v>
      </c>
      <c r="J389" s="1">
        <v>192.5</v>
      </c>
      <c r="K389" s="5">
        <v>91.25564</v>
      </c>
      <c r="L389" s="3">
        <f t="shared" ref="L389:L452" si="86">100-($K$4-K389)</f>
        <v>94.842709999999997</v>
      </c>
      <c r="M389" s="1">
        <f t="shared" si="83"/>
        <v>9.4218997235356816E-2</v>
      </c>
      <c r="P389" s="4">
        <v>225.01649</v>
      </c>
      <c r="Q389" s="1">
        <v>192.5</v>
      </c>
      <c r="R389" s="5">
        <v>98.46857</v>
      </c>
      <c r="S389" s="3">
        <f t="shared" ref="S389:S452" si="87">100-($R$4-R389)</f>
        <v>98.392750000000007</v>
      </c>
      <c r="T389" s="1">
        <f t="shared" si="82"/>
        <v>2.9570275524550594E-2</v>
      </c>
      <c r="W389" s="4">
        <v>250.00203999999999</v>
      </c>
      <c r="X389" s="1">
        <v>192.5</v>
      </c>
      <c r="Y389" s="3">
        <v>86.144149999999996</v>
      </c>
      <c r="Z389" s="3">
        <f t="shared" ref="Z389:Z452" si="88">100-($Y$4-Y389)</f>
        <v>91.584980000000002</v>
      </c>
      <c r="AA389" s="1">
        <f t="shared" si="81"/>
        <v>0.14815320307310731</v>
      </c>
      <c r="AD389" s="4">
        <v>250.00934000000001</v>
      </c>
      <c r="AE389" s="1">
        <v>192.5</v>
      </c>
      <c r="AF389" s="3">
        <v>94.834800000000001</v>
      </c>
      <c r="AG389" s="3">
        <f t="shared" ref="AG389:AG452" si="89">100-($AF$4-AF389)</f>
        <v>95.096289999999996</v>
      </c>
      <c r="AH389" s="1">
        <f t="shared" si="80"/>
        <v>9.0185500289141199E-2</v>
      </c>
    </row>
    <row r="390" spans="2:34" x14ac:dyDescent="0.2">
      <c r="B390" s="4">
        <v>200.0325</v>
      </c>
      <c r="C390" s="1">
        <v>193</v>
      </c>
      <c r="D390" s="3">
        <v>99.055090000000007</v>
      </c>
      <c r="E390" s="3">
        <f t="shared" si="85"/>
        <v>100.18153000000001</v>
      </c>
      <c r="F390" s="1">
        <f t="shared" si="84"/>
        <v>8.9970623506660345E-3</v>
      </c>
      <c r="I390" s="4">
        <v>225.00292999999999</v>
      </c>
      <c r="J390" s="1">
        <v>193</v>
      </c>
      <c r="K390" s="3">
        <v>91.231340000000003</v>
      </c>
      <c r="L390" s="3">
        <f t="shared" si="86"/>
        <v>94.81841</v>
      </c>
      <c r="M390" s="1">
        <f t="shared" si="83"/>
        <v>9.462244996739394E-2</v>
      </c>
      <c r="P390" s="4">
        <v>225.01453000000001</v>
      </c>
      <c r="Q390" s="1">
        <v>193</v>
      </c>
      <c r="R390" s="3">
        <v>98.513530000000003</v>
      </c>
      <c r="S390" s="3">
        <f t="shared" si="87"/>
        <v>98.43771000000001</v>
      </c>
      <c r="T390" s="1">
        <f t="shared" si="82"/>
        <v>2.8821196977101338E-2</v>
      </c>
      <c r="W390" s="4">
        <v>250.00306</v>
      </c>
      <c r="X390" s="1">
        <v>193</v>
      </c>
      <c r="Y390" s="5">
        <v>86.11354</v>
      </c>
      <c r="Z390" s="3">
        <f t="shared" si="88"/>
        <v>91.554370000000006</v>
      </c>
      <c r="AA390" s="1">
        <f t="shared" si="81"/>
        <v>0.14866147211635217</v>
      </c>
      <c r="AD390" s="4">
        <v>250.01115999999999</v>
      </c>
      <c r="AE390" s="1">
        <v>193</v>
      </c>
      <c r="AF390" s="5">
        <v>94.799949999999995</v>
      </c>
      <c r="AG390" s="3">
        <f t="shared" si="89"/>
        <v>95.06143999999999</v>
      </c>
      <c r="AH390" s="1">
        <f t="shared" si="80"/>
        <v>9.0764049846540684E-2</v>
      </c>
    </row>
    <row r="391" spans="2:34" x14ac:dyDescent="0.2">
      <c r="B391" s="4">
        <v>200.03037</v>
      </c>
      <c r="C391" s="1">
        <v>193.5</v>
      </c>
      <c r="D391" s="5">
        <v>99.108009999999993</v>
      </c>
      <c r="E391" s="3">
        <f t="shared" si="85"/>
        <v>100.23445</v>
      </c>
      <c r="F391" s="1">
        <f t="shared" si="84"/>
        <v>8.1202377257104628E-3</v>
      </c>
      <c r="I391" s="4">
        <v>225.00196</v>
      </c>
      <c r="J391" s="1">
        <v>193.5</v>
      </c>
      <c r="K391" s="5">
        <v>91.2089</v>
      </c>
      <c r="L391" s="3">
        <f t="shared" si="86"/>
        <v>94.795969999999997</v>
      </c>
      <c r="M391" s="1">
        <f t="shared" si="83"/>
        <v>9.4995021132287569E-2</v>
      </c>
      <c r="P391" s="4">
        <v>225.01634000000001</v>
      </c>
      <c r="Q391" s="1">
        <v>193.5</v>
      </c>
      <c r="R391" s="5">
        <v>98.474260000000001</v>
      </c>
      <c r="S391" s="3">
        <f t="shared" si="87"/>
        <v>98.398440000000008</v>
      </c>
      <c r="T391" s="1">
        <f t="shared" si="82"/>
        <v>2.9475474436138963E-2</v>
      </c>
      <c r="W391" s="4">
        <v>250.00701000000001</v>
      </c>
      <c r="X391" s="1">
        <v>193.5</v>
      </c>
      <c r="Y391" s="3">
        <v>86.092510000000004</v>
      </c>
      <c r="Z391" s="3">
        <f t="shared" si="88"/>
        <v>91.53334000000001</v>
      </c>
      <c r="AA391" s="1">
        <f t="shared" si="81"/>
        <v>0.14901066839140736</v>
      </c>
      <c r="AD391" s="4">
        <v>250.01670999999999</v>
      </c>
      <c r="AE391" s="1">
        <v>193.5</v>
      </c>
      <c r="AF391" s="3">
        <v>94.778620000000004</v>
      </c>
      <c r="AG391" s="3">
        <f t="shared" si="89"/>
        <v>95.040109999999999</v>
      </c>
      <c r="AH391" s="1">
        <f t="shared" si="80"/>
        <v>9.1118152057712107E-2</v>
      </c>
    </row>
    <row r="392" spans="2:34" x14ac:dyDescent="0.2">
      <c r="B392" s="4">
        <v>200.02545000000001</v>
      </c>
      <c r="C392" s="1">
        <v>194</v>
      </c>
      <c r="D392" s="3">
        <v>99.114729999999994</v>
      </c>
      <c r="E392" s="3">
        <f t="shared" si="85"/>
        <v>100.24117</v>
      </c>
      <c r="F392" s="1">
        <f t="shared" si="84"/>
        <v>8.0088949161922426E-3</v>
      </c>
      <c r="I392" s="4">
        <v>225.00399999999999</v>
      </c>
      <c r="J392" s="1">
        <v>194</v>
      </c>
      <c r="K392" s="3">
        <v>91.236400000000003</v>
      </c>
      <c r="L392" s="3">
        <f t="shared" si="86"/>
        <v>94.82347</v>
      </c>
      <c r="M392" s="1">
        <f t="shared" si="83"/>
        <v>9.4538438822368911E-2</v>
      </c>
      <c r="P392" s="4">
        <v>225.01702</v>
      </c>
      <c r="Q392" s="1">
        <v>194</v>
      </c>
      <c r="R392" s="3">
        <v>98.478319999999997</v>
      </c>
      <c r="S392" s="3">
        <f t="shared" si="87"/>
        <v>98.402500000000003</v>
      </c>
      <c r="T392" s="1">
        <f t="shared" si="82"/>
        <v>2.9407830777272406E-2</v>
      </c>
      <c r="W392" s="4">
        <v>250.01302000000001</v>
      </c>
      <c r="X392" s="1">
        <v>194</v>
      </c>
      <c r="Y392" s="5">
        <v>86.102230000000006</v>
      </c>
      <c r="Z392" s="3">
        <f t="shared" si="88"/>
        <v>91.543060000000011</v>
      </c>
      <c r="AA392" s="1">
        <f t="shared" si="81"/>
        <v>0.14884927096898523</v>
      </c>
      <c r="AD392" s="4">
        <v>250.02014</v>
      </c>
      <c r="AE392" s="1">
        <v>194</v>
      </c>
      <c r="AF392" s="5">
        <v>94.885339999999999</v>
      </c>
      <c r="AG392" s="3">
        <f t="shared" si="89"/>
        <v>95.146829999999994</v>
      </c>
      <c r="AH392" s="1">
        <f t="shared" si="80"/>
        <v>8.9346478922399067E-2</v>
      </c>
    </row>
    <row r="393" spans="2:34" x14ac:dyDescent="0.2">
      <c r="B393" s="4">
        <v>200.0188</v>
      </c>
      <c r="C393" s="1">
        <v>194.5</v>
      </c>
      <c r="D393" s="5">
        <v>99.239869999999996</v>
      </c>
      <c r="E393" s="3">
        <f t="shared" si="85"/>
        <v>100.36631</v>
      </c>
      <c r="F393" s="1">
        <f t="shared" si="84"/>
        <v>5.9354664663250692E-3</v>
      </c>
      <c r="I393" s="4">
        <v>225.01000999999999</v>
      </c>
      <c r="J393" s="1">
        <v>194.5</v>
      </c>
      <c r="K393" s="5">
        <v>91.18441</v>
      </c>
      <c r="L393" s="3">
        <f t="shared" si="86"/>
        <v>94.771479999999997</v>
      </c>
      <c r="M393" s="1">
        <f t="shared" si="83"/>
        <v>9.5401628433011462E-2</v>
      </c>
      <c r="P393" s="4">
        <v>225.01918000000001</v>
      </c>
      <c r="Q393" s="1">
        <v>194.5</v>
      </c>
      <c r="R393" s="5">
        <v>98.285619999999994</v>
      </c>
      <c r="S393" s="3">
        <f t="shared" si="87"/>
        <v>98.209800000000001</v>
      </c>
      <c r="T393" s="1">
        <f t="shared" si="82"/>
        <v>3.261840542347931E-2</v>
      </c>
      <c r="W393" s="4">
        <v>250.01201</v>
      </c>
      <c r="X393" s="1">
        <v>194.5</v>
      </c>
      <c r="Y393" s="3">
        <v>86.08887</v>
      </c>
      <c r="Z393" s="3">
        <f t="shared" si="88"/>
        <v>91.529700000000005</v>
      </c>
      <c r="AA393" s="1">
        <f t="shared" si="81"/>
        <v>0.14907110940145027</v>
      </c>
      <c r="AD393" s="4">
        <v>250.01884000000001</v>
      </c>
      <c r="AE393" s="1">
        <v>194.5</v>
      </c>
      <c r="AF393" s="3">
        <v>94.738820000000004</v>
      </c>
      <c r="AG393" s="3">
        <f t="shared" si="89"/>
        <v>95.000309999999999</v>
      </c>
      <c r="AH393" s="1">
        <f t="shared" si="80"/>
        <v>9.1778877233737802E-2</v>
      </c>
    </row>
    <row r="394" spans="2:34" x14ac:dyDescent="0.2">
      <c r="B394" s="4">
        <v>200.00413</v>
      </c>
      <c r="C394" s="1">
        <v>195</v>
      </c>
      <c r="D394" s="3">
        <v>99.286869999999993</v>
      </c>
      <c r="E394" s="3">
        <f t="shared" si="85"/>
        <v>100.41331</v>
      </c>
      <c r="F394" s="1">
        <f t="shared" si="84"/>
        <v>5.156729554516298E-3</v>
      </c>
      <c r="I394" s="4">
        <v>225.00709000000001</v>
      </c>
      <c r="J394" s="1">
        <v>195</v>
      </c>
      <c r="K394" s="3">
        <v>91.18759</v>
      </c>
      <c r="L394" s="3">
        <f t="shared" si="86"/>
        <v>94.774659999999997</v>
      </c>
      <c r="M394" s="1">
        <f t="shared" si="83"/>
        <v>9.5348830914991772E-2</v>
      </c>
      <c r="P394" s="4">
        <v>225.01828</v>
      </c>
      <c r="Q394" s="1">
        <v>195</v>
      </c>
      <c r="R394" s="3">
        <v>98.470029999999994</v>
      </c>
      <c r="S394" s="3">
        <f t="shared" si="87"/>
        <v>98.394210000000001</v>
      </c>
      <c r="T394" s="1">
        <f t="shared" si="82"/>
        <v>2.954595046495825E-2</v>
      </c>
      <c r="W394" s="4">
        <v>250.00203999999999</v>
      </c>
      <c r="X394" s="1">
        <v>195</v>
      </c>
      <c r="Y394" s="5">
        <v>86.052369999999996</v>
      </c>
      <c r="Z394" s="3">
        <f t="shared" si="88"/>
        <v>91.493200000000002</v>
      </c>
      <c r="AA394" s="1">
        <f t="shared" si="81"/>
        <v>0.1496771799691877</v>
      </c>
      <c r="AD394" s="4">
        <v>250.01705999999999</v>
      </c>
      <c r="AE394" s="1">
        <v>195</v>
      </c>
      <c r="AF394" s="5">
        <v>94.811179999999993</v>
      </c>
      <c r="AG394" s="3">
        <f t="shared" si="89"/>
        <v>95.072669999999988</v>
      </c>
      <c r="AH394" s="1">
        <f t="shared" ref="AH394:AH457" si="90">($AG$9-AG394)/($AG$9*(1-$N$1))</f>
        <v>9.0577619099636991E-2</v>
      </c>
    </row>
    <row r="395" spans="2:34" x14ac:dyDescent="0.2">
      <c r="B395" s="4">
        <v>199.98488</v>
      </c>
      <c r="C395" s="1">
        <v>195.5</v>
      </c>
      <c r="D395" s="5">
        <v>99.219949999999997</v>
      </c>
      <c r="E395" s="3">
        <f t="shared" si="85"/>
        <v>100.34639</v>
      </c>
      <c r="F395" s="1">
        <f t="shared" si="84"/>
        <v>6.2655183659682812E-3</v>
      </c>
      <c r="I395" s="4">
        <v>225.00896</v>
      </c>
      <c r="J395" s="1">
        <v>195.5</v>
      </c>
      <c r="K395" s="5">
        <v>91.170820000000006</v>
      </c>
      <c r="L395" s="3">
        <f t="shared" si="86"/>
        <v>94.757890000000003</v>
      </c>
      <c r="M395" s="1">
        <f t="shared" si="83"/>
        <v>9.5627263109076585E-2</v>
      </c>
      <c r="P395" s="4">
        <v>225.01636999999999</v>
      </c>
      <c r="Q395" s="1">
        <v>195.5</v>
      </c>
      <c r="R395" s="5">
        <v>98.437430000000006</v>
      </c>
      <c r="S395" s="3">
        <f t="shared" si="87"/>
        <v>98.361610000000013</v>
      </c>
      <c r="T395" s="1">
        <f t="shared" si="82"/>
        <v>3.0089099055857604E-2</v>
      </c>
      <c r="W395" s="4">
        <v>250.00900999999999</v>
      </c>
      <c r="X395" s="1">
        <v>195.5</v>
      </c>
      <c r="Y395" s="3">
        <v>86.040840000000003</v>
      </c>
      <c r="Z395" s="3">
        <f t="shared" si="88"/>
        <v>91.481670000000008</v>
      </c>
      <c r="AA395" s="1">
        <f t="shared" si="81"/>
        <v>0.14986863184990024</v>
      </c>
      <c r="AD395" s="4">
        <v>250.01689999999999</v>
      </c>
      <c r="AE395" s="1">
        <v>195.5</v>
      </c>
      <c r="AF395" s="3">
        <v>94.831000000000003</v>
      </c>
      <c r="AG395" s="3">
        <f t="shared" si="89"/>
        <v>95.092489999999998</v>
      </c>
      <c r="AH395" s="1">
        <f t="shared" si="90"/>
        <v>9.0248584602430057E-2</v>
      </c>
    </row>
    <row r="396" spans="2:34" x14ac:dyDescent="0.2">
      <c r="B396" s="4">
        <v>199.97645</v>
      </c>
      <c r="C396" s="1">
        <v>196</v>
      </c>
      <c r="D396" s="3">
        <v>99.191479999999999</v>
      </c>
      <c r="E396" s="3">
        <f t="shared" si="85"/>
        <v>100.31792</v>
      </c>
      <c r="F396" s="1">
        <f t="shared" si="84"/>
        <v>6.7372341080788357E-3</v>
      </c>
      <c r="I396" s="4">
        <v>225.00792999999999</v>
      </c>
      <c r="J396" s="1">
        <v>196</v>
      </c>
      <c r="K396" s="3">
        <v>91.180059999999997</v>
      </c>
      <c r="L396" s="3">
        <f t="shared" si="86"/>
        <v>94.767129999999995</v>
      </c>
      <c r="M396" s="1">
        <f t="shared" si="83"/>
        <v>9.547385145294407E-2</v>
      </c>
      <c r="P396" s="4">
        <v>225.01861</v>
      </c>
      <c r="Q396" s="1">
        <v>196</v>
      </c>
      <c r="R396" s="3">
        <v>98.555719999999994</v>
      </c>
      <c r="S396" s="3">
        <f t="shared" si="87"/>
        <v>98.479900000000001</v>
      </c>
      <c r="T396" s="1">
        <f t="shared" si="82"/>
        <v>2.8118269398879032E-2</v>
      </c>
      <c r="W396" s="4">
        <v>250.00596999999999</v>
      </c>
      <c r="X396" s="1">
        <v>196</v>
      </c>
      <c r="Y396" s="5">
        <v>86.002420000000001</v>
      </c>
      <c r="Z396" s="3">
        <f t="shared" si="88"/>
        <v>91.443250000000006</v>
      </c>
      <c r="AA396" s="1">
        <f t="shared" ref="AA396:AA459" si="91">($Z$11-Z396)/($Z$11*(1-$N$1))</f>
        <v>0.15050658338996792</v>
      </c>
      <c r="AD396" s="4">
        <v>250.01543000000001</v>
      </c>
      <c r="AE396" s="1">
        <v>196</v>
      </c>
      <c r="AF396" s="5">
        <v>94.721829999999997</v>
      </c>
      <c r="AG396" s="3">
        <f t="shared" si="89"/>
        <v>94.983319999999992</v>
      </c>
      <c r="AH396" s="1">
        <f t="shared" si="90"/>
        <v>9.2060930518679529E-2</v>
      </c>
    </row>
    <row r="397" spans="2:34" x14ac:dyDescent="0.2">
      <c r="B397" s="4">
        <v>199.98246</v>
      </c>
      <c r="C397" s="1">
        <v>196.5</v>
      </c>
      <c r="D397" s="5">
        <v>99.18065</v>
      </c>
      <c r="E397" s="3">
        <f t="shared" si="85"/>
        <v>100.30709</v>
      </c>
      <c r="F397" s="1">
        <f t="shared" si="84"/>
        <v>6.9166749752041208E-3</v>
      </c>
      <c r="I397" s="4">
        <v>225.00303</v>
      </c>
      <c r="J397" s="1">
        <v>196.5</v>
      </c>
      <c r="K397" s="5">
        <v>91.152649999999994</v>
      </c>
      <c r="L397" s="3">
        <f t="shared" si="86"/>
        <v>94.739719999999991</v>
      </c>
      <c r="M397" s="1">
        <f t="shared" si="83"/>
        <v>9.5928939493484813E-2</v>
      </c>
      <c r="P397" s="4">
        <v>225.01844</v>
      </c>
      <c r="Q397" s="1">
        <v>196.5</v>
      </c>
      <c r="R397" s="5">
        <v>98.437780000000004</v>
      </c>
      <c r="S397" s="3">
        <f t="shared" si="87"/>
        <v>98.36196000000001</v>
      </c>
      <c r="T397" s="1">
        <f t="shared" si="82"/>
        <v>3.0083267705955354E-2</v>
      </c>
      <c r="W397" s="4">
        <v>250.006</v>
      </c>
      <c r="X397" s="1">
        <v>196.5</v>
      </c>
      <c r="Y397" s="3">
        <v>85.996570000000006</v>
      </c>
      <c r="Z397" s="3">
        <f t="shared" si="88"/>
        <v>91.437400000000011</v>
      </c>
      <c r="AA397" s="1">
        <f t="shared" si="91"/>
        <v>0.15060372072753669</v>
      </c>
      <c r="AD397" s="4">
        <v>250.01514</v>
      </c>
      <c r="AE397" s="1">
        <v>196.5</v>
      </c>
      <c r="AF397" s="3">
        <v>94.755849999999995</v>
      </c>
      <c r="AG397" s="3">
        <f t="shared" si="89"/>
        <v>95.01733999999999</v>
      </c>
      <c r="AH397" s="1">
        <f t="shared" si="90"/>
        <v>9.1496159903393284E-2</v>
      </c>
    </row>
    <row r="398" spans="2:34" x14ac:dyDescent="0.2">
      <c r="B398" s="4">
        <v>199.99106</v>
      </c>
      <c r="C398" s="1">
        <v>197</v>
      </c>
      <c r="D398" s="3">
        <v>99.156239999999997</v>
      </c>
      <c r="E398" s="3">
        <f t="shared" si="85"/>
        <v>100.28268</v>
      </c>
      <c r="F398" s="1">
        <f t="shared" si="84"/>
        <v>7.3211211032308387E-3</v>
      </c>
      <c r="I398" s="4">
        <v>225.00614999999999</v>
      </c>
      <c r="J398" s="1">
        <v>197</v>
      </c>
      <c r="K398" s="3">
        <v>91.125550000000004</v>
      </c>
      <c r="L398" s="3">
        <f t="shared" si="86"/>
        <v>94.712620000000001</v>
      </c>
      <c r="M398" s="1">
        <f t="shared" si="83"/>
        <v>9.6378880606168088E-2</v>
      </c>
      <c r="P398" s="4">
        <v>225.01604</v>
      </c>
      <c r="Q398" s="1">
        <v>197</v>
      </c>
      <c r="R398" s="3">
        <v>98.473479999999995</v>
      </c>
      <c r="S398" s="3">
        <f t="shared" si="87"/>
        <v>98.397660000000002</v>
      </c>
      <c r="T398" s="1">
        <f t="shared" ref="T398:T461" si="92">($S$13-S398)/($S$13*(1-$N$1))</f>
        <v>2.9488470015921323E-2</v>
      </c>
      <c r="W398" s="4">
        <v>250.00301999999999</v>
      </c>
      <c r="X398" s="1">
        <v>197</v>
      </c>
      <c r="Y398" s="5">
        <v>85.975620000000006</v>
      </c>
      <c r="Z398" s="3">
        <f t="shared" si="88"/>
        <v>91.416450000000012</v>
      </c>
      <c r="AA398" s="1">
        <f t="shared" si="91"/>
        <v>0.15095158862874483</v>
      </c>
      <c r="AD398" s="4">
        <v>250.01455000000001</v>
      </c>
      <c r="AE398" s="1">
        <v>197</v>
      </c>
      <c r="AF398" s="5">
        <v>94.618290000000002</v>
      </c>
      <c r="AG398" s="3">
        <f t="shared" si="89"/>
        <v>94.879779999999997</v>
      </c>
      <c r="AH398" s="1">
        <f t="shared" si="90"/>
        <v>9.3779812044450822E-2</v>
      </c>
    </row>
    <row r="399" spans="2:34" x14ac:dyDescent="0.2">
      <c r="B399" s="4">
        <v>200.00211999999999</v>
      </c>
      <c r="C399" s="1">
        <v>197.5</v>
      </c>
      <c r="D399" s="5">
        <v>99.176249999999996</v>
      </c>
      <c r="E399" s="3">
        <f t="shared" si="85"/>
        <v>100.30269</v>
      </c>
      <c r="F399" s="1">
        <f t="shared" si="84"/>
        <v>6.9895780052458634E-3</v>
      </c>
      <c r="I399" s="4">
        <v>225.00491</v>
      </c>
      <c r="J399" s="1">
        <v>197.5</v>
      </c>
      <c r="K399" s="5">
        <v>91.134950000000003</v>
      </c>
      <c r="L399" s="3">
        <f t="shared" si="86"/>
        <v>94.722020000000001</v>
      </c>
      <c r="M399" s="1">
        <f t="shared" si="83"/>
        <v>9.6222812471141367E-2</v>
      </c>
      <c r="P399" s="4">
        <v>225.01974999999999</v>
      </c>
      <c r="Q399" s="1">
        <v>197.5</v>
      </c>
      <c r="R399" s="5">
        <v>98.317639999999997</v>
      </c>
      <c r="S399" s="3">
        <f t="shared" si="87"/>
        <v>98.241820000000004</v>
      </c>
      <c r="T399" s="1">
        <f t="shared" si="92"/>
        <v>3.2084920212417802E-2</v>
      </c>
      <c r="W399" s="4">
        <v>250.00398999999999</v>
      </c>
      <c r="X399" s="1">
        <v>197.5</v>
      </c>
      <c r="Y399" s="3">
        <v>85.942920000000001</v>
      </c>
      <c r="Z399" s="3">
        <f t="shared" si="88"/>
        <v>91.383750000000006</v>
      </c>
      <c r="AA399" s="1">
        <f t="shared" si="91"/>
        <v>0.15149456143874523</v>
      </c>
      <c r="AD399" s="4">
        <v>250.01678000000001</v>
      </c>
      <c r="AE399" s="1">
        <v>197.5</v>
      </c>
      <c r="AF399" s="3">
        <v>94.737830000000002</v>
      </c>
      <c r="AG399" s="3">
        <f t="shared" si="89"/>
        <v>94.999319999999997</v>
      </c>
      <c r="AH399" s="1">
        <f t="shared" si="90"/>
        <v>9.1795312357463077E-2</v>
      </c>
    </row>
    <row r="400" spans="2:34" x14ac:dyDescent="0.2">
      <c r="B400" s="4">
        <v>200.00828000000001</v>
      </c>
      <c r="C400" s="1">
        <v>198</v>
      </c>
      <c r="D400" s="3">
        <v>99.14161</v>
      </c>
      <c r="E400" s="3">
        <f t="shared" si="85"/>
        <v>100.26805</v>
      </c>
      <c r="F400" s="1">
        <f t="shared" si="84"/>
        <v>7.563523678119361E-3</v>
      </c>
      <c r="I400" s="4">
        <v>225.00603000000001</v>
      </c>
      <c r="J400" s="1">
        <v>198</v>
      </c>
      <c r="K400" s="3">
        <v>91.098479999999995</v>
      </c>
      <c r="L400" s="3">
        <f t="shared" si="86"/>
        <v>94.685549999999992</v>
      </c>
      <c r="M400" s="1">
        <f t="shared" ref="M400:M463" si="93">($L$15-L400)/($L$15*(1-$N$1))</f>
        <v>9.6828323629059021E-2</v>
      </c>
      <c r="P400" s="4">
        <v>225.02107000000001</v>
      </c>
      <c r="Q400" s="1">
        <v>198</v>
      </c>
      <c r="R400" s="3">
        <v>98.376660000000001</v>
      </c>
      <c r="S400" s="3">
        <f t="shared" si="87"/>
        <v>98.300840000000008</v>
      </c>
      <c r="T400" s="1">
        <f t="shared" si="92"/>
        <v>3.1101588008893455E-2</v>
      </c>
      <c r="W400" s="4">
        <v>250.005</v>
      </c>
      <c r="X400" s="1">
        <v>198</v>
      </c>
      <c r="Y400" s="5">
        <v>85.941090000000003</v>
      </c>
      <c r="Z400" s="3">
        <f t="shared" si="88"/>
        <v>91.381920000000008</v>
      </c>
      <c r="AA400" s="1">
        <f t="shared" si="91"/>
        <v>0.15152494799049754</v>
      </c>
      <c r="AD400" s="4">
        <v>250.01938999999999</v>
      </c>
      <c r="AE400" s="1">
        <v>198</v>
      </c>
      <c r="AF400" s="5">
        <v>94.650189999999995</v>
      </c>
      <c r="AG400" s="3">
        <f t="shared" si="89"/>
        <v>94.91167999999999</v>
      </c>
      <c r="AH400" s="1">
        <f t="shared" si="90"/>
        <v>9.3250235835525816E-2</v>
      </c>
    </row>
    <row r="401" spans="2:34" x14ac:dyDescent="0.2">
      <c r="B401" s="4">
        <v>200.00792999999999</v>
      </c>
      <c r="C401" s="1">
        <v>198.5</v>
      </c>
      <c r="D401" s="5">
        <v>99.269900000000007</v>
      </c>
      <c r="E401" s="3">
        <f t="shared" si="85"/>
        <v>100.39634000000001</v>
      </c>
      <c r="F401" s="1">
        <f t="shared" si="84"/>
        <v>5.4379032862904488E-3</v>
      </c>
      <c r="I401" s="4">
        <v>225.01096999999999</v>
      </c>
      <c r="J401" s="1">
        <v>198.5</v>
      </c>
      <c r="K401" s="5">
        <v>91.10342</v>
      </c>
      <c r="L401" s="3">
        <f t="shared" si="86"/>
        <v>94.690489999999997</v>
      </c>
      <c r="M401" s="1">
        <f t="shared" si="93"/>
        <v>9.674630484320447E-2</v>
      </c>
      <c r="P401" s="4">
        <v>225.01813000000001</v>
      </c>
      <c r="Q401" s="1">
        <v>198.5</v>
      </c>
      <c r="R401" s="5">
        <v>98.449460000000002</v>
      </c>
      <c r="S401" s="3">
        <f t="shared" si="87"/>
        <v>98.373640000000009</v>
      </c>
      <c r="T401" s="1">
        <f t="shared" si="92"/>
        <v>2.9888667229215907E-2</v>
      </c>
      <c r="W401" s="4">
        <v>250.00397000000001</v>
      </c>
      <c r="X401" s="1">
        <v>198.5</v>
      </c>
      <c r="Y401" s="3">
        <v>85.927779999999998</v>
      </c>
      <c r="Z401" s="3">
        <f t="shared" si="88"/>
        <v>91.368610000000004</v>
      </c>
      <c r="AA401" s="1">
        <f t="shared" si="91"/>
        <v>0.15174595618930811</v>
      </c>
      <c r="AD401" s="4">
        <v>250.01732000000001</v>
      </c>
      <c r="AE401" s="1">
        <v>198.5</v>
      </c>
      <c r="AF401" s="3">
        <v>94.656679999999994</v>
      </c>
      <c r="AG401" s="3">
        <f t="shared" si="89"/>
        <v>94.918169999999989</v>
      </c>
      <c r="AH401" s="1">
        <f t="shared" si="90"/>
        <v>9.3142494468882439E-2</v>
      </c>
    </row>
    <row r="402" spans="2:34" x14ac:dyDescent="0.2">
      <c r="B402" s="4">
        <v>200.00837000000001</v>
      </c>
      <c r="C402" s="1">
        <v>199</v>
      </c>
      <c r="D402" s="3">
        <v>99.095619999999997</v>
      </c>
      <c r="E402" s="3">
        <f t="shared" si="85"/>
        <v>100.22206</v>
      </c>
      <c r="F402" s="1">
        <f t="shared" si="84"/>
        <v>8.3255260307595787E-3</v>
      </c>
      <c r="I402" s="4">
        <v>225.00505999999999</v>
      </c>
      <c r="J402" s="1">
        <v>199</v>
      </c>
      <c r="K402" s="3">
        <v>91.110820000000004</v>
      </c>
      <c r="L402" s="3">
        <f t="shared" si="86"/>
        <v>94.697890000000001</v>
      </c>
      <c r="M402" s="1">
        <f t="shared" si="93"/>
        <v>9.6623442694353578E-2</v>
      </c>
      <c r="P402" s="4">
        <v>225.01399000000001</v>
      </c>
      <c r="Q402" s="1">
        <v>199</v>
      </c>
      <c r="R402" s="3">
        <v>98.384169999999997</v>
      </c>
      <c r="S402" s="3">
        <f t="shared" si="87"/>
        <v>98.308350000000004</v>
      </c>
      <c r="T402" s="1">
        <f t="shared" si="92"/>
        <v>3.0976463900989966E-2</v>
      </c>
      <c r="W402" s="4">
        <v>250.00396000000001</v>
      </c>
      <c r="X402" s="1">
        <v>199</v>
      </c>
      <c r="Y402" s="5">
        <v>85.927719999999994</v>
      </c>
      <c r="Z402" s="3">
        <f t="shared" si="88"/>
        <v>91.368549999999999</v>
      </c>
      <c r="AA402" s="1">
        <f t="shared" si="91"/>
        <v>0.15174695246969352</v>
      </c>
      <c r="AD402" s="4">
        <v>250.01725999999999</v>
      </c>
      <c r="AE402" s="1">
        <v>199</v>
      </c>
      <c r="AF402" s="5">
        <v>94.789159999999995</v>
      </c>
      <c r="AG402" s="3">
        <f t="shared" si="89"/>
        <v>95.05064999999999</v>
      </c>
      <c r="AH402" s="1">
        <f t="shared" si="90"/>
        <v>9.0943176094010966E-2</v>
      </c>
    </row>
    <row r="403" spans="2:34" x14ac:dyDescent="0.2">
      <c r="B403" s="4">
        <v>200.00191000000001</v>
      </c>
      <c r="C403" s="1">
        <v>199.5</v>
      </c>
      <c r="D403" s="5">
        <v>99.086500000000001</v>
      </c>
      <c r="E403" s="3">
        <f t="shared" si="85"/>
        <v>100.21294</v>
      </c>
      <c r="F403" s="1">
        <f t="shared" si="84"/>
        <v>8.4766341293913468E-3</v>
      </c>
      <c r="I403" s="4">
        <v>225.00596999999999</v>
      </c>
      <c r="J403" s="1">
        <v>199.5</v>
      </c>
      <c r="K403" s="5">
        <v>91.093860000000006</v>
      </c>
      <c r="L403" s="3">
        <f t="shared" si="86"/>
        <v>94.680930000000004</v>
      </c>
      <c r="M403" s="1">
        <f t="shared" si="93"/>
        <v>9.6905029457125161E-2</v>
      </c>
      <c r="P403" s="4">
        <v>225.01472999999999</v>
      </c>
      <c r="Q403" s="1">
        <v>199.5</v>
      </c>
      <c r="R403" s="5">
        <v>98.396079999999998</v>
      </c>
      <c r="S403" s="3">
        <f t="shared" si="87"/>
        <v>98.320260000000005</v>
      </c>
      <c r="T403" s="1">
        <f t="shared" si="92"/>
        <v>3.0778031394314696E-2</v>
      </c>
      <c r="W403" s="4">
        <v>250.00798</v>
      </c>
      <c r="X403" s="1">
        <v>199.5</v>
      </c>
      <c r="Y403" s="3">
        <v>85.904589999999999</v>
      </c>
      <c r="Z403" s="3">
        <f t="shared" si="88"/>
        <v>91.345420000000004</v>
      </c>
      <c r="AA403" s="1">
        <f t="shared" si="91"/>
        <v>0.15213101855823494</v>
      </c>
      <c r="AD403" s="4">
        <v>250.0181</v>
      </c>
      <c r="AE403" s="1">
        <v>199.5</v>
      </c>
      <c r="AF403" s="3">
        <v>94.698409999999996</v>
      </c>
      <c r="AG403" s="3">
        <f t="shared" si="89"/>
        <v>94.95989999999999</v>
      </c>
      <c r="AH403" s="1">
        <f t="shared" si="90"/>
        <v>9.2449729102159997E-2</v>
      </c>
    </row>
    <row r="404" spans="2:34" x14ac:dyDescent="0.2">
      <c r="B404" s="4">
        <v>199.98824999999999</v>
      </c>
      <c r="C404" s="1">
        <v>200</v>
      </c>
      <c r="D404" s="3">
        <v>99.254530000000003</v>
      </c>
      <c r="E404" s="3">
        <f t="shared" si="85"/>
        <v>100.38097</v>
      </c>
      <c r="F404" s="1">
        <f t="shared" si="84"/>
        <v>5.6925668253224688E-3</v>
      </c>
      <c r="I404" s="4">
        <v>225.00797</v>
      </c>
      <c r="J404" s="1">
        <v>200</v>
      </c>
      <c r="K404" s="3">
        <v>91.084999999999994</v>
      </c>
      <c r="L404" s="3">
        <f t="shared" si="86"/>
        <v>94.672069999999991</v>
      </c>
      <c r="M404" s="1">
        <f t="shared" si="93"/>
        <v>9.7052131975884609E-2</v>
      </c>
      <c r="P404" s="4">
        <v>225.01768999999999</v>
      </c>
      <c r="Q404" s="1">
        <v>200</v>
      </c>
      <c r="R404" s="3">
        <v>98.407439999999994</v>
      </c>
      <c r="S404" s="3">
        <f t="shared" si="87"/>
        <v>98.331620000000001</v>
      </c>
      <c r="T404" s="1">
        <f t="shared" si="92"/>
        <v>3.0588762437485956E-2</v>
      </c>
      <c r="W404" s="4">
        <v>250.01197999999999</v>
      </c>
      <c r="X404" s="1">
        <v>200</v>
      </c>
      <c r="Y404" s="5">
        <v>85.883439999999993</v>
      </c>
      <c r="Z404" s="3">
        <f t="shared" si="88"/>
        <v>91.324269999999999</v>
      </c>
      <c r="AA404" s="1">
        <f t="shared" si="91"/>
        <v>0.15248220739406093</v>
      </c>
      <c r="AD404" s="4">
        <v>250.02117999999999</v>
      </c>
      <c r="AE404" s="1">
        <v>200</v>
      </c>
      <c r="AF404" s="5">
        <v>94.726730000000003</v>
      </c>
      <c r="AG404" s="3">
        <f t="shared" si="89"/>
        <v>94.988219999999998</v>
      </c>
      <c r="AH404" s="1">
        <f t="shared" si="90"/>
        <v>9.1979584956806915E-2</v>
      </c>
    </row>
    <row r="405" spans="2:34" x14ac:dyDescent="0.2">
      <c r="B405" s="4">
        <v>199.98407</v>
      </c>
      <c r="C405" s="1">
        <v>200.5</v>
      </c>
      <c r="D405" s="5">
        <v>99.210369999999998</v>
      </c>
      <c r="E405" s="3">
        <f t="shared" si="85"/>
        <v>100.33681</v>
      </c>
      <c r="F405" s="1">
        <f t="shared" si="84"/>
        <v>6.4242481450135632E-3</v>
      </c>
      <c r="I405" s="4">
        <v>225.00615999999999</v>
      </c>
      <c r="J405" s="1">
        <v>200.5</v>
      </c>
      <c r="K405" s="5">
        <v>91.072069999999997</v>
      </c>
      <c r="L405" s="3">
        <f t="shared" si="86"/>
        <v>94.659139999999994</v>
      </c>
      <c r="M405" s="1">
        <f t="shared" si="93"/>
        <v>9.7266808676511746E-2</v>
      </c>
      <c r="P405" s="4">
        <v>225.02067</v>
      </c>
      <c r="Q405" s="1">
        <v>200.5</v>
      </c>
      <c r="R405" s="5">
        <v>98.285560000000004</v>
      </c>
      <c r="S405" s="3">
        <f t="shared" si="87"/>
        <v>98.209740000000011</v>
      </c>
      <c r="T405" s="1">
        <f t="shared" si="92"/>
        <v>3.2619405083462408E-2</v>
      </c>
      <c r="W405" s="4">
        <v>250.01203000000001</v>
      </c>
      <c r="X405" s="1">
        <v>200.5</v>
      </c>
      <c r="Y405" s="3">
        <v>85.864400000000003</v>
      </c>
      <c r="Z405" s="3">
        <f t="shared" si="88"/>
        <v>91.305230000000009</v>
      </c>
      <c r="AA405" s="1">
        <f t="shared" si="91"/>
        <v>0.15279836036966951</v>
      </c>
      <c r="AD405" s="4">
        <v>250.0224</v>
      </c>
      <c r="AE405" s="1">
        <v>200.5</v>
      </c>
      <c r="AF405" s="3">
        <v>94.692880000000002</v>
      </c>
      <c r="AG405" s="3">
        <f t="shared" si="89"/>
        <v>94.954369999999997</v>
      </c>
      <c r="AH405" s="1">
        <f t="shared" si="90"/>
        <v>9.2541533379130292E-2</v>
      </c>
    </row>
    <row r="406" spans="2:34" x14ac:dyDescent="0.2">
      <c r="B406" s="4">
        <v>199.99831</v>
      </c>
      <c r="C406" s="1">
        <v>201</v>
      </c>
      <c r="D406" s="3">
        <v>99.176469999999995</v>
      </c>
      <c r="E406" s="3">
        <f t="shared" si="85"/>
        <v>100.30291</v>
      </c>
      <c r="F406" s="1">
        <f t="shared" si="84"/>
        <v>6.985932853743799E-3</v>
      </c>
      <c r="I406" s="4">
        <v>225.00412</v>
      </c>
      <c r="J406" s="1">
        <v>201</v>
      </c>
      <c r="K406" s="3">
        <v>91.040369999999996</v>
      </c>
      <c r="L406" s="3">
        <f t="shared" si="86"/>
        <v>94.627439999999993</v>
      </c>
      <c r="M406" s="1">
        <f t="shared" si="93"/>
        <v>9.7793123557399747E-2</v>
      </c>
      <c r="P406" s="4">
        <v>225.01729</v>
      </c>
      <c r="Q406" s="1">
        <v>201</v>
      </c>
      <c r="R406" s="3">
        <v>98.336470000000006</v>
      </c>
      <c r="S406" s="3">
        <f t="shared" si="87"/>
        <v>98.260650000000012</v>
      </c>
      <c r="T406" s="1">
        <f t="shared" si="92"/>
        <v>3.1771193587674149E-2</v>
      </c>
      <c r="W406" s="4">
        <v>250.00800000000001</v>
      </c>
      <c r="X406" s="1">
        <v>201</v>
      </c>
      <c r="Y406" s="5">
        <v>85.845230000000001</v>
      </c>
      <c r="Z406" s="3">
        <f t="shared" si="88"/>
        <v>91.286060000000006</v>
      </c>
      <c r="AA406" s="1">
        <f t="shared" si="91"/>
        <v>0.15311667195277984</v>
      </c>
      <c r="AD406" s="4">
        <v>250.02489</v>
      </c>
      <c r="AE406" s="1">
        <v>201</v>
      </c>
      <c r="AF406" s="5">
        <v>94.69605</v>
      </c>
      <c r="AG406" s="3">
        <f t="shared" si="89"/>
        <v>94.957539999999995</v>
      </c>
      <c r="AH406" s="1">
        <f t="shared" si="90"/>
        <v>9.248890778093935E-2</v>
      </c>
    </row>
    <row r="407" spans="2:34" x14ac:dyDescent="0.2">
      <c r="B407" s="4">
        <v>200.03854000000001</v>
      </c>
      <c r="C407" s="1">
        <v>201.5</v>
      </c>
      <c r="D407" s="5">
        <v>99.263109999999998</v>
      </c>
      <c r="E407" s="3">
        <f t="shared" si="85"/>
        <v>100.38955</v>
      </c>
      <c r="F407" s="1">
        <f t="shared" si="84"/>
        <v>5.5504059167412832E-3</v>
      </c>
      <c r="I407" s="4">
        <v>225.00599</v>
      </c>
      <c r="J407" s="1">
        <v>201.5</v>
      </c>
      <c r="K407" s="5">
        <v>91.068740000000005</v>
      </c>
      <c r="L407" s="3">
        <f t="shared" si="86"/>
        <v>94.655810000000002</v>
      </c>
      <c r="M407" s="1">
        <f t="shared" si="93"/>
        <v>9.7322096643494463E-2</v>
      </c>
      <c r="P407" s="4">
        <v>225.0163</v>
      </c>
      <c r="Q407" s="1">
        <v>201.5</v>
      </c>
      <c r="R407" s="5">
        <v>98.342280000000002</v>
      </c>
      <c r="S407" s="3">
        <f t="shared" si="87"/>
        <v>98.266460000000009</v>
      </c>
      <c r="T407" s="1">
        <f t="shared" si="92"/>
        <v>3.1674393179296094E-2</v>
      </c>
      <c r="W407" s="4">
        <v>250.00900999999999</v>
      </c>
      <c r="X407" s="1">
        <v>201.5</v>
      </c>
      <c r="Y407" s="3">
        <v>85.826120000000003</v>
      </c>
      <c r="Z407" s="3">
        <f t="shared" si="88"/>
        <v>91.266950000000008</v>
      </c>
      <c r="AA407" s="1">
        <f t="shared" si="91"/>
        <v>0.15343398725550475</v>
      </c>
      <c r="AD407" s="4">
        <v>250.02589</v>
      </c>
      <c r="AE407" s="1">
        <v>201.5</v>
      </c>
      <c r="AF407" s="3">
        <v>94.661910000000006</v>
      </c>
      <c r="AG407" s="3">
        <f t="shared" si="89"/>
        <v>94.923400000000001</v>
      </c>
      <c r="AH407" s="1">
        <f t="shared" si="90"/>
        <v>9.3055670532434645E-2</v>
      </c>
    </row>
    <row r="408" spans="2:34" x14ac:dyDescent="0.2">
      <c r="B408" s="4">
        <v>200.09404000000001</v>
      </c>
      <c r="C408" s="1">
        <v>202</v>
      </c>
      <c r="D408" s="3">
        <v>99.116829999999993</v>
      </c>
      <c r="E408" s="3">
        <f t="shared" si="85"/>
        <v>100.24327</v>
      </c>
      <c r="F408" s="1">
        <f t="shared" si="84"/>
        <v>7.9741002882178277E-3</v>
      </c>
      <c r="I408" s="4">
        <v>225.00107</v>
      </c>
      <c r="J408" s="1">
        <v>202</v>
      </c>
      <c r="K408" s="3">
        <v>91.021960000000007</v>
      </c>
      <c r="L408" s="3">
        <f t="shared" si="86"/>
        <v>94.609030000000004</v>
      </c>
      <c r="M408" s="1">
        <f t="shared" si="93"/>
        <v>9.8098784660148708E-2</v>
      </c>
      <c r="P408" s="4">
        <v>225.01419000000001</v>
      </c>
      <c r="Q408" s="1">
        <v>202</v>
      </c>
      <c r="R408" s="3">
        <v>98.239450000000005</v>
      </c>
      <c r="S408" s="3">
        <f t="shared" si="87"/>
        <v>98.163630000000012</v>
      </c>
      <c r="T408" s="1">
        <f t="shared" si="92"/>
        <v>3.3387643780590559E-2</v>
      </c>
      <c r="W408" s="4">
        <v>250.00702000000001</v>
      </c>
      <c r="X408" s="1">
        <v>202</v>
      </c>
      <c r="Y408" s="5">
        <v>85.822249999999997</v>
      </c>
      <c r="Z408" s="3">
        <f t="shared" si="88"/>
        <v>91.263080000000002</v>
      </c>
      <c r="AA408" s="1">
        <f t="shared" si="91"/>
        <v>0.15349824734035811</v>
      </c>
      <c r="AD408" s="4">
        <v>250.02038999999999</v>
      </c>
      <c r="AE408" s="1">
        <v>202</v>
      </c>
      <c r="AF408" s="5">
        <v>94.514830000000003</v>
      </c>
      <c r="AG408" s="3">
        <f t="shared" si="89"/>
        <v>94.776319999999998</v>
      </c>
      <c r="AH408" s="1">
        <f t="shared" si="90"/>
        <v>9.5497365479416077E-2</v>
      </c>
    </row>
    <row r="409" spans="2:34" x14ac:dyDescent="0.2">
      <c r="B409" s="4">
        <v>200.14049</v>
      </c>
      <c r="C409" s="1">
        <v>202.5</v>
      </c>
      <c r="D409" s="5">
        <v>99.213700000000003</v>
      </c>
      <c r="E409" s="3">
        <f t="shared" si="85"/>
        <v>100.34014000000001</v>
      </c>
      <c r="F409" s="1">
        <f t="shared" si="84"/>
        <v>6.3690738063682962E-3</v>
      </c>
      <c r="I409" s="4">
        <v>225.00807</v>
      </c>
      <c r="J409" s="1">
        <v>202.5</v>
      </c>
      <c r="K409" s="5">
        <v>91.026210000000006</v>
      </c>
      <c r="L409" s="3">
        <f t="shared" si="86"/>
        <v>94.613280000000003</v>
      </c>
      <c r="M409" s="1">
        <f t="shared" si="93"/>
        <v>9.8028221939524943E-2</v>
      </c>
      <c r="P409" s="4">
        <v>225.01293000000001</v>
      </c>
      <c r="Q409" s="1">
        <v>202.5</v>
      </c>
      <c r="R409" s="5">
        <v>98.398219999999995</v>
      </c>
      <c r="S409" s="3">
        <f t="shared" si="87"/>
        <v>98.322400000000002</v>
      </c>
      <c r="T409" s="1">
        <f t="shared" si="92"/>
        <v>3.0742376854912136E-2</v>
      </c>
      <c r="W409" s="4">
        <v>250.00895</v>
      </c>
      <c r="X409" s="1">
        <v>202.5</v>
      </c>
      <c r="Y409" s="3">
        <v>85.793350000000004</v>
      </c>
      <c r="Z409" s="3">
        <f t="shared" si="88"/>
        <v>91.234180000000009</v>
      </c>
      <c r="AA409" s="1">
        <f t="shared" si="91"/>
        <v>0.15397812239262126</v>
      </c>
      <c r="AD409" s="4">
        <v>250.01909000000001</v>
      </c>
      <c r="AE409" s="1">
        <v>202.5</v>
      </c>
      <c r="AF409" s="3">
        <v>94.612949999999998</v>
      </c>
      <c r="AG409" s="3">
        <f t="shared" si="89"/>
        <v>94.874439999999993</v>
      </c>
      <c r="AH409" s="1">
        <f t="shared" si="90"/>
        <v>9.3868462105756847E-2</v>
      </c>
    </row>
    <row r="410" spans="2:34" x14ac:dyDescent="0.2">
      <c r="B410" s="4">
        <v>200.16217</v>
      </c>
      <c r="C410" s="1">
        <v>203</v>
      </c>
      <c r="D410" s="3">
        <v>99.286249999999995</v>
      </c>
      <c r="E410" s="3">
        <f t="shared" si="85"/>
        <v>100.41269</v>
      </c>
      <c r="F410" s="1">
        <f t="shared" si="84"/>
        <v>5.1670022542039534E-3</v>
      </c>
      <c r="I410" s="4">
        <v>225.00597999999999</v>
      </c>
      <c r="J410" s="1">
        <v>203</v>
      </c>
      <c r="K410" s="3">
        <v>91.021150000000006</v>
      </c>
      <c r="L410" s="3">
        <f t="shared" si="86"/>
        <v>94.608220000000003</v>
      </c>
      <c r="M410" s="1">
        <f t="shared" si="93"/>
        <v>9.8112233084549971E-2</v>
      </c>
      <c r="P410" s="4">
        <v>225.01291000000001</v>
      </c>
      <c r="Q410" s="1">
        <v>203</v>
      </c>
      <c r="R410" s="3">
        <v>98.307860000000005</v>
      </c>
      <c r="S410" s="3">
        <f t="shared" si="87"/>
        <v>98.232040000000012</v>
      </c>
      <c r="T410" s="1">
        <f t="shared" si="92"/>
        <v>3.2247864789687539E-2</v>
      </c>
      <c r="W410" s="4">
        <v>250.00798</v>
      </c>
      <c r="X410" s="1">
        <v>203</v>
      </c>
      <c r="Y410" s="5">
        <v>85.753190000000004</v>
      </c>
      <c r="Z410" s="3">
        <f t="shared" si="88"/>
        <v>91.194020000000009</v>
      </c>
      <c r="AA410" s="1">
        <f t="shared" si="91"/>
        <v>0.15464496606386324</v>
      </c>
      <c r="AD410" s="4">
        <v>250.01909000000001</v>
      </c>
      <c r="AE410" s="1">
        <v>203</v>
      </c>
      <c r="AF410" s="5">
        <v>94.740300000000005</v>
      </c>
      <c r="AG410" s="3">
        <f t="shared" si="89"/>
        <v>95.00179</v>
      </c>
      <c r="AH410" s="1">
        <f t="shared" si="90"/>
        <v>9.1754307553825271E-2</v>
      </c>
    </row>
    <row r="411" spans="2:34" x14ac:dyDescent="0.2">
      <c r="B411" s="4">
        <v>200.15879000000001</v>
      </c>
      <c r="C411" s="1">
        <v>203.5</v>
      </c>
      <c r="D411" s="5">
        <v>99.072280000000006</v>
      </c>
      <c r="E411" s="3">
        <f t="shared" si="85"/>
        <v>100.19872000000001</v>
      </c>
      <c r="F411" s="1">
        <f t="shared" si="84"/>
        <v>8.7122434673895851E-3</v>
      </c>
      <c r="I411" s="4">
        <v>225.00712999999999</v>
      </c>
      <c r="J411" s="1">
        <v>203.5</v>
      </c>
      <c r="K411" s="5">
        <v>91.015550000000005</v>
      </c>
      <c r="L411" s="3">
        <f t="shared" si="86"/>
        <v>94.602620000000002</v>
      </c>
      <c r="M411" s="1">
        <f t="shared" si="93"/>
        <v>9.8205209845842509E-2</v>
      </c>
      <c r="P411" s="4">
        <v>225.01330999999999</v>
      </c>
      <c r="Q411" s="1">
        <v>203.5</v>
      </c>
      <c r="R411" s="5">
        <v>98.32884</v>
      </c>
      <c r="S411" s="3">
        <f t="shared" si="87"/>
        <v>98.253020000000006</v>
      </c>
      <c r="T411" s="1">
        <f t="shared" si="92"/>
        <v>3.1898317015544297E-2</v>
      </c>
      <c r="W411" s="4">
        <v>250.00203999999999</v>
      </c>
      <c r="X411" s="1">
        <v>203.5</v>
      </c>
      <c r="Y411" s="3">
        <v>85.735870000000006</v>
      </c>
      <c r="Z411" s="3">
        <f t="shared" si="88"/>
        <v>91.176700000000011</v>
      </c>
      <c r="AA411" s="1">
        <f t="shared" si="91"/>
        <v>0.1549325590017594</v>
      </c>
      <c r="AD411" s="4">
        <v>250.02090000000001</v>
      </c>
      <c r="AE411" s="1">
        <v>203.5</v>
      </c>
      <c r="AF411" s="3">
        <v>94.447819999999993</v>
      </c>
      <c r="AG411" s="3">
        <f t="shared" si="89"/>
        <v>94.709309999999988</v>
      </c>
      <c r="AH411" s="1">
        <f t="shared" si="90"/>
        <v>9.6609807540860515E-2</v>
      </c>
    </row>
    <row r="412" spans="2:34" x14ac:dyDescent="0.2">
      <c r="B412" s="4">
        <v>200.13990999999999</v>
      </c>
      <c r="C412" s="1">
        <v>204</v>
      </c>
      <c r="D412" s="3">
        <v>99.239570000000001</v>
      </c>
      <c r="E412" s="3">
        <f t="shared" si="85"/>
        <v>100.36601</v>
      </c>
      <c r="F412" s="1">
        <f t="shared" si="84"/>
        <v>5.9404371274642039E-3</v>
      </c>
      <c r="I412" s="4">
        <v>225.00494</v>
      </c>
      <c r="J412" s="1">
        <v>204</v>
      </c>
      <c r="K412" s="3">
        <v>91.004940000000005</v>
      </c>
      <c r="L412" s="3">
        <f t="shared" si="86"/>
        <v>94.592010000000002</v>
      </c>
      <c r="M412" s="1">
        <f t="shared" si="93"/>
        <v>9.838136760250564E-2</v>
      </c>
      <c r="P412" s="4">
        <v>225.01588000000001</v>
      </c>
      <c r="Q412" s="1">
        <v>204</v>
      </c>
      <c r="R412" s="3">
        <v>98.406710000000004</v>
      </c>
      <c r="S412" s="3">
        <f t="shared" si="87"/>
        <v>98.330890000000011</v>
      </c>
      <c r="T412" s="1">
        <f t="shared" si="92"/>
        <v>3.060092496728201E-2</v>
      </c>
      <c r="W412" s="4">
        <v>250.00104999999999</v>
      </c>
      <c r="X412" s="1">
        <v>204</v>
      </c>
      <c r="Y412" s="5">
        <v>85.751220000000004</v>
      </c>
      <c r="Z412" s="3">
        <f t="shared" si="88"/>
        <v>91.192050000000009</v>
      </c>
      <c r="AA412" s="1">
        <f t="shared" si="91"/>
        <v>0.15467767726984796</v>
      </c>
      <c r="AD412" s="4">
        <v>250.02276000000001</v>
      </c>
      <c r="AE412" s="1">
        <v>204</v>
      </c>
      <c r="AF412" s="5">
        <v>94.598330000000004</v>
      </c>
      <c r="AG412" s="3">
        <f t="shared" si="89"/>
        <v>94.859819999999999</v>
      </c>
      <c r="AH412" s="1">
        <f t="shared" si="90"/>
        <v>9.4111170700568181E-2</v>
      </c>
    </row>
    <row r="413" spans="2:34" x14ac:dyDescent="0.2">
      <c r="B413" s="4">
        <v>200.10503</v>
      </c>
      <c r="C413" s="1">
        <v>204.5</v>
      </c>
      <c r="D413" s="5">
        <v>99.15692</v>
      </c>
      <c r="E413" s="3">
        <f t="shared" si="85"/>
        <v>100.28336</v>
      </c>
      <c r="F413" s="1">
        <f t="shared" si="84"/>
        <v>7.3098542713152621E-3</v>
      </c>
      <c r="I413" s="4">
        <v>225.00108</v>
      </c>
      <c r="J413" s="1">
        <v>204.5</v>
      </c>
      <c r="K413" s="5">
        <v>90.999390000000005</v>
      </c>
      <c r="L413" s="3">
        <f t="shared" si="86"/>
        <v>94.586460000000002</v>
      </c>
      <c r="M413" s="1">
        <f t="shared" si="93"/>
        <v>9.8473514214143756E-2</v>
      </c>
      <c r="P413" s="4">
        <v>225.01772</v>
      </c>
      <c r="Q413" s="1">
        <v>204.5</v>
      </c>
      <c r="R413" s="5">
        <v>98.31465</v>
      </c>
      <c r="S413" s="3">
        <f t="shared" si="87"/>
        <v>98.238830000000007</v>
      </c>
      <c r="T413" s="1">
        <f t="shared" si="92"/>
        <v>3.2134736601583079E-2</v>
      </c>
      <c r="W413" s="4">
        <v>250.00002000000001</v>
      </c>
      <c r="X413" s="1">
        <v>204.5</v>
      </c>
      <c r="Y413" s="3">
        <v>85.720529999999997</v>
      </c>
      <c r="Z413" s="3">
        <f t="shared" si="88"/>
        <v>91.161360000000002</v>
      </c>
      <c r="AA413" s="1">
        <f t="shared" si="91"/>
        <v>0.15518727468694013</v>
      </c>
      <c r="AD413" s="4">
        <v>250.02484000000001</v>
      </c>
      <c r="AE413" s="1">
        <v>204.5</v>
      </c>
      <c r="AF413" s="3">
        <v>94.531130000000005</v>
      </c>
      <c r="AG413" s="3">
        <f t="shared" si="89"/>
        <v>94.792619999999999</v>
      </c>
      <c r="AH413" s="1">
        <f t="shared" si="90"/>
        <v>9.5226766977676888E-2</v>
      </c>
    </row>
    <row r="414" spans="2:34" x14ac:dyDescent="0.2">
      <c r="B414" s="4">
        <v>200.07714999999999</v>
      </c>
      <c r="C414" s="1">
        <v>205</v>
      </c>
      <c r="D414" s="3">
        <v>99.186480000000003</v>
      </c>
      <c r="E414" s="3">
        <f t="shared" si="85"/>
        <v>100.31292000000001</v>
      </c>
      <c r="F414" s="1">
        <f t="shared" si="84"/>
        <v>6.8200784603988478E-3</v>
      </c>
      <c r="I414" s="4">
        <v>225.00390999999999</v>
      </c>
      <c r="J414" s="1">
        <v>205</v>
      </c>
      <c r="K414" s="3">
        <v>90.987350000000006</v>
      </c>
      <c r="L414" s="3">
        <f t="shared" si="86"/>
        <v>94.574420000000003</v>
      </c>
      <c r="M414" s="1">
        <f t="shared" si="93"/>
        <v>9.8673414250922645E-2</v>
      </c>
      <c r="P414" s="4">
        <v>225.0129</v>
      </c>
      <c r="Q414" s="1">
        <v>205</v>
      </c>
      <c r="R414" s="3">
        <v>98.268180000000001</v>
      </c>
      <c r="S414" s="3">
        <f t="shared" si="87"/>
        <v>98.192360000000008</v>
      </c>
      <c r="T414" s="1">
        <f t="shared" si="92"/>
        <v>3.2908973258610745E-2</v>
      </c>
      <c r="W414" s="4">
        <v>250.00497999999999</v>
      </c>
      <c r="X414" s="1">
        <v>205</v>
      </c>
      <c r="Y414" s="5">
        <v>85.695729999999998</v>
      </c>
      <c r="Z414" s="3">
        <f t="shared" si="88"/>
        <v>91.136560000000003</v>
      </c>
      <c r="AA414" s="1">
        <f t="shared" si="91"/>
        <v>0.15559907057953973</v>
      </c>
      <c r="AD414" s="4">
        <v>250.02205000000001</v>
      </c>
      <c r="AE414" s="1">
        <v>205</v>
      </c>
      <c r="AF414" s="5">
        <v>94.612960000000001</v>
      </c>
      <c r="AG414" s="3">
        <f t="shared" si="89"/>
        <v>94.874449999999996</v>
      </c>
      <c r="AH414" s="1">
        <f t="shared" si="90"/>
        <v>9.3868296094406029E-2</v>
      </c>
    </row>
    <row r="415" spans="2:34" x14ac:dyDescent="0.2">
      <c r="B415" s="4">
        <v>200.05842000000001</v>
      </c>
      <c r="C415" s="1">
        <v>205.5</v>
      </c>
      <c r="D415" s="5">
        <v>99.160020000000003</v>
      </c>
      <c r="E415" s="3">
        <f t="shared" si="85"/>
        <v>100.28646000000001</v>
      </c>
      <c r="F415" s="1">
        <f t="shared" si="84"/>
        <v>7.2584907728767516E-3</v>
      </c>
      <c r="I415" s="4">
        <v>225.00583</v>
      </c>
      <c r="J415" s="1">
        <v>205.5</v>
      </c>
      <c r="K415" s="5">
        <v>90.948449999999994</v>
      </c>
      <c r="L415" s="3">
        <f t="shared" si="86"/>
        <v>94.535519999999991</v>
      </c>
      <c r="M415" s="1">
        <f t="shared" si="93"/>
        <v>9.9319270682044089E-2</v>
      </c>
      <c r="P415" s="4">
        <v>225.01485</v>
      </c>
      <c r="Q415" s="1">
        <v>205.5</v>
      </c>
      <c r="R415" s="5">
        <v>98.403390000000002</v>
      </c>
      <c r="S415" s="3">
        <f t="shared" si="87"/>
        <v>98.327570000000009</v>
      </c>
      <c r="T415" s="1">
        <f t="shared" si="92"/>
        <v>3.0656239486355253E-2</v>
      </c>
      <c r="W415" s="4">
        <v>250.00699</v>
      </c>
      <c r="X415" s="1">
        <v>205.5</v>
      </c>
      <c r="Y415" s="3">
        <v>85.682220000000001</v>
      </c>
      <c r="Z415" s="3">
        <f t="shared" si="88"/>
        <v>91.123050000000006</v>
      </c>
      <c r="AA415" s="1">
        <f t="shared" si="91"/>
        <v>0.15582339971296794</v>
      </c>
      <c r="AD415" s="4">
        <v>250.02205000000001</v>
      </c>
      <c r="AE415" s="1">
        <v>205.5</v>
      </c>
      <c r="AF415" s="3">
        <v>94.508859999999999</v>
      </c>
      <c r="AG415" s="3">
        <f t="shared" si="89"/>
        <v>94.770349999999993</v>
      </c>
      <c r="AH415" s="1">
        <f t="shared" si="90"/>
        <v>9.5596474255820005E-2</v>
      </c>
    </row>
    <row r="416" spans="2:34" x14ac:dyDescent="0.2">
      <c r="B416" s="4">
        <v>200.04777999999999</v>
      </c>
      <c r="C416" s="1">
        <v>206</v>
      </c>
      <c r="D416" s="3">
        <v>99.115610000000004</v>
      </c>
      <c r="E416" s="3">
        <f t="shared" si="85"/>
        <v>100.24205000000001</v>
      </c>
      <c r="F416" s="1">
        <f t="shared" si="84"/>
        <v>7.9943143101837526E-3</v>
      </c>
      <c r="I416" s="4">
        <v>225.00209000000001</v>
      </c>
      <c r="J416" s="1">
        <v>206</v>
      </c>
      <c r="K416" s="3">
        <v>90.968689999999995</v>
      </c>
      <c r="L416" s="3">
        <f t="shared" si="86"/>
        <v>94.555759999999992</v>
      </c>
      <c r="M416" s="1">
        <f t="shared" si="93"/>
        <v>9.8983226101943975E-2</v>
      </c>
      <c r="P416" s="4">
        <v>225.01676</v>
      </c>
      <c r="Q416" s="1">
        <v>206</v>
      </c>
      <c r="R416" s="3">
        <v>98.348389999999995</v>
      </c>
      <c r="S416" s="3">
        <f t="shared" si="87"/>
        <v>98.272570000000002</v>
      </c>
      <c r="T416" s="1">
        <f t="shared" si="92"/>
        <v>3.1572594471001851E-2</v>
      </c>
      <c r="W416" s="4">
        <v>250.00399999999999</v>
      </c>
      <c r="X416" s="1">
        <v>206</v>
      </c>
      <c r="Y416" s="5">
        <v>85.651740000000004</v>
      </c>
      <c r="Z416" s="3">
        <f t="shared" si="88"/>
        <v>91.092570000000009</v>
      </c>
      <c r="AA416" s="1">
        <f t="shared" si="91"/>
        <v>0.1563295101487113</v>
      </c>
      <c r="AD416" s="4">
        <v>250.02198000000001</v>
      </c>
      <c r="AE416" s="1">
        <v>206</v>
      </c>
      <c r="AF416" s="5">
        <v>94.652429999999995</v>
      </c>
      <c r="AG416" s="3">
        <f t="shared" si="89"/>
        <v>94.91391999999999</v>
      </c>
      <c r="AH416" s="1">
        <f t="shared" si="90"/>
        <v>9.3213049292955513E-2</v>
      </c>
    </row>
    <row r="417" spans="2:34" x14ac:dyDescent="0.2">
      <c r="B417" s="4">
        <v>200.03989000000001</v>
      </c>
      <c r="C417" s="1">
        <v>206.5</v>
      </c>
      <c r="D417" s="5">
        <v>99.159139999999994</v>
      </c>
      <c r="E417" s="3">
        <f t="shared" si="85"/>
        <v>100.28558</v>
      </c>
      <c r="F417" s="1">
        <f t="shared" si="84"/>
        <v>7.2730713788852416E-3</v>
      </c>
      <c r="I417" s="4">
        <v>225.00710000000001</v>
      </c>
      <c r="J417" s="1">
        <v>206.5</v>
      </c>
      <c r="K417" s="5">
        <v>90.930670000000006</v>
      </c>
      <c r="L417" s="3">
        <f t="shared" si="86"/>
        <v>94.517740000000003</v>
      </c>
      <c r="M417" s="1">
        <f t="shared" si="93"/>
        <v>9.9614471899147627E-2</v>
      </c>
      <c r="P417" s="4">
        <v>225.01644999999999</v>
      </c>
      <c r="Q417" s="1">
        <v>206.5</v>
      </c>
      <c r="R417" s="5">
        <v>98.359840000000005</v>
      </c>
      <c r="S417" s="3">
        <f t="shared" si="87"/>
        <v>98.284020000000012</v>
      </c>
      <c r="T417" s="1">
        <f t="shared" si="92"/>
        <v>3.1381826024197999E-2</v>
      </c>
      <c r="W417" s="4">
        <v>250.00498999999999</v>
      </c>
      <c r="X417" s="1">
        <v>206.5</v>
      </c>
      <c r="Y417" s="3">
        <v>85.639920000000004</v>
      </c>
      <c r="Z417" s="3">
        <f t="shared" si="88"/>
        <v>91.080750000000009</v>
      </c>
      <c r="AA417" s="1">
        <f t="shared" si="91"/>
        <v>0.15652577738461967</v>
      </c>
      <c r="AD417" s="4">
        <v>250.0232</v>
      </c>
      <c r="AE417" s="1">
        <v>206.5</v>
      </c>
      <c r="AF417" s="3">
        <v>94.359800000000007</v>
      </c>
      <c r="AG417" s="3">
        <f t="shared" si="89"/>
        <v>94.621290000000002</v>
      </c>
      <c r="AH417" s="1">
        <f t="shared" si="90"/>
        <v>9.8071039450251779E-2</v>
      </c>
    </row>
    <row r="418" spans="2:34" x14ac:dyDescent="0.2">
      <c r="B418" s="4">
        <v>200.03836999999999</v>
      </c>
      <c r="C418" s="1">
        <v>207</v>
      </c>
      <c r="D418" s="3">
        <v>99.180959999999999</v>
      </c>
      <c r="E418" s="3">
        <f t="shared" si="85"/>
        <v>100.3074</v>
      </c>
      <c r="F418" s="1">
        <f t="shared" si="84"/>
        <v>6.9115386253602931E-3</v>
      </c>
      <c r="I418" s="4">
        <v>225.01096999999999</v>
      </c>
      <c r="J418" s="1">
        <v>207</v>
      </c>
      <c r="K418" s="3">
        <v>90.942769999999996</v>
      </c>
      <c r="L418" s="3">
        <f t="shared" si="86"/>
        <v>94.529839999999993</v>
      </c>
      <c r="M418" s="1">
        <f t="shared" si="93"/>
        <v>9.9413575682783611E-2</v>
      </c>
      <c r="P418" s="4">
        <v>225.01824999999999</v>
      </c>
      <c r="Q418" s="1">
        <v>207</v>
      </c>
      <c r="R418" s="3">
        <v>98.27749</v>
      </c>
      <c r="S418" s="3">
        <f t="shared" si="87"/>
        <v>98.201670000000007</v>
      </c>
      <c r="T418" s="1">
        <f t="shared" si="92"/>
        <v>3.275385935120969E-2</v>
      </c>
      <c r="W418" s="4">
        <v>250.00303</v>
      </c>
      <c r="X418" s="1">
        <v>207</v>
      </c>
      <c r="Y418" s="5">
        <v>85.619029999999995</v>
      </c>
      <c r="Z418" s="3">
        <f t="shared" si="88"/>
        <v>91.05986</v>
      </c>
      <c r="AA418" s="1">
        <f t="shared" si="91"/>
        <v>0.15687264900544265</v>
      </c>
      <c r="AD418" s="4">
        <v>250.02234999999999</v>
      </c>
      <c r="AE418" s="1">
        <v>207</v>
      </c>
      <c r="AF418" s="5">
        <v>94.51876</v>
      </c>
      <c r="AG418" s="3">
        <f t="shared" si="89"/>
        <v>94.780249999999995</v>
      </c>
      <c r="AH418" s="1">
        <f t="shared" si="90"/>
        <v>9.543212301856735E-2</v>
      </c>
    </row>
    <row r="419" spans="2:34" x14ac:dyDescent="0.2">
      <c r="B419" s="4">
        <v>200.04073</v>
      </c>
      <c r="C419" s="1">
        <v>207.5</v>
      </c>
      <c r="D419" s="5">
        <v>99.008380000000002</v>
      </c>
      <c r="E419" s="3">
        <f t="shared" si="85"/>
        <v>100.13482</v>
      </c>
      <c r="F419" s="1">
        <f t="shared" si="84"/>
        <v>9.7709942900403648E-3</v>
      </c>
      <c r="I419" s="4">
        <v>225.00997000000001</v>
      </c>
      <c r="J419" s="1">
        <v>207.5</v>
      </c>
      <c r="K419" s="5">
        <v>90.950419999999994</v>
      </c>
      <c r="L419" s="3">
        <f t="shared" si="86"/>
        <v>94.537489999999991</v>
      </c>
      <c r="M419" s="1">
        <f t="shared" si="93"/>
        <v>9.9286562785660823E-2</v>
      </c>
      <c r="P419" s="4">
        <v>225.01924</v>
      </c>
      <c r="Q419" s="1">
        <v>207.5</v>
      </c>
      <c r="R419" s="5">
        <v>98.30162</v>
      </c>
      <c r="S419" s="3">
        <f t="shared" si="87"/>
        <v>98.225800000000007</v>
      </c>
      <c r="T419" s="1">
        <f t="shared" si="92"/>
        <v>3.2351829427945698E-2</v>
      </c>
      <c r="W419" s="4">
        <v>250.001</v>
      </c>
      <c r="X419" s="1">
        <v>207.5</v>
      </c>
      <c r="Y419" s="3">
        <v>85.609369999999998</v>
      </c>
      <c r="Z419" s="3">
        <f t="shared" si="88"/>
        <v>91.050200000000004</v>
      </c>
      <c r="AA419" s="1">
        <f t="shared" si="91"/>
        <v>0.1570330501474794</v>
      </c>
      <c r="AD419" s="4">
        <v>250.01857000000001</v>
      </c>
      <c r="AE419" s="1">
        <v>207.5</v>
      </c>
      <c r="AF419" s="3">
        <v>94.433710000000005</v>
      </c>
      <c r="AG419" s="3">
        <f t="shared" si="89"/>
        <v>94.6952</v>
      </c>
      <c r="AH419" s="1">
        <f t="shared" si="90"/>
        <v>9.6844049556782982E-2</v>
      </c>
    </row>
    <row r="420" spans="2:34" x14ac:dyDescent="0.2">
      <c r="B420" s="4">
        <v>200.04611</v>
      </c>
      <c r="C420" s="1">
        <v>208</v>
      </c>
      <c r="D420" s="3">
        <v>99.173079999999999</v>
      </c>
      <c r="E420" s="3">
        <f t="shared" si="85"/>
        <v>100.29952</v>
      </c>
      <c r="F420" s="1">
        <f t="shared" si="84"/>
        <v>7.0421013246167521E-3</v>
      </c>
      <c r="I420" s="4">
        <v>225.00400999999999</v>
      </c>
      <c r="J420" s="1">
        <v>208</v>
      </c>
      <c r="K420" s="3">
        <v>90.931690000000003</v>
      </c>
      <c r="L420" s="3">
        <f t="shared" si="86"/>
        <v>94.51876</v>
      </c>
      <c r="M420" s="1">
        <f t="shared" si="93"/>
        <v>9.9597536846197959E-2</v>
      </c>
      <c r="P420" s="4">
        <v>225.02016</v>
      </c>
      <c r="Q420" s="1">
        <v>208</v>
      </c>
      <c r="R420" s="3">
        <v>98.397980000000004</v>
      </c>
      <c r="S420" s="3">
        <f t="shared" si="87"/>
        <v>98.322160000000011</v>
      </c>
      <c r="T420" s="1">
        <f t="shared" si="92"/>
        <v>3.0746375494844987E-2</v>
      </c>
      <c r="W420" s="4">
        <v>250.001</v>
      </c>
      <c r="X420" s="1">
        <v>208</v>
      </c>
      <c r="Y420" s="5">
        <v>85.59393</v>
      </c>
      <c r="Z420" s="3">
        <f t="shared" si="88"/>
        <v>91.034760000000006</v>
      </c>
      <c r="AA420" s="1">
        <f t="shared" si="91"/>
        <v>0.15728942629996881</v>
      </c>
      <c r="AD420" s="4">
        <v>250.01424</v>
      </c>
      <c r="AE420" s="1">
        <v>208</v>
      </c>
      <c r="AF420" s="5">
        <v>94.540009999999995</v>
      </c>
      <c r="AG420" s="3">
        <f t="shared" si="89"/>
        <v>94.80149999999999</v>
      </c>
      <c r="AH420" s="1">
        <f t="shared" si="90"/>
        <v>9.5079348898201965E-2</v>
      </c>
    </row>
    <row r="421" spans="2:34" x14ac:dyDescent="0.2">
      <c r="B421" s="4">
        <v>200.04812999999999</v>
      </c>
      <c r="C421" s="1">
        <v>208.5</v>
      </c>
      <c r="D421" s="5">
        <v>99.072869999999995</v>
      </c>
      <c r="E421" s="3">
        <f t="shared" si="85"/>
        <v>100.19931</v>
      </c>
      <c r="F421" s="1">
        <f t="shared" si="84"/>
        <v>8.7024678338160095E-3</v>
      </c>
      <c r="I421" s="4">
        <v>225.00684999999999</v>
      </c>
      <c r="J421" s="1">
        <v>208.5</v>
      </c>
      <c r="K421" s="5">
        <v>90.907979999999995</v>
      </c>
      <c r="L421" s="3">
        <f t="shared" si="86"/>
        <v>94.495049999999992</v>
      </c>
      <c r="M421" s="1">
        <f t="shared" si="93"/>
        <v>9.9991193812313375E-2</v>
      </c>
      <c r="P421" s="4">
        <v>225.01963000000001</v>
      </c>
      <c r="Q421" s="1">
        <v>208.5</v>
      </c>
      <c r="R421" s="5">
        <v>98.317009999999996</v>
      </c>
      <c r="S421" s="3">
        <f t="shared" si="87"/>
        <v>98.241190000000003</v>
      </c>
      <c r="T421" s="1">
        <f t="shared" si="92"/>
        <v>3.2095416642241956E-2</v>
      </c>
      <c r="W421" s="4">
        <v>250.00304</v>
      </c>
      <c r="X421" s="1">
        <v>208.5</v>
      </c>
      <c r="Y421" s="3">
        <v>85.571079999999995</v>
      </c>
      <c r="Z421" s="3">
        <f t="shared" si="88"/>
        <v>91.01191</v>
      </c>
      <c r="AA421" s="1">
        <f t="shared" si="91"/>
        <v>0.15766884308004556</v>
      </c>
      <c r="AD421" s="4">
        <v>250.01322999999999</v>
      </c>
      <c r="AE421" s="1">
        <v>208.5</v>
      </c>
      <c r="AF421" s="3">
        <v>94.38212</v>
      </c>
      <c r="AG421" s="3">
        <f t="shared" si="89"/>
        <v>94.643609999999995</v>
      </c>
      <c r="AH421" s="1">
        <f t="shared" si="90"/>
        <v>9.7700502115355067E-2</v>
      </c>
    </row>
    <row r="422" spans="2:34" x14ac:dyDescent="0.2">
      <c r="B422" s="4">
        <v>200.04807</v>
      </c>
      <c r="C422" s="1">
        <v>209</v>
      </c>
      <c r="D422" s="3">
        <v>99.089449999999999</v>
      </c>
      <c r="E422" s="3">
        <f t="shared" si="85"/>
        <v>100.21589</v>
      </c>
      <c r="F422" s="1">
        <f t="shared" si="84"/>
        <v>8.4277559615225216E-3</v>
      </c>
      <c r="I422" s="4">
        <v>225.00201999999999</v>
      </c>
      <c r="J422" s="1">
        <v>209</v>
      </c>
      <c r="K422" s="3">
        <v>90.919470000000004</v>
      </c>
      <c r="L422" s="3">
        <f t="shared" si="86"/>
        <v>94.506540000000001</v>
      </c>
      <c r="M422" s="1">
        <f t="shared" si="93"/>
        <v>9.9800425421732689E-2</v>
      </c>
      <c r="P422" s="4">
        <v>225.01702</v>
      </c>
      <c r="Q422" s="1">
        <v>209</v>
      </c>
      <c r="R422" s="3">
        <v>98.318240000000003</v>
      </c>
      <c r="S422" s="3">
        <f t="shared" si="87"/>
        <v>98.24242000000001</v>
      </c>
      <c r="T422" s="1">
        <f t="shared" si="92"/>
        <v>3.2074923612585203E-2</v>
      </c>
      <c r="W422" s="4">
        <v>250.00400999999999</v>
      </c>
      <c r="X422" s="1">
        <v>209</v>
      </c>
      <c r="Y422" s="5">
        <v>85.548029999999997</v>
      </c>
      <c r="Z422" s="3">
        <f t="shared" si="88"/>
        <v>90.988860000000003</v>
      </c>
      <c r="AA422" s="1">
        <f t="shared" si="91"/>
        <v>0.15805158079473994</v>
      </c>
      <c r="AD422" s="4">
        <v>250.01042000000001</v>
      </c>
      <c r="AE422" s="1">
        <v>209</v>
      </c>
      <c r="AF422" s="5">
        <v>94.497399999999999</v>
      </c>
      <c r="AG422" s="3">
        <f t="shared" si="89"/>
        <v>94.758889999999994</v>
      </c>
      <c r="AH422" s="1">
        <f t="shared" si="90"/>
        <v>9.5786723263791215E-2</v>
      </c>
    </row>
    <row r="423" spans="2:34" x14ac:dyDescent="0.2">
      <c r="B423" s="4">
        <v>200.04365000000001</v>
      </c>
      <c r="C423" s="1">
        <v>209.5</v>
      </c>
      <c r="D423" s="5">
        <v>99.255579999999995</v>
      </c>
      <c r="E423" s="3">
        <f t="shared" si="85"/>
        <v>100.38202</v>
      </c>
      <c r="F423" s="1">
        <f t="shared" si="84"/>
        <v>5.6751695113353793E-3</v>
      </c>
      <c r="I423" s="4">
        <v>225.00304</v>
      </c>
      <c r="J423" s="1">
        <v>209.5</v>
      </c>
      <c r="K423" s="5">
        <v>90.890339999999995</v>
      </c>
      <c r="L423" s="3">
        <f t="shared" si="86"/>
        <v>94.477409999999992</v>
      </c>
      <c r="M423" s="1">
        <f t="shared" si="93"/>
        <v>0.10028407061038482</v>
      </c>
      <c r="P423" s="4">
        <v>225.01438999999999</v>
      </c>
      <c r="Q423" s="1">
        <v>209.5</v>
      </c>
      <c r="R423" s="5">
        <v>98.264769999999999</v>
      </c>
      <c r="S423" s="3">
        <f t="shared" si="87"/>
        <v>98.188950000000006</v>
      </c>
      <c r="T423" s="1">
        <f t="shared" si="92"/>
        <v>3.2965787267658864E-2</v>
      </c>
      <c r="W423" s="4">
        <v>250.00505000000001</v>
      </c>
      <c r="X423" s="1">
        <v>209.5</v>
      </c>
      <c r="Y423" s="3">
        <v>85.532870000000003</v>
      </c>
      <c r="Z423" s="3">
        <f t="shared" si="88"/>
        <v>90.973700000000008</v>
      </c>
      <c r="AA423" s="1">
        <f t="shared" si="91"/>
        <v>0.15830330763876446</v>
      </c>
      <c r="AD423" s="4">
        <v>250.01199</v>
      </c>
      <c r="AE423" s="1">
        <v>209.5</v>
      </c>
      <c r="AF423" s="3">
        <v>94.278750000000002</v>
      </c>
      <c r="AG423" s="3">
        <f t="shared" si="89"/>
        <v>94.540239999999997</v>
      </c>
      <c r="AH423" s="1">
        <f t="shared" si="90"/>
        <v>9.9416561448163465E-2</v>
      </c>
    </row>
    <row r="424" spans="2:34" x14ac:dyDescent="0.2">
      <c r="B424" s="4">
        <v>200.03912</v>
      </c>
      <c r="C424" s="1">
        <v>210</v>
      </c>
      <c r="D424" s="3">
        <v>99.083150000000003</v>
      </c>
      <c r="E424" s="3">
        <f t="shared" si="85"/>
        <v>100.20959000000001</v>
      </c>
      <c r="F424" s="1">
        <f t="shared" si="84"/>
        <v>8.5321398454457648E-3</v>
      </c>
      <c r="I424" s="4">
        <v>225.00391999999999</v>
      </c>
      <c r="J424" s="1">
        <v>210</v>
      </c>
      <c r="K424" s="3">
        <v>90.911320000000003</v>
      </c>
      <c r="L424" s="3">
        <f t="shared" si="86"/>
        <v>94.498390000000001</v>
      </c>
      <c r="M424" s="1">
        <f t="shared" si="93"/>
        <v>9.9935739815399494E-2</v>
      </c>
      <c r="P424" s="4">
        <v>225.01451</v>
      </c>
      <c r="Q424" s="1">
        <v>210</v>
      </c>
      <c r="R424" s="3">
        <v>98.357799999999997</v>
      </c>
      <c r="S424" s="3">
        <f t="shared" si="87"/>
        <v>98.281980000000004</v>
      </c>
      <c r="T424" s="1">
        <f t="shared" si="92"/>
        <v>3.1415814463628657E-2</v>
      </c>
      <c r="W424" s="4">
        <v>250.006</v>
      </c>
      <c r="X424" s="1">
        <v>210</v>
      </c>
      <c r="Y424" s="5">
        <v>85.507369999999995</v>
      </c>
      <c r="Z424" s="3">
        <f t="shared" si="88"/>
        <v>90.9482</v>
      </c>
      <c r="AA424" s="1">
        <f t="shared" si="91"/>
        <v>0.15872672680252631</v>
      </c>
      <c r="AD424" s="4">
        <v>250.01253</v>
      </c>
      <c r="AE424" s="1">
        <v>210</v>
      </c>
      <c r="AF424" s="5">
        <v>94.43535</v>
      </c>
      <c r="AG424" s="3">
        <f t="shared" si="89"/>
        <v>94.696839999999995</v>
      </c>
      <c r="AH424" s="1">
        <f t="shared" si="90"/>
        <v>9.6816823695258403E-2</v>
      </c>
    </row>
    <row r="425" spans="2:34" x14ac:dyDescent="0.2">
      <c r="B425" s="4">
        <v>200.03766999999999</v>
      </c>
      <c r="C425" s="1">
        <v>210.5</v>
      </c>
      <c r="D425" s="5">
        <v>99.109099999999998</v>
      </c>
      <c r="E425" s="3">
        <f t="shared" si="85"/>
        <v>100.23554</v>
      </c>
      <c r="F425" s="1">
        <f t="shared" si="84"/>
        <v>8.1021776569046022E-3</v>
      </c>
      <c r="I425" s="4">
        <v>225.00098</v>
      </c>
      <c r="J425" s="1">
        <v>210.5</v>
      </c>
      <c r="K425" s="5">
        <v>90.873729999999995</v>
      </c>
      <c r="L425" s="3">
        <f t="shared" si="86"/>
        <v>94.460799999999992</v>
      </c>
      <c r="M425" s="1">
        <f t="shared" si="93"/>
        <v>0.10055984632557564</v>
      </c>
      <c r="P425" s="4">
        <v>225.01957999999999</v>
      </c>
      <c r="Q425" s="1">
        <v>210.5</v>
      </c>
      <c r="R425" s="5">
        <v>98.340699999999998</v>
      </c>
      <c r="S425" s="3">
        <f t="shared" si="87"/>
        <v>98.264880000000005</v>
      </c>
      <c r="T425" s="1">
        <f t="shared" si="92"/>
        <v>3.1700717558855097E-2</v>
      </c>
      <c r="W425" s="4">
        <v>250.00199000000001</v>
      </c>
      <c r="X425" s="1">
        <v>210.5</v>
      </c>
      <c r="Y425" s="3">
        <v>85.498000000000005</v>
      </c>
      <c r="Z425" s="3">
        <f t="shared" si="88"/>
        <v>90.93883000000001</v>
      </c>
      <c r="AA425" s="1">
        <f t="shared" si="91"/>
        <v>0.15888231258936719</v>
      </c>
      <c r="AD425" s="4">
        <v>250.01576</v>
      </c>
      <c r="AE425" s="1">
        <v>210.5</v>
      </c>
      <c r="AF425" s="3">
        <v>94.426860000000005</v>
      </c>
      <c r="AG425" s="3">
        <f t="shared" si="89"/>
        <v>94.68835</v>
      </c>
      <c r="AH425" s="1">
        <f t="shared" si="90"/>
        <v>9.6957767332053746E-2</v>
      </c>
    </row>
    <row r="426" spans="2:34" x14ac:dyDescent="0.2">
      <c r="B426" s="4">
        <v>200.04590999999999</v>
      </c>
      <c r="C426" s="1">
        <v>211</v>
      </c>
      <c r="D426" s="3">
        <v>99.255369999999999</v>
      </c>
      <c r="E426" s="3">
        <f t="shared" si="85"/>
        <v>100.38181</v>
      </c>
      <c r="F426" s="1">
        <f t="shared" si="84"/>
        <v>5.6786489741327498E-3</v>
      </c>
      <c r="I426" s="4">
        <v>225.00207</v>
      </c>
      <c r="J426" s="1">
        <v>211</v>
      </c>
      <c r="K426" s="3">
        <v>90.873559999999998</v>
      </c>
      <c r="L426" s="3">
        <f t="shared" si="86"/>
        <v>94.460629999999995</v>
      </c>
      <c r="M426" s="1">
        <f t="shared" si="93"/>
        <v>0.10056266883440056</v>
      </c>
      <c r="P426" s="4">
        <v>225.02127999999999</v>
      </c>
      <c r="Q426" s="1">
        <v>211</v>
      </c>
      <c r="R426" s="3">
        <v>98.343249999999998</v>
      </c>
      <c r="S426" s="3">
        <f t="shared" si="87"/>
        <v>98.267430000000004</v>
      </c>
      <c r="T426" s="1">
        <f t="shared" si="92"/>
        <v>3.1658232009566953E-2</v>
      </c>
      <c r="W426" s="4">
        <v>250.00198</v>
      </c>
      <c r="X426" s="1">
        <v>211</v>
      </c>
      <c r="Y426" s="5">
        <v>85.473230000000001</v>
      </c>
      <c r="Z426" s="3">
        <f t="shared" si="88"/>
        <v>90.914060000000006</v>
      </c>
      <c r="AA426" s="1">
        <f t="shared" si="91"/>
        <v>0.15929361034177422</v>
      </c>
      <c r="AD426" s="4">
        <v>250.01356000000001</v>
      </c>
      <c r="AE426" s="1">
        <v>211</v>
      </c>
      <c r="AF426" s="5">
        <v>94.385800000000003</v>
      </c>
      <c r="AG426" s="3">
        <f t="shared" si="89"/>
        <v>94.647289999999998</v>
      </c>
      <c r="AH426" s="1">
        <f t="shared" si="90"/>
        <v>9.7639409938275246E-2</v>
      </c>
    </row>
    <row r="427" spans="2:34" x14ac:dyDescent="0.2">
      <c r="B427" s="4">
        <v>200.04910000000001</v>
      </c>
      <c r="C427" s="1">
        <v>211.5</v>
      </c>
      <c r="D427" s="5">
        <v>99.191419999999994</v>
      </c>
      <c r="E427" s="3">
        <f t="shared" si="85"/>
        <v>100.31786</v>
      </c>
      <c r="F427" s="1">
        <f t="shared" si="84"/>
        <v>6.7382282403067569E-3</v>
      </c>
      <c r="I427" s="4">
        <v>225.00004000000001</v>
      </c>
      <c r="J427" s="1">
        <v>211.5</v>
      </c>
      <c r="K427" s="5">
        <v>90.848020000000005</v>
      </c>
      <c r="L427" s="3">
        <f t="shared" si="86"/>
        <v>94.435090000000002</v>
      </c>
      <c r="M427" s="1">
        <f t="shared" si="93"/>
        <v>0.10098670927786665</v>
      </c>
      <c r="P427" s="4">
        <v>225.01719</v>
      </c>
      <c r="Q427" s="1">
        <v>211.5</v>
      </c>
      <c r="R427" s="5">
        <v>98.414069999999995</v>
      </c>
      <c r="S427" s="3">
        <f t="shared" si="87"/>
        <v>98.338250000000002</v>
      </c>
      <c r="T427" s="1">
        <f t="shared" si="92"/>
        <v>3.0478300009336733E-2</v>
      </c>
      <c r="W427" s="4">
        <v>250.00596999999999</v>
      </c>
      <c r="X427" s="1">
        <v>211.5</v>
      </c>
      <c r="Y427" s="3">
        <v>85.463729999999998</v>
      </c>
      <c r="Z427" s="3">
        <f t="shared" si="88"/>
        <v>90.904560000000004</v>
      </c>
      <c r="AA427" s="1">
        <f t="shared" si="91"/>
        <v>0.15945135473611688</v>
      </c>
      <c r="AD427" s="4">
        <v>250.01295999999999</v>
      </c>
      <c r="AE427" s="1">
        <v>211.5</v>
      </c>
      <c r="AF427" s="3">
        <v>94.312880000000007</v>
      </c>
      <c r="AG427" s="3">
        <f t="shared" si="89"/>
        <v>94.574370000000002</v>
      </c>
      <c r="AH427" s="1">
        <f t="shared" si="90"/>
        <v>9.8849964708018753E-2</v>
      </c>
    </row>
    <row r="428" spans="2:34" x14ac:dyDescent="0.2">
      <c r="B428" s="4">
        <v>200.05020999999999</v>
      </c>
      <c r="C428" s="1">
        <v>212</v>
      </c>
      <c r="D428" s="3">
        <v>99.17604</v>
      </c>
      <c r="E428" s="3">
        <f t="shared" si="85"/>
        <v>100.30248</v>
      </c>
      <c r="F428" s="1">
        <f t="shared" si="84"/>
        <v>6.9930574680432339E-3</v>
      </c>
      <c r="I428" s="4">
        <v>225.00102000000001</v>
      </c>
      <c r="J428" s="1">
        <v>212</v>
      </c>
      <c r="K428" s="3">
        <v>90.854969999999994</v>
      </c>
      <c r="L428" s="3">
        <f t="shared" si="86"/>
        <v>94.442039999999992</v>
      </c>
      <c r="M428" s="1">
        <f t="shared" si="93"/>
        <v>0.10087131847590558</v>
      </c>
      <c r="P428" s="4">
        <v>225.02072999999999</v>
      </c>
      <c r="Q428" s="1">
        <v>212</v>
      </c>
      <c r="R428" s="3">
        <v>98.350080000000005</v>
      </c>
      <c r="S428" s="3">
        <f t="shared" si="87"/>
        <v>98.274260000000012</v>
      </c>
      <c r="T428" s="1">
        <f t="shared" si="92"/>
        <v>3.1544437381473445E-2</v>
      </c>
      <c r="W428" s="4">
        <v>250.00093000000001</v>
      </c>
      <c r="X428" s="1">
        <v>212</v>
      </c>
      <c r="Y428" s="5">
        <v>85.427239999999998</v>
      </c>
      <c r="Z428" s="3">
        <f t="shared" si="88"/>
        <v>90.868070000000003</v>
      </c>
      <c r="AA428" s="1">
        <f t="shared" si="91"/>
        <v>0.16005725925712336</v>
      </c>
      <c r="AD428" s="4">
        <v>250.01080999999999</v>
      </c>
      <c r="AE428" s="1">
        <v>212</v>
      </c>
      <c r="AF428" s="5">
        <v>94.275419999999997</v>
      </c>
      <c r="AG428" s="3">
        <f t="shared" si="89"/>
        <v>94.536909999999992</v>
      </c>
      <c r="AH428" s="1">
        <f t="shared" si="90"/>
        <v>9.9471843227966719E-2</v>
      </c>
    </row>
    <row r="429" spans="2:34" x14ac:dyDescent="0.2">
      <c r="B429" s="4">
        <v>200.05213000000001</v>
      </c>
      <c r="C429" s="1">
        <v>212.5</v>
      </c>
      <c r="D429" s="5">
        <v>99.00609</v>
      </c>
      <c r="E429" s="3">
        <f t="shared" si="85"/>
        <v>100.13253</v>
      </c>
      <c r="F429" s="1">
        <f t="shared" si="84"/>
        <v>9.8089370034029986E-3</v>
      </c>
      <c r="I429" s="4">
        <v>225.00397000000001</v>
      </c>
      <c r="J429" s="1">
        <v>212.5</v>
      </c>
      <c r="K429" s="5">
        <v>90.815280000000001</v>
      </c>
      <c r="L429" s="3">
        <f t="shared" si="86"/>
        <v>94.402349999999998</v>
      </c>
      <c r="M429" s="1">
        <f t="shared" si="93"/>
        <v>0.10153029127156618</v>
      </c>
      <c r="P429" s="4">
        <v>225.02472</v>
      </c>
      <c r="Q429" s="1">
        <v>212.5</v>
      </c>
      <c r="R429" s="5">
        <v>98.336330000000004</v>
      </c>
      <c r="S429" s="3">
        <f t="shared" si="87"/>
        <v>98.260510000000011</v>
      </c>
      <c r="T429" s="1">
        <f t="shared" si="92"/>
        <v>3.17735261276351E-2</v>
      </c>
      <c r="W429" s="4">
        <v>250.00606999999999</v>
      </c>
      <c r="X429" s="1">
        <v>212.5</v>
      </c>
      <c r="Y429" s="3">
        <v>85.432980000000001</v>
      </c>
      <c r="Z429" s="3">
        <f t="shared" si="88"/>
        <v>90.873810000000006</v>
      </c>
      <c r="AA429" s="1">
        <f t="shared" si="91"/>
        <v>0.15996194843359418</v>
      </c>
      <c r="AD429" s="4">
        <v>250.01204999999999</v>
      </c>
      <c r="AE429" s="1">
        <v>212.5</v>
      </c>
      <c r="AF429" s="3">
        <v>94.294960000000003</v>
      </c>
      <c r="AG429" s="3">
        <f t="shared" si="89"/>
        <v>94.556449999999998</v>
      </c>
      <c r="AH429" s="1">
        <f t="shared" si="90"/>
        <v>9.9147457048581134E-2</v>
      </c>
    </row>
    <row r="430" spans="2:34" x14ac:dyDescent="0.2">
      <c r="B430" s="4">
        <v>200.05117999999999</v>
      </c>
      <c r="C430" s="1">
        <v>213</v>
      </c>
      <c r="D430" s="3">
        <v>99.346500000000006</v>
      </c>
      <c r="E430" s="3">
        <f t="shared" si="85"/>
        <v>100.47294000000001</v>
      </c>
      <c r="F430" s="1">
        <f t="shared" si="84"/>
        <v>4.1687278087467272E-3</v>
      </c>
      <c r="I430" s="4">
        <v>225.00903</v>
      </c>
      <c r="J430" s="1">
        <v>213</v>
      </c>
      <c r="K430" s="3">
        <v>90.854770000000002</v>
      </c>
      <c r="L430" s="3">
        <f t="shared" si="86"/>
        <v>94.441839999999999</v>
      </c>
      <c r="M430" s="1">
        <f t="shared" si="93"/>
        <v>0.10087463907452304</v>
      </c>
      <c r="P430" s="4">
        <v>225.02239</v>
      </c>
      <c r="Q430" s="1">
        <v>213</v>
      </c>
      <c r="R430" s="3">
        <v>98.439170000000004</v>
      </c>
      <c r="S430" s="3">
        <f t="shared" si="87"/>
        <v>98.363350000000011</v>
      </c>
      <c r="T430" s="1">
        <f t="shared" si="92"/>
        <v>3.0060108916343368E-2</v>
      </c>
      <c r="W430" s="4">
        <v>250.01000999999999</v>
      </c>
      <c r="X430" s="1">
        <v>213</v>
      </c>
      <c r="Y430" s="5">
        <v>85.412049999999994</v>
      </c>
      <c r="Z430" s="3">
        <f t="shared" si="88"/>
        <v>90.852879999999999</v>
      </c>
      <c r="AA430" s="1">
        <f t="shared" si="91"/>
        <v>0.1603094842413407</v>
      </c>
      <c r="AD430" s="4">
        <v>250.01236</v>
      </c>
      <c r="AE430" s="1">
        <v>213</v>
      </c>
      <c r="AF430" s="5">
        <v>94.36824</v>
      </c>
      <c r="AG430" s="3">
        <f t="shared" si="89"/>
        <v>94.629729999999995</v>
      </c>
      <c r="AH430" s="1">
        <f t="shared" si="90"/>
        <v>9.7930925870210253E-2</v>
      </c>
    </row>
    <row r="431" spans="2:34" x14ac:dyDescent="0.2">
      <c r="B431" s="4">
        <v>200.04927000000001</v>
      </c>
      <c r="C431" s="1">
        <v>213.5</v>
      </c>
      <c r="D431" s="5">
        <v>99.038049999999998</v>
      </c>
      <c r="E431" s="3">
        <f t="shared" si="85"/>
        <v>100.16449</v>
      </c>
      <c r="F431" s="1">
        <f t="shared" si="84"/>
        <v>9.2793959033730354E-3</v>
      </c>
      <c r="I431" s="4">
        <v>225.00695999999999</v>
      </c>
      <c r="J431" s="1">
        <v>213.5</v>
      </c>
      <c r="K431" s="5">
        <v>90.844139999999996</v>
      </c>
      <c r="L431" s="3">
        <f t="shared" si="86"/>
        <v>94.431209999999993</v>
      </c>
      <c r="M431" s="1">
        <f t="shared" si="93"/>
        <v>0.10105112889104806</v>
      </c>
      <c r="P431" s="4">
        <v>225.02718999999999</v>
      </c>
      <c r="Q431" s="1">
        <v>213.5</v>
      </c>
      <c r="R431" s="5">
        <v>98.196389999999994</v>
      </c>
      <c r="S431" s="3">
        <f t="shared" si="87"/>
        <v>98.120570000000001</v>
      </c>
      <c r="T431" s="1">
        <f t="shared" si="92"/>
        <v>3.4105066428570342E-2</v>
      </c>
      <c r="W431" s="4">
        <v>250.00492</v>
      </c>
      <c r="X431" s="1">
        <v>213.5</v>
      </c>
      <c r="Y431" s="3">
        <v>85.39246</v>
      </c>
      <c r="Z431" s="3">
        <f t="shared" si="88"/>
        <v>90.833290000000005</v>
      </c>
      <c r="AA431" s="1">
        <f t="shared" si="91"/>
        <v>0.16063476978714811</v>
      </c>
      <c r="AD431" s="4">
        <v>250.01674</v>
      </c>
      <c r="AE431" s="1">
        <v>213.5</v>
      </c>
      <c r="AF431" s="3">
        <v>94.274919999999995</v>
      </c>
      <c r="AG431" s="3">
        <f t="shared" si="89"/>
        <v>94.536409999999989</v>
      </c>
      <c r="AH431" s="1">
        <f t="shared" si="90"/>
        <v>9.9480143795504766E-2</v>
      </c>
    </row>
    <row r="432" spans="2:34" x14ac:dyDescent="0.2">
      <c r="B432" s="4">
        <v>200.04548</v>
      </c>
      <c r="C432" s="1">
        <v>214</v>
      </c>
      <c r="D432" s="3">
        <v>99.210390000000004</v>
      </c>
      <c r="E432" s="3">
        <f t="shared" si="85"/>
        <v>100.33683000000001</v>
      </c>
      <c r="F432" s="1">
        <f t="shared" si="84"/>
        <v>6.4239167676041773E-3</v>
      </c>
      <c r="I432" s="4">
        <v>225.00303</v>
      </c>
      <c r="J432" s="1">
        <v>214</v>
      </c>
      <c r="K432" s="3">
        <v>90.806089999999998</v>
      </c>
      <c r="L432" s="3">
        <f t="shared" si="86"/>
        <v>94.393159999999995</v>
      </c>
      <c r="M432" s="1">
        <f t="shared" si="93"/>
        <v>0.1016828727780445</v>
      </c>
      <c r="P432" s="4">
        <v>225.03036</v>
      </c>
      <c r="Q432" s="1">
        <v>214</v>
      </c>
      <c r="R432" s="3">
        <v>98.220309999999998</v>
      </c>
      <c r="S432" s="3">
        <f t="shared" si="87"/>
        <v>98.144490000000005</v>
      </c>
      <c r="T432" s="1">
        <f t="shared" si="92"/>
        <v>3.3706535315247657E-2</v>
      </c>
      <c r="W432" s="4">
        <v>250.01102</v>
      </c>
      <c r="X432" s="1">
        <v>214</v>
      </c>
      <c r="Y432" s="5">
        <v>85.375470000000007</v>
      </c>
      <c r="Z432" s="3">
        <f t="shared" si="88"/>
        <v>90.816300000000012</v>
      </c>
      <c r="AA432" s="1">
        <f t="shared" si="91"/>
        <v>0.16091688318292491</v>
      </c>
      <c r="AD432" s="4">
        <v>250.0204</v>
      </c>
      <c r="AE432" s="1">
        <v>214</v>
      </c>
      <c r="AF432" s="5">
        <v>94.241209999999995</v>
      </c>
      <c r="AG432" s="3">
        <f t="shared" si="89"/>
        <v>94.50269999999999</v>
      </c>
      <c r="AH432" s="1">
        <f t="shared" si="90"/>
        <v>0.10003976805891747</v>
      </c>
    </row>
    <row r="433" spans="2:34" x14ac:dyDescent="0.2">
      <c r="B433" s="4">
        <v>200.04608999999999</v>
      </c>
      <c r="C433" s="1">
        <v>214.5</v>
      </c>
      <c r="D433" s="5">
        <v>99.225999999999999</v>
      </c>
      <c r="E433" s="3">
        <f t="shared" si="85"/>
        <v>100.35244</v>
      </c>
      <c r="F433" s="1">
        <f t="shared" si="84"/>
        <v>6.1652766996609445E-3</v>
      </c>
      <c r="I433" s="4">
        <v>225.00506999999999</v>
      </c>
      <c r="J433" s="1">
        <v>214.5</v>
      </c>
      <c r="K433" s="5">
        <v>90.825739999999996</v>
      </c>
      <c r="L433" s="3">
        <f t="shared" si="86"/>
        <v>94.412809999999993</v>
      </c>
      <c r="M433" s="1">
        <f t="shared" si="93"/>
        <v>0.10135662396386631</v>
      </c>
      <c r="P433" s="4">
        <v>225.02762999999999</v>
      </c>
      <c r="Q433" s="1">
        <v>214.5</v>
      </c>
      <c r="R433" s="5">
        <v>98.292100000000005</v>
      </c>
      <c r="S433" s="3">
        <f t="shared" si="87"/>
        <v>98.216280000000012</v>
      </c>
      <c r="T433" s="1">
        <f t="shared" si="92"/>
        <v>3.251044214528806E-2</v>
      </c>
      <c r="W433" s="4">
        <v>250.00403</v>
      </c>
      <c r="X433" s="1">
        <v>214.5</v>
      </c>
      <c r="Y433" s="3">
        <v>85.352490000000003</v>
      </c>
      <c r="Z433" s="3">
        <f t="shared" si="88"/>
        <v>90.793320000000008</v>
      </c>
      <c r="AA433" s="1">
        <f t="shared" si="91"/>
        <v>0.16129845857050318</v>
      </c>
      <c r="AD433" s="4">
        <v>250.01902999999999</v>
      </c>
      <c r="AE433" s="1">
        <v>214.5</v>
      </c>
      <c r="AF433" s="3">
        <v>94.345470000000006</v>
      </c>
      <c r="AG433" s="3">
        <f t="shared" si="89"/>
        <v>94.606960000000001</v>
      </c>
      <c r="AH433" s="1">
        <f t="shared" si="90"/>
        <v>9.8308933715891195E-2</v>
      </c>
    </row>
    <row r="434" spans="2:34" x14ac:dyDescent="0.2">
      <c r="B434" s="4">
        <v>200.04691</v>
      </c>
      <c r="C434" s="1">
        <v>215</v>
      </c>
      <c r="D434" s="3">
        <v>99.182199999999995</v>
      </c>
      <c r="E434" s="3">
        <f t="shared" si="85"/>
        <v>100.30864</v>
      </c>
      <c r="F434" s="1">
        <f t="shared" si="84"/>
        <v>6.8909932259849831E-3</v>
      </c>
      <c r="I434" s="4">
        <v>225.00808000000001</v>
      </c>
      <c r="J434" s="1">
        <v>215</v>
      </c>
      <c r="K434" s="3">
        <v>90.805959999999999</v>
      </c>
      <c r="L434" s="3">
        <f t="shared" si="86"/>
        <v>94.393029999999996</v>
      </c>
      <c r="M434" s="1">
        <f t="shared" si="93"/>
        <v>0.10168503116714592</v>
      </c>
      <c r="P434" s="4">
        <v>225.02626000000001</v>
      </c>
      <c r="Q434" s="1">
        <v>215</v>
      </c>
      <c r="R434" s="3">
        <v>98.292029999999997</v>
      </c>
      <c r="S434" s="3">
        <f t="shared" si="87"/>
        <v>98.216210000000004</v>
      </c>
      <c r="T434" s="1">
        <f t="shared" si="92"/>
        <v>3.2511608415268657E-2</v>
      </c>
      <c r="W434" s="4">
        <v>250.005</v>
      </c>
      <c r="X434" s="1">
        <v>215</v>
      </c>
      <c r="Y434" s="5">
        <v>85.344740000000002</v>
      </c>
      <c r="Z434" s="3">
        <f t="shared" si="88"/>
        <v>90.785570000000007</v>
      </c>
      <c r="AA434" s="1">
        <f t="shared" si="91"/>
        <v>0.16142714478694059</v>
      </c>
      <c r="AD434" s="4">
        <v>250.01759000000001</v>
      </c>
      <c r="AE434" s="1">
        <v>215</v>
      </c>
      <c r="AF434" s="5">
        <v>94.361770000000007</v>
      </c>
      <c r="AG434" s="3">
        <f t="shared" si="89"/>
        <v>94.623260000000002</v>
      </c>
      <c r="AH434" s="1">
        <f t="shared" si="90"/>
        <v>9.8038335214152006E-2</v>
      </c>
    </row>
    <row r="435" spans="2:34" x14ac:dyDescent="0.2">
      <c r="B435" s="4">
        <v>200.04713000000001</v>
      </c>
      <c r="C435" s="1">
        <v>215.5</v>
      </c>
      <c r="D435" s="5">
        <v>99.076700000000002</v>
      </c>
      <c r="E435" s="3">
        <f t="shared" si="85"/>
        <v>100.20314</v>
      </c>
      <c r="F435" s="1">
        <f t="shared" si="84"/>
        <v>8.6390090599386925E-3</v>
      </c>
      <c r="I435" s="4">
        <v>225.00407999999999</v>
      </c>
      <c r="J435" s="1">
        <v>215.5</v>
      </c>
      <c r="K435" s="5">
        <v>90.794079999999994</v>
      </c>
      <c r="L435" s="3">
        <f t="shared" si="86"/>
        <v>94.381149999999991</v>
      </c>
      <c r="M435" s="1">
        <f t="shared" si="93"/>
        <v>0.10188227472503084</v>
      </c>
      <c r="P435" s="4">
        <v>225.02280999999999</v>
      </c>
      <c r="Q435" s="1">
        <v>215.5</v>
      </c>
      <c r="R435" s="5">
        <v>98.246709999999993</v>
      </c>
      <c r="S435" s="3">
        <f t="shared" si="87"/>
        <v>98.17089</v>
      </c>
      <c r="T435" s="1">
        <f t="shared" si="92"/>
        <v>3.3266684922617425E-2</v>
      </c>
      <c r="W435" s="4">
        <v>250.00202999999999</v>
      </c>
      <c r="X435" s="1">
        <v>215.5</v>
      </c>
      <c r="Y435" s="3">
        <v>85.335070000000002</v>
      </c>
      <c r="Z435" s="3">
        <f t="shared" si="88"/>
        <v>90.775900000000007</v>
      </c>
      <c r="AA435" s="1">
        <f t="shared" si="91"/>
        <v>0.16158771197570826</v>
      </c>
      <c r="AD435" s="4">
        <v>250.01609999999999</v>
      </c>
      <c r="AE435" s="1">
        <v>215.5</v>
      </c>
      <c r="AF435" s="3">
        <v>94.269440000000003</v>
      </c>
      <c r="AG435" s="3">
        <f t="shared" si="89"/>
        <v>94.530929999999998</v>
      </c>
      <c r="AH435" s="1">
        <f t="shared" si="90"/>
        <v>9.957111801572123E-2</v>
      </c>
    </row>
    <row r="436" spans="2:34" x14ac:dyDescent="0.2">
      <c r="B436" s="4">
        <v>200.05032</v>
      </c>
      <c r="C436" s="1">
        <v>216</v>
      </c>
      <c r="D436" s="3">
        <v>99.154129999999995</v>
      </c>
      <c r="E436" s="3">
        <f t="shared" si="85"/>
        <v>100.28057</v>
      </c>
      <c r="F436" s="1">
        <f t="shared" si="84"/>
        <v>7.3560814199099458E-3</v>
      </c>
      <c r="I436" s="4">
        <v>225.00397000000001</v>
      </c>
      <c r="J436" s="1">
        <v>216</v>
      </c>
      <c r="K436" s="3">
        <v>90.777209999999997</v>
      </c>
      <c r="L436" s="3">
        <f t="shared" si="86"/>
        <v>94.364279999999994</v>
      </c>
      <c r="M436" s="1">
        <f t="shared" si="93"/>
        <v>0.10216236721842449</v>
      </c>
      <c r="P436" s="4">
        <v>225.01482999999999</v>
      </c>
      <c r="Q436" s="1">
        <v>216</v>
      </c>
      <c r="R436" s="3">
        <v>98.295490000000001</v>
      </c>
      <c r="S436" s="3">
        <f t="shared" si="87"/>
        <v>98.219670000000008</v>
      </c>
      <c r="T436" s="1">
        <f t="shared" si="92"/>
        <v>3.2453961356234462E-2</v>
      </c>
      <c r="W436" s="4">
        <v>250.00400999999999</v>
      </c>
      <c r="X436" s="1">
        <v>216</v>
      </c>
      <c r="Y436" s="5">
        <v>85.304469999999995</v>
      </c>
      <c r="Z436" s="3">
        <f t="shared" si="88"/>
        <v>90.7453</v>
      </c>
      <c r="AA436" s="1">
        <f t="shared" si="91"/>
        <v>0.16209581497222245</v>
      </c>
      <c r="AD436" s="4">
        <v>250.01828</v>
      </c>
      <c r="AE436" s="1">
        <v>216</v>
      </c>
      <c r="AF436" s="5">
        <v>94.248350000000002</v>
      </c>
      <c r="AG436" s="3">
        <f t="shared" si="89"/>
        <v>94.509839999999997</v>
      </c>
      <c r="AH436" s="1">
        <f t="shared" si="90"/>
        <v>9.9921235954474552E-2</v>
      </c>
    </row>
    <row r="437" spans="2:34" x14ac:dyDescent="0.2">
      <c r="B437" s="4">
        <v>200.04660000000001</v>
      </c>
      <c r="C437" s="1">
        <v>216.5</v>
      </c>
      <c r="D437" s="5">
        <v>99.137690000000006</v>
      </c>
      <c r="E437" s="3">
        <f t="shared" si="85"/>
        <v>100.26413000000001</v>
      </c>
      <c r="F437" s="1">
        <f t="shared" si="84"/>
        <v>7.6284736503382054E-3</v>
      </c>
      <c r="I437" s="4">
        <v>225.00308000000001</v>
      </c>
      <c r="J437" s="1">
        <v>216.5</v>
      </c>
      <c r="K437" s="5">
        <v>90.760180000000005</v>
      </c>
      <c r="L437" s="3">
        <f t="shared" si="86"/>
        <v>94.347250000000003</v>
      </c>
      <c r="M437" s="1">
        <f t="shared" si="93"/>
        <v>0.10244511619071213</v>
      </c>
      <c r="P437" s="4">
        <v>225.01320000000001</v>
      </c>
      <c r="Q437" s="1">
        <v>216.5</v>
      </c>
      <c r="R437" s="5">
        <v>98.29374</v>
      </c>
      <c r="S437" s="3">
        <f t="shared" si="87"/>
        <v>98.217920000000007</v>
      </c>
      <c r="T437" s="1">
        <f t="shared" si="92"/>
        <v>3.2483118105745966E-2</v>
      </c>
      <c r="W437" s="4">
        <v>250.00398999999999</v>
      </c>
      <c r="X437" s="1">
        <v>216.5</v>
      </c>
      <c r="Y437" s="3">
        <v>85.300719999999998</v>
      </c>
      <c r="Z437" s="3">
        <f t="shared" si="88"/>
        <v>90.741550000000004</v>
      </c>
      <c r="AA437" s="1">
        <f t="shared" si="91"/>
        <v>0.16215808249630498</v>
      </c>
      <c r="AD437" s="4">
        <v>250.01841999999999</v>
      </c>
      <c r="AE437" s="1">
        <v>216.5</v>
      </c>
      <c r="AF437" s="3">
        <v>94.25985</v>
      </c>
      <c r="AG437" s="3">
        <f t="shared" si="89"/>
        <v>94.521339999999995</v>
      </c>
      <c r="AH437" s="1">
        <f t="shared" si="90"/>
        <v>9.9730322901100329E-2</v>
      </c>
    </row>
    <row r="438" spans="2:34" x14ac:dyDescent="0.2">
      <c r="B438" s="4">
        <v>200.04306</v>
      </c>
      <c r="C438" s="1">
        <v>217</v>
      </c>
      <c r="D438" s="3">
        <v>99.203230000000005</v>
      </c>
      <c r="E438" s="3">
        <f t="shared" si="85"/>
        <v>100.32967000000001</v>
      </c>
      <c r="F438" s="1">
        <f t="shared" si="84"/>
        <v>6.5425498801265254E-3</v>
      </c>
      <c r="I438" s="4">
        <v>225.00801000000001</v>
      </c>
      <c r="J438" s="1">
        <v>217</v>
      </c>
      <c r="K438" s="3">
        <v>90.751249999999999</v>
      </c>
      <c r="L438" s="3">
        <f t="shared" si="86"/>
        <v>94.338319999999996</v>
      </c>
      <c r="M438" s="1">
        <f t="shared" si="93"/>
        <v>0.10259338091898762</v>
      </c>
      <c r="P438" s="4">
        <v>225.01456999999999</v>
      </c>
      <c r="Q438" s="1">
        <v>217</v>
      </c>
      <c r="R438" s="3">
        <v>98.334000000000003</v>
      </c>
      <c r="S438" s="3">
        <f t="shared" si="87"/>
        <v>98.25818000000001</v>
      </c>
      <c r="T438" s="1">
        <f t="shared" si="92"/>
        <v>3.1812346256984675E-2</v>
      </c>
      <c r="W438" s="4">
        <v>250.00299999999999</v>
      </c>
      <c r="X438" s="1">
        <v>217</v>
      </c>
      <c r="Y438" s="5">
        <v>85.285319999999999</v>
      </c>
      <c r="Z438" s="3">
        <f t="shared" si="88"/>
        <v>90.726150000000004</v>
      </c>
      <c r="AA438" s="1">
        <f t="shared" si="91"/>
        <v>0.16241379446187088</v>
      </c>
      <c r="AD438" s="4">
        <v>250.01441</v>
      </c>
      <c r="AE438" s="1">
        <v>217</v>
      </c>
      <c r="AF438" s="5">
        <v>94.21678</v>
      </c>
      <c r="AG438" s="3">
        <f t="shared" si="89"/>
        <v>94.478269999999995</v>
      </c>
      <c r="AH438" s="1">
        <f t="shared" si="90"/>
        <v>0.10044533378882461</v>
      </c>
    </row>
    <row r="439" spans="2:34" x14ac:dyDescent="0.2">
      <c r="B439" s="4">
        <v>200.04232999999999</v>
      </c>
      <c r="C439" s="1">
        <v>217.5</v>
      </c>
      <c r="D439" s="5">
        <v>99.036569999999998</v>
      </c>
      <c r="E439" s="3">
        <f t="shared" si="85"/>
        <v>100.16301</v>
      </c>
      <c r="F439" s="1">
        <f t="shared" si="84"/>
        <v>9.3039178316597949E-3</v>
      </c>
      <c r="I439" s="4">
        <v>225.00603000000001</v>
      </c>
      <c r="J439" s="1">
        <v>217.5</v>
      </c>
      <c r="K439" s="5">
        <v>90.751670000000004</v>
      </c>
      <c r="L439" s="3">
        <f t="shared" si="86"/>
        <v>94.338740000000001</v>
      </c>
      <c r="M439" s="1">
        <f t="shared" si="93"/>
        <v>0.10258640766189059</v>
      </c>
      <c r="P439" s="4">
        <v>225.01333</v>
      </c>
      <c r="Q439" s="1">
        <v>217.5</v>
      </c>
      <c r="R439" s="5">
        <v>98.312479999999994</v>
      </c>
      <c r="S439" s="3">
        <f t="shared" si="87"/>
        <v>98.236660000000001</v>
      </c>
      <c r="T439" s="1">
        <f t="shared" si="92"/>
        <v>3.2170890970977424E-2</v>
      </c>
      <c r="W439" s="4">
        <v>250.00200000000001</v>
      </c>
      <c r="X439" s="1">
        <v>217.5</v>
      </c>
      <c r="Y439" s="3">
        <v>85.271829999999994</v>
      </c>
      <c r="Z439" s="3">
        <f t="shared" si="88"/>
        <v>90.71266</v>
      </c>
      <c r="AA439" s="1">
        <f t="shared" si="91"/>
        <v>0.16263779150183744</v>
      </c>
      <c r="AD439" s="4">
        <v>250.01438999999999</v>
      </c>
      <c r="AE439" s="1">
        <v>217.5</v>
      </c>
      <c r="AF439" s="3">
        <v>94.313379999999995</v>
      </c>
      <c r="AG439" s="3">
        <f t="shared" si="89"/>
        <v>94.57486999999999</v>
      </c>
      <c r="AH439" s="1">
        <f t="shared" si="90"/>
        <v>9.8841664140480928E-2</v>
      </c>
    </row>
    <row r="440" spans="2:34" x14ac:dyDescent="0.2">
      <c r="B440" s="4">
        <v>200.04525000000001</v>
      </c>
      <c r="C440" s="1">
        <v>218</v>
      </c>
      <c r="D440" s="3">
        <v>99.06926</v>
      </c>
      <c r="E440" s="3">
        <f t="shared" si="85"/>
        <v>100.1957</v>
      </c>
      <c r="F440" s="1">
        <f t="shared" ref="F440:F483" si="94">($E$119-E440)/($E$119*(1-$N$1))</f>
        <v>8.7622814561910262E-3</v>
      </c>
      <c r="I440" s="4">
        <v>225.00985</v>
      </c>
      <c r="J440" s="1">
        <v>218</v>
      </c>
      <c r="K440" s="3">
        <v>90.752529999999993</v>
      </c>
      <c r="L440" s="3">
        <f t="shared" si="86"/>
        <v>94.33959999999999</v>
      </c>
      <c r="M440" s="1">
        <f t="shared" si="93"/>
        <v>0.10257212908783514</v>
      </c>
      <c r="P440" s="4">
        <v>225.00988000000001</v>
      </c>
      <c r="Q440" s="1">
        <v>218</v>
      </c>
      <c r="R440" s="3">
        <v>98.215310000000002</v>
      </c>
      <c r="S440" s="3">
        <f t="shared" si="87"/>
        <v>98.139490000000009</v>
      </c>
      <c r="T440" s="1">
        <f t="shared" si="92"/>
        <v>3.3789840313851807E-2</v>
      </c>
      <c r="W440" s="4">
        <v>250.00503</v>
      </c>
      <c r="X440" s="1">
        <v>218</v>
      </c>
      <c r="Y440" s="5">
        <v>85.231620000000007</v>
      </c>
      <c r="Z440" s="3">
        <f t="shared" si="88"/>
        <v>90.672450000000012</v>
      </c>
      <c r="AA440" s="1">
        <f t="shared" si="91"/>
        <v>0.16330546540673366</v>
      </c>
      <c r="AD440" s="4">
        <v>250.01751999999999</v>
      </c>
      <c r="AE440" s="1">
        <v>218</v>
      </c>
      <c r="AF440" s="5">
        <v>94.239630000000005</v>
      </c>
      <c r="AG440" s="3">
        <f t="shared" si="89"/>
        <v>94.50112</v>
      </c>
      <c r="AH440" s="1">
        <f t="shared" si="90"/>
        <v>0.10006599785233741</v>
      </c>
    </row>
    <row r="441" spans="2:34" x14ac:dyDescent="0.2">
      <c r="B441" s="4">
        <v>200.04722000000001</v>
      </c>
      <c r="C441" s="1">
        <v>218.5</v>
      </c>
      <c r="D441" s="5">
        <v>99.007329999999996</v>
      </c>
      <c r="E441" s="3">
        <f t="shared" si="85"/>
        <v>100.13377</v>
      </c>
      <c r="F441" s="1">
        <f t="shared" si="94"/>
        <v>9.7883916040276894E-3</v>
      </c>
      <c r="I441" s="4">
        <v>225.00594000000001</v>
      </c>
      <c r="J441" s="1">
        <v>218.5</v>
      </c>
      <c r="K441" s="5">
        <v>90.756320000000002</v>
      </c>
      <c r="L441" s="3">
        <f t="shared" si="86"/>
        <v>94.343389999999999</v>
      </c>
      <c r="M441" s="1">
        <f t="shared" si="93"/>
        <v>0.10250920374403166</v>
      </c>
      <c r="P441" s="4">
        <v>225.01111</v>
      </c>
      <c r="Q441" s="1">
        <v>218.5</v>
      </c>
      <c r="R441" s="5">
        <v>98.130859999999998</v>
      </c>
      <c r="S441" s="3">
        <f t="shared" si="87"/>
        <v>98.055040000000005</v>
      </c>
      <c r="T441" s="1">
        <f t="shared" si="92"/>
        <v>3.5196861740277252E-2</v>
      </c>
      <c r="W441" s="4">
        <v>250.00797</v>
      </c>
      <c r="X441" s="1">
        <v>218.5</v>
      </c>
      <c r="Y441" s="3">
        <v>85.239140000000006</v>
      </c>
      <c r="Z441" s="3">
        <f t="shared" si="88"/>
        <v>90.679970000000012</v>
      </c>
      <c r="AA441" s="1">
        <f t="shared" si="91"/>
        <v>0.16318059826510667</v>
      </c>
      <c r="AD441" s="4">
        <v>250.01978</v>
      </c>
      <c r="AE441" s="1">
        <v>218.5</v>
      </c>
      <c r="AF441" s="3">
        <v>94.170190000000005</v>
      </c>
      <c r="AG441" s="3">
        <f t="shared" si="89"/>
        <v>94.43168</v>
      </c>
      <c r="AH441" s="1">
        <f t="shared" si="90"/>
        <v>0.10121878067201642</v>
      </c>
    </row>
    <row r="442" spans="2:34" x14ac:dyDescent="0.2">
      <c r="B442" s="4">
        <v>200.04554999999999</v>
      </c>
      <c r="C442" s="1">
        <v>219</v>
      </c>
      <c r="D442" s="3">
        <v>99.077169999999995</v>
      </c>
      <c r="E442" s="3">
        <f t="shared" si="85"/>
        <v>100.20361</v>
      </c>
      <c r="F442" s="1">
        <f t="shared" si="94"/>
        <v>8.6312216908207232E-3</v>
      </c>
      <c r="I442" s="4">
        <v>224.99981</v>
      </c>
      <c r="J442" s="1">
        <v>219</v>
      </c>
      <c r="K442" s="3">
        <v>90.692340000000002</v>
      </c>
      <c r="L442" s="3">
        <f t="shared" si="86"/>
        <v>94.279409999999999</v>
      </c>
      <c r="M442" s="1">
        <f t="shared" si="93"/>
        <v>0.10357146324179868</v>
      </c>
      <c r="P442" s="4">
        <v>225.01365000000001</v>
      </c>
      <c r="Q442" s="1">
        <v>219</v>
      </c>
      <c r="R442" s="3">
        <v>98.236050000000006</v>
      </c>
      <c r="S442" s="3">
        <f t="shared" si="87"/>
        <v>98.160230000000013</v>
      </c>
      <c r="T442" s="1">
        <f t="shared" si="92"/>
        <v>3.3444291179641421E-2</v>
      </c>
      <c r="W442" s="4">
        <v>250.00901999999999</v>
      </c>
      <c r="X442" s="1">
        <v>219</v>
      </c>
      <c r="Y442" s="5">
        <v>85.220129999999997</v>
      </c>
      <c r="Z442" s="3">
        <f t="shared" si="88"/>
        <v>90.660960000000003</v>
      </c>
      <c r="AA442" s="1">
        <f t="shared" si="91"/>
        <v>0.1634962531005229</v>
      </c>
      <c r="AD442" s="4">
        <v>250.01526999999999</v>
      </c>
      <c r="AE442" s="1">
        <v>219</v>
      </c>
      <c r="AF442" s="5">
        <v>94.219139999999996</v>
      </c>
      <c r="AG442" s="3">
        <f t="shared" si="89"/>
        <v>94.480629999999991</v>
      </c>
      <c r="AH442" s="1">
        <f t="shared" si="90"/>
        <v>0.10040615511004528</v>
      </c>
    </row>
    <row r="443" spans="2:34" x14ac:dyDescent="0.2">
      <c r="B443" s="4">
        <v>200.04386</v>
      </c>
      <c r="C443" s="1">
        <v>219.5</v>
      </c>
      <c r="D443" s="5">
        <v>99.084540000000004</v>
      </c>
      <c r="E443" s="3">
        <f t="shared" si="85"/>
        <v>100.21098000000001</v>
      </c>
      <c r="F443" s="1">
        <f t="shared" si="94"/>
        <v>8.5091091155007695E-3</v>
      </c>
      <c r="I443" s="4">
        <v>225.00498999999999</v>
      </c>
      <c r="J443" s="1">
        <v>219.5</v>
      </c>
      <c r="K443" s="5">
        <v>90.721770000000006</v>
      </c>
      <c r="L443" s="3">
        <f t="shared" si="86"/>
        <v>94.308840000000004</v>
      </c>
      <c r="M443" s="1">
        <f t="shared" si="93"/>
        <v>0.10308283715522024</v>
      </c>
      <c r="P443" s="4">
        <v>225.01267000000001</v>
      </c>
      <c r="Q443" s="1">
        <v>219.5</v>
      </c>
      <c r="R443" s="5">
        <v>98.176950000000005</v>
      </c>
      <c r="S443" s="3">
        <f t="shared" si="87"/>
        <v>98.101130000000012</v>
      </c>
      <c r="T443" s="1">
        <f t="shared" si="92"/>
        <v>3.4428956263143386E-2</v>
      </c>
      <c r="W443" s="4">
        <v>250.00396000000001</v>
      </c>
      <c r="X443" s="1">
        <v>219.5</v>
      </c>
      <c r="Y443" s="3">
        <v>85.19323</v>
      </c>
      <c r="Z443" s="3">
        <f t="shared" si="88"/>
        <v>90.634060000000005</v>
      </c>
      <c r="AA443" s="1">
        <f t="shared" si="91"/>
        <v>0.16394291880660875</v>
      </c>
      <c r="AD443" s="4">
        <v>250.01176000000001</v>
      </c>
      <c r="AE443" s="1">
        <v>219.5</v>
      </c>
      <c r="AF443" s="3">
        <v>94.229489999999998</v>
      </c>
      <c r="AG443" s="3">
        <f t="shared" si="89"/>
        <v>94.490979999999993</v>
      </c>
      <c r="AH443" s="1">
        <f t="shared" si="90"/>
        <v>0.1002343333620084</v>
      </c>
    </row>
    <row r="444" spans="2:34" x14ac:dyDescent="0.2">
      <c r="B444" s="4">
        <v>200.04490000000001</v>
      </c>
      <c r="C444" s="1">
        <v>220</v>
      </c>
      <c r="D444" s="3">
        <v>99.07244</v>
      </c>
      <c r="E444" s="3">
        <f t="shared" si="85"/>
        <v>100.19888</v>
      </c>
      <c r="F444" s="1">
        <f t="shared" si="94"/>
        <v>8.7095924481154427E-3</v>
      </c>
      <c r="I444" s="4">
        <v>225.00107</v>
      </c>
      <c r="J444" s="1">
        <v>220</v>
      </c>
      <c r="K444" s="3">
        <v>90.731930000000006</v>
      </c>
      <c r="L444" s="3">
        <f t="shared" si="86"/>
        <v>94.319000000000003</v>
      </c>
      <c r="M444" s="1">
        <f t="shared" si="93"/>
        <v>0.10291415074544669</v>
      </c>
      <c r="P444" s="4">
        <v>225.01481999999999</v>
      </c>
      <c r="Q444" s="1">
        <v>220</v>
      </c>
      <c r="R444" s="3">
        <v>98.267870000000002</v>
      </c>
      <c r="S444" s="3">
        <f t="shared" si="87"/>
        <v>98.192050000000009</v>
      </c>
      <c r="T444" s="1">
        <f t="shared" si="92"/>
        <v>3.291413816852419E-2</v>
      </c>
      <c r="W444" s="4">
        <v>250.00194999999999</v>
      </c>
      <c r="X444" s="1">
        <v>220</v>
      </c>
      <c r="Y444" s="5">
        <v>85.18356</v>
      </c>
      <c r="Z444" s="3">
        <f t="shared" si="88"/>
        <v>90.624390000000005</v>
      </c>
      <c r="AA444" s="1">
        <f t="shared" si="91"/>
        <v>0.16410348599537641</v>
      </c>
      <c r="AD444" s="4">
        <v>250.01461</v>
      </c>
      <c r="AE444" s="1">
        <v>220</v>
      </c>
      <c r="AF444" s="5">
        <v>94.217619999999997</v>
      </c>
      <c r="AG444" s="3">
        <f t="shared" si="89"/>
        <v>94.479109999999991</v>
      </c>
      <c r="AH444" s="1">
        <f t="shared" si="90"/>
        <v>0.10043138883536082</v>
      </c>
    </row>
    <row r="445" spans="2:34" x14ac:dyDescent="0.2">
      <c r="B445" s="4">
        <v>200.04854</v>
      </c>
      <c r="C445" s="1">
        <v>220.5</v>
      </c>
      <c r="D445" s="5">
        <v>98.961820000000003</v>
      </c>
      <c r="E445" s="3">
        <f t="shared" si="85"/>
        <v>100.08826000000001</v>
      </c>
      <c r="F445" s="1">
        <f t="shared" si="94"/>
        <v>1.0542440898845007E-2</v>
      </c>
      <c r="I445" s="4">
        <v>225.00486000000001</v>
      </c>
      <c r="J445" s="1">
        <v>220.5</v>
      </c>
      <c r="K445" s="5">
        <v>90.678219999999996</v>
      </c>
      <c r="L445" s="3">
        <f t="shared" si="86"/>
        <v>94.265289999999993</v>
      </c>
      <c r="M445" s="1">
        <f t="shared" si="93"/>
        <v>0.10380589750420061</v>
      </c>
      <c r="P445" s="4">
        <v>225.01921999999999</v>
      </c>
      <c r="Q445" s="1">
        <v>220.5</v>
      </c>
      <c r="R445" s="5">
        <v>98.195999999999998</v>
      </c>
      <c r="S445" s="3">
        <f t="shared" si="87"/>
        <v>98.120180000000005</v>
      </c>
      <c r="T445" s="1">
        <f t="shared" si="92"/>
        <v>3.4111564218461406E-2</v>
      </c>
      <c r="W445" s="4">
        <v>250.00597999999999</v>
      </c>
      <c r="X445" s="1">
        <v>220.5</v>
      </c>
      <c r="Y445" s="3">
        <v>85.181669999999997</v>
      </c>
      <c r="Z445" s="3">
        <f t="shared" si="88"/>
        <v>90.622500000000002</v>
      </c>
      <c r="AA445" s="1">
        <f t="shared" si="91"/>
        <v>0.1641348688275141</v>
      </c>
      <c r="AD445" s="4">
        <v>250.01695000000001</v>
      </c>
      <c r="AE445" s="1">
        <v>220.5</v>
      </c>
      <c r="AF445" s="3">
        <v>94.139690000000002</v>
      </c>
      <c r="AG445" s="3">
        <f t="shared" si="89"/>
        <v>94.401179999999997</v>
      </c>
      <c r="AH445" s="1">
        <f t="shared" si="90"/>
        <v>0.10172511529183516</v>
      </c>
    </row>
    <row r="446" spans="2:34" x14ac:dyDescent="0.2">
      <c r="B446" s="4">
        <v>200.04516000000001</v>
      </c>
      <c r="C446" s="1">
        <v>221</v>
      </c>
      <c r="D446" s="3">
        <v>99.190550000000002</v>
      </c>
      <c r="E446" s="3">
        <f t="shared" si="85"/>
        <v>100.31699</v>
      </c>
      <c r="F446" s="1">
        <f t="shared" si="94"/>
        <v>6.752643157610318E-3</v>
      </c>
      <c r="I446" s="4">
        <v>225.00390999999999</v>
      </c>
      <c r="J446" s="1">
        <v>221</v>
      </c>
      <c r="K446" s="3">
        <v>90.665899999999993</v>
      </c>
      <c r="L446" s="3">
        <f t="shared" si="86"/>
        <v>94.252969999999991</v>
      </c>
      <c r="M446" s="1">
        <f t="shared" si="93"/>
        <v>0.10401044637904419</v>
      </c>
      <c r="P446" s="4">
        <v>225.02279999999999</v>
      </c>
      <c r="Q446" s="1">
        <v>221</v>
      </c>
      <c r="R446" s="3">
        <v>98.147069999999999</v>
      </c>
      <c r="S446" s="3">
        <f t="shared" si="87"/>
        <v>98.071250000000006</v>
      </c>
      <c r="T446" s="1">
        <f t="shared" si="92"/>
        <v>3.4926786934802334E-2</v>
      </c>
      <c r="W446" s="4">
        <v>250.00299000000001</v>
      </c>
      <c r="X446" s="1">
        <v>221</v>
      </c>
      <c r="Y446" s="5">
        <v>85.158969999999997</v>
      </c>
      <c r="Z446" s="3">
        <f t="shared" si="88"/>
        <v>90.599800000000002</v>
      </c>
      <c r="AA446" s="1">
        <f t="shared" si="91"/>
        <v>0.16451179490662748</v>
      </c>
      <c r="AD446" s="4">
        <v>250.01294999999999</v>
      </c>
      <c r="AE446" s="1">
        <v>221</v>
      </c>
      <c r="AF446" s="5">
        <v>94.155860000000004</v>
      </c>
      <c r="AG446" s="3">
        <f t="shared" si="89"/>
        <v>94.417349999999999</v>
      </c>
      <c r="AH446" s="1">
        <f t="shared" si="90"/>
        <v>0.10145667493765584</v>
      </c>
    </row>
    <row r="447" spans="2:34" x14ac:dyDescent="0.2">
      <c r="B447" s="4">
        <v>200.04417000000001</v>
      </c>
      <c r="C447" s="1">
        <v>221.5</v>
      </c>
      <c r="D447" s="5">
        <v>99.135620000000003</v>
      </c>
      <c r="E447" s="3">
        <f t="shared" si="85"/>
        <v>100.26206000000001</v>
      </c>
      <c r="F447" s="1">
        <f t="shared" si="94"/>
        <v>7.6627712121987764E-3</v>
      </c>
      <c r="I447" s="4">
        <v>225.00899999999999</v>
      </c>
      <c r="J447" s="1">
        <v>221.5</v>
      </c>
      <c r="K447" s="5">
        <v>90.654210000000006</v>
      </c>
      <c r="L447" s="3">
        <f t="shared" si="86"/>
        <v>94.241280000000003</v>
      </c>
      <c r="M447" s="1">
        <f t="shared" si="93"/>
        <v>0.1042045353682421</v>
      </c>
      <c r="P447" s="4">
        <v>225.02153000000001</v>
      </c>
      <c r="Q447" s="1">
        <v>221.5</v>
      </c>
      <c r="R447" s="5">
        <v>98.335480000000004</v>
      </c>
      <c r="S447" s="3">
        <f t="shared" si="87"/>
        <v>98.259660000000011</v>
      </c>
      <c r="T447" s="1">
        <f t="shared" si="92"/>
        <v>3.178768797739781E-2</v>
      </c>
      <c r="W447" s="4">
        <v>250.00502</v>
      </c>
      <c r="X447" s="1">
        <v>221.5</v>
      </c>
      <c r="Y447" s="3">
        <v>85.147180000000006</v>
      </c>
      <c r="Z447" s="3">
        <f t="shared" si="88"/>
        <v>90.588010000000011</v>
      </c>
      <c r="AA447" s="1">
        <f t="shared" si="91"/>
        <v>0.16470756400234304</v>
      </c>
      <c r="AD447" s="4">
        <v>250.01133999999999</v>
      </c>
      <c r="AE447" s="1">
        <v>221.5</v>
      </c>
      <c r="AF447" s="3">
        <v>94.162379999999999</v>
      </c>
      <c r="AG447" s="3">
        <f t="shared" si="89"/>
        <v>94.423869999999994</v>
      </c>
      <c r="AH447" s="1">
        <f t="shared" si="90"/>
        <v>0.10134843553696025</v>
      </c>
    </row>
    <row r="448" spans="2:34" x14ac:dyDescent="0.2">
      <c r="B448" s="4">
        <v>200.04140000000001</v>
      </c>
      <c r="C448" s="1">
        <v>222</v>
      </c>
      <c r="D448" s="3">
        <v>99.0124</v>
      </c>
      <c r="E448" s="3">
        <f t="shared" si="85"/>
        <v>100.13884</v>
      </c>
      <c r="F448" s="1">
        <f t="shared" si="94"/>
        <v>9.7043874307750633E-3</v>
      </c>
      <c r="I448" s="4">
        <v>225.00903</v>
      </c>
      <c r="J448" s="1">
        <v>222</v>
      </c>
      <c r="K448" s="3">
        <v>90.643330000000006</v>
      </c>
      <c r="L448" s="3">
        <f t="shared" si="86"/>
        <v>94.230400000000003</v>
      </c>
      <c r="M448" s="1">
        <f t="shared" si="93"/>
        <v>0.104385175933039</v>
      </c>
      <c r="P448" s="4">
        <v>225.0239</v>
      </c>
      <c r="Q448" s="1">
        <v>222</v>
      </c>
      <c r="R448" s="3">
        <v>98.190849999999998</v>
      </c>
      <c r="S448" s="3">
        <f t="shared" si="87"/>
        <v>98.115030000000004</v>
      </c>
      <c r="T448" s="1">
        <f t="shared" si="92"/>
        <v>3.4197368367023764E-2</v>
      </c>
      <c r="W448" s="4">
        <v>250.00498999999999</v>
      </c>
      <c r="X448" s="1">
        <v>222</v>
      </c>
      <c r="Y448" s="5">
        <v>85.112520000000004</v>
      </c>
      <c r="Z448" s="3">
        <f t="shared" si="88"/>
        <v>90.553350000000009</v>
      </c>
      <c r="AA448" s="1">
        <f t="shared" si="91"/>
        <v>0.16528308197159722</v>
      </c>
      <c r="AD448" s="4">
        <v>250.01196999999999</v>
      </c>
      <c r="AE448" s="1">
        <v>222</v>
      </c>
      <c r="AF448" s="5">
        <v>94.098830000000007</v>
      </c>
      <c r="AG448" s="3">
        <f t="shared" si="89"/>
        <v>94.360320000000002</v>
      </c>
      <c r="AH448" s="1">
        <f t="shared" si="90"/>
        <v>0.10240343767104136</v>
      </c>
    </row>
    <row r="449" spans="2:34" x14ac:dyDescent="0.2">
      <c r="B449" s="4">
        <v>200.03658999999999</v>
      </c>
      <c r="C449" s="1">
        <v>222.5</v>
      </c>
      <c r="D449" s="5">
        <v>99.19014</v>
      </c>
      <c r="E449" s="3">
        <f t="shared" si="85"/>
        <v>100.31658</v>
      </c>
      <c r="F449" s="1">
        <f t="shared" si="94"/>
        <v>6.7594363945006021E-3</v>
      </c>
      <c r="I449" s="4">
        <v>225.00400999999999</v>
      </c>
      <c r="J449" s="1">
        <v>222.5</v>
      </c>
      <c r="K449" s="5">
        <v>90.636060000000001</v>
      </c>
      <c r="L449" s="3">
        <f t="shared" si="86"/>
        <v>94.223129999999998</v>
      </c>
      <c r="M449" s="1">
        <f t="shared" si="93"/>
        <v>0.10450587969278849</v>
      </c>
      <c r="P449" s="4">
        <v>225.02368999999999</v>
      </c>
      <c r="Q449" s="1">
        <v>222.5</v>
      </c>
      <c r="R449" s="5">
        <v>98.200029999999998</v>
      </c>
      <c r="S449" s="3">
        <f t="shared" si="87"/>
        <v>98.124210000000005</v>
      </c>
      <c r="T449" s="1">
        <f t="shared" si="92"/>
        <v>3.4044420389586397E-2</v>
      </c>
      <c r="W449" s="4">
        <v>250.00597999999999</v>
      </c>
      <c r="X449" s="1">
        <v>222.5</v>
      </c>
      <c r="Y449" s="3">
        <v>85.108800000000002</v>
      </c>
      <c r="Z449" s="3">
        <f t="shared" si="88"/>
        <v>90.549630000000008</v>
      </c>
      <c r="AA449" s="1">
        <f t="shared" si="91"/>
        <v>0.16534485135548718</v>
      </c>
      <c r="AD449" s="4">
        <v>250.00933000000001</v>
      </c>
      <c r="AE449" s="1">
        <v>222.5</v>
      </c>
      <c r="AF449" s="3">
        <v>94.162549999999996</v>
      </c>
      <c r="AG449" s="3">
        <f t="shared" si="89"/>
        <v>94.424039999999991</v>
      </c>
      <c r="AH449" s="1">
        <f t="shared" si="90"/>
        <v>0.10134561334399739</v>
      </c>
    </row>
    <row r="450" spans="2:34" x14ac:dyDescent="0.2">
      <c r="B450" s="4">
        <v>200.03823</v>
      </c>
      <c r="C450" s="1">
        <v>223</v>
      </c>
      <c r="D450" s="3">
        <v>99.117339999999999</v>
      </c>
      <c r="E450" s="3">
        <f t="shared" si="85"/>
        <v>100.24378</v>
      </c>
      <c r="F450" s="1">
        <f t="shared" si="94"/>
        <v>7.9656501642810865E-3</v>
      </c>
      <c r="I450" s="4">
        <v>225.00503</v>
      </c>
      <c r="J450" s="1">
        <v>223</v>
      </c>
      <c r="K450" s="3">
        <v>90.637749999999997</v>
      </c>
      <c r="L450" s="3">
        <f t="shared" si="86"/>
        <v>94.224819999999994</v>
      </c>
      <c r="M450" s="1">
        <f t="shared" si="93"/>
        <v>0.10447782063446991</v>
      </c>
      <c r="P450" s="4">
        <v>225.01848000000001</v>
      </c>
      <c r="Q450" s="1">
        <v>223</v>
      </c>
      <c r="R450" s="3">
        <v>98.248440000000002</v>
      </c>
      <c r="S450" s="3">
        <f t="shared" si="87"/>
        <v>98.172620000000009</v>
      </c>
      <c r="T450" s="1">
        <f t="shared" si="92"/>
        <v>3.3237861393100206E-2</v>
      </c>
      <c r="W450" s="4">
        <v>250.00803999999999</v>
      </c>
      <c r="X450" s="1">
        <v>223</v>
      </c>
      <c r="Y450" s="5">
        <v>85.093450000000004</v>
      </c>
      <c r="Z450" s="3">
        <f t="shared" si="88"/>
        <v>90.53428000000001</v>
      </c>
      <c r="AA450" s="1">
        <f t="shared" si="91"/>
        <v>0.16559973308739862</v>
      </c>
      <c r="AD450" s="4">
        <v>250.01031</v>
      </c>
      <c r="AE450" s="1">
        <v>223</v>
      </c>
      <c r="AF450" s="5">
        <v>94.099270000000004</v>
      </c>
      <c r="AG450" s="3">
        <f t="shared" si="89"/>
        <v>94.360759999999999</v>
      </c>
      <c r="AH450" s="1">
        <f t="shared" si="90"/>
        <v>0.10239613317160795</v>
      </c>
    </row>
    <row r="451" spans="2:34" x14ac:dyDescent="0.2">
      <c r="B451" s="4">
        <v>200.03740999999999</v>
      </c>
      <c r="C451" s="1">
        <v>223.5</v>
      </c>
      <c r="D451" s="5">
        <v>99.201149999999998</v>
      </c>
      <c r="E451" s="3">
        <f t="shared" si="85"/>
        <v>100.32759</v>
      </c>
      <c r="F451" s="1">
        <f t="shared" si="94"/>
        <v>6.5770131306917895E-3</v>
      </c>
      <c r="I451" s="4">
        <v>225.00503</v>
      </c>
      <c r="J451" s="1">
        <v>223.5</v>
      </c>
      <c r="K451" s="5">
        <v>90.623239999999996</v>
      </c>
      <c r="L451" s="3">
        <f t="shared" si="86"/>
        <v>94.210309999999993</v>
      </c>
      <c r="M451" s="1">
        <f t="shared" si="93"/>
        <v>0.10471873006417608</v>
      </c>
      <c r="P451" s="4">
        <v>225.01435000000001</v>
      </c>
      <c r="Q451" s="1">
        <v>223.5</v>
      </c>
      <c r="R451" s="5">
        <v>98.312629999999999</v>
      </c>
      <c r="S451" s="3">
        <f t="shared" si="87"/>
        <v>98.236810000000006</v>
      </c>
      <c r="T451" s="1">
        <f t="shared" si="92"/>
        <v>3.2168391821019215E-2</v>
      </c>
      <c r="W451" s="4">
        <v>250.00400999999999</v>
      </c>
      <c r="X451" s="1">
        <v>223.5</v>
      </c>
      <c r="Y451" s="3">
        <v>85.072580000000002</v>
      </c>
      <c r="Z451" s="3">
        <f t="shared" si="88"/>
        <v>90.513410000000007</v>
      </c>
      <c r="AA451" s="1">
        <f t="shared" si="91"/>
        <v>0.16594627261475972</v>
      </c>
      <c r="AD451" s="4">
        <v>250.01415</v>
      </c>
      <c r="AE451" s="1">
        <v>223.5</v>
      </c>
      <c r="AF451" s="3">
        <v>94.172579999999996</v>
      </c>
      <c r="AG451" s="3">
        <f t="shared" si="89"/>
        <v>94.434069999999991</v>
      </c>
      <c r="AH451" s="1">
        <f t="shared" si="90"/>
        <v>0.10117910395918488</v>
      </c>
    </row>
    <row r="452" spans="2:34" x14ac:dyDescent="0.2">
      <c r="B452" s="4">
        <v>200.03655000000001</v>
      </c>
      <c r="C452" s="1">
        <v>224</v>
      </c>
      <c r="D452" s="3">
        <v>99.142979999999994</v>
      </c>
      <c r="E452" s="3">
        <f t="shared" si="85"/>
        <v>100.26942</v>
      </c>
      <c r="F452" s="1">
        <f t="shared" si="94"/>
        <v>7.5408243255837516E-3</v>
      </c>
      <c r="I452" s="4">
        <v>225.00298000000001</v>
      </c>
      <c r="J452" s="1">
        <v>224</v>
      </c>
      <c r="K452" s="3">
        <v>90.619299999999996</v>
      </c>
      <c r="L452" s="3">
        <f t="shared" si="86"/>
        <v>94.206369999999993</v>
      </c>
      <c r="M452" s="1">
        <f t="shared" si="93"/>
        <v>0.1047841458569426</v>
      </c>
      <c r="P452" s="4">
        <v>225.01974000000001</v>
      </c>
      <c r="Q452" s="1">
        <v>224</v>
      </c>
      <c r="R452" s="3">
        <v>98.233919999999998</v>
      </c>
      <c r="S452" s="3">
        <f t="shared" si="87"/>
        <v>98.158100000000005</v>
      </c>
      <c r="T452" s="1">
        <f t="shared" si="92"/>
        <v>3.347977910904696E-2</v>
      </c>
      <c r="W452" s="4">
        <v>250.00297</v>
      </c>
      <c r="X452" s="1">
        <v>224</v>
      </c>
      <c r="Y452" s="5">
        <v>85.064719999999994</v>
      </c>
      <c r="Z452" s="3">
        <f t="shared" si="88"/>
        <v>90.505549999999999</v>
      </c>
      <c r="AA452" s="1">
        <f t="shared" si="91"/>
        <v>0.16607678534523698</v>
      </c>
      <c r="AD452" s="4">
        <v>250.01482999999999</v>
      </c>
      <c r="AE452" s="1">
        <v>224</v>
      </c>
      <c r="AF452" s="5">
        <v>94.028180000000006</v>
      </c>
      <c r="AG452" s="3">
        <f t="shared" si="89"/>
        <v>94.289670000000001</v>
      </c>
      <c r="AH452" s="1">
        <f t="shared" si="90"/>
        <v>0.10357630786416236</v>
      </c>
    </row>
    <row r="453" spans="2:34" x14ac:dyDescent="0.2">
      <c r="B453" s="4">
        <v>200.03352000000001</v>
      </c>
      <c r="C453" s="1">
        <v>224.5</v>
      </c>
      <c r="D453" s="5">
        <v>99.069900000000004</v>
      </c>
      <c r="E453" s="3">
        <f t="shared" ref="E453:E483" si="95">100-($D$4-D453)</f>
        <v>100.19634000000001</v>
      </c>
      <c r="F453" s="1">
        <f t="shared" si="94"/>
        <v>8.7516773790939847E-3</v>
      </c>
      <c r="I453" s="4">
        <v>225.00506999999999</v>
      </c>
      <c r="J453" s="1">
        <v>224.5</v>
      </c>
      <c r="K453" s="5">
        <v>90.604939999999999</v>
      </c>
      <c r="L453" s="3">
        <f t="shared" ref="L453:L483" si="96">100-($K$4-K453)</f>
        <v>94.192009999999996</v>
      </c>
      <c r="M453" s="1">
        <f t="shared" si="93"/>
        <v>0.10502256483768549</v>
      </c>
      <c r="P453" s="4">
        <v>225.02108999999999</v>
      </c>
      <c r="Q453" s="1">
        <v>224.5</v>
      </c>
      <c r="R453" s="5">
        <v>98.093289999999996</v>
      </c>
      <c r="S453" s="3">
        <f t="shared" ref="S453:S483" si="97">100-($R$4-R453)</f>
        <v>98.017470000000003</v>
      </c>
      <c r="T453" s="1">
        <f t="shared" si="92"/>
        <v>3.5822815499789447E-2</v>
      </c>
      <c r="W453" s="4">
        <v>250.00798</v>
      </c>
      <c r="X453" s="1">
        <v>224.5</v>
      </c>
      <c r="Y453" s="3">
        <v>85.051479999999998</v>
      </c>
      <c r="Z453" s="3">
        <f t="shared" ref="Z453:Z516" si="98">100-($Y$4-Y453)</f>
        <v>90.492310000000003</v>
      </c>
      <c r="AA453" s="1">
        <f t="shared" si="91"/>
        <v>0.16629663121693125</v>
      </c>
      <c r="AD453" s="4">
        <v>250.01464000000001</v>
      </c>
      <c r="AE453" s="1">
        <v>224.5</v>
      </c>
      <c r="AF453" s="3">
        <v>94.153739999999999</v>
      </c>
      <c r="AG453" s="3">
        <f t="shared" ref="AG453:AG516" si="99">100-($AF$4-AF453)</f>
        <v>94.415229999999994</v>
      </c>
      <c r="AH453" s="1">
        <f t="shared" si="90"/>
        <v>0.10149186934401709</v>
      </c>
    </row>
    <row r="454" spans="2:34" x14ac:dyDescent="0.2">
      <c r="B454" s="4">
        <v>200.03038000000001</v>
      </c>
      <c r="C454" s="1">
        <v>225</v>
      </c>
      <c r="D454" s="3">
        <v>99.073409999999996</v>
      </c>
      <c r="E454" s="3">
        <f t="shared" si="95"/>
        <v>100.19985</v>
      </c>
      <c r="F454" s="1">
        <f t="shared" si="94"/>
        <v>8.6935206437654244E-3</v>
      </c>
      <c r="I454" s="4">
        <v>225.00708</v>
      </c>
      <c r="J454" s="1">
        <v>225</v>
      </c>
      <c r="K454" s="3">
        <v>90.595489999999998</v>
      </c>
      <c r="L454" s="3">
        <f t="shared" si="96"/>
        <v>94.182559999999995</v>
      </c>
      <c r="M454" s="1">
        <f t="shared" si="93"/>
        <v>0.10517946312236663</v>
      </c>
      <c r="P454" s="4">
        <v>225.01820000000001</v>
      </c>
      <c r="Q454" s="1">
        <v>225</v>
      </c>
      <c r="R454" s="3">
        <v>98.208449999999999</v>
      </c>
      <c r="S454" s="3">
        <f t="shared" si="97"/>
        <v>98.132630000000006</v>
      </c>
      <c r="T454" s="1">
        <f t="shared" si="92"/>
        <v>3.3904134771936857E-2</v>
      </c>
      <c r="W454" s="4">
        <v>250.00298000000001</v>
      </c>
      <c r="X454" s="1">
        <v>225</v>
      </c>
      <c r="Y454" s="5">
        <v>85.020690000000002</v>
      </c>
      <c r="Z454" s="3">
        <f t="shared" si="98"/>
        <v>90.461520000000007</v>
      </c>
      <c r="AA454" s="1">
        <f t="shared" si="91"/>
        <v>0.1668078891013321</v>
      </c>
      <c r="AD454" s="4">
        <v>250.01299</v>
      </c>
      <c r="AE454" s="1">
        <v>225</v>
      </c>
      <c r="AF454" s="5">
        <v>93.934049999999999</v>
      </c>
      <c r="AG454" s="3">
        <f t="shared" si="99"/>
        <v>94.195539999999994</v>
      </c>
      <c r="AH454" s="1">
        <f t="shared" si="90"/>
        <v>0.10513897270886846</v>
      </c>
    </row>
    <row r="455" spans="2:34" x14ac:dyDescent="0.2">
      <c r="B455" s="4">
        <v>200.02789000000001</v>
      </c>
      <c r="C455" s="1">
        <v>225.5</v>
      </c>
      <c r="D455" s="5">
        <v>99.106849999999994</v>
      </c>
      <c r="E455" s="3">
        <f t="shared" si="95"/>
        <v>100.23329</v>
      </c>
      <c r="F455" s="1">
        <f t="shared" si="94"/>
        <v>8.1394576154487017E-3</v>
      </c>
      <c r="I455" s="4">
        <v>225.00491</v>
      </c>
      <c r="J455" s="1">
        <v>225.5</v>
      </c>
      <c r="K455" s="5">
        <v>90.582740000000001</v>
      </c>
      <c r="L455" s="3">
        <f t="shared" si="96"/>
        <v>94.169809999999998</v>
      </c>
      <c r="M455" s="1">
        <f t="shared" si="93"/>
        <v>0.10539115128423793</v>
      </c>
      <c r="P455" s="4">
        <v>225.0154</v>
      </c>
      <c r="Q455" s="1">
        <v>225.5</v>
      </c>
      <c r="R455" s="5">
        <v>98.288780000000003</v>
      </c>
      <c r="S455" s="3">
        <f t="shared" si="97"/>
        <v>98.21296000000001</v>
      </c>
      <c r="T455" s="1">
        <f t="shared" si="92"/>
        <v>3.2565756664361303E-2</v>
      </c>
      <c r="W455" s="4">
        <v>250</v>
      </c>
      <c r="X455" s="1">
        <v>225.5</v>
      </c>
      <c r="Y455" s="3">
        <v>85.009150000000005</v>
      </c>
      <c r="Z455" s="3">
        <f t="shared" si="98"/>
        <v>90.449980000000011</v>
      </c>
      <c r="AA455" s="1">
        <f t="shared" si="91"/>
        <v>0.16699950702877556</v>
      </c>
      <c r="AD455" s="4">
        <v>250.01485</v>
      </c>
      <c r="AE455" s="1">
        <v>225.5</v>
      </c>
      <c r="AF455" s="3">
        <v>94.064089999999993</v>
      </c>
      <c r="AG455" s="3">
        <f t="shared" si="99"/>
        <v>94.325579999999988</v>
      </c>
      <c r="AH455" s="1">
        <f t="shared" si="90"/>
        <v>0.1029801611035826</v>
      </c>
    </row>
    <row r="456" spans="2:34" x14ac:dyDescent="0.2">
      <c r="B456" s="4">
        <v>200.02458999999999</v>
      </c>
      <c r="C456" s="1">
        <v>226</v>
      </c>
      <c r="D456" s="3">
        <v>99.141050000000007</v>
      </c>
      <c r="E456" s="3">
        <f t="shared" si="95"/>
        <v>100.26749000000001</v>
      </c>
      <c r="F456" s="1">
        <f t="shared" si="94"/>
        <v>7.5728022455790953E-3</v>
      </c>
      <c r="I456" s="4">
        <v>225.00788</v>
      </c>
      <c r="J456" s="1">
        <v>226</v>
      </c>
      <c r="K456" s="3">
        <v>90.593670000000003</v>
      </c>
      <c r="L456" s="3">
        <f t="shared" si="96"/>
        <v>94.18074</v>
      </c>
      <c r="M456" s="1">
        <f t="shared" si="93"/>
        <v>0.10520968056978662</v>
      </c>
      <c r="P456" s="4">
        <v>225.01275999999999</v>
      </c>
      <c r="Q456" s="1">
        <v>226</v>
      </c>
      <c r="R456" s="3">
        <v>98.194550000000007</v>
      </c>
      <c r="S456" s="3">
        <f t="shared" si="97"/>
        <v>98.118730000000014</v>
      </c>
      <c r="T456" s="1">
        <f t="shared" si="92"/>
        <v>3.4135722668056485E-2</v>
      </c>
      <c r="W456" s="4">
        <v>250.00199000000001</v>
      </c>
      <c r="X456" s="1">
        <v>226</v>
      </c>
      <c r="Y456" s="5">
        <v>84.97466</v>
      </c>
      <c r="Z456" s="3">
        <f t="shared" si="98"/>
        <v>90.415490000000005</v>
      </c>
      <c r="AA456" s="1">
        <f t="shared" si="91"/>
        <v>0.16757220220360472</v>
      </c>
      <c r="AD456" s="4">
        <v>250.01626999999999</v>
      </c>
      <c r="AE456" s="1">
        <v>226</v>
      </c>
      <c r="AF456" s="5">
        <v>93.947490000000002</v>
      </c>
      <c r="AG456" s="3">
        <f t="shared" si="99"/>
        <v>94.208979999999997</v>
      </c>
      <c r="AH456" s="1">
        <f t="shared" si="90"/>
        <v>0.10491585345344667</v>
      </c>
    </row>
    <row r="457" spans="2:34" x14ac:dyDescent="0.2">
      <c r="B457" s="4">
        <v>200.02448999999999</v>
      </c>
      <c r="C457" s="1">
        <v>226.5</v>
      </c>
      <c r="D457" s="5">
        <v>99.085579999999993</v>
      </c>
      <c r="E457" s="3">
        <f t="shared" si="95"/>
        <v>100.21202</v>
      </c>
      <c r="F457" s="1">
        <f t="shared" si="94"/>
        <v>8.4918774902183729E-3</v>
      </c>
      <c r="I457" s="4">
        <v>225.00597999999999</v>
      </c>
      <c r="J457" s="1">
        <v>226.5</v>
      </c>
      <c r="K457" s="5">
        <v>90.570580000000007</v>
      </c>
      <c r="L457" s="3">
        <f t="shared" si="96"/>
        <v>94.157650000000004</v>
      </c>
      <c r="M457" s="1">
        <f t="shared" si="93"/>
        <v>0.10559304368018731</v>
      </c>
      <c r="P457" s="4">
        <v>225.01017999999999</v>
      </c>
      <c r="Q457" s="1">
        <v>226.5</v>
      </c>
      <c r="R457" s="5">
        <v>98.206850000000003</v>
      </c>
      <c r="S457" s="3">
        <f t="shared" si="97"/>
        <v>98.13103000000001</v>
      </c>
      <c r="T457" s="1">
        <f t="shared" si="92"/>
        <v>3.3930792371490152E-2</v>
      </c>
      <c r="W457" s="4">
        <v>250.00504000000001</v>
      </c>
      <c r="X457" s="1">
        <v>226.5</v>
      </c>
      <c r="Y457" s="3">
        <v>84.968919999999997</v>
      </c>
      <c r="Z457" s="3">
        <f t="shared" si="98"/>
        <v>90.409750000000003</v>
      </c>
      <c r="AA457" s="1">
        <f t="shared" si="91"/>
        <v>0.1676675130271339</v>
      </c>
      <c r="AD457" s="4">
        <v>250.01648</v>
      </c>
      <c r="AE457" s="1">
        <v>226.5</v>
      </c>
      <c r="AF457" s="3">
        <v>94.047820000000002</v>
      </c>
      <c r="AG457" s="3">
        <f t="shared" si="99"/>
        <v>94.309309999999996</v>
      </c>
      <c r="AH457" s="1">
        <f t="shared" si="90"/>
        <v>0.10325026157126935</v>
      </c>
    </row>
    <row r="458" spans="2:34" x14ac:dyDescent="0.2">
      <c r="B458" s="4">
        <v>200.02466999999999</v>
      </c>
      <c r="C458" s="1">
        <v>227</v>
      </c>
      <c r="D458" s="3">
        <v>99.047970000000007</v>
      </c>
      <c r="E458" s="3">
        <f t="shared" si="95"/>
        <v>100.17441000000001</v>
      </c>
      <c r="F458" s="1">
        <f t="shared" si="94"/>
        <v>9.1150327083698475E-3</v>
      </c>
      <c r="I458" s="4">
        <v>225.00699</v>
      </c>
      <c r="J458" s="1">
        <v>227</v>
      </c>
      <c r="K458" s="3">
        <v>90.572280000000006</v>
      </c>
      <c r="L458" s="3">
        <f t="shared" si="96"/>
        <v>94.159350000000003</v>
      </c>
      <c r="M458" s="1">
        <f t="shared" si="93"/>
        <v>0.1055648185919378</v>
      </c>
      <c r="P458" s="4">
        <v>225.00695999999999</v>
      </c>
      <c r="Q458" s="1">
        <v>227</v>
      </c>
      <c r="R458" s="3">
        <v>98.262190000000004</v>
      </c>
      <c r="S458" s="3">
        <f t="shared" si="97"/>
        <v>98.186370000000011</v>
      </c>
      <c r="T458" s="1">
        <f t="shared" si="92"/>
        <v>3.3008772646938557E-2</v>
      </c>
      <c r="W458" s="4">
        <v>250.00497999999999</v>
      </c>
      <c r="X458" s="1">
        <v>227</v>
      </c>
      <c r="Y458" s="5">
        <v>84.957390000000004</v>
      </c>
      <c r="Z458" s="3">
        <f t="shared" si="98"/>
        <v>90.398220000000009</v>
      </c>
      <c r="AA458" s="1">
        <f t="shared" si="91"/>
        <v>0.16785896490784644</v>
      </c>
      <c r="AD458" s="4">
        <v>250.01385999999999</v>
      </c>
      <c r="AE458" s="1">
        <v>227</v>
      </c>
      <c r="AF458" s="5">
        <v>94.010919999999999</v>
      </c>
      <c r="AG458" s="3">
        <f t="shared" si="99"/>
        <v>94.272409999999994</v>
      </c>
      <c r="AH458" s="1">
        <f t="shared" ref="AH458:AH521" si="100">($AG$9-AG458)/($AG$9*(1-$N$1))</f>
        <v>0.10386284345557462</v>
      </c>
    </row>
    <row r="459" spans="2:34" x14ac:dyDescent="0.2">
      <c r="B459" s="4">
        <v>200.03577000000001</v>
      </c>
      <c r="C459" s="1">
        <v>227.5</v>
      </c>
      <c r="D459" s="5">
        <v>99.098050000000001</v>
      </c>
      <c r="E459" s="3">
        <f t="shared" si="95"/>
        <v>100.22449</v>
      </c>
      <c r="F459" s="1">
        <f t="shared" si="94"/>
        <v>8.2852636755319509E-3</v>
      </c>
      <c r="I459" s="4">
        <v>225.00581</v>
      </c>
      <c r="J459" s="1">
        <v>227.5</v>
      </c>
      <c r="K459" s="5">
        <v>90.524339999999995</v>
      </c>
      <c r="L459" s="3">
        <f t="shared" si="96"/>
        <v>94.111409999999992</v>
      </c>
      <c r="M459" s="1">
        <f t="shared" si="93"/>
        <v>0.10636076608057428</v>
      </c>
      <c r="P459" s="4">
        <v>225.00998000000001</v>
      </c>
      <c r="Q459" s="1">
        <v>227.5</v>
      </c>
      <c r="R459" s="5">
        <v>98.170540000000003</v>
      </c>
      <c r="S459" s="3">
        <f t="shared" si="97"/>
        <v>98.094720000000009</v>
      </c>
      <c r="T459" s="1">
        <f t="shared" si="92"/>
        <v>3.4535753271354046E-2</v>
      </c>
      <c r="W459" s="4">
        <v>249.99895000000001</v>
      </c>
      <c r="X459" s="1">
        <v>227.5</v>
      </c>
      <c r="Y459" s="3">
        <v>84.934389999999993</v>
      </c>
      <c r="Z459" s="3">
        <f t="shared" si="98"/>
        <v>90.375219999999999</v>
      </c>
      <c r="AA459" s="1">
        <f t="shared" si="91"/>
        <v>0.16824087238888658</v>
      </c>
      <c r="AD459" s="4">
        <v>250.00852</v>
      </c>
      <c r="AE459" s="1">
        <v>227.5</v>
      </c>
      <c r="AF459" s="3">
        <v>94.021299999999997</v>
      </c>
      <c r="AG459" s="3">
        <f t="shared" si="99"/>
        <v>94.282789999999991</v>
      </c>
      <c r="AH459" s="1">
        <f t="shared" si="100"/>
        <v>0.10369052367348555</v>
      </c>
    </row>
    <row r="460" spans="2:34" x14ac:dyDescent="0.2">
      <c r="B460" s="4">
        <v>200.04392999999999</v>
      </c>
      <c r="C460" s="1">
        <v>228</v>
      </c>
      <c r="D460" s="3">
        <v>99.100970000000004</v>
      </c>
      <c r="E460" s="3">
        <f t="shared" si="95"/>
        <v>100.22741000000001</v>
      </c>
      <c r="F460" s="1">
        <f t="shared" si="94"/>
        <v>8.2368825737769678E-3</v>
      </c>
      <c r="I460" s="4">
        <v>225.00385</v>
      </c>
      <c r="J460" s="1">
        <v>228</v>
      </c>
      <c r="K460" s="3">
        <v>90.522180000000006</v>
      </c>
      <c r="L460" s="3">
        <f t="shared" si="96"/>
        <v>94.109250000000003</v>
      </c>
      <c r="M460" s="1">
        <f t="shared" si="93"/>
        <v>0.10639662854564406</v>
      </c>
      <c r="P460" s="4">
        <v>225.01169999999999</v>
      </c>
      <c r="Q460" s="1">
        <v>228</v>
      </c>
      <c r="R460" s="3">
        <v>98.222499999999997</v>
      </c>
      <c r="S460" s="3">
        <f t="shared" si="97"/>
        <v>98.146680000000003</v>
      </c>
      <c r="T460" s="1">
        <f t="shared" si="92"/>
        <v>3.3670047725859027E-2</v>
      </c>
      <c r="W460" s="4">
        <v>250.00092000000001</v>
      </c>
      <c r="X460" s="1">
        <v>228</v>
      </c>
      <c r="Y460" s="5">
        <v>84.907619999999994</v>
      </c>
      <c r="Z460" s="3">
        <f t="shared" si="98"/>
        <v>90.34845</v>
      </c>
      <c r="AA460" s="1">
        <f t="shared" ref="AA460:AA523" si="101">($Z$11-Z460)/($Z$11*(1-$N$1))</f>
        <v>0.16868537948747092</v>
      </c>
      <c r="AD460" s="4">
        <v>250.00773000000001</v>
      </c>
      <c r="AE460" s="1">
        <v>228</v>
      </c>
      <c r="AF460" s="5">
        <v>93.946089999999998</v>
      </c>
      <c r="AG460" s="3">
        <f t="shared" si="99"/>
        <v>94.207579999999993</v>
      </c>
      <c r="AH460" s="1">
        <f t="shared" si="100"/>
        <v>0.10493909504255317</v>
      </c>
    </row>
    <row r="461" spans="2:34" x14ac:dyDescent="0.2">
      <c r="B461" s="4">
        <v>200.04051999999999</v>
      </c>
      <c r="C461" s="1">
        <v>228.5</v>
      </c>
      <c r="D461" s="5">
        <v>99.10445</v>
      </c>
      <c r="E461" s="3">
        <f t="shared" si="95"/>
        <v>100.23089</v>
      </c>
      <c r="F461" s="1">
        <f t="shared" si="94"/>
        <v>8.1792229045622514E-3</v>
      </c>
      <c r="I461" s="4">
        <v>225.00701000000001</v>
      </c>
      <c r="J461" s="1">
        <v>228.5</v>
      </c>
      <c r="K461" s="5">
        <v>90.54853</v>
      </c>
      <c r="L461" s="3">
        <f t="shared" si="96"/>
        <v>94.135599999999997</v>
      </c>
      <c r="M461" s="1">
        <f t="shared" si="93"/>
        <v>0.1059591396777767</v>
      </c>
      <c r="P461" s="4">
        <v>225.01647</v>
      </c>
      <c r="Q461" s="1">
        <v>228.5</v>
      </c>
      <c r="R461" s="5">
        <v>98.113879999999995</v>
      </c>
      <c r="S461" s="3">
        <f t="shared" si="97"/>
        <v>98.038060000000002</v>
      </c>
      <c r="T461" s="1">
        <f t="shared" si="92"/>
        <v>3.5479765515537269E-2</v>
      </c>
      <c r="W461" s="4">
        <v>250.00601</v>
      </c>
      <c r="X461" s="1">
        <v>228.5</v>
      </c>
      <c r="Y461" s="3">
        <v>84.901859999999999</v>
      </c>
      <c r="Z461" s="3">
        <f t="shared" si="98"/>
        <v>90.342690000000005</v>
      </c>
      <c r="AA461" s="1">
        <f t="shared" si="101"/>
        <v>0.16878102240446172</v>
      </c>
      <c r="AD461" s="4">
        <v>250.00727000000001</v>
      </c>
      <c r="AE461" s="1">
        <v>228.5</v>
      </c>
      <c r="AF461" s="3">
        <v>93.940610000000007</v>
      </c>
      <c r="AG461" s="3">
        <f t="shared" si="99"/>
        <v>94.202100000000002</v>
      </c>
      <c r="AH461" s="1">
        <f t="shared" si="100"/>
        <v>0.10503006926276963</v>
      </c>
    </row>
    <row r="462" spans="2:34" x14ac:dyDescent="0.2">
      <c r="B462" s="4">
        <v>200.03381999999999</v>
      </c>
      <c r="C462" s="1">
        <v>229</v>
      </c>
      <c r="D462" s="3">
        <v>99.145240000000001</v>
      </c>
      <c r="E462" s="3">
        <f t="shared" si="95"/>
        <v>100.27168</v>
      </c>
      <c r="F462" s="1">
        <f t="shared" si="94"/>
        <v>7.5033786783349592E-3</v>
      </c>
      <c r="I462" s="4">
        <v>225.00599</v>
      </c>
      <c r="J462" s="1">
        <v>229</v>
      </c>
      <c r="K462" s="3">
        <v>90.515519999999995</v>
      </c>
      <c r="L462" s="3">
        <f t="shared" si="96"/>
        <v>94.102589999999992</v>
      </c>
      <c r="M462" s="1">
        <f t="shared" si="93"/>
        <v>0.10650720447960998</v>
      </c>
      <c r="P462" s="4">
        <v>225.01864</v>
      </c>
      <c r="Q462" s="1">
        <v>229</v>
      </c>
      <c r="R462" s="3">
        <v>98.098399999999998</v>
      </c>
      <c r="S462" s="3">
        <f t="shared" si="97"/>
        <v>98.022580000000005</v>
      </c>
      <c r="T462" s="1">
        <f t="shared" ref="T462:T483" si="102">($S$13-S462)/($S$13*(1-$N$1))</f>
        <v>3.5737677791215894E-2</v>
      </c>
      <c r="W462" s="4">
        <v>250.00800000000001</v>
      </c>
      <c r="X462" s="1">
        <v>229</v>
      </c>
      <c r="Y462" s="5">
        <v>84.894360000000006</v>
      </c>
      <c r="Z462" s="3">
        <f t="shared" si="98"/>
        <v>90.335190000000011</v>
      </c>
      <c r="AA462" s="1">
        <f t="shared" si="101"/>
        <v>0.16890555745262681</v>
      </c>
      <c r="AD462" s="4">
        <v>250.00613999999999</v>
      </c>
      <c r="AE462" s="1">
        <v>229</v>
      </c>
      <c r="AF462" s="5">
        <v>93.950149999999994</v>
      </c>
      <c r="AG462" s="3">
        <f t="shared" si="99"/>
        <v>94.211639999999989</v>
      </c>
      <c r="AH462" s="1">
        <f t="shared" si="100"/>
        <v>0.1048716944341446</v>
      </c>
    </row>
    <row r="463" spans="2:34" x14ac:dyDescent="0.2">
      <c r="B463" s="4">
        <v>200.03018</v>
      </c>
      <c r="C463" s="1">
        <v>229.5</v>
      </c>
      <c r="D463" s="5">
        <v>99.015600000000006</v>
      </c>
      <c r="E463" s="3">
        <f t="shared" si="95"/>
        <v>100.14204000000001</v>
      </c>
      <c r="F463" s="1">
        <f t="shared" si="94"/>
        <v>9.6513670452900956E-3</v>
      </c>
      <c r="I463" s="4">
        <v>225.00695999999999</v>
      </c>
      <c r="J463" s="1">
        <v>229.5</v>
      </c>
      <c r="K463" s="5">
        <v>90.537869999999998</v>
      </c>
      <c r="L463" s="3">
        <f t="shared" si="96"/>
        <v>94.124939999999995</v>
      </c>
      <c r="M463" s="1">
        <f t="shared" si="93"/>
        <v>0.10613612758409427</v>
      </c>
      <c r="P463" s="4">
        <v>225.01186999999999</v>
      </c>
      <c r="Q463" s="1">
        <v>229.5</v>
      </c>
      <c r="R463" s="5">
        <v>98.252549999999999</v>
      </c>
      <c r="S463" s="3">
        <f t="shared" si="97"/>
        <v>98.176730000000006</v>
      </c>
      <c r="T463" s="1">
        <f t="shared" si="102"/>
        <v>3.3169384684247585E-2</v>
      </c>
      <c r="W463" s="4">
        <v>250.01000999999999</v>
      </c>
      <c r="X463" s="1">
        <v>229.5</v>
      </c>
      <c r="Y463" s="3">
        <v>84.884450000000001</v>
      </c>
      <c r="Z463" s="3">
        <f t="shared" si="98"/>
        <v>90.325280000000006</v>
      </c>
      <c r="AA463" s="1">
        <f t="shared" si="101"/>
        <v>0.16907010976293585</v>
      </c>
      <c r="AD463" s="4">
        <v>250.00717</v>
      </c>
      <c r="AE463" s="1">
        <v>229.5</v>
      </c>
      <c r="AF463" s="3">
        <v>93.883489999999995</v>
      </c>
      <c r="AG463" s="3">
        <f t="shared" si="99"/>
        <v>94.14497999999999</v>
      </c>
      <c r="AH463" s="1">
        <f t="shared" si="100"/>
        <v>0.10597832609831223</v>
      </c>
    </row>
    <row r="464" spans="2:34" x14ac:dyDescent="0.2">
      <c r="B464" s="4">
        <v>200.02795</v>
      </c>
      <c r="C464" s="1">
        <v>230</v>
      </c>
      <c r="D464" s="3">
        <v>98.960599999999999</v>
      </c>
      <c r="E464" s="3">
        <f t="shared" si="95"/>
        <v>100.08704</v>
      </c>
      <c r="F464" s="1">
        <f t="shared" si="94"/>
        <v>1.0562654920811168E-2</v>
      </c>
      <c r="I464" s="4">
        <v>225.00394</v>
      </c>
      <c r="J464" s="1">
        <v>230</v>
      </c>
      <c r="K464" s="3">
        <v>90.476640000000003</v>
      </c>
      <c r="L464" s="3">
        <f t="shared" si="96"/>
        <v>94.06371</v>
      </c>
      <c r="M464" s="1">
        <f t="shared" ref="M464:M483" si="103">($L$15-L464)/($L$15*(1-$N$1))</f>
        <v>0.10715272885086932</v>
      </c>
      <c r="P464" s="4">
        <v>225.01229000000001</v>
      </c>
      <c r="Q464" s="1">
        <v>230</v>
      </c>
      <c r="R464" s="3">
        <v>98.160489999999996</v>
      </c>
      <c r="S464" s="3">
        <f t="shared" si="97"/>
        <v>98.084670000000003</v>
      </c>
      <c r="T464" s="1">
        <f t="shared" si="102"/>
        <v>3.4703196318548651E-2</v>
      </c>
      <c r="W464" s="4">
        <v>250.00206</v>
      </c>
      <c r="X464" s="1">
        <v>230</v>
      </c>
      <c r="Y464" s="5">
        <v>84.857810000000001</v>
      </c>
      <c r="Z464" s="3">
        <f t="shared" si="98"/>
        <v>90.298640000000006</v>
      </c>
      <c r="AA464" s="1">
        <f t="shared" si="101"/>
        <v>0.1695124582540187</v>
      </c>
      <c r="AD464" s="4">
        <v>250.00942000000001</v>
      </c>
      <c r="AE464" s="1">
        <v>230</v>
      </c>
      <c r="AF464" s="5">
        <v>93.918629999999993</v>
      </c>
      <c r="AG464" s="3">
        <f t="shared" si="99"/>
        <v>94.180119999999988</v>
      </c>
      <c r="AH464" s="1">
        <f t="shared" si="100"/>
        <v>0.10539496221174083</v>
      </c>
    </row>
    <row r="465" spans="2:34" x14ac:dyDescent="0.2">
      <c r="B465" s="4">
        <v>200.0258</v>
      </c>
      <c r="C465" s="1">
        <v>230.5</v>
      </c>
      <c r="D465" s="5">
        <v>99.187950000000001</v>
      </c>
      <c r="E465" s="3">
        <f t="shared" si="95"/>
        <v>100.31439</v>
      </c>
      <c r="F465" s="1">
        <f t="shared" si="94"/>
        <v>6.7957222208167812E-3</v>
      </c>
      <c r="I465" s="4">
        <v>225.00300999999999</v>
      </c>
      <c r="J465" s="1">
        <v>230.5</v>
      </c>
      <c r="K465" s="5">
        <v>90.480980000000002</v>
      </c>
      <c r="L465" s="3">
        <f t="shared" si="96"/>
        <v>94.068049999999999</v>
      </c>
      <c r="M465" s="1">
        <f t="shared" si="103"/>
        <v>0.10708067186086764</v>
      </c>
      <c r="P465" s="4">
        <v>225.01372000000001</v>
      </c>
      <c r="Q465" s="1">
        <v>230.5</v>
      </c>
      <c r="R465" s="5">
        <v>98.124189999999999</v>
      </c>
      <c r="S465" s="3">
        <f t="shared" si="97"/>
        <v>98.048370000000006</v>
      </c>
      <c r="T465" s="1">
        <f t="shared" si="102"/>
        <v>3.5307990608415288E-2</v>
      </c>
      <c r="W465" s="4">
        <v>250.00699</v>
      </c>
      <c r="X465" s="1">
        <v>230.5</v>
      </c>
      <c r="Y465" s="3">
        <v>84.842449999999999</v>
      </c>
      <c r="Z465" s="3">
        <f t="shared" si="98"/>
        <v>90.283280000000005</v>
      </c>
      <c r="AA465" s="1">
        <f t="shared" si="101"/>
        <v>0.16976750603266105</v>
      </c>
      <c r="AD465" s="4">
        <v>250.01275000000001</v>
      </c>
      <c r="AE465" s="1">
        <v>230.5</v>
      </c>
      <c r="AF465" s="3">
        <v>93.951520000000002</v>
      </c>
      <c r="AG465" s="3">
        <f t="shared" si="99"/>
        <v>94.213009999999997</v>
      </c>
      <c r="AH465" s="1">
        <f t="shared" si="100"/>
        <v>0.1048489508790903</v>
      </c>
    </row>
    <row r="466" spans="2:34" x14ac:dyDescent="0.2">
      <c r="B466" s="4">
        <v>200.02638999999999</v>
      </c>
      <c r="C466" s="1">
        <v>231</v>
      </c>
      <c r="D466" s="3">
        <v>99.158299999999997</v>
      </c>
      <c r="E466" s="3">
        <f t="shared" si="95"/>
        <v>100.28474</v>
      </c>
      <c r="F466" s="1">
        <f t="shared" si="94"/>
        <v>7.2869892300749597E-3</v>
      </c>
      <c r="I466" s="4">
        <v>225.00398999999999</v>
      </c>
      <c r="J466" s="1">
        <v>231</v>
      </c>
      <c r="K466" s="3">
        <v>90.498930000000001</v>
      </c>
      <c r="L466" s="3">
        <f t="shared" si="96"/>
        <v>94.085999999999999</v>
      </c>
      <c r="M466" s="1">
        <f t="shared" si="103"/>
        <v>0.10678264813493897</v>
      </c>
      <c r="P466" s="4">
        <v>225.01231999999999</v>
      </c>
      <c r="Q466" s="1">
        <v>231</v>
      </c>
      <c r="R466" s="3">
        <v>98.170299999999997</v>
      </c>
      <c r="S466" s="3">
        <f t="shared" si="97"/>
        <v>98.094480000000004</v>
      </c>
      <c r="T466" s="1">
        <f t="shared" si="102"/>
        <v>3.4539751911287137E-2</v>
      </c>
      <c r="W466" s="4">
        <v>250.00505000000001</v>
      </c>
      <c r="X466" s="1">
        <v>231</v>
      </c>
      <c r="Y466" s="5">
        <v>84.823210000000003</v>
      </c>
      <c r="Z466" s="3">
        <f t="shared" si="98"/>
        <v>90.264040000000008</v>
      </c>
      <c r="AA466" s="1">
        <f t="shared" si="101"/>
        <v>0.17008697994288749</v>
      </c>
      <c r="AD466" s="4">
        <v>250.01736</v>
      </c>
      <c r="AE466" s="1">
        <v>231</v>
      </c>
      <c r="AF466" s="5">
        <v>93.824879999999993</v>
      </c>
      <c r="AG466" s="3">
        <f t="shared" si="99"/>
        <v>94.086369999999988</v>
      </c>
      <c r="AH466" s="1">
        <f t="shared" si="100"/>
        <v>0.10695131862511793</v>
      </c>
    </row>
    <row r="467" spans="2:34" x14ac:dyDescent="0.2">
      <c r="B467" s="4">
        <v>200.02923999999999</v>
      </c>
      <c r="C467" s="1">
        <v>231.5</v>
      </c>
      <c r="D467" s="5">
        <v>99.020439999999994</v>
      </c>
      <c r="E467" s="3">
        <f t="shared" si="95"/>
        <v>100.14688</v>
      </c>
      <c r="F467" s="1">
        <f t="shared" si="94"/>
        <v>9.5711737122444619E-3</v>
      </c>
      <c r="I467" s="4">
        <v>225.00224</v>
      </c>
      <c r="J467" s="1">
        <v>231.5</v>
      </c>
      <c r="K467" s="5">
        <v>90.479100000000003</v>
      </c>
      <c r="L467" s="3">
        <f t="shared" si="96"/>
        <v>94.06617</v>
      </c>
      <c r="M467" s="1">
        <f t="shared" si="103"/>
        <v>0.10711188548787298</v>
      </c>
      <c r="P467" s="4">
        <v>225.01221000000001</v>
      </c>
      <c r="Q467" s="1">
        <v>231.5</v>
      </c>
      <c r="R467" s="5">
        <v>98.032650000000004</v>
      </c>
      <c r="S467" s="3">
        <f t="shared" si="97"/>
        <v>97.956830000000011</v>
      </c>
      <c r="T467" s="1">
        <f t="shared" si="102"/>
        <v>3.6833138522861374E-2</v>
      </c>
      <c r="W467" s="4">
        <v>250.00097</v>
      </c>
      <c r="X467" s="1">
        <v>231.5</v>
      </c>
      <c r="Y467" s="3">
        <v>84.823149999999998</v>
      </c>
      <c r="Z467" s="3">
        <f t="shared" si="98"/>
        <v>90.263980000000004</v>
      </c>
      <c r="AA467" s="1">
        <f t="shared" si="101"/>
        <v>0.17008797622327287</v>
      </c>
      <c r="AD467" s="4">
        <v>250.01567</v>
      </c>
      <c r="AE467" s="1">
        <v>231.5</v>
      </c>
      <c r="AF467" s="3">
        <v>93.864819999999995</v>
      </c>
      <c r="AG467" s="3">
        <f t="shared" si="99"/>
        <v>94.126309999999989</v>
      </c>
      <c r="AH467" s="1">
        <f t="shared" si="100"/>
        <v>0.10628826929018156</v>
      </c>
    </row>
    <row r="468" spans="2:34" x14ac:dyDescent="0.2">
      <c r="B468" s="4">
        <v>200.03226000000001</v>
      </c>
      <c r="C468" s="1">
        <v>232</v>
      </c>
      <c r="D468" s="3">
        <v>99.132940000000005</v>
      </c>
      <c r="E468" s="3">
        <f t="shared" si="95"/>
        <v>100.25938000000001</v>
      </c>
      <c r="F468" s="1">
        <f t="shared" si="94"/>
        <v>7.7071757850423108E-3</v>
      </c>
      <c r="I468" s="4">
        <v>225.006</v>
      </c>
      <c r="J468" s="1">
        <v>232</v>
      </c>
      <c r="K468" s="3">
        <v>90.464299999999994</v>
      </c>
      <c r="L468" s="3">
        <f t="shared" si="96"/>
        <v>94.051369999999991</v>
      </c>
      <c r="M468" s="1">
        <f t="shared" si="103"/>
        <v>0.10735760978557476</v>
      </c>
      <c r="P468" s="4">
        <v>225.01585</v>
      </c>
      <c r="Q468" s="1">
        <v>232</v>
      </c>
      <c r="R468" s="3">
        <v>98.102119999999999</v>
      </c>
      <c r="S468" s="3">
        <f t="shared" si="97"/>
        <v>98.026300000000006</v>
      </c>
      <c r="T468" s="1">
        <f t="shared" si="102"/>
        <v>3.567569887225433E-2</v>
      </c>
      <c r="W468" s="4">
        <v>250.00196</v>
      </c>
      <c r="X468" s="1">
        <v>232</v>
      </c>
      <c r="Y468" s="5">
        <v>84.805840000000003</v>
      </c>
      <c r="Z468" s="3">
        <f t="shared" si="98"/>
        <v>90.246670000000009</v>
      </c>
      <c r="AA468" s="1">
        <f t="shared" si="101"/>
        <v>0.17037540311443811</v>
      </c>
      <c r="AD468" s="4">
        <v>250.01509999999999</v>
      </c>
      <c r="AE468" s="1">
        <v>232</v>
      </c>
      <c r="AF468" s="5">
        <v>93.929550000000006</v>
      </c>
      <c r="AG468" s="3">
        <f t="shared" si="99"/>
        <v>94.191040000000001</v>
      </c>
      <c r="AH468" s="1">
        <f t="shared" si="100"/>
        <v>0.10521367781671044</v>
      </c>
    </row>
    <row r="469" spans="2:34" x14ac:dyDescent="0.2">
      <c r="B469" s="4">
        <v>200.03016</v>
      </c>
      <c r="C469" s="1">
        <v>232.5</v>
      </c>
      <c r="D469" s="5">
        <v>99.042789999999997</v>
      </c>
      <c r="E469" s="3">
        <f t="shared" si="95"/>
        <v>100.16923</v>
      </c>
      <c r="F469" s="1">
        <f t="shared" si="94"/>
        <v>9.2008594573736221E-3</v>
      </c>
      <c r="I469" s="4">
        <v>225.00709000000001</v>
      </c>
      <c r="J469" s="1">
        <v>232.5</v>
      </c>
      <c r="K469" s="5">
        <v>90.446299999999994</v>
      </c>
      <c r="L469" s="3">
        <f t="shared" si="96"/>
        <v>94.033369999999991</v>
      </c>
      <c r="M469" s="1">
        <f t="shared" si="103"/>
        <v>0.10765646366115787</v>
      </c>
      <c r="P469" s="4">
        <v>225.01755</v>
      </c>
      <c r="Q469" s="1">
        <v>232.5</v>
      </c>
      <c r="R469" s="5">
        <v>98.223429999999993</v>
      </c>
      <c r="S469" s="3">
        <f t="shared" si="97"/>
        <v>98.14761</v>
      </c>
      <c r="T469" s="1">
        <f t="shared" si="102"/>
        <v>3.3654552996118699E-2</v>
      </c>
      <c r="W469" s="4">
        <v>250.00300999999999</v>
      </c>
      <c r="X469" s="1">
        <v>232.5</v>
      </c>
      <c r="Y469" s="3">
        <v>84.792469999999994</v>
      </c>
      <c r="Z469" s="3">
        <f t="shared" si="98"/>
        <v>90.2333</v>
      </c>
      <c r="AA469" s="1">
        <f t="shared" si="101"/>
        <v>0.17059740759363409</v>
      </c>
      <c r="AD469" s="4">
        <v>250.01496</v>
      </c>
      <c r="AE469" s="1">
        <v>232.5</v>
      </c>
      <c r="AF469" s="3">
        <v>93.852869999999996</v>
      </c>
      <c r="AG469" s="3">
        <f t="shared" si="99"/>
        <v>94.114359999999991</v>
      </c>
      <c r="AH469" s="1">
        <f t="shared" si="100"/>
        <v>0.10648665285434002</v>
      </c>
    </row>
    <row r="470" spans="2:34" x14ac:dyDescent="0.2">
      <c r="B470" s="4">
        <v>200.03103999999999</v>
      </c>
      <c r="C470" s="1">
        <v>233</v>
      </c>
      <c r="D470" s="3">
        <v>99.20017</v>
      </c>
      <c r="E470" s="3">
        <f t="shared" si="95"/>
        <v>100.32661</v>
      </c>
      <c r="F470" s="1">
        <f t="shared" si="94"/>
        <v>6.5932506237465008E-3</v>
      </c>
      <c r="I470" s="4">
        <v>225.01087999999999</v>
      </c>
      <c r="J470" s="1">
        <v>233</v>
      </c>
      <c r="K470" s="3">
        <v>90.451809999999995</v>
      </c>
      <c r="L470" s="3">
        <f t="shared" si="96"/>
        <v>94.038879999999992</v>
      </c>
      <c r="M470" s="1">
        <f t="shared" si="103"/>
        <v>0.10756498116924325</v>
      </c>
      <c r="P470" s="4">
        <v>225.01929000000001</v>
      </c>
      <c r="Q470" s="1">
        <v>233</v>
      </c>
      <c r="R470" s="3">
        <v>98.046469999999999</v>
      </c>
      <c r="S470" s="3">
        <f t="shared" si="97"/>
        <v>97.970650000000006</v>
      </c>
      <c r="T470" s="1">
        <f t="shared" si="102"/>
        <v>3.6602883506719364E-2</v>
      </c>
      <c r="W470" s="4">
        <v>250.00703999999999</v>
      </c>
      <c r="X470" s="1">
        <v>233</v>
      </c>
      <c r="Y470" s="5">
        <v>84.778980000000004</v>
      </c>
      <c r="Z470" s="3">
        <f t="shared" si="98"/>
        <v>90.21981000000001</v>
      </c>
      <c r="AA470" s="1">
        <f t="shared" si="101"/>
        <v>0.17082140463360043</v>
      </c>
      <c r="AD470" s="4">
        <v>250.01134999999999</v>
      </c>
      <c r="AE470" s="1">
        <v>233</v>
      </c>
      <c r="AF470" s="5">
        <v>93.859660000000005</v>
      </c>
      <c r="AG470" s="3">
        <f t="shared" si="99"/>
        <v>94.12115</v>
      </c>
      <c r="AH470" s="1">
        <f t="shared" si="100"/>
        <v>0.10637393114717367</v>
      </c>
    </row>
    <row r="471" spans="2:34" x14ac:dyDescent="0.2">
      <c r="B471" s="4">
        <v>200.02932000000001</v>
      </c>
      <c r="C471" s="1">
        <v>233.5</v>
      </c>
      <c r="D471" s="5">
        <v>99.138339999999999</v>
      </c>
      <c r="E471" s="3">
        <f t="shared" si="95"/>
        <v>100.26478</v>
      </c>
      <c r="F471" s="1">
        <f t="shared" si="94"/>
        <v>7.6177038845367069E-3</v>
      </c>
      <c r="I471" s="4">
        <v>225.00594000000001</v>
      </c>
      <c r="J471" s="1">
        <v>233.5</v>
      </c>
      <c r="K471" s="5">
        <v>90.441370000000006</v>
      </c>
      <c r="L471" s="3">
        <f t="shared" si="96"/>
        <v>94.028440000000003</v>
      </c>
      <c r="M471" s="1">
        <f t="shared" si="103"/>
        <v>0.10773831641708125</v>
      </c>
      <c r="P471" s="4">
        <v>225.01682</v>
      </c>
      <c r="Q471" s="1">
        <v>233.5</v>
      </c>
      <c r="R471" s="5">
        <v>98.117609999999999</v>
      </c>
      <c r="S471" s="3">
        <f t="shared" si="97"/>
        <v>98.041790000000006</v>
      </c>
      <c r="T471" s="1">
        <f t="shared" si="102"/>
        <v>3.5417619986578441E-2</v>
      </c>
      <c r="W471" s="4">
        <v>250.00700000000001</v>
      </c>
      <c r="X471" s="1">
        <v>233.5</v>
      </c>
      <c r="Y471" s="3">
        <v>84.765699999999995</v>
      </c>
      <c r="Z471" s="3">
        <f t="shared" si="98"/>
        <v>90.206530000000001</v>
      </c>
      <c r="AA471" s="1">
        <f t="shared" si="101"/>
        <v>0.17104191469221844</v>
      </c>
      <c r="AD471" s="4">
        <v>250.01003</v>
      </c>
      <c r="AE471" s="1">
        <v>233.5</v>
      </c>
      <c r="AF471" s="3">
        <v>93.757859999999994</v>
      </c>
      <c r="AG471" s="3">
        <f t="shared" si="99"/>
        <v>94.019349999999989</v>
      </c>
      <c r="AH471" s="1">
        <f t="shared" si="100"/>
        <v>0.10806392669791294</v>
      </c>
    </row>
    <row r="472" spans="2:34" x14ac:dyDescent="0.2">
      <c r="B472" s="4">
        <v>200.0256</v>
      </c>
      <c r="C472" s="1">
        <v>234</v>
      </c>
      <c r="D472" s="3">
        <v>99.112489999999994</v>
      </c>
      <c r="E472" s="3">
        <f t="shared" si="95"/>
        <v>100.23893</v>
      </c>
      <c r="F472" s="1">
        <f t="shared" si="94"/>
        <v>8.0460091860316482E-3</v>
      </c>
      <c r="I472" s="4">
        <v>225.00304</v>
      </c>
      <c r="J472" s="1">
        <v>234</v>
      </c>
      <c r="K472" s="3">
        <v>90.428970000000007</v>
      </c>
      <c r="L472" s="3">
        <f t="shared" si="96"/>
        <v>94.016040000000004</v>
      </c>
      <c r="M472" s="1">
        <f t="shared" si="103"/>
        <v>0.10794419353137182</v>
      </c>
      <c r="P472" s="4">
        <v>225.01371</v>
      </c>
      <c r="Q472" s="1">
        <v>234</v>
      </c>
      <c r="R472" s="3">
        <v>98.225610000000003</v>
      </c>
      <c r="S472" s="3">
        <f t="shared" si="97"/>
        <v>98.14979000000001</v>
      </c>
      <c r="T472" s="1">
        <f t="shared" si="102"/>
        <v>3.361823201672709E-2</v>
      </c>
      <c r="W472" s="4">
        <v>250.00803999999999</v>
      </c>
      <c r="X472" s="1">
        <v>234</v>
      </c>
      <c r="Y472" s="5">
        <v>84.744439999999997</v>
      </c>
      <c r="Z472" s="3">
        <f t="shared" si="98"/>
        <v>90.185270000000003</v>
      </c>
      <c r="AA472" s="1">
        <f t="shared" si="101"/>
        <v>0.17139493004208406</v>
      </c>
      <c r="AD472" s="4">
        <v>250.01320999999999</v>
      </c>
      <c r="AE472" s="1">
        <v>234</v>
      </c>
      <c r="AF472" s="5">
        <v>93.87115</v>
      </c>
      <c r="AG472" s="3">
        <f t="shared" si="99"/>
        <v>94.132639999999995</v>
      </c>
      <c r="AH472" s="1">
        <f t="shared" si="100"/>
        <v>0.10618318410515026</v>
      </c>
    </row>
    <row r="473" spans="2:34" x14ac:dyDescent="0.2">
      <c r="B473" s="4">
        <v>200.02243000000001</v>
      </c>
      <c r="C473" s="1">
        <v>234.5</v>
      </c>
      <c r="D473" s="5">
        <v>99.075779999999995</v>
      </c>
      <c r="E473" s="3">
        <f t="shared" si="95"/>
        <v>100.20222</v>
      </c>
      <c r="F473" s="1">
        <f t="shared" si="94"/>
        <v>8.6542524207657186E-3</v>
      </c>
      <c r="I473" s="4">
        <v>225.00297</v>
      </c>
      <c r="J473" s="1">
        <v>234.5</v>
      </c>
      <c r="K473" s="5">
        <v>90.420169999999999</v>
      </c>
      <c r="L473" s="3">
        <f t="shared" si="96"/>
        <v>94.007239999999996</v>
      </c>
      <c r="M473" s="1">
        <f t="shared" si="103"/>
        <v>0.1080902998705459</v>
      </c>
      <c r="P473" s="4">
        <v>225.01519999999999</v>
      </c>
      <c r="Q473" s="1">
        <v>234.5</v>
      </c>
      <c r="R473" s="5">
        <v>98.149630000000002</v>
      </c>
      <c r="S473" s="3">
        <f t="shared" si="97"/>
        <v>98.073810000000009</v>
      </c>
      <c r="T473" s="1">
        <f t="shared" si="102"/>
        <v>3.4884134775516933E-2</v>
      </c>
      <c r="W473" s="4">
        <v>250.00901999999999</v>
      </c>
      <c r="X473" s="1">
        <v>234.5</v>
      </c>
      <c r="Y473" s="3">
        <v>84.729259999999996</v>
      </c>
      <c r="Z473" s="3">
        <f t="shared" si="98"/>
        <v>90.170090000000002</v>
      </c>
      <c r="AA473" s="1">
        <f t="shared" si="101"/>
        <v>0.17164698897957045</v>
      </c>
      <c r="AD473" s="4">
        <v>250.01097999999999</v>
      </c>
      <c r="AE473" s="1">
        <v>234.5</v>
      </c>
      <c r="AF473" s="3">
        <v>93.876410000000007</v>
      </c>
      <c r="AG473" s="3">
        <f t="shared" si="99"/>
        <v>94.137900000000002</v>
      </c>
      <c r="AH473" s="1">
        <f t="shared" si="100"/>
        <v>0.10609586213465026</v>
      </c>
    </row>
    <row r="474" spans="2:34" x14ac:dyDescent="0.2">
      <c r="B474" s="4">
        <v>200.01911999999999</v>
      </c>
      <c r="C474" s="1">
        <v>235</v>
      </c>
      <c r="D474" s="3">
        <v>99.039990000000003</v>
      </c>
      <c r="E474" s="3">
        <f t="shared" si="95"/>
        <v>100.16643000000001</v>
      </c>
      <c r="F474" s="1">
        <f t="shared" si="94"/>
        <v>9.2472522946727628E-3</v>
      </c>
      <c r="I474" s="4">
        <v>225.00403</v>
      </c>
      <c r="J474" s="1">
        <v>235</v>
      </c>
      <c r="K474" s="3">
        <v>90.409710000000004</v>
      </c>
      <c r="L474" s="3">
        <f t="shared" si="96"/>
        <v>93.996780000000001</v>
      </c>
      <c r="M474" s="1">
        <f t="shared" si="103"/>
        <v>0.10826396717824577</v>
      </c>
      <c r="P474" s="4">
        <v>225.01657</v>
      </c>
      <c r="Q474" s="1">
        <v>235</v>
      </c>
      <c r="R474" s="3">
        <v>98.07226</v>
      </c>
      <c r="S474" s="3">
        <f t="shared" si="97"/>
        <v>97.996440000000007</v>
      </c>
      <c r="T474" s="1">
        <f t="shared" si="102"/>
        <v>3.6173196323918758E-2</v>
      </c>
      <c r="W474" s="4">
        <v>250.011</v>
      </c>
      <c r="X474" s="1">
        <v>235</v>
      </c>
      <c r="Y474" s="5">
        <v>84.702389999999994</v>
      </c>
      <c r="Z474" s="3">
        <f t="shared" si="98"/>
        <v>90.143219999999999</v>
      </c>
      <c r="AA474" s="1">
        <f t="shared" si="101"/>
        <v>0.17209315654546373</v>
      </c>
      <c r="AD474" s="4">
        <v>250.00908999999999</v>
      </c>
      <c r="AE474" s="1">
        <v>235</v>
      </c>
      <c r="AF474" s="5">
        <v>93.911630000000002</v>
      </c>
      <c r="AG474" s="3">
        <f t="shared" si="99"/>
        <v>94.173119999999997</v>
      </c>
      <c r="AH474" s="1">
        <f t="shared" si="100"/>
        <v>0.10551117015727283</v>
      </c>
    </row>
    <row r="475" spans="2:34" x14ac:dyDescent="0.2">
      <c r="B475" s="4">
        <v>200.01625999999999</v>
      </c>
      <c r="C475" s="1">
        <v>235.5</v>
      </c>
      <c r="D475" s="5">
        <v>99.121679999999998</v>
      </c>
      <c r="E475" s="3">
        <f t="shared" si="95"/>
        <v>100.24812</v>
      </c>
      <c r="F475" s="1">
        <f t="shared" si="94"/>
        <v>7.8937412664672659E-3</v>
      </c>
      <c r="I475" s="4">
        <v>225.00390999999999</v>
      </c>
      <c r="J475" s="1">
        <v>235.5</v>
      </c>
      <c r="K475" s="5">
        <v>90.416690000000003</v>
      </c>
      <c r="L475" s="3">
        <f t="shared" si="96"/>
        <v>94.00376</v>
      </c>
      <c r="M475" s="1">
        <f t="shared" si="103"/>
        <v>0.10814807828649189</v>
      </c>
      <c r="P475" s="4">
        <v>225.01465999999999</v>
      </c>
      <c r="Q475" s="1">
        <v>235.5</v>
      </c>
      <c r="R475" s="5">
        <v>98.287890000000004</v>
      </c>
      <c r="S475" s="3">
        <f t="shared" si="97"/>
        <v>98.212070000000011</v>
      </c>
      <c r="T475" s="1">
        <f t="shared" si="102"/>
        <v>3.2580584954112826E-2</v>
      </c>
      <c r="W475" s="4">
        <v>250.00698</v>
      </c>
      <c r="X475" s="1">
        <v>235.5</v>
      </c>
      <c r="Y475" s="3">
        <v>84.668030000000002</v>
      </c>
      <c r="Z475" s="3">
        <f t="shared" si="98"/>
        <v>90.108860000000007</v>
      </c>
      <c r="AA475" s="1">
        <f t="shared" si="101"/>
        <v>0.17266369311279114</v>
      </c>
      <c r="AD475" s="4">
        <v>250.01209</v>
      </c>
      <c r="AE475" s="1">
        <v>235.5</v>
      </c>
      <c r="AF475" s="3">
        <v>93.751940000000005</v>
      </c>
      <c r="AG475" s="3">
        <f t="shared" si="99"/>
        <v>94.01343</v>
      </c>
      <c r="AH475" s="1">
        <f t="shared" si="100"/>
        <v>0.10816220541756282</v>
      </c>
    </row>
    <row r="476" spans="2:34" x14ac:dyDescent="0.2">
      <c r="B476" s="4">
        <v>200.01727</v>
      </c>
      <c r="C476" s="1">
        <v>236</v>
      </c>
      <c r="D476" s="3">
        <v>98.981920000000002</v>
      </c>
      <c r="E476" s="3">
        <f t="shared" si="95"/>
        <v>100.10836</v>
      </c>
      <c r="F476" s="1">
        <f t="shared" si="94"/>
        <v>1.0209406602518269E-2</v>
      </c>
      <c r="I476" s="4">
        <v>225.00709000000001</v>
      </c>
      <c r="J476" s="1">
        <v>236</v>
      </c>
      <c r="K476" s="3">
        <v>90.351159999999993</v>
      </c>
      <c r="L476" s="3">
        <f t="shared" si="96"/>
        <v>93.93822999999999</v>
      </c>
      <c r="M476" s="1">
        <f t="shared" si="103"/>
        <v>0.10923607242354538</v>
      </c>
      <c r="P476" s="4">
        <v>225.01712000000001</v>
      </c>
      <c r="Q476" s="1">
        <v>236</v>
      </c>
      <c r="R476" s="3">
        <v>98.176190000000005</v>
      </c>
      <c r="S476" s="3">
        <f t="shared" si="97"/>
        <v>98.100370000000012</v>
      </c>
      <c r="T476" s="1">
        <f t="shared" si="102"/>
        <v>3.4441618622931221E-2</v>
      </c>
      <c r="W476" s="4">
        <v>250.00404</v>
      </c>
      <c r="X476" s="1">
        <v>236</v>
      </c>
      <c r="Y476" s="5">
        <v>84.654579999999996</v>
      </c>
      <c r="Z476" s="3">
        <f t="shared" si="98"/>
        <v>90.095410000000001</v>
      </c>
      <c r="AA476" s="1">
        <f t="shared" si="101"/>
        <v>0.17288702596583419</v>
      </c>
      <c r="AD476" s="4">
        <v>250.01719</v>
      </c>
      <c r="AE476" s="1">
        <v>236</v>
      </c>
      <c r="AF476" s="5">
        <v>93.77449</v>
      </c>
      <c r="AG476" s="3">
        <f t="shared" si="99"/>
        <v>94.035979999999995</v>
      </c>
      <c r="AH476" s="1">
        <f t="shared" si="100"/>
        <v>0.10778784982159859</v>
      </c>
    </row>
    <row r="477" spans="2:34" x14ac:dyDescent="0.2">
      <c r="B477" s="4">
        <v>200.02252999999999</v>
      </c>
      <c r="C477" s="1">
        <v>236.5</v>
      </c>
      <c r="D477" s="5">
        <v>99.106250000000003</v>
      </c>
      <c r="E477" s="3">
        <f t="shared" si="95"/>
        <v>100.23269000000001</v>
      </c>
      <c r="F477" s="1">
        <f t="shared" si="94"/>
        <v>8.1493989377269711E-3</v>
      </c>
      <c r="I477" s="4">
        <v>225.01</v>
      </c>
      <c r="J477" s="1">
        <v>236.5</v>
      </c>
      <c r="K477" s="5">
        <v>90.385540000000006</v>
      </c>
      <c r="L477" s="3">
        <f t="shared" si="96"/>
        <v>93.972610000000003</v>
      </c>
      <c r="M477" s="1">
        <f t="shared" si="103"/>
        <v>0.10866526152118147</v>
      </c>
      <c r="P477" s="4">
        <v>225.01893000000001</v>
      </c>
      <c r="Q477" s="1">
        <v>236.5</v>
      </c>
      <c r="R477" s="5">
        <v>98.221149999999994</v>
      </c>
      <c r="S477" s="3">
        <f t="shared" si="97"/>
        <v>98.145330000000001</v>
      </c>
      <c r="T477" s="1">
        <f t="shared" si="102"/>
        <v>3.3692540075482204E-2</v>
      </c>
      <c r="W477" s="4">
        <v>250.00502</v>
      </c>
      <c r="X477" s="1">
        <v>236.5</v>
      </c>
      <c r="Y477" s="3">
        <v>84.662189999999995</v>
      </c>
      <c r="Z477" s="3">
        <f t="shared" si="98"/>
        <v>90.103020000000001</v>
      </c>
      <c r="AA477" s="1">
        <f t="shared" si="101"/>
        <v>0.17276066440362922</v>
      </c>
      <c r="AD477" s="4">
        <v>250.01687000000001</v>
      </c>
      <c r="AE477" s="1">
        <v>236.5</v>
      </c>
      <c r="AF477" s="3">
        <v>93.840149999999994</v>
      </c>
      <c r="AG477" s="3">
        <f t="shared" si="99"/>
        <v>94.101639999999989</v>
      </c>
      <c r="AH477" s="1">
        <f t="shared" si="100"/>
        <v>0.10669781929250705</v>
      </c>
    </row>
    <row r="478" spans="2:34" x14ac:dyDescent="0.2">
      <c r="B478" s="4">
        <v>200.02144999999999</v>
      </c>
      <c r="C478" s="1">
        <v>237</v>
      </c>
      <c r="D478" s="3">
        <v>99.140129999999999</v>
      </c>
      <c r="E478" s="3">
        <f t="shared" si="95"/>
        <v>100.26657</v>
      </c>
      <c r="F478" s="1">
        <f t="shared" si="94"/>
        <v>7.5880456064061205E-3</v>
      </c>
      <c r="I478" s="4">
        <v>225.00297</v>
      </c>
      <c r="J478" s="1">
        <v>237</v>
      </c>
      <c r="K478" s="3">
        <v>90.35163</v>
      </c>
      <c r="L478" s="3">
        <f t="shared" si="96"/>
        <v>93.938699999999997</v>
      </c>
      <c r="M478" s="1">
        <f t="shared" si="103"/>
        <v>0.10922826901679393</v>
      </c>
      <c r="P478" s="4">
        <v>225.01669999999999</v>
      </c>
      <c r="Q478" s="1">
        <v>237</v>
      </c>
      <c r="R478" s="3">
        <v>98.195449999999994</v>
      </c>
      <c r="S478" s="3">
        <f t="shared" si="97"/>
        <v>98.119630000000001</v>
      </c>
      <c r="T478" s="1">
        <f t="shared" si="102"/>
        <v>3.4120727768307935E-2</v>
      </c>
      <c r="W478" s="4">
        <v>250.00397000000001</v>
      </c>
      <c r="X478" s="1">
        <v>237</v>
      </c>
      <c r="Y478" s="5">
        <v>84.635239999999996</v>
      </c>
      <c r="Z478" s="3">
        <f t="shared" si="98"/>
        <v>90.076070000000001</v>
      </c>
      <c r="AA478" s="1">
        <f t="shared" si="101"/>
        <v>0.17320816034336953</v>
      </c>
      <c r="AD478" s="4">
        <v>250.01581999999999</v>
      </c>
      <c r="AE478" s="1">
        <v>237</v>
      </c>
      <c r="AF478" s="5">
        <v>93.651889999999995</v>
      </c>
      <c r="AG478" s="3">
        <f t="shared" si="99"/>
        <v>93.913379999999989</v>
      </c>
      <c r="AH478" s="1">
        <f t="shared" si="100"/>
        <v>0.10982314898191903</v>
      </c>
    </row>
    <row r="479" spans="2:34" x14ac:dyDescent="0.2">
      <c r="B479" s="4">
        <v>200.02198000000001</v>
      </c>
      <c r="C479" s="1">
        <v>237.5</v>
      </c>
      <c r="D479" s="5">
        <v>98.997680000000003</v>
      </c>
      <c r="E479" s="3">
        <f t="shared" si="95"/>
        <v>100.12412</v>
      </c>
      <c r="F479" s="1">
        <f t="shared" si="94"/>
        <v>9.9482812040053489E-3</v>
      </c>
      <c r="I479" s="4">
        <v>225.00390999999999</v>
      </c>
      <c r="J479" s="1">
        <v>237.5</v>
      </c>
      <c r="K479" s="5">
        <v>90.378230000000002</v>
      </c>
      <c r="L479" s="3">
        <f t="shared" si="96"/>
        <v>93.965299999999999</v>
      </c>
      <c r="M479" s="1">
        <f t="shared" si="103"/>
        <v>0.10878662940065445</v>
      </c>
      <c r="P479" s="4">
        <v>225.01779999999999</v>
      </c>
      <c r="Q479" s="1">
        <v>237.5</v>
      </c>
      <c r="R479" s="5">
        <v>98.124639999999999</v>
      </c>
      <c r="S479" s="3">
        <f t="shared" si="97"/>
        <v>98.048820000000006</v>
      </c>
      <c r="T479" s="1">
        <f t="shared" si="102"/>
        <v>3.5300493158540891E-2</v>
      </c>
      <c r="W479" s="4">
        <v>250.00498999999999</v>
      </c>
      <c r="X479" s="1">
        <v>237.5</v>
      </c>
      <c r="Y479" s="3">
        <v>84.614289999999997</v>
      </c>
      <c r="Z479" s="3">
        <f t="shared" si="98"/>
        <v>90.055120000000002</v>
      </c>
      <c r="AA479" s="1">
        <f t="shared" si="101"/>
        <v>0.17355602824457766</v>
      </c>
      <c r="AD479" s="4">
        <v>250.01813999999999</v>
      </c>
      <c r="AE479" s="1">
        <v>237.5</v>
      </c>
      <c r="AF479" s="3">
        <v>93.730369999999994</v>
      </c>
      <c r="AG479" s="3">
        <f t="shared" si="99"/>
        <v>93.991859999999988</v>
      </c>
      <c r="AH479" s="1">
        <f t="shared" si="100"/>
        <v>0.10852029190115281</v>
      </c>
    </row>
    <row r="480" spans="2:34" x14ac:dyDescent="0.2">
      <c r="B480" s="4">
        <v>200.02402000000001</v>
      </c>
      <c r="C480" s="1">
        <v>238</v>
      </c>
      <c r="D480" s="3">
        <v>99.036000000000001</v>
      </c>
      <c r="E480" s="3">
        <f t="shared" si="95"/>
        <v>100.16244</v>
      </c>
      <c r="F480" s="1">
        <f t="shared" si="94"/>
        <v>9.3133620878242205E-3</v>
      </c>
      <c r="I480" s="4">
        <v>225.00205</v>
      </c>
      <c r="J480" s="1">
        <v>238</v>
      </c>
      <c r="K480" s="3">
        <v>90.374830000000003</v>
      </c>
      <c r="L480" s="3">
        <f t="shared" si="96"/>
        <v>93.9619</v>
      </c>
      <c r="M480" s="1">
        <f t="shared" si="103"/>
        <v>0.10884307957715346</v>
      </c>
      <c r="P480" s="4">
        <v>225.01813000000001</v>
      </c>
      <c r="Q480" s="1">
        <v>238</v>
      </c>
      <c r="R480" s="3">
        <v>98.127589999999998</v>
      </c>
      <c r="S480" s="3">
        <f t="shared" si="97"/>
        <v>98.051770000000005</v>
      </c>
      <c r="T480" s="1">
        <f t="shared" si="102"/>
        <v>3.5251343209364426E-2</v>
      </c>
      <c r="W480" s="4">
        <v>250.00900999999999</v>
      </c>
      <c r="X480" s="1">
        <v>238</v>
      </c>
      <c r="Y480" s="5">
        <v>84.600740000000002</v>
      </c>
      <c r="Z480" s="3">
        <f t="shared" si="98"/>
        <v>90.041570000000007</v>
      </c>
      <c r="AA480" s="1">
        <f t="shared" si="101"/>
        <v>0.17378102156492939</v>
      </c>
      <c r="AD480" s="4">
        <v>250.02275</v>
      </c>
      <c r="AE480" s="1">
        <v>238</v>
      </c>
      <c r="AF480" s="5">
        <v>93.704790000000003</v>
      </c>
      <c r="AG480" s="3">
        <f t="shared" si="99"/>
        <v>93.966279999999998</v>
      </c>
      <c r="AH480" s="1">
        <f t="shared" si="100"/>
        <v>0.10894494893639731</v>
      </c>
    </row>
    <row r="481" spans="2:34" x14ac:dyDescent="0.2">
      <c r="B481" s="4">
        <v>200.02132</v>
      </c>
      <c r="C481" s="1">
        <v>238.5</v>
      </c>
      <c r="D481" s="5">
        <v>99.104550000000003</v>
      </c>
      <c r="E481" s="3">
        <f t="shared" si="95"/>
        <v>100.23099000000001</v>
      </c>
      <c r="F481" s="1">
        <f t="shared" si="94"/>
        <v>8.1775660175157933E-3</v>
      </c>
      <c r="I481" s="4">
        <v>225.00594000000001</v>
      </c>
      <c r="J481" s="1">
        <v>238.5</v>
      </c>
      <c r="K481" s="5">
        <v>90.356179999999995</v>
      </c>
      <c r="L481" s="3">
        <f t="shared" si="96"/>
        <v>93.943249999999992</v>
      </c>
      <c r="M481" s="1">
        <f t="shared" si="103"/>
        <v>0.10915272539824385</v>
      </c>
      <c r="P481" s="4">
        <v>225.01777999999999</v>
      </c>
      <c r="Q481" s="1">
        <v>238.5</v>
      </c>
      <c r="R481" s="5">
        <v>98.114379999999997</v>
      </c>
      <c r="S481" s="3">
        <f t="shared" si="97"/>
        <v>98.038560000000004</v>
      </c>
      <c r="T481" s="1">
        <f t="shared" si="102"/>
        <v>3.5471435015676803E-2</v>
      </c>
      <c r="W481" s="4">
        <v>250.00503</v>
      </c>
      <c r="X481" s="1">
        <v>238.5</v>
      </c>
      <c r="Y481" s="3">
        <v>84.585539999999995</v>
      </c>
      <c r="Z481" s="3">
        <f t="shared" si="98"/>
        <v>90.02637</v>
      </c>
      <c r="AA481" s="1">
        <f t="shared" si="101"/>
        <v>0.17403341259587768</v>
      </c>
      <c r="AD481" s="4">
        <v>250.02833999999999</v>
      </c>
      <c r="AE481" s="1">
        <v>238.5</v>
      </c>
      <c r="AF481" s="3">
        <v>93.759839999999997</v>
      </c>
      <c r="AG481" s="3">
        <f t="shared" si="99"/>
        <v>94.021329999999992</v>
      </c>
      <c r="AH481" s="1">
        <f t="shared" si="100"/>
        <v>0.10803105645046236</v>
      </c>
    </row>
    <row r="482" spans="2:34" x14ac:dyDescent="0.2">
      <c r="B482" s="4">
        <v>200.01899</v>
      </c>
      <c r="C482" s="1">
        <v>239</v>
      </c>
      <c r="D482" s="3">
        <v>99.096580000000003</v>
      </c>
      <c r="E482" s="3">
        <f t="shared" si="95"/>
        <v>100.22302000000001</v>
      </c>
      <c r="F482" s="1">
        <f t="shared" si="94"/>
        <v>8.3096199151140165E-3</v>
      </c>
      <c r="I482" s="4">
        <v>225.00706</v>
      </c>
      <c r="J482" s="1">
        <v>239</v>
      </c>
      <c r="K482" s="3">
        <v>90.349540000000005</v>
      </c>
      <c r="L482" s="3">
        <f t="shared" si="96"/>
        <v>93.936610000000002</v>
      </c>
      <c r="M482" s="1">
        <f t="shared" si="103"/>
        <v>0.10926296927234767</v>
      </c>
      <c r="P482" s="4">
        <v>225.01877999999999</v>
      </c>
      <c r="Q482" s="1">
        <v>239</v>
      </c>
      <c r="R482" s="3">
        <v>98.068709999999996</v>
      </c>
      <c r="S482" s="3">
        <f t="shared" si="97"/>
        <v>97.992890000000003</v>
      </c>
      <c r="T482" s="1">
        <f t="shared" si="102"/>
        <v>3.6232342872927828E-2</v>
      </c>
      <c r="W482" s="4">
        <v>250.00899000000001</v>
      </c>
      <c r="X482" s="1">
        <v>239</v>
      </c>
      <c r="Y482" s="5">
        <v>84.573949999999996</v>
      </c>
      <c r="Z482" s="3">
        <f t="shared" si="98"/>
        <v>90.014780000000002</v>
      </c>
      <c r="AA482" s="1">
        <f t="shared" si="101"/>
        <v>0.1742258607569756</v>
      </c>
      <c r="AD482" s="4">
        <v>250.02743000000001</v>
      </c>
      <c r="AE482" s="1">
        <v>239</v>
      </c>
      <c r="AF482" s="5">
        <v>93.721400000000003</v>
      </c>
      <c r="AG482" s="3">
        <f t="shared" si="99"/>
        <v>93.982889999999998</v>
      </c>
      <c r="AH482" s="1">
        <f t="shared" si="100"/>
        <v>0.10866920408278458</v>
      </c>
    </row>
    <row r="483" spans="2:34" x14ac:dyDescent="0.2">
      <c r="B483" s="4">
        <v>200.0214</v>
      </c>
      <c r="C483" s="1">
        <v>239.5</v>
      </c>
      <c r="D483" s="5">
        <v>99.115899999999996</v>
      </c>
      <c r="E483" s="3">
        <f t="shared" si="95"/>
        <v>100.24234</v>
      </c>
      <c r="F483" s="1">
        <f t="shared" si="94"/>
        <v>7.98950933774931E-3</v>
      </c>
      <c r="I483" s="4">
        <v>225.00889000000001</v>
      </c>
      <c r="J483" s="1">
        <v>239.5</v>
      </c>
      <c r="K483" s="5">
        <v>90.359690000000001</v>
      </c>
      <c r="L483" s="3">
        <f t="shared" si="96"/>
        <v>93.946759999999998</v>
      </c>
      <c r="M483" s="1">
        <f t="shared" si="103"/>
        <v>0.10909444889250505</v>
      </c>
      <c r="P483" s="4">
        <v>225.01824999999999</v>
      </c>
      <c r="Q483" s="1">
        <v>239.5</v>
      </c>
      <c r="R483" s="5">
        <v>98.044129999999996</v>
      </c>
      <c r="S483" s="3">
        <f t="shared" si="97"/>
        <v>97.968310000000002</v>
      </c>
      <c r="T483" s="1">
        <f t="shared" si="102"/>
        <v>3.6641870246066209E-2</v>
      </c>
      <c r="W483" s="4">
        <v>250.00700000000001</v>
      </c>
      <c r="X483" s="1">
        <v>239.5</v>
      </c>
      <c r="Y483" s="3">
        <v>84.558539999999994</v>
      </c>
      <c r="Z483" s="3">
        <f t="shared" si="98"/>
        <v>89.999369999999999</v>
      </c>
      <c r="AA483" s="1">
        <f t="shared" si="101"/>
        <v>0.17448173876927245</v>
      </c>
      <c r="AD483" s="4">
        <v>250.02399</v>
      </c>
      <c r="AE483" s="1">
        <v>239.5</v>
      </c>
      <c r="AF483" s="3">
        <v>93.789280000000005</v>
      </c>
      <c r="AG483" s="3">
        <f t="shared" si="99"/>
        <v>94.05077</v>
      </c>
      <c r="AH483" s="1">
        <f t="shared" si="100"/>
        <v>0.10754231903382414</v>
      </c>
    </row>
    <row r="484" spans="2:34" x14ac:dyDescent="0.2">
      <c r="W484" s="4">
        <v>250.00299999999999</v>
      </c>
      <c r="X484" s="1">
        <v>240</v>
      </c>
      <c r="Y484" s="5">
        <v>84.545240000000007</v>
      </c>
      <c r="Z484" s="3">
        <f t="shared" si="98"/>
        <v>89.986070000000012</v>
      </c>
      <c r="AA484" s="1">
        <f t="shared" si="101"/>
        <v>0.17470258092135185</v>
      </c>
      <c r="AD484" s="4">
        <v>250.02421000000001</v>
      </c>
      <c r="AE484" s="1">
        <v>240</v>
      </c>
      <c r="AF484" s="5">
        <v>93.714330000000004</v>
      </c>
      <c r="AG484" s="3">
        <f t="shared" si="99"/>
        <v>93.975819999999999</v>
      </c>
      <c r="AH484" s="1">
        <f t="shared" si="100"/>
        <v>0.10878657410777204</v>
      </c>
    </row>
    <row r="485" spans="2:34" x14ac:dyDescent="0.2">
      <c r="W485" s="4">
        <v>250.00396000000001</v>
      </c>
      <c r="X485" s="1">
        <v>240.5</v>
      </c>
      <c r="Y485" s="3">
        <v>84.527739999999994</v>
      </c>
      <c r="Z485" s="3">
        <f t="shared" si="98"/>
        <v>89.96857</v>
      </c>
      <c r="AA485" s="1">
        <f t="shared" si="101"/>
        <v>0.17499316270040424</v>
      </c>
      <c r="AD485" s="4">
        <v>250.02305999999999</v>
      </c>
      <c r="AE485" s="1">
        <v>240.5</v>
      </c>
      <c r="AF485" s="3">
        <v>93.698629999999994</v>
      </c>
      <c r="AG485" s="3">
        <f t="shared" si="99"/>
        <v>93.960119999999989</v>
      </c>
      <c r="AH485" s="1">
        <f t="shared" si="100"/>
        <v>0.10904721192846574</v>
      </c>
    </row>
    <row r="486" spans="2:34" x14ac:dyDescent="0.2">
      <c r="W486" s="4">
        <v>250.00299000000001</v>
      </c>
      <c r="X486" s="1">
        <v>241</v>
      </c>
      <c r="Y486" s="5">
        <v>84.506829999999994</v>
      </c>
      <c r="Z486" s="3">
        <f t="shared" si="98"/>
        <v>89.947659999999999</v>
      </c>
      <c r="AA486" s="1">
        <f t="shared" si="101"/>
        <v>0.17534036641468884</v>
      </c>
      <c r="AD486" s="4">
        <v>250.01988</v>
      </c>
      <c r="AE486" s="1">
        <v>241</v>
      </c>
      <c r="AF486" s="5">
        <v>93.679850000000002</v>
      </c>
      <c r="AG486" s="3">
        <f t="shared" si="99"/>
        <v>93.941339999999997</v>
      </c>
      <c r="AH486" s="1">
        <f t="shared" si="100"/>
        <v>0.10935898124519332</v>
      </c>
    </row>
    <row r="487" spans="2:34" x14ac:dyDescent="0.2">
      <c r="W487" s="4">
        <v>250.00599</v>
      </c>
      <c r="X487" s="1">
        <v>241.5</v>
      </c>
      <c r="Y487" s="3">
        <v>84.493319999999997</v>
      </c>
      <c r="Z487" s="3">
        <f t="shared" si="98"/>
        <v>89.934150000000002</v>
      </c>
      <c r="AA487" s="1">
        <f t="shared" si="101"/>
        <v>0.17556469554811704</v>
      </c>
      <c r="AD487" s="4">
        <v>250.02035000000001</v>
      </c>
      <c r="AE487" s="1">
        <v>241.5</v>
      </c>
      <c r="AF487" s="3">
        <v>93.694940000000003</v>
      </c>
      <c r="AG487" s="3">
        <f t="shared" si="99"/>
        <v>93.956429999999997</v>
      </c>
      <c r="AH487" s="1">
        <f t="shared" si="100"/>
        <v>0.10910847011689613</v>
      </c>
    </row>
    <row r="488" spans="2:34" x14ac:dyDescent="0.2">
      <c r="W488" s="4">
        <v>250.00596999999999</v>
      </c>
      <c r="X488" s="1">
        <v>242</v>
      </c>
      <c r="Y488" s="5">
        <v>84.483999999999995</v>
      </c>
      <c r="Z488" s="3">
        <f t="shared" si="98"/>
        <v>89.92483</v>
      </c>
      <c r="AA488" s="1">
        <f t="shared" si="101"/>
        <v>0.17571945110130371</v>
      </c>
      <c r="AD488" s="4">
        <v>250.01571999999999</v>
      </c>
      <c r="AE488" s="1">
        <v>242</v>
      </c>
      <c r="AF488" s="5">
        <v>93.735960000000006</v>
      </c>
      <c r="AG488" s="3">
        <f t="shared" si="99"/>
        <v>93.997450000000001</v>
      </c>
      <c r="AH488" s="1">
        <f t="shared" si="100"/>
        <v>0.10842749155607764</v>
      </c>
    </row>
    <row r="489" spans="2:34" x14ac:dyDescent="0.2">
      <c r="W489" s="4">
        <v>250.01098999999999</v>
      </c>
      <c r="X489" s="1">
        <v>242.5</v>
      </c>
      <c r="Y489" s="3">
        <v>84.476140000000001</v>
      </c>
      <c r="Z489" s="3">
        <f t="shared" si="98"/>
        <v>89.916970000000006</v>
      </c>
      <c r="AA489" s="1">
        <f t="shared" si="101"/>
        <v>0.17584996383178075</v>
      </c>
      <c r="AD489" s="4">
        <v>250.01653999999999</v>
      </c>
      <c r="AE489" s="1">
        <v>242.5</v>
      </c>
      <c r="AF489" s="3">
        <v>93.623469999999998</v>
      </c>
      <c r="AG489" s="3">
        <f t="shared" si="99"/>
        <v>93.884959999999992</v>
      </c>
      <c r="AH489" s="1">
        <f t="shared" si="100"/>
        <v>0.11029495324077954</v>
      </c>
    </row>
    <row r="490" spans="2:34" x14ac:dyDescent="0.2">
      <c r="W490" s="4">
        <v>250.00602000000001</v>
      </c>
      <c r="X490" s="1">
        <v>243</v>
      </c>
      <c r="Y490" s="5">
        <v>84.456969999999998</v>
      </c>
      <c r="Z490" s="3">
        <f t="shared" si="98"/>
        <v>89.897800000000004</v>
      </c>
      <c r="AA490" s="1">
        <f t="shared" si="101"/>
        <v>0.17616827541489108</v>
      </c>
      <c r="AD490" s="4">
        <v>250.02006</v>
      </c>
      <c r="AE490" s="1">
        <v>243</v>
      </c>
      <c r="AF490" s="5">
        <v>93.727339999999998</v>
      </c>
      <c r="AG490" s="3">
        <f t="shared" si="99"/>
        <v>93.988829999999993</v>
      </c>
      <c r="AH490" s="1">
        <f t="shared" si="100"/>
        <v>0.10857059334043308</v>
      </c>
    </row>
    <row r="491" spans="2:34" x14ac:dyDescent="0.2">
      <c r="W491" s="4">
        <v>250.00503</v>
      </c>
      <c r="X491" s="1">
        <v>243.5</v>
      </c>
      <c r="Y491" s="3">
        <v>84.428269999999998</v>
      </c>
      <c r="Z491" s="3">
        <f t="shared" si="98"/>
        <v>89.869100000000003</v>
      </c>
      <c r="AA491" s="1">
        <f t="shared" si="101"/>
        <v>0.17664482953253663</v>
      </c>
      <c r="AD491" s="4">
        <v>250.02019999999999</v>
      </c>
      <c r="AE491" s="1">
        <v>243.5</v>
      </c>
      <c r="AF491" s="3">
        <v>93.558909999999997</v>
      </c>
      <c r="AG491" s="3">
        <f t="shared" si="99"/>
        <v>93.820399999999992</v>
      </c>
      <c r="AH491" s="1">
        <f t="shared" si="100"/>
        <v>0.11136672252128756</v>
      </c>
    </row>
    <row r="492" spans="2:34" x14ac:dyDescent="0.2">
      <c r="W492" s="4">
        <v>250.005</v>
      </c>
      <c r="X492" s="1">
        <v>244</v>
      </c>
      <c r="Y492" s="5">
        <v>84.414900000000003</v>
      </c>
      <c r="Z492" s="3">
        <f t="shared" si="98"/>
        <v>89.855730000000008</v>
      </c>
      <c r="AA492" s="1">
        <f t="shared" si="101"/>
        <v>0.17686683401173239</v>
      </c>
      <c r="AD492" s="4">
        <v>250.01966999999999</v>
      </c>
      <c r="AE492" s="1">
        <v>244</v>
      </c>
      <c r="AF492" s="5">
        <v>93.577520000000007</v>
      </c>
      <c r="AG492" s="3">
        <f t="shared" si="99"/>
        <v>93.839010000000002</v>
      </c>
      <c r="AH492" s="1">
        <f t="shared" si="100"/>
        <v>0.11105777539752261</v>
      </c>
    </row>
    <row r="493" spans="2:34" x14ac:dyDescent="0.2">
      <c r="W493" s="4">
        <v>250.001</v>
      </c>
      <c r="X493" s="1">
        <v>244.5</v>
      </c>
      <c r="Y493" s="3">
        <v>84.403189999999995</v>
      </c>
      <c r="Z493" s="3">
        <f t="shared" si="98"/>
        <v>89.84402</v>
      </c>
      <c r="AA493" s="1">
        <f t="shared" si="101"/>
        <v>0.17706127473360114</v>
      </c>
      <c r="AD493" s="4">
        <v>250.0197</v>
      </c>
      <c r="AE493" s="1">
        <v>244.5</v>
      </c>
      <c r="AF493" s="3">
        <v>93.548150000000007</v>
      </c>
      <c r="AG493" s="3">
        <f t="shared" si="99"/>
        <v>93.809640000000002</v>
      </c>
      <c r="AH493" s="1">
        <f t="shared" si="100"/>
        <v>0.1115453507347054</v>
      </c>
    </row>
    <row r="494" spans="2:34" x14ac:dyDescent="0.2">
      <c r="W494" s="4">
        <v>250.00003000000001</v>
      </c>
      <c r="X494" s="1">
        <v>245</v>
      </c>
      <c r="Y494" s="5">
        <v>84.386089999999996</v>
      </c>
      <c r="Z494" s="3">
        <f t="shared" si="98"/>
        <v>89.826920000000001</v>
      </c>
      <c r="AA494" s="1">
        <f t="shared" si="101"/>
        <v>0.17734521464341779</v>
      </c>
      <c r="AD494" s="4">
        <v>250.02117000000001</v>
      </c>
      <c r="AE494" s="1">
        <v>245</v>
      </c>
      <c r="AF494" s="5">
        <v>93.554360000000003</v>
      </c>
      <c r="AG494" s="3">
        <f t="shared" si="99"/>
        <v>93.815849999999998</v>
      </c>
      <c r="AH494" s="1">
        <f t="shared" si="100"/>
        <v>0.11144225768588337</v>
      </c>
    </row>
    <row r="495" spans="2:34" x14ac:dyDescent="0.2">
      <c r="W495" s="4">
        <v>250.00098</v>
      </c>
      <c r="X495" s="1">
        <v>245.5</v>
      </c>
      <c r="Y495" s="3">
        <v>84.35727</v>
      </c>
      <c r="Z495" s="3">
        <f t="shared" si="98"/>
        <v>89.798100000000005</v>
      </c>
      <c r="AA495" s="1">
        <f t="shared" si="101"/>
        <v>0.17782376132183392</v>
      </c>
      <c r="AD495" s="4">
        <v>250.02058</v>
      </c>
      <c r="AE495" s="1">
        <v>245.5</v>
      </c>
      <c r="AF495" s="3">
        <v>93.613309999999998</v>
      </c>
      <c r="AG495" s="3">
        <f t="shared" si="99"/>
        <v>93.874799999999993</v>
      </c>
      <c r="AH495" s="1">
        <f t="shared" si="100"/>
        <v>0.11046362077315192</v>
      </c>
    </row>
    <row r="496" spans="2:34" x14ac:dyDescent="0.2">
      <c r="W496" s="4">
        <v>249.98996</v>
      </c>
      <c r="X496" s="1">
        <v>246</v>
      </c>
      <c r="Y496" s="5">
        <v>84.349530000000001</v>
      </c>
      <c r="Z496" s="3">
        <f t="shared" si="98"/>
        <v>89.790360000000007</v>
      </c>
      <c r="AA496" s="1">
        <f t="shared" si="101"/>
        <v>0.17795228149154038</v>
      </c>
      <c r="AD496" s="4">
        <v>250.02243999999999</v>
      </c>
      <c r="AE496" s="1">
        <v>246</v>
      </c>
      <c r="AF496" s="5">
        <v>93.527789999999996</v>
      </c>
      <c r="AG496" s="3">
        <f t="shared" si="99"/>
        <v>93.789279999999991</v>
      </c>
      <c r="AH496" s="1">
        <f t="shared" si="100"/>
        <v>0.11188334984485339</v>
      </c>
    </row>
    <row r="497" spans="23:34" x14ac:dyDescent="0.2">
      <c r="W497" s="4">
        <v>249.99799999999999</v>
      </c>
      <c r="X497" s="1">
        <v>246.5</v>
      </c>
      <c r="Y497" s="3">
        <v>84.332229999999996</v>
      </c>
      <c r="Z497" s="3">
        <f t="shared" si="98"/>
        <v>89.773060000000001</v>
      </c>
      <c r="AA497" s="1">
        <f t="shared" si="101"/>
        <v>0.17823954233597489</v>
      </c>
      <c r="AD497" s="4">
        <v>250.02600000000001</v>
      </c>
      <c r="AE497" s="1">
        <v>246.5</v>
      </c>
      <c r="AF497" s="3">
        <v>93.571809999999999</v>
      </c>
      <c r="AG497" s="3">
        <f t="shared" si="99"/>
        <v>93.833299999999994</v>
      </c>
      <c r="AH497" s="1">
        <f t="shared" si="100"/>
        <v>0.11115256787880683</v>
      </c>
    </row>
    <row r="498" spans="23:34" x14ac:dyDescent="0.2">
      <c r="W498" s="4">
        <v>250.00402</v>
      </c>
      <c r="X498" s="1">
        <v>247</v>
      </c>
      <c r="Y498" s="5">
        <v>84.318929999999995</v>
      </c>
      <c r="Z498" s="3">
        <f t="shared" si="98"/>
        <v>89.75976</v>
      </c>
      <c r="AA498" s="1">
        <f t="shared" si="101"/>
        <v>0.17846038448805454</v>
      </c>
      <c r="AD498" s="4">
        <v>250.02397999999999</v>
      </c>
      <c r="AE498" s="1">
        <v>247</v>
      </c>
      <c r="AF498" s="5">
        <v>93.565439999999995</v>
      </c>
      <c r="AG498" s="3">
        <f t="shared" si="99"/>
        <v>93.82692999999999</v>
      </c>
      <c r="AH498" s="1">
        <f t="shared" si="100"/>
        <v>0.11125831710924115</v>
      </c>
    </row>
    <row r="499" spans="23:34" x14ac:dyDescent="0.2">
      <c r="W499" s="4">
        <v>250.00901999999999</v>
      </c>
      <c r="X499" s="1">
        <v>247.5</v>
      </c>
      <c r="Y499" s="3">
        <v>84.296099999999996</v>
      </c>
      <c r="Z499" s="3">
        <f t="shared" si="98"/>
        <v>89.736930000000001</v>
      </c>
      <c r="AA499" s="1">
        <f t="shared" si="101"/>
        <v>0.17883946917466945</v>
      </c>
      <c r="AD499" s="4">
        <v>250.01508000000001</v>
      </c>
      <c r="AE499" s="1">
        <v>247.5</v>
      </c>
      <c r="AF499" s="3">
        <v>93.606489999999994</v>
      </c>
      <c r="AG499" s="3">
        <f t="shared" si="99"/>
        <v>93.867979999999989</v>
      </c>
      <c r="AH499" s="1">
        <f t="shared" si="100"/>
        <v>0.11057684051437046</v>
      </c>
    </row>
    <row r="500" spans="23:34" x14ac:dyDescent="0.2">
      <c r="W500" s="4">
        <v>250.00597999999999</v>
      </c>
      <c r="X500" s="1">
        <v>248</v>
      </c>
      <c r="Y500" s="5">
        <v>84.286339999999996</v>
      </c>
      <c r="Z500" s="3">
        <f t="shared" si="98"/>
        <v>89.727170000000001</v>
      </c>
      <c r="AA500" s="1">
        <f t="shared" si="101"/>
        <v>0.17900153078401509</v>
      </c>
      <c r="AD500" s="4">
        <v>250.01222999999999</v>
      </c>
      <c r="AE500" s="1">
        <v>248</v>
      </c>
      <c r="AF500" s="5">
        <v>93.568119999999993</v>
      </c>
      <c r="AG500" s="3">
        <f t="shared" si="99"/>
        <v>93.829609999999988</v>
      </c>
      <c r="AH500" s="1">
        <f t="shared" si="100"/>
        <v>0.11121382606723745</v>
      </c>
    </row>
    <row r="501" spans="23:34" x14ac:dyDescent="0.2">
      <c r="W501" s="4">
        <v>250.00693000000001</v>
      </c>
      <c r="X501" s="1">
        <v>248.5</v>
      </c>
      <c r="Y501" s="3">
        <v>84.265079999999998</v>
      </c>
      <c r="Z501" s="3">
        <f t="shared" si="98"/>
        <v>89.705910000000003</v>
      </c>
      <c r="AA501" s="1">
        <f t="shared" si="101"/>
        <v>0.17935454613388072</v>
      </c>
      <c r="AD501" s="4">
        <v>250.01784000000001</v>
      </c>
      <c r="AE501" s="1">
        <v>248.5</v>
      </c>
      <c r="AF501" s="3">
        <v>93.623760000000004</v>
      </c>
      <c r="AG501" s="3">
        <f t="shared" si="99"/>
        <v>93.885249999999999</v>
      </c>
      <c r="AH501" s="1">
        <f t="shared" si="100"/>
        <v>0.11029013891160738</v>
      </c>
    </row>
    <row r="502" spans="23:34" x14ac:dyDescent="0.2">
      <c r="W502" s="4">
        <v>250.00698</v>
      </c>
      <c r="X502" s="1">
        <v>249</v>
      </c>
      <c r="Y502" s="5">
        <v>84.259249999999994</v>
      </c>
      <c r="Z502" s="3">
        <f t="shared" si="98"/>
        <v>89.70008</v>
      </c>
      <c r="AA502" s="1">
        <f t="shared" si="101"/>
        <v>0.17945135137798784</v>
      </c>
      <c r="AD502" s="4">
        <v>250.01757000000001</v>
      </c>
      <c r="AE502" s="1">
        <v>249</v>
      </c>
      <c r="AF502" s="5">
        <v>93.568250000000006</v>
      </c>
      <c r="AG502" s="3">
        <f t="shared" si="99"/>
        <v>93.829740000000001</v>
      </c>
      <c r="AH502" s="1">
        <f t="shared" si="100"/>
        <v>0.11121166791967736</v>
      </c>
    </row>
    <row r="503" spans="23:34" x14ac:dyDescent="0.2">
      <c r="W503" s="4">
        <v>250.00699</v>
      </c>
      <c r="X503" s="1">
        <v>249.5</v>
      </c>
      <c r="Y503" s="3">
        <v>84.244060000000005</v>
      </c>
      <c r="Z503" s="3">
        <f t="shared" si="98"/>
        <v>89.68489000000001</v>
      </c>
      <c r="AA503" s="1">
        <f t="shared" si="101"/>
        <v>0.17970357636220496</v>
      </c>
      <c r="AD503" s="4">
        <v>250.01737</v>
      </c>
      <c r="AE503" s="1">
        <v>249.5</v>
      </c>
      <c r="AF503" s="3">
        <v>93.414320000000004</v>
      </c>
      <c r="AG503" s="3">
        <f t="shared" si="99"/>
        <v>93.675809999999998</v>
      </c>
      <c r="AH503" s="1">
        <f t="shared" si="100"/>
        <v>0.11376708064192953</v>
      </c>
    </row>
    <row r="504" spans="23:34" x14ac:dyDescent="0.2">
      <c r="W504" s="4">
        <v>250.00702000000001</v>
      </c>
      <c r="X504" s="1">
        <v>250</v>
      </c>
      <c r="Y504" s="5">
        <v>84.226820000000004</v>
      </c>
      <c r="Z504" s="3">
        <f t="shared" si="98"/>
        <v>89.667650000000009</v>
      </c>
      <c r="AA504" s="1">
        <f t="shared" si="101"/>
        <v>0.17998984092625406</v>
      </c>
      <c r="AD504" s="4">
        <v>250.01582999999999</v>
      </c>
      <c r="AE504" s="1">
        <v>250</v>
      </c>
      <c r="AF504" s="5">
        <v>93.470020000000005</v>
      </c>
      <c r="AG504" s="3">
        <f t="shared" si="99"/>
        <v>93.73151</v>
      </c>
      <c r="AH504" s="1">
        <f t="shared" si="100"/>
        <v>0.11284239741819506</v>
      </c>
    </row>
    <row r="505" spans="23:34" x14ac:dyDescent="0.2">
      <c r="W505" s="4">
        <v>250.00897000000001</v>
      </c>
      <c r="X505" s="1">
        <v>250.5</v>
      </c>
      <c r="Y505" s="3">
        <v>84.201920000000001</v>
      </c>
      <c r="Z505" s="3">
        <f t="shared" si="98"/>
        <v>89.642750000000007</v>
      </c>
      <c r="AA505" s="1">
        <f t="shared" si="101"/>
        <v>0.18040329728616261</v>
      </c>
      <c r="AD505" s="4">
        <v>250.01499999999999</v>
      </c>
      <c r="AE505" s="1">
        <v>250.5</v>
      </c>
      <c r="AF505" s="3">
        <v>93.426240000000007</v>
      </c>
      <c r="AG505" s="3">
        <f t="shared" si="99"/>
        <v>93.687730000000002</v>
      </c>
      <c r="AH505" s="1">
        <f t="shared" si="100"/>
        <v>0.11356919511182328</v>
      </c>
    </row>
    <row r="506" spans="23:34" x14ac:dyDescent="0.2">
      <c r="W506" s="4">
        <v>250.00805</v>
      </c>
      <c r="X506" s="1">
        <v>251</v>
      </c>
      <c r="Y506" s="5">
        <v>84.201970000000003</v>
      </c>
      <c r="Z506" s="3">
        <f t="shared" si="98"/>
        <v>89.642800000000008</v>
      </c>
      <c r="AA506" s="1">
        <f t="shared" si="101"/>
        <v>0.18040246705250815</v>
      </c>
      <c r="AD506" s="4">
        <v>250.01472999999999</v>
      </c>
      <c r="AE506" s="1">
        <v>251</v>
      </c>
      <c r="AF506" s="5">
        <v>93.365070000000003</v>
      </c>
      <c r="AG506" s="3">
        <f t="shared" si="99"/>
        <v>93.626559999999998</v>
      </c>
      <c r="AH506" s="1">
        <f t="shared" si="100"/>
        <v>0.11458468654442365</v>
      </c>
    </row>
    <row r="507" spans="23:34" x14ac:dyDescent="0.2">
      <c r="W507" s="4">
        <v>250.00497999999999</v>
      </c>
      <c r="X507" s="1">
        <v>251.5</v>
      </c>
      <c r="Y507" s="3">
        <v>84.175039999999996</v>
      </c>
      <c r="Z507" s="3">
        <f t="shared" si="98"/>
        <v>89.615870000000001</v>
      </c>
      <c r="AA507" s="1">
        <f t="shared" si="101"/>
        <v>0.18084963089878681</v>
      </c>
      <c r="AD507" s="4">
        <v>250.01782</v>
      </c>
      <c r="AE507" s="1">
        <v>251.5</v>
      </c>
      <c r="AF507" s="3">
        <v>93.43253</v>
      </c>
      <c r="AG507" s="3">
        <f t="shared" si="99"/>
        <v>93.694019999999995</v>
      </c>
      <c r="AH507" s="1">
        <f t="shared" si="100"/>
        <v>0.11346477397219523</v>
      </c>
    </row>
    <row r="508" spans="23:34" x14ac:dyDescent="0.2">
      <c r="W508" s="4">
        <v>250.00405000000001</v>
      </c>
      <c r="X508" s="1">
        <v>252</v>
      </c>
      <c r="Y508" s="5">
        <v>84.17313</v>
      </c>
      <c r="Z508" s="3">
        <f t="shared" si="98"/>
        <v>89.613960000000006</v>
      </c>
      <c r="AA508" s="1">
        <f t="shared" si="101"/>
        <v>0.18088134582438614</v>
      </c>
      <c r="AD508" s="4">
        <v>250.01803000000001</v>
      </c>
      <c r="AE508" s="1">
        <v>252</v>
      </c>
      <c r="AF508" s="5">
        <v>93.427139999999994</v>
      </c>
      <c r="AG508" s="3">
        <f t="shared" si="99"/>
        <v>93.688629999999989</v>
      </c>
      <c r="AH508" s="1">
        <f t="shared" si="100"/>
        <v>0.11355425409025507</v>
      </c>
    </row>
    <row r="509" spans="23:34" x14ac:dyDescent="0.2">
      <c r="W509" s="4">
        <v>250.00200000000001</v>
      </c>
      <c r="X509" s="1">
        <v>252.5</v>
      </c>
      <c r="Y509" s="3">
        <v>84.146339999999995</v>
      </c>
      <c r="Z509" s="3">
        <f t="shared" si="98"/>
        <v>89.58717</v>
      </c>
      <c r="AA509" s="1">
        <f t="shared" si="101"/>
        <v>0.18132618501643236</v>
      </c>
      <c r="AD509" s="4">
        <v>250.01517000000001</v>
      </c>
      <c r="AE509" s="1">
        <v>252.5</v>
      </c>
      <c r="AF509" s="3">
        <v>93.31514</v>
      </c>
      <c r="AG509" s="3">
        <f t="shared" si="99"/>
        <v>93.576629999999994</v>
      </c>
      <c r="AH509" s="1">
        <f t="shared" si="100"/>
        <v>0.1154135812187695</v>
      </c>
    </row>
    <row r="510" spans="23:34" x14ac:dyDescent="0.2">
      <c r="W510" s="4">
        <v>250.00298000000001</v>
      </c>
      <c r="X510" s="1">
        <v>253</v>
      </c>
      <c r="Y510" s="5">
        <v>84.117570000000001</v>
      </c>
      <c r="Z510" s="3">
        <f t="shared" si="98"/>
        <v>89.558400000000006</v>
      </c>
      <c r="AA510" s="1">
        <f t="shared" si="101"/>
        <v>0.18180390146119399</v>
      </c>
      <c r="AD510" s="4">
        <v>250.01557</v>
      </c>
      <c r="AE510" s="1">
        <v>253</v>
      </c>
      <c r="AF510" s="5">
        <v>93.481340000000003</v>
      </c>
      <c r="AG510" s="3">
        <f t="shared" si="99"/>
        <v>93.742829999999998</v>
      </c>
      <c r="AH510" s="1">
        <f t="shared" si="100"/>
        <v>0.11265447256913452</v>
      </c>
    </row>
    <row r="511" spans="23:34" x14ac:dyDescent="0.2">
      <c r="W511" s="4">
        <v>250.00295</v>
      </c>
      <c r="X511" s="1">
        <v>253.5</v>
      </c>
      <c r="Y511" s="3">
        <v>84.102159999999998</v>
      </c>
      <c r="Z511" s="3">
        <f t="shared" si="98"/>
        <v>89.542990000000003</v>
      </c>
      <c r="AA511" s="1">
        <f t="shared" si="101"/>
        <v>0.18205977947349083</v>
      </c>
      <c r="AD511" s="4">
        <v>250.01730000000001</v>
      </c>
      <c r="AE511" s="1">
        <v>253.5</v>
      </c>
      <c r="AF511" s="3">
        <v>93.364689999999996</v>
      </c>
      <c r="AG511" s="3">
        <f t="shared" si="99"/>
        <v>93.626179999999991</v>
      </c>
      <c r="AH511" s="1">
        <f t="shared" si="100"/>
        <v>0.11459099497575266</v>
      </c>
    </row>
    <row r="512" spans="23:34" x14ac:dyDescent="0.2">
      <c r="W512" s="4">
        <v>249.99995000000001</v>
      </c>
      <c r="X512" s="1">
        <v>254</v>
      </c>
      <c r="Y512" s="5">
        <v>84.098339999999993</v>
      </c>
      <c r="Z512" s="3">
        <f t="shared" si="98"/>
        <v>89.539169999999999</v>
      </c>
      <c r="AA512" s="1">
        <f t="shared" si="101"/>
        <v>0.18212320932468973</v>
      </c>
      <c r="AD512" s="4">
        <v>250.01936000000001</v>
      </c>
      <c r="AE512" s="1">
        <v>254</v>
      </c>
      <c r="AF512" s="5">
        <v>93.439019999999999</v>
      </c>
      <c r="AG512" s="3">
        <f t="shared" si="99"/>
        <v>93.700509999999994</v>
      </c>
      <c r="AH512" s="1">
        <f t="shared" si="100"/>
        <v>0.11335703260555186</v>
      </c>
    </row>
    <row r="513" spans="23:34" x14ac:dyDescent="0.2">
      <c r="W513" s="4">
        <v>249.99999</v>
      </c>
      <c r="X513" s="1">
        <v>254.5</v>
      </c>
      <c r="Y513" s="3">
        <v>84.082939999999994</v>
      </c>
      <c r="Z513" s="3">
        <f t="shared" si="98"/>
        <v>89.523769999999999</v>
      </c>
      <c r="AA513" s="1">
        <f t="shared" si="101"/>
        <v>0.18237892129025562</v>
      </c>
      <c r="AD513" s="4">
        <v>250.02126999999999</v>
      </c>
      <c r="AE513" s="1">
        <v>254.5</v>
      </c>
      <c r="AF513" s="3">
        <v>93.337310000000002</v>
      </c>
      <c r="AG513" s="3">
        <f t="shared" si="99"/>
        <v>93.598799999999997</v>
      </c>
      <c r="AH513" s="1">
        <f t="shared" si="100"/>
        <v>0.11504553405413405</v>
      </c>
    </row>
    <row r="514" spans="23:34" x14ac:dyDescent="0.2">
      <c r="W514" s="4">
        <v>250.001</v>
      </c>
      <c r="X514" s="1">
        <v>255</v>
      </c>
      <c r="Y514" s="5">
        <v>84.050380000000004</v>
      </c>
      <c r="Z514" s="3">
        <f t="shared" si="98"/>
        <v>89.491210000000009</v>
      </c>
      <c r="AA514" s="1">
        <f t="shared" si="101"/>
        <v>0.18291956944602333</v>
      </c>
      <c r="AD514" s="4">
        <v>250.02100999999999</v>
      </c>
      <c r="AE514" s="1">
        <v>255</v>
      </c>
      <c r="AF514" s="5">
        <v>93.353679999999997</v>
      </c>
      <c r="AG514" s="3">
        <f t="shared" si="99"/>
        <v>93.615169999999992</v>
      </c>
      <c r="AH514" s="1">
        <f t="shared" si="100"/>
        <v>0.11477377347293964</v>
      </c>
    </row>
    <row r="515" spans="23:34" x14ac:dyDescent="0.2">
      <c r="W515" s="4">
        <v>250.00398000000001</v>
      </c>
      <c r="X515" s="1">
        <v>255.5</v>
      </c>
      <c r="Y515" s="3">
        <v>84.038989999999998</v>
      </c>
      <c r="Z515" s="3">
        <f t="shared" si="98"/>
        <v>89.479820000000004</v>
      </c>
      <c r="AA515" s="1">
        <f t="shared" si="101"/>
        <v>0.18310869667250368</v>
      </c>
      <c r="AD515" s="4">
        <v>250.01822000000001</v>
      </c>
      <c r="AE515" s="1">
        <v>255.5</v>
      </c>
      <c r="AF515" s="3">
        <v>93.297870000000003</v>
      </c>
      <c r="AG515" s="3">
        <f t="shared" si="99"/>
        <v>93.559359999999998</v>
      </c>
      <c r="AH515" s="1">
        <f t="shared" si="100"/>
        <v>0.11570028282153236</v>
      </c>
    </row>
    <row r="516" spans="23:34" x14ac:dyDescent="0.2">
      <c r="W516" s="4">
        <v>250.00199000000001</v>
      </c>
      <c r="X516" s="1">
        <v>256</v>
      </c>
      <c r="Y516" s="5">
        <v>84.038970000000006</v>
      </c>
      <c r="Z516" s="3">
        <f t="shared" si="98"/>
        <v>89.479800000000012</v>
      </c>
      <c r="AA516" s="1">
        <f t="shared" si="101"/>
        <v>0.1831090287659653</v>
      </c>
      <c r="AD516" s="4">
        <v>250.01776000000001</v>
      </c>
      <c r="AE516" s="1">
        <v>256</v>
      </c>
      <c r="AF516" s="5">
        <v>93.522369999999995</v>
      </c>
      <c r="AG516" s="3">
        <f t="shared" si="99"/>
        <v>93.78385999999999</v>
      </c>
      <c r="AH516" s="1">
        <f t="shared" si="100"/>
        <v>0.11197332799696545</v>
      </c>
    </row>
    <row r="517" spans="23:34" x14ac:dyDescent="0.2">
      <c r="W517" s="4">
        <v>250.005</v>
      </c>
      <c r="X517" s="1">
        <v>256.5</v>
      </c>
      <c r="Y517" s="3">
        <v>84.010140000000007</v>
      </c>
      <c r="Z517" s="3">
        <f t="shared" ref="Z517:Z580" si="104">100-($Y$4-Y517)</f>
        <v>89.450970000000012</v>
      </c>
      <c r="AA517" s="1">
        <f t="shared" si="101"/>
        <v>0.18358774149111237</v>
      </c>
      <c r="AD517" s="4">
        <v>250.01938999999999</v>
      </c>
      <c r="AE517" s="1">
        <v>256.5</v>
      </c>
      <c r="AF517" s="3">
        <v>93.275720000000007</v>
      </c>
      <c r="AG517" s="3">
        <f t="shared" ref="AG517:AG580" si="105">100-($AF$4-AF517)</f>
        <v>93.537210000000002</v>
      </c>
      <c r="AH517" s="1">
        <f t="shared" si="100"/>
        <v>0.11606799796346619</v>
      </c>
    </row>
    <row r="518" spans="23:34" x14ac:dyDescent="0.2">
      <c r="W518" s="4">
        <v>250.00799000000001</v>
      </c>
      <c r="X518" s="1">
        <v>257</v>
      </c>
      <c r="Y518" s="5">
        <v>83.99879</v>
      </c>
      <c r="Z518" s="3">
        <f t="shared" si="104"/>
        <v>89.439620000000005</v>
      </c>
      <c r="AA518" s="1">
        <f t="shared" si="101"/>
        <v>0.18377620453066917</v>
      </c>
      <c r="AD518" s="4">
        <v>250.02148</v>
      </c>
      <c r="AE518" s="1">
        <v>257</v>
      </c>
      <c r="AF518" s="5">
        <v>93.345969999999994</v>
      </c>
      <c r="AG518" s="3">
        <f t="shared" si="105"/>
        <v>93.607459999999989</v>
      </c>
      <c r="AH518" s="1">
        <f t="shared" si="100"/>
        <v>0.11490176822437582</v>
      </c>
    </row>
    <row r="519" spans="23:34" x14ac:dyDescent="0.2">
      <c r="W519" s="4">
        <v>250.01002</v>
      </c>
      <c r="X519" s="1">
        <v>257.5</v>
      </c>
      <c r="Y519" s="3">
        <v>83.979489999999998</v>
      </c>
      <c r="Z519" s="3">
        <f t="shared" si="104"/>
        <v>89.420320000000004</v>
      </c>
      <c r="AA519" s="1">
        <f t="shared" si="101"/>
        <v>0.184096674721281</v>
      </c>
      <c r="AD519" s="4">
        <v>250.02298999999999</v>
      </c>
      <c r="AE519" s="1">
        <v>257.5</v>
      </c>
      <c r="AF519" s="3">
        <v>93.24812</v>
      </c>
      <c r="AG519" s="3">
        <f t="shared" si="105"/>
        <v>93.509609999999995</v>
      </c>
      <c r="AH519" s="1">
        <f t="shared" si="100"/>
        <v>0.11652618929156452</v>
      </c>
    </row>
    <row r="520" spans="23:34" x14ac:dyDescent="0.2">
      <c r="W520" s="4">
        <v>250.01195999999999</v>
      </c>
      <c r="X520" s="1">
        <v>258</v>
      </c>
      <c r="Y520" s="5">
        <v>83.979609999999994</v>
      </c>
      <c r="Z520" s="3">
        <f t="shared" si="104"/>
        <v>89.420439999999999</v>
      </c>
      <c r="AA520" s="1">
        <f t="shared" si="101"/>
        <v>0.18409468216051042</v>
      </c>
      <c r="AD520" s="4">
        <v>250.01931999999999</v>
      </c>
      <c r="AE520" s="1">
        <v>258</v>
      </c>
      <c r="AF520" s="5">
        <v>93.214849999999998</v>
      </c>
      <c r="AG520" s="3">
        <f t="shared" si="105"/>
        <v>93.476339999999993</v>
      </c>
      <c r="AH520" s="1">
        <f t="shared" si="100"/>
        <v>0.11707850905554382</v>
      </c>
    </row>
    <row r="521" spans="23:34" x14ac:dyDescent="0.2">
      <c r="W521" s="4">
        <v>250.00503</v>
      </c>
      <c r="X521" s="1">
        <v>258.5</v>
      </c>
      <c r="Y521" s="3">
        <v>83.962180000000004</v>
      </c>
      <c r="Z521" s="3">
        <f t="shared" si="104"/>
        <v>89.403010000000009</v>
      </c>
      <c r="AA521" s="1">
        <f t="shared" si="101"/>
        <v>0.1843841016124462</v>
      </c>
      <c r="AD521" s="4">
        <v>250.01438999999999</v>
      </c>
      <c r="AE521" s="1">
        <v>258.5</v>
      </c>
      <c r="AF521" s="3">
        <v>93.272059999999996</v>
      </c>
      <c r="AG521" s="3">
        <f t="shared" si="105"/>
        <v>93.533549999999991</v>
      </c>
      <c r="AH521" s="1">
        <f t="shared" si="100"/>
        <v>0.11612875811784461</v>
      </c>
    </row>
    <row r="522" spans="23:34" x14ac:dyDescent="0.2">
      <c r="W522" s="4">
        <v>250.00798</v>
      </c>
      <c r="X522" s="1">
        <v>259</v>
      </c>
      <c r="Y522" s="5">
        <v>83.948769999999996</v>
      </c>
      <c r="Z522" s="3">
        <f t="shared" si="104"/>
        <v>89.389600000000002</v>
      </c>
      <c r="AA522" s="1">
        <f t="shared" si="101"/>
        <v>0.18460677027856573</v>
      </c>
      <c r="AD522" s="4">
        <v>250.01535000000001</v>
      </c>
      <c r="AE522" s="1">
        <v>259</v>
      </c>
      <c r="AF522" s="5">
        <v>93.236400000000003</v>
      </c>
      <c r="AG522" s="3">
        <f t="shared" si="105"/>
        <v>93.497889999999998</v>
      </c>
      <c r="AH522" s="1">
        <f t="shared" ref="AH522:AH585" si="106">($AG$9-AG522)/($AG$9*(1-$N$1))</f>
        <v>0.11672075459465545</v>
      </c>
    </row>
    <row r="523" spans="23:34" x14ac:dyDescent="0.2">
      <c r="W523" s="4">
        <v>250.006</v>
      </c>
      <c r="X523" s="1">
        <v>259.5</v>
      </c>
      <c r="Y523" s="3">
        <v>83.93929</v>
      </c>
      <c r="Z523" s="3">
        <f t="shared" si="104"/>
        <v>89.380120000000005</v>
      </c>
      <c r="AA523" s="1">
        <f t="shared" si="101"/>
        <v>0.18476418257944649</v>
      </c>
      <c r="AD523" s="4">
        <v>250.01803000000001</v>
      </c>
      <c r="AE523" s="1">
        <v>259.5</v>
      </c>
      <c r="AF523" s="3">
        <v>93.301519999999996</v>
      </c>
      <c r="AG523" s="3">
        <f t="shared" si="105"/>
        <v>93.563009999999991</v>
      </c>
      <c r="AH523" s="1">
        <f t="shared" si="106"/>
        <v>0.11563968867850498</v>
      </c>
    </row>
    <row r="524" spans="23:34" x14ac:dyDescent="0.2">
      <c r="W524" s="4">
        <v>250.00601</v>
      </c>
      <c r="X524" s="1">
        <v>260</v>
      </c>
      <c r="Y524" s="5">
        <v>83.918239999999997</v>
      </c>
      <c r="Z524" s="3">
        <f t="shared" si="104"/>
        <v>89.359070000000003</v>
      </c>
      <c r="AA524" s="1">
        <f t="shared" ref="AA524:AA587" si="107">($Z$11-Z524)/($Z$11*(1-$N$1))</f>
        <v>0.18511371094796356</v>
      </c>
      <c r="AD524" s="4">
        <v>250.01784000000001</v>
      </c>
      <c r="AE524" s="1">
        <v>260</v>
      </c>
      <c r="AF524" s="5">
        <v>93.233369999999994</v>
      </c>
      <c r="AG524" s="3">
        <f t="shared" si="105"/>
        <v>93.494859999999989</v>
      </c>
      <c r="AH524" s="1">
        <f t="shared" si="106"/>
        <v>0.11677105603393596</v>
      </c>
    </row>
    <row r="525" spans="23:34" x14ac:dyDescent="0.2">
      <c r="W525" s="4">
        <v>250.00299999999999</v>
      </c>
      <c r="X525" s="1">
        <v>260.5</v>
      </c>
      <c r="Y525" s="3">
        <v>83.900930000000002</v>
      </c>
      <c r="Z525" s="3">
        <f t="shared" si="104"/>
        <v>89.341760000000008</v>
      </c>
      <c r="AA525" s="1">
        <f t="shared" si="107"/>
        <v>0.18540113783912879</v>
      </c>
      <c r="AD525" s="4">
        <v>250.01947999999999</v>
      </c>
      <c r="AE525" s="1">
        <v>260.5</v>
      </c>
      <c r="AF525" s="3">
        <v>93.271900000000002</v>
      </c>
      <c r="AG525" s="3">
        <f t="shared" si="105"/>
        <v>93.533389999999997</v>
      </c>
      <c r="AH525" s="1">
        <f t="shared" si="106"/>
        <v>0.11613141429945667</v>
      </c>
    </row>
    <row r="526" spans="23:34" x14ac:dyDescent="0.2">
      <c r="W526" s="4">
        <v>250.00102999999999</v>
      </c>
      <c r="X526" s="1">
        <v>261</v>
      </c>
      <c r="Y526" s="5">
        <v>83.875929999999997</v>
      </c>
      <c r="Z526" s="3">
        <f t="shared" si="104"/>
        <v>89.316760000000002</v>
      </c>
      <c r="AA526" s="1">
        <f t="shared" si="107"/>
        <v>0.18581625466634624</v>
      </c>
      <c r="AD526" s="4">
        <v>250.02033</v>
      </c>
      <c r="AE526" s="1">
        <v>261</v>
      </c>
      <c r="AF526" s="5">
        <v>93.262979999999999</v>
      </c>
      <c r="AG526" s="3">
        <f t="shared" si="105"/>
        <v>93.524469999999994</v>
      </c>
      <c r="AH526" s="1">
        <f t="shared" si="106"/>
        <v>0.11627949642433485</v>
      </c>
    </row>
    <row r="527" spans="23:34" x14ac:dyDescent="0.2">
      <c r="W527" s="4">
        <v>250.00097</v>
      </c>
      <c r="X527" s="1">
        <v>261.5</v>
      </c>
      <c r="Y527" s="3">
        <v>83.862470000000002</v>
      </c>
      <c r="Z527" s="3">
        <f t="shared" si="104"/>
        <v>89.303300000000007</v>
      </c>
      <c r="AA527" s="1">
        <f t="shared" si="107"/>
        <v>0.18603975356611999</v>
      </c>
      <c r="AD527" s="4">
        <v>250.01921999999999</v>
      </c>
      <c r="AE527" s="1">
        <v>261.5</v>
      </c>
      <c r="AF527" s="3">
        <v>93.19426</v>
      </c>
      <c r="AG527" s="3">
        <f t="shared" si="105"/>
        <v>93.455749999999995</v>
      </c>
      <c r="AH527" s="1">
        <f t="shared" si="106"/>
        <v>0.11742032642675909</v>
      </c>
    </row>
    <row r="528" spans="23:34" x14ac:dyDescent="0.2">
      <c r="W528" s="4">
        <v>250.00603000000001</v>
      </c>
      <c r="X528" s="1">
        <v>262</v>
      </c>
      <c r="Y528" s="5">
        <v>83.870009999999994</v>
      </c>
      <c r="Z528" s="3">
        <f t="shared" si="104"/>
        <v>89.310839999999999</v>
      </c>
      <c r="AA528" s="1">
        <f t="shared" si="107"/>
        <v>0.18591455433103138</v>
      </c>
      <c r="AD528" s="4">
        <v>250.01985999999999</v>
      </c>
      <c r="AE528" s="1">
        <v>262</v>
      </c>
      <c r="AF528" s="5">
        <v>93.151160000000004</v>
      </c>
      <c r="AG528" s="3">
        <f t="shared" si="105"/>
        <v>93.412649999999999</v>
      </c>
      <c r="AH528" s="1">
        <f t="shared" si="106"/>
        <v>0.11813583534853558</v>
      </c>
    </row>
    <row r="529" spans="23:34" x14ac:dyDescent="0.2">
      <c r="W529" s="4">
        <v>250.00797</v>
      </c>
      <c r="X529" s="1">
        <v>262.5</v>
      </c>
      <c r="Y529" s="3">
        <v>83.853059999999999</v>
      </c>
      <c r="Z529" s="3">
        <f t="shared" si="104"/>
        <v>89.293890000000005</v>
      </c>
      <c r="AA529" s="1">
        <f t="shared" si="107"/>
        <v>0.18619600353988464</v>
      </c>
      <c r="AD529" s="4">
        <v>250.01428999999999</v>
      </c>
      <c r="AE529" s="1">
        <v>262.5</v>
      </c>
      <c r="AF529" s="3">
        <v>93.17662</v>
      </c>
      <c r="AG529" s="3">
        <f t="shared" si="105"/>
        <v>93.438109999999995</v>
      </c>
      <c r="AH529" s="1">
        <f t="shared" si="106"/>
        <v>0.11771317044950014</v>
      </c>
    </row>
    <row r="530" spans="23:34" x14ac:dyDescent="0.2">
      <c r="W530" s="4">
        <v>250.00703999999999</v>
      </c>
      <c r="X530" s="1">
        <v>263</v>
      </c>
      <c r="Y530" s="5">
        <v>83.82602</v>
      </c>
      <c r="Z530" s="3">
        <f t="shared" si="104"/>
        <v>89.266850000000005</v>
      </c>
      <c r="AA530" s="1">
        <f t="shared" si="107"/>
        <v>0.18664499390020295</v>
      </c>
      <c r="AD530" s="4">
        <v>250.01508999999999</v>
      </c>
      <c r="AE530" s="1">
        <v>263</v>
      </c>
      <c r="AF530" s="5">
        <v>93.132109999999997</v>
      </c>
      <c r="AG530" s="3">
        <f t="shared" si="105"/>
        <v>93.393599999999992</v>
      </c>
      <c r="AH530" s="1">
        <f t="shared" si="106"/>
        <v>0.11845208697173393</v>
      </c>
    </row>
    <row r="531" spans="23:34" x14ac:dyDescent="0.2">
      <c r="W531" s="4">
        <v>250.00601</v>
      </c>
      <c r="X531" s="1">
        <v>263.5</v>
      </c>
      <c r="Y531" s="3">
        <v>83.799289999999999</v>
      </c>
      <c r="Z531" s="3">
        <f t="shared" si="104"/>
        <v>89.240120000000005</v>
      </c>
      <c r="AA531" s="1">
        <f t="shared" si="107"/>
        <v>0.18708883681186375</v>
      </c>
      <c r="AD531" s="4">
        <v>250.01684</v>
      </c>
      <c r="AE531" s="1">
        <v>263.5</v>
      </c>
      <c r="AF531" s="3">
        <v>93.191220000000001</v>
      </c>
      <c r="AG531" s="3">
        <f t="shared" si="105"/>
        <v>93.452709999999996</v>
      </c>
      <c r="AH531" s="1">
        <f t="shared" si="106"/>
        <v>0.11747079387739018</v>
      </c>
    </row>
    <row r="532" spans="23:34" x14ac:dyDescent="0.2">
      <c r="W532" s="4">
        <v>250.00394</v>
      </c>
      <c r="X532" s="1">
        <v>264</v>
      </c>
      <c r="Y532" s="5">
        <v>83.803079999999994</v>
      </c>
      <c r="Z532" s="3">
        <f t="shared" si="104"/>
        <v>89.24391</v>
      </c>
      <c r="AA532" s="1">
        <f t="shared" si="107"/>
        <v>0.18702590510085768</v>
      </c>
      <c r="AD532" s="4">
        <v>250.01731000000001</v>
      </c>
      <c r="AE532" s="1">
        <v>264</v>
      </c>
      <c r="AF532" s="5">
        <v>93.137590000000003</v>
      </c>
      <c r="AG532" s="3">
        <f t="shared" si="105"/>
        <v>93.399079999999998</v>
      </c>
      <c r="AH532" s="1">
        <f t="shared" si="106"/>
        <v>0.11836111275151724</v>
      </c>
    </row>
    <row r="533" spans="23:34" x14ac:dyDescent="0.2">
      <c r="W533" s="4">
        <v>250.00803999999999</v>
      </c>
      <c r="X533" s="1">
        <v>264.5</v>
      </c>
      <c r="Y533" s="3">
        <v>83.780159999999995</v>
      </c>
      <c r="Z533" s="3">
        <f t="shared" si="104"/>
        <v>89.22099</v>
      </c>
      <c r="AA533" s="1">
        <f t="shared" si="107"/>
        <v>0.18740648420805056</v>
      </c>
      <c r="AD533" s="4">
        <v>250.01779999999999</v>
      </c>
      <c r="AE533" s="1">
        <v>264.5</v>
      </c>
      <c r="AF533" s="3">
        <v>93.14246</v>
      </c>
      <c r="AG533" s="3">
        <f t="shared" si="105"/>
        <v>93.403949999999995</v>
      </c>
      <c r="AH533" s="1">
        <f t="shared" si="106"/>
        <v>0.11828026522369706</v>
      </c>
    </row>
    <row r="534" spans="23:34" x14ac:dyDescent="0.2">
      <c r="W534" s="4">
        <v>250.00602000000001</v>
      </c>
      <c r="X534" s="1">
        <v>265</v>
      </c>
      <c r="Y534" s="5">
        <v>83.76661</v>
      </c>
      <c r="Z534" s="3">
        <f t="shared" si="104"/>
        <v>89.207440000000005</v>
      </c>
      <c r="AA534" s="1">
        <f t="shared" si="107"/>
        <v>0.18763147752840229</v>
      </c>
      <c r="AD534" s="4">
        <v>250.01626999999999</v>
      </c>
      <c r="AE534" s="1">
        <v>265</v>
      </c>
      <c r="AF534" s="5">
        <v>93.083209999999994</v>
      </c>
      <c r="AG534" s="3">
        <f t="shared" si="105"/>
        <v>93.344699999999989</v>
      </c>
      <c r="AH534" s="1">
        <f t="shared" si="106"/>
        <v>0.11926388247695148</v>
      </c>
    </row>
    <row r="535" spans="23:34" x14ac:dyDescent="0.2">
      <c r="W535" s="4">
        <v>250.00504000000001</v>
      </c>
      <c r="X535" s="1">
        <v>265.5</v>
      </c>
      <c r="Y535" s="3">
        <v>83.757019999999997</v>
      </c>
      <c r="Z535" s="3">
        <f t="shared" si="104"/>
        <v>89.197850000000003</v>
      </c>
      <c r="AA535" s="1">
        <f t="shared" si="107"/>
        <v>0.18779071634332292</v>
      </c>
      <c r="AD535" s="4">
        <v>250.01338999999999</v>
      </c>
      <c r="AE535" s="1">
        <v>265.5</v>
      </c>
      <c r="AF535" s="3">
        <v>93.082160000000002</v>
      </c>
      <c r="AG535" s="3">
        <f t="shared" si="105"/>
        <v>93.343649999999997</v>
      </c>
      <c r="AH535" s="1">
        <f t="shared" si="106"/>
        <v>0.11928131366878118</v>
      </c>
    </row>
    <row r="536" spans="23:34" x14ac:dyDescent="0.2">
      <c r="W536" s="4">
        <v>250.00397000000001</v>
      </c>
      <c r="X536" s="1">
        <v>266</v>
      </c>
      <c r="Y536" s="5">
        <v>83.741849999999999</v>
      </c>
      <c r="Z536" s="3">
        <f t="shared" si="104"/>
        <v>89.182680000000005</v>
      </c>
      <c r="AA536" s="1">
        <f t="shared" si="107"/>
        <v>0.18804260923407837</v>
      </c>
      <c r="AD536" s="4">
        <v>250.01474999999999</v>
      </c>
      <c r="AE536" s="1">
        <v>266</v>
      </c>
      <c r="AF536" s="5">
        <v>93.198729999999998</v>
      </c>
      <c r="AG536" s="3">
        <f t="shared" si="105"/>
        <v>93.460219999999993</v>
      </c>
      <c r="AH536" s="1">
        <f t="shared" si="106"/>
        <v>0.11734611935296931</v>
      </c>
    </row>
    <row r="537" spans="23:34" x14ac:dyDescent="0.2">
      <c r="W537" s="4">
        <v>250.00800000000001</v>
      </c>
      <c r="X537" s="1">
        <v>266.5</v>
      </c>
      <c r="Y537" s="3">
        <v>83.737790000000004</v>
      </c>
      <c r="Z537" s="3">
        <f t="shared" si="104"/>
        <v>89.178620000000009</v>
      </c>
      <c r="AA537" s="1">
        <f t="shared" si="107"/>
        <v>0.18811002420681838</v>
      </c>
      <c r="AD537" s="4">
        <v>250.01586</v>
      </c>
      <c r="AE537" s="1">
        <v>266.5</v>
      </c>
      <c r="AF537" s="3">
        <v>92.986549999999994</v>
      </c>
      <c r="AG537" s="3">
        <f t="shared" si="105"/>
        <v>93.248039999999989</v>
      </c>
      <c r="AH537" s="1">
        <f t="shared" si="106"/>
        <v>0.12086854819339982</v>
      </c>
    </row>
    <row r="538" spans="23:34" x14ac:dyDescent="0.2">
      <c r="W538" s="4">
        <v>250.00602000000001</v>
      </c>
      <c r="X538" s="1">
        <v>267</v>
      </c>
      <c r="Y538" s="5">
        <v>83.718689999999995</v>
      </c>
      <c r="Z538" s="3">
        <f t="shared" si="104"/>
        <v>89.159520000000001</v>
      </c>
      <c r="AA538" s="1">
        <f t="shared" si="107"/>
        <v>0.1884271734628126</v>
      </c>
      <c r="AD538" s="4">
        <v>250.01508999999999</v>
      </c>
      <c r="AE538" s="1">
        <v>267</v>
      </c>
      <c r="AF538" s="5">
        <v>93.052000000000007</v>
      </c>
      <c r="AG538" s="3">
        <f t="shared" si="105"/>
        <v>93.313490000000002</v>
      </c>
      <c r="AH538" s="1">
        <f t="shared" si="106"/>
        <v>0.11978200390267393</v>
      </c>
    </row>
    <row r="539" spans="23:34" x14ac:dyDescent="0.2">
      <c r="W539" s="4">
        <v>250.00398000000001</v>
      </c>
      <c r="X539" s="1">
        <v>267.5</v>
      </c>
      <c r="Y539" s="3">
        <v>83.689980000000006</v>
      </c>
      <c r="Z539" s="3">
        <f t="shared" si="104"/>
        <v>89.130810000000011</v>
      </c>
      <c r="AA539" s="1">
        <f t="shared" si="107"/>
        <v>0.18890389362718885</v>
      </c>
      <c r="AD539" s="4">
        <v>250.01776000000001</v>
      </c>
      <c r="AE539" s="1">
        <v>267.5</v>
      </c>
      <c r="AF539" s="3">
        <v>93.051940000000002</v>
      </c>
      <c r="AG539" s="3">
        <f t="shared" si="105"/>
        <v>93.313429999999997</v>
      </c>
      <c r="AH539" s="1">
        <f t="shared" si="106"/>
        <v>0.11978299997077857</v>
      </c>
    </row>
    <row r="540" spans="23:34" x14ac:dyDescent="0.2">
      <c r="W540" s="4">
        <v>250.01007000000001</v>
      </c>
      <c r="X540" s="1">
        <v>268</v>
      </c>
      <c r="Y540" s="5">
        <v>83.699529999999996</v>
      </c>
      <c r="Z540" s="3">
        <f t="shared" si="104"/>
        <v>89.140360000000001</v>
      </c>
      <c r="AA540" s="1">
        <f t="shared" si="107"/>
        <v>0.188745318999192</v>
      </c>
      <c r="AD540" s="4">
        <v>250.01743999999999</v>
      </c>
      <c r="AE540" s="1">
        <v>268</v>
      </c>
      <c r="AF540" s="5">
        <v>93.015749999999997</v>
      </c>
      <c r="AG540" s="3">
        <f t="shared" si="105"/>
        <v>93.277239999999992</v>
      </c>
      <c r="AH540" s="1">
        <f t="shared" si="106"/>
        <v>0.12038379504917991</v>
      </c>
    </row>
    <row r="541" spans="23:34" x14ac:dyDescent="0.2">
      <c r="W541" s="4">
        <v>250.00503</v>
      </c>
      <c r="X541" s="1">
        <v>268.5</v>
      </c>
      <c r="Y541" s="3">
        <v>83.672659999999993</v>
      </c>
      <c r="Z541" s="3">
        <f t="shared" si="104"/>
        <v>89.113489999999999</v>
      </c>
      <c r="AA541" s="1">
        <f t="shared" si="107"/>
        <v>0.18919148656508525</v>
      </c>
      <c r="AD541" s="4">
        <v>250.01949999999999</v>
      </c>
      <c r="AE541" s="1">
        <v>268.5</v>
      </c>
      <c r="AF541" s="3">
        <v>93.009439999999998</v>
      </c>
      <c r="AG541" s="3">
        <f t="shared" si="105"/>
        <v>93.270929999999993</v>
      </c>
      <c r="AH541" s="1">
        <f t="shared" si="106"/>
        <v>0.1204885482115096</v>
      </c>
    </row>
    <row r="542" spans="23:34" x14ac:dyDescent="0.2">
      <c r="W542" s="4">
        <v>250.00602000000001</v>
      </c>
      <c r="X542" s="1">
        <v>269</v>
      </c>
      <c r="Y542" s="5">
        <v>83.655389999999997</v>
      </c>
      <c r="Z542" s="3">
        <f t="shared" si="104"/>
        <v>89.096220000000002</v>
      </c>
      <c r="AA542" s="1">
        <f t="shared" si="107"/>
        <v>0.18947824926932694</v>
      </c>
      <c r="AD542" s="4">
        <v>250.01954000000001</v>
      </c>
      <c r="AE542" s="1">
        <v>269</v>
      </c>
      <c r="AF542" s="5">
        <v>92.894980000000004</v>
      </c>
      <c r="AG542" s="3">
        <f t="shared" si="105"/>
        <v>93.156469999999999</v>
      </c>
      <c r="AH542" s="1">
        <f t="shared" si="106"/>
        <v>0.12238871413231103</v>
      </c>
    </row>
    <row r="543" spans="23:34" x14ac:dyDescent="0.2">
      <c r="W543" s="4">
        <v>250.00703999999999</v>
      </c>
      <c r="X543" s="1">
        <v>269.5</v>
      </c>
      <c r="Y543" s="3">
        <v>83.632490000000004</v>
      </c>
      <c r="Z543" s="3">
        <f t="shared" si="104"/>
        <v>89.07332000000001</v>
      </c>
      <c r="AA543" s="1">
        <f t="shared" si="107"/>
        <v>0.18985849628305793</v>
      </c>
      <c r="AD543" s="4">
        <v>250.01731000000001</v>
      </c>
      <c r="AE543" s="1">
        <v>269.5</v>
      </c>
      <c r="AF543" s="3">
        <v>92.947630000000004</v>
      </c>
      <c r="AG543" s="3">
        <f t="shared" si="105"/>
        <v>93.209119999999999</v>
      </c>
      <c r="AH543" s="1">
        <f t="shared" si="106"/>
        <v>0.12151466437055844</v>
      </c>
    </row>
    <row r="544" spans="23:34" x14ac:dyDescent="0.2">
      <c r="W544" s="4">
        <v>250.00301999999999</v>
      </c>
      <c r="X544" s="1">
        <v>270</v>
      </c>
      <c r="Y544" s="5">
        <v>83.622789999999995</v>
      </c>
      <c r="Z544" s="3">
        <f t="shared" si="104"/>
        <v>89.06362</v>
      </c>
      <c r="AA544" s="1">
        <f t="shared" si="107"/>
        <v>0.19001956161201844</v>
      </c>
      <c r="AD544" s="4">
        <v>250.01365000000001</v>
      </c>
      <c r="AE544" s="1">
        <v>270</v>
      </c>
      <c r="AF544" s="5">
        <v>92.97448</v>
      </c>
      <c r="AG544" s="3">
        <f t="shared" si="105"/>
        <v>93.235969999999995</v>
      </c>
      <c r="AH544" s="1">
        <f t="shared" si="106"/>
        <v>0.12106892389376731</v>
      </c>
    </row>
    <row r="545" spans="23:34" x14ac:dyDescent="0.2">
      <c r="W545" s="4">
        <v>250.006</v>
      </c>
      <c r="X545" s="1">
        <v>270.5</v>
      </c>
      <c r="Y545" s="3">
        <v>83.603769999999997</v>
      </c>
      <c r="Z545" s="3">
        <f t="shared" si="104"/>
        <v>89.044600000000003</v>
      </c>
      <c r="AA545" s="1">
        <f t="shared" si="107"/>
        <v>0.19033538249416537</v>
      </c>
      <c r="AD545" s="4">
        <v>250.01288</v>
      </c>
      <c r="AE545" s="1">
        <v>270.5</v>
      </c>
      <c r="AF545" s="3">
        <v>92.905879999999996</v>
      </c>
      <c r="AG545" s="3">
        <f t="shared" si="105"/>
        <v>93.167369999999991</v>
      </c>
      <c r="AH545" s="1">
        <f t="shared" si="106"/>
        <v>0.12220776175998251</v>
      </c>
    </row>
    <row r="546" spans="23:34" x14ac:dyDescent="0.2">
      <c r="W546" s="4">
        <v>250.00805</v>
      </c>
      <c r="X546" s="1">
        <v>271</v>
      </c>
      <c r="Y546" s="5">
        <v>83.576819999999998</v>
      </c>
      <c r="Z546" s="3">
        <f t="shared" si="104"/>
        <v>89.017650000000003</v>
      </c>
      <c r="AA546" s="1">
        <f t="shared" si="107"/>
        <v>0.19078287843390568</v>
      </c>
      <c r="AD546" s="4">
        <v>250.01213999999999</v>
      </c>
      <c r="AE546" s="1">
        <v>271</v>
      </c>
      <c r="AF546" s="5">
        <v>92.949299999999994</v>
      </c>
      <c r="AG546" s="3">
        <f t="shared" si="105"/>
        <v>93.210789999999989</v>
      </c>
      <c r="AH546" s="1">
        <f t="shared" si="106"/>
        <v>0.12148694047498165</v>
      </c>
    </row>
    <row r="547" spans="23:34" x14ac:dyDescent="0.2">
      <c r="W547" s="4">
        <v>250.00201000000001</v>
      </c>
      <c r="X547" s="1">
        <v>271.5</v>
      </c>
      <c r="Y547" s="3">
        <v>83.572929999999999</v>
      </c>
      <c r="Z547" s="3">
        <f t="shared" si="104"/>
        <v>89.013760000000005</v>
      </c>
      <c r="AA547" s="1">
        <f t="shared" si="107"/>
        <v>0.19084747061222065</v>
      </c>
      <c r="AD547" s="4">
        <v>250.01202000000001</v>
      </c>
      <c r="AE547" s="1">
        <v>271.5</v>
      </c>
      <c r="AF547" s="3">
        <v>92.987089999999995</v>
      </c>
      <c r="AG547" s="3">
        <f t="shared" si="105"/>
        <v>93.24857999999999</v>
      </c>
      <c r="AH547" s="1">
        <f t="shared" si="106"/>
        <v>0.12085958358045874</v>
      </c>
    </row>
    <row r="548" spans="23:34" x14ac:dyDescent="0.2">
      <c r="W548" s="4">
        <v>250.00299999999999</v>
      </c>
      <c r="X548" s="1">
        <v>272</v>
      </c>
      <c r="Y548" s="5">
        <v>83.557640000000006</v>
      </c>
      <c r="Z548" s="3">
        <f t="shared" si="104"/>
        <v>88.998470000000012</v>
      </c>
      <c r="AA548" s="1">
        <f t="shared" si="107"/>
        <v>0.1911013560637467</v>
      </c>
      <c r="AD548" s="4">
        <v>250.01123999999999</v>
      </c>
      <c r="AE548" s="1">
        <v>272</v>
      </c>
      <c r="AF548" s="5">
        <v>93.025059999999996</v>
      </c>
      <c r="AG548" s="3">
        <f t="shared" si="105"/>
        <v>93.286549999999991</v>
      </c>
      <c r="AH548" s="1">
        <f t="shared" si="106"/>
        <v>0.12022923848162215</v>
      </c>
    </row>
    <row r="549" spans="23:34" x14ac:dyDescent="0.2">
      <c r="W549" s="4">
        <v>250.00299999999999</v>
      </c>
      <c r="X549" s="1">
        <v>272.5</v>
      </c>
      <c r="Y549" s="3">
        <v>83.548050000000003</v>
      </c>
      <c r="Z549" s="3">
        <f t="shared" si="104"/>
        <v>88.988880000000009</v>
      </c>
      <c r="AA549" s="1">
        <f t="shared" si="107"/>
        <v>0.19126059487866731</v>
      </c>
      <c r="AD549" s="4">
        <v>250.01648</v>
      </c>
      <c r="AE549" s="1">
        <v>272.5</v>
      </c>
      <c r="AF549" s="3">
        <v>93.037620000000004</v>
      </c>
      <c r="AG549" s="3">
        <f t="shared" si="105"/>
        <v>93.299109999999999</v>
      </c>
      <c r="AH549" s="1">
        <f t="shared" si="106"/>
        <v>0.12002072822506718</v>
      </c>
    </row>
    <row r="550" spans="23:34" x14ac:dyDescent="0.2">
      <c r="W550" s="4">
        <v>250.00700000000001</v>
      </c>
      <c r="X550" s="1">
        <v>273</v>
      </c>
      <c r="Y550" s="5">
        <v>83.528809999999993</v>
      </c>
      <c r="Z550" s="3">
        <f t="shared" si="104"/>
        <v>88.969639999999998</v>
      </c>
      <c r="AA550" s="1">
        <f t="shared" si="107"/>
        <v>0.191580068788894</v>
      </c>
      <c r="AD550" s="4">
        <v>250.02059</v>
      </c>
      <c r="AE550" s="1">
        <v>273</v>
      </c>
      <c r="AF550" s="5">
        <v>92.885480000000001</v>
      </c>
      <c r="AG550" s="3">
        <f t="shared" si="105"/>
        <v>93.146969999999996</v>
      </c>
      <c r="AH550" s="1">
        <f t="shared" si="106"/>
        <v>0.12254642491553329</v>
      </c>
    </row>
    <row r="551" spans="23:34" x14ac:dyDescent="0.2">
      <c r="W551" s="4">
        <v>250.00298000000001</v>
      </c>
      <c r="X551" s="1">
        <v>273.5</v>
      </c>
      <c r="Y551" s="3">
        <v>83.521379999999994</v>
      </c>
      <c r="Z551" s="3">
        <f t="shared" si="104"/>
        <v>88.962209999999999</v>
      </c>
      <c r="AA551" s="1">
        <f t="shared" si="107"/>
        <v>0.19170344150994298</v>
      </c>
      <c r="AD551" s="4">
        <v>250.01925</v>
      </c>
      <c r="AE551" s="1">
        <v>273.5</v>
      </c>
      <c r="AF551" s="3">
        <v>92.987489999999994</v>
      </c>
      <c r="AG551" s="3">
        <f t="shared" si="105"/>
        <v>93.248979999999989</v>
      </c>
      <c r="AH551" s="1">
        <f t="shared" si="106"/>
        <v>0.12085294312642836</v>
      </c>
    </row>
    <row r="552" spans="23:34" x14ac:dyDescent="0.2">
      <c r="W552" s="4">
        <v>250.00102000000001</v>
      </c>
      <c r="X552" s="1">
        <v>274</v>
      </c>
      <c r="Y552" s="5">
        <v>83.50215</v>
      </c>
      <c r="Z552" s="3">
        <f t="shared" si="104"/>
        <v>88.942980000000006</v>
      </c>
      <c r="AA552" s="1">
        <f t="shared" si="107"/>
        <v>0.19202274937343847</v>
      </c>
      <c r="AD552" s="4">
        <v>250.01707999999999</v>
      </c>
      <c r="AE552" s="1">
        <v>274</v>
      </c>
      <c r="AF552" s="5">
        <v>92.916910000000001</v>
      </c>
      <c r="AG552" s="3">
        <f t="shared" si="105"/>
        <v>93.178399999999996</v>
      </c>
      <c r="AH552" s="1">
        <f t="shared" si="106"/>
        <v>0.1220246512400939</v>
      </c>
    </row>
    <row r="553" spans="23:34" x14ac:dyDescent="0.2">
      <c r="W553" s="4">
        <v>250.00094999999999</v>
      </c>
      <c r="X553" s="1">
        <v>274.5</v>
      </c>
      <c r="Y553" s="3">
        <v>83.490589999999997</v>
      </c>
      <c r="Z553" s="3">
        <f t="shared" si="104"/>
        <v>88.931420000000003</v>
      </c>
      <c r="AA553" s="1">
        <f t="shared" si="107"/>
        <v>0.19221469939434382</v>
      </c>
      <c r="AD553" s="4">
        <v>250.01281</v>
      </c>
      <c r="AE553" s="1">
        <v>274.5</v>
      </c>
      <c r="AF553" s="3">
        <v>92.925389999999993</v>
      </c>
      <c r="AG553" s="3">
        <f t="shared" si="105"/>
        <v>93.186879999999988</v>
      </c>
      <c r="AH553" s="1">
        <f t="shared" si="106"/>
        <v>0.12188387361464936</v>
      </c>
    </row>
    <row r="554" spans="23:34" x14ac:dyDescent="0.2">
      <c r="W554" s="4">
        <v>250.00301999999999</v>
      </c>
      <c r="X554" s="1">
        <v>275</v>
      </c>
      <c r="Y554" s="5">
        <v>83.44838</v>
      </c>
      <c r="Z554" s="3">
        <f t="shared" si="104"/>
        <v>88.889210000000006</v>
      </c>
      <c r="AA554" s="1">
        <f t="shared" si="107"/>
        <v>0.19291558264541758</v>
      </c>
      <c r="AD554" s="4">
        <v>250.01148000000001</v>
      </c>
      <c r="AE554" s="1">
        <v>275</v>
      </c>
      <c r="AF554" s="5">
        <v>92.946669999999997</v>
      </c>
      <c r="AG554" s="3">
        <f t="shared" si="105"/>
        <v>93.208159999999992</v>
      </c>
      <c r="AH554" s="1">
        <f t="shared" si="106"/>
        <v>0.12153060146023154</v>
      </c>
    </row>
    <row r="555" spans="23:34" x14ac:dyDescent="0.2">
      <c r="W555" s="4">
        <v>250.005</v>
      </c>
      <c r="X555" s="1">
        <v>275.5</v>
      </c>
      <c r="Y555" s="3">
        <v>83.446449999999999</v>
      </c>
      <c r="Z555" s="3">
        <f t="shared" si="104"/>
        <v>88.887280000000004</v>
      </c>
      <c r="AA555" s="1">
        <f t="shared" si="107"/>
        <v>0.19294762966447879</v>
      </c>
      <c r="AD555" s="4">
        <v>250.00944000000001</v>
      </c>
      <c r="AE555" s="1">
        <v>275.5</v>
      </c>
      <c r="AF555" s="3">
        <v>92.866690000000006</v>
      </c>
      <c r="AG555" s="3">
        <f t="shared" si="105"/>
        <v>93.12818</v>
      </c>
      <c r="AH555" s="1">
        <f t="shared" si="106"/>
        <v>0.12285836024361167</v>
      </c>
    </row>
    <row r="556" spans="23:34" x14ac:dyDescent="0.2">
      <c r="W556" s="4">
        <v>250.00996000000001</v>
      </c>
      <c r="X556" s="1">
        <v>276</v>
      </c>
      <c r="Y556" s="5">
        <v>83.435069999999996</v>
      </c>
      <c r="Z556" s="3">
        <f t="shared" si="104"/>
        <v>88.875900000000001</v>
      </c>
      <c r="AA556" s="1">
        <f t="shared" si="107"/>
        <v>0.19313659084422816</v>
      </c>
      <c r="AD556" s="4">
        <v>250.01387</v>
      </c>
      <c r="AE556" s="1">
        <v>276</v>
      </c>
      <c r="AF556" s="5">
        <v>93.108360000000005</v>
      </c>
      <c r="AG556" s="3">
        <f t="shared" si="105"/>
        <v>93.36985</v>
      </c>
      <c r="AH556" s="1">
        <f t="shared" si="106"/>
        <v>0.11884636392978934</v>
      </c>
    </row>
    <row r="557" spans="23:34" x14ac:dyDescent="0.2">
      <c r="W557" s="4">
        <v>250.00398000000001</v>
      </c>
      <c r="X557" s="1">
        <v>276.5</v>
      </c>
      <c r="Y557" s="3">
        <v>83.429320000000004</v>
      </c>
      <c r="Z557" s="3">
        <f t="shared" si="104"/>
        <v>88.87015000000001</v>
      </c>
      <c r="AA557" s="1">
        <f t="shared" si="107"/>
        <v>0.19323206771448803</v>
      </c>
      <c r="AD557" s="4">
        <v>250.01992999999999</v>
      </c>
      <c r="AE557" s="1">
        <v>276.5</v>
      </c>
      <c r="AF557" s="3">
        <v>92.909610000000001</v>
      </c>
      <c r="AG557" s="3">
        <f t="shared" si="105"/>
        <v>93.171099999999996</v>
      </c>
      <c r="AH557" s="1">
        <f t="shared" si="106"/>
        <v>0.12214583952614887</v>
      </c>
    </row>
    <row r="558" spans="23:34" x14ac:dyDescent="0.2">
      <c r="W558" s="4">
        <v>250.00797</v>
      </c>
      <c r="X558" s="1">
        <v>277</v>
      </c>
      <c r="Y558" s="5">
        <v>83.413619999999995</v>
      </c>
      <c r="Z558" s="3">
        <f t="shared" si="104"/>
        <v>88.85445</v>
      </c>
      <c r="AA558" s="1">
        <f t="shared" si="107"/>
        <v>0.19349276108198069</v>
      </c>
      <c r="AD558" s="4">
        <v>250.02261999999999</v>
      </c>
      <c r="AE558" s="1">
        <v>277</v>
      </c>
      <c r="AF558" s="5">
        <v>92.840490000000003</v>
      </c>
      <c r="AG558" s="3">
        <f t="shared" si="105"/>
        <v>93.101979999999998</v>
      </c>
      <c r="AH558" s="1">
        <f t="shared" si="106"/>
        <v>0.12329330998260352</v>
      </c>
    </row>
    <row r="559" spans="23:34" x14ac:dyDescent="0.2">
      <c r="W559" s="4">
        <v>250.00502</v>
      </c>
      <c r="X559" s="1">
        <v>277.5</v>
      </c>
      <c r="Y559" s="3">
        <v>83.386989999999997</v>
      </c>
      <c r="Z559" s="3">
        <f t="shared" si="104"/>
        <v>88.827820000000003</v>
      </c>
      <c r="AA559" s="1">
        <f t="shared" si="107"/>
        <v>0.19393494352633259</v>
      </c>
      <c r="AD559" s="4">
        <v>250.01859999999999</v>
      </c>
      <c r="AE559" s="1">
        <v>277.5</v>
      </c>
      <c r="AF559" s="3">
        <v>92.833590000000001</v>
      </c>
      <c r="AG559" s="3">
        <f t="shared" si="105"/>
        <v>93.095079999999996</v>
      </c>
      <c r="AH559" s="1">
        <f t="shared" si="106"/>
        <v>0.1234078578146281</v>
      </c>
    </row>
    <row r="560" spans="23:34" x14ac:dyDescent="0.2">
      <c r="W560" s="4">
        <v>250.00493</v>
      </c>
      <c r="X560" s="1">
        <v>278</v>
      </c>
      <c r="Y560" s="5">
        <v>83.388800000000003</v>
      </c>
      <c r="Z560" s="3">
        <f t="shared" si="104"/>
        <v>88.829630000000009</v>
      </c>
      <c r="AA560" s="1">
        <f t="shared" si="107"/>
        <v>0.19390488906804196</v>
      </c>
      <c r="AD560" s="4">
        <v>250.01646</v>
      </c>
      <c r="AE560" s="1">
        <v>278</v>
      </c>
      <c r="AF560" s="5">
        <v>92.77243</v>
      </c>
      <c r="AG560" s="3">
        <f t="shared" si="105"/>
        <v>93.033919999999995</v>
      </c>
      <c r="AH560" s="1">
        <f t="shared" si="106"/>
        <v>0.12442318323587764</v>
      </c>
    </row>
    <row r="561" spans="23:34" x14ac:dyDescent="0.2">
      <c r="W561" s="4">
        <v>250.00099</v>
      </c>
      <c r="X561" s="1">
        <v>278.5</v>
      </c>
      <c r="Y561" s="3">
        <v>83.364069999999998</v>
      </c>
      <c r="Z561" s="3">
        <f t="shared" si="104"/>
        <v>88.804900000000004</v>
      </c>
      <c r="AA561" s="1">
        <f t="shared" si="107"/>
        <v>0.19431552263352544</v>
      </c>
      <c r="AD561" s="4">
        <v>250.01563999999999</v>
      </c>
      <c r="AE561" s="1">
        <v>278.5</v>
      </c>
      <c r="AF561" s="3">
        <v>92.842600000000004</v>
      </c>
      <c r="AG561" s="3">
        <f t="shared" si="105"/>
        <v>93.104089999999999</v>
      </c>
      <c r="AH561" s="1">
        <f t="shared" si="106"/>
        <v>0.12325828158759307</v>
      </c>
    </row>
    <row r="562" spans="23:34" x14ac:dyDescent="0.2">
      <c r="W562" s="4">
        <v>250.00298000000001</v>
      </c>
      <c r="X562" s="1">
        <v>279</v>
      </c>
      <c r="Y562" s="5">
        <v>83.343040000000002</v>
      </c>
      <c r="Z562" s="3">
        <f t="shared" si="104"/>
        <v>88.783870000000007</v>
      </c>
      <c r="AA562" s="1">
        <f t="shared" si="107"/>
        <v>0.19466471890858064</v>
      </c>
      <c r="AD562" s="4">
        <v>250.01575</v>
      </c>
      <c r="AE562" s="1">
        <v>279</v>
      </c>
      <c r="AF562" s="5">
        <v>92.787890000000004</v>
      </c>
      <c r="AG562" s="3">
        <f t="shared" si="105"/>
        <v>93.049379999999999</v>
      </c>
      <c r="AH562" s="1">
        <f t="shared" si="106"/>
        <v>0.12416652968760226</v>
      </c>
    </row>
    <row r="563" spans="23:34" x14ac:dyDescent="0.2">
      <c r="W563" s="4">
        <v>250.00398999999999</v>
      </c>
      <c r="X563" s="1">
        <v>279.5</v>
      </c>
      <c r="Y563" s="3">
        <v>83.323710000000005</v>
      </c>
      <c r="Z563" s="3">
        <f t="shared" si="104"/>
        <v>88.764540000000011</v>
      </c>
      <c r="AA563" s="1">
        <f t="shared" si="107"/>
        <v>0.19498568723938506</v>
      </c>
      <c r="AD563" s="4">
        <v>250.01566</v>
      </c>
      <c r="AE563" s="1">
        <v>279.5</v>
      </c>
      <c r="AF563" s="3">
        <v>92.793899999999994</v>
      </c>
      <c r="AG563" s="3">
        <f t="shared" si="105"/>
        <v>93.055389999999989</v>
      </c>
      <c r="AH563" s="1">
        <f t="shared" si="106"/>
        <v>0.12406675686579555</v>
      </c>
    </row>
    <row r="564" spans="23:34" x14ac:dyDescent="0.2">
      <c r="W564" s="4">
        <v>250.00398999999999</v>
      </c>
      <c r="X564" s="1">
        <v>280</v>
      </c>
      <c r="Y564" s="5">
        <v>83.314120000000003</v>
      </c>
      <c r="Z564" s="3">
        <f t="shared" si="104"/>
        <v>88.754950000000008</v>
      </c>
      <c r="AA564" s="1">
        <f t="shared" si="107"/>
        <v>0.19514492605430567</v>
      </c>
      <c r="AD564" s="4">
        <v>250.01939999999999</v>
      </c>
      <c r="AE564" s="1">
        <v>280</v>
      </c>
      <c r="AF564" s="5">
        <v>92.711920000000006</v>
      </c>
      <c r="AG564" s="3">
        <f t="shared" si="105"/>
        <v>92.973410000000001</v>
      </c>
      <c r="AH564" s="1">
        <f t="shared" si="106"/>
        <v>0.12542771791932766</v>
      </c>
    </row>
    <row r="565" spans="23:34" x14ac:dyDescent="0.2">
      <c r="W565" s="4">
        <v>250.00798</v>
      </c>
      <c r="X565" s="1">
        <v>280.5</v>
      </c>
      <c r="Y565" s="3">
        <v>83.300700000000006</v>
      </c>
      <c r="Z565" s="3">
        <f t="shared" si="104"/>
        <v>88.741530000000012</v>
      </c>
      <c r="AA565" s="1">
        <f t="shared" si="107"/>
        <v>0.1953677607671559</v>
      </c>
      <c r="AD565" s="4">
        <v>250.01965999999999</v>
      </c>
      <c r="AE565" s="1">
        <v>280.5</v>
      </c>
      <c r="AF565" s="3">
        <v>92.652469999999994</v>
      </c>
      <c r="AG565" s="3">
        <f t="shared" si="105"/>
        <v>92.913959999999989</v>
      </c>
      <c r="AH565" s="1">
        <f t="shared" si="106"/>
        <v>0.1264146553995974</v>
      </c>
    </row>
    <row r="566" spans="23:34" x14ac:dyDescent="0.2">
      <c r="W566" s="4">
        <v>250.00698</v>
      </c>
      <c r="X566" s="1">
        <v>281</v>
      </c>
      <c r="Y566" s="5">
        <v>83.283370000000005</v>
      </c>
      <c r="Z566" s="3">
        <f t="shared" si="104"/>
        <v>88.72420000000001</v>
      </c>
      <c r="AA566" s="1">
        <f t="shared" si="107"/>
        <v>0.195655519751783</v>
      </c>
      <c r="AD566" s="4">
        <v>250.01866999999999</v>
      </c>
      <c r="AE566" s="1">
        <v>281</v>
      </c>
      <c r="AF566" s="5">
        <v>92.75094</v>
      </c>
      <c r="AG566" s="3">
        <f t="shared" si="105"/>
        <v>93.012429999999995</v>
      </c>
      <c r="AH566" s="1">
        <f t="shared" si="106"/>
        <v>0.12477994162866136</v>
      </c>
    </row>
    <row r="567" spans="23:34" x14ac:dyDescent="0.2">
      <c r="W567" s="4">
        <v>250.00299999999999</v>
      </c>
      <c r="X567" s="1">
        <v>281.5</v>
      </c>
      <c r="Y567" s="3">
        <v>83.270060000000001</v>
      </c>
      <c r="Z567" s="3">
        <f t="shared" si="104"/>
        <v>88.710890000000006</v>
      </c>
      <c r="AA567" s="1">
        <f t="shared" si="107"/>
        <v>0.1958765279505936</v>
      </c>
      <c r="AD567" s="4">
        <v>250.02053000000001</v>
      </c>
      <c r="AE567" s="1">
        <v>281.5</v>
      </c>
      <c r="AF567" s="3">
        <v>92.797210000000007</v>
      </c>
      <c r="AG567" s="3">
        <f t="shared" si="105"/>
        <v>93.058700000000002</v>
      </c>
      <c r="AH567" s="1">
        <f t="shared" si="106"/>
        <v>0.12401180710869369</v>
      </c>
    </row>
    <row r="568" spans="23:34" x14ac:dyDescent="0.2">
      <c r="W568" s="4">
        <v>250.00398999999999</v>
      </c>
      <c r="X568" s="1">
        <v>282</v>
      </c>
      <c r="Y568" s="5">
        <v>83.247020000000006</v>
      </c>
      <c r="Z568" s="3">
        <f t="shared" si="104"/>
        <v>88.687850000000012</v>
      </c>
      <c r="AA568" s="1">
        <f t="shared" si="107"/>
        <v>0.19625909961855703</v>
      </c>
      <c r="AD568" s="4">
        <v>250.02024</v>
      </c>
      <c r="AE568" s="1">
        <v>282</v>
      </c>
      <c r="AF568" s="5">
        <v>92.649900000000002</v>
      </c>
      <c r="AG568" s="3">
        <f t="shared" si="105"/>
        <v>92.911389999999997</v>
      </c>
      <c r="AH568" s="1">
        <f t="shared" si="106"/>
        <v>0.12645732031674264</v>
      </c>
    </row>
    <row r="569" spans="23:34" x14ac:dyDescent="0.2">
      <c r="W569" s="4">
        <v>250.00998999999999</v>
      </c>
      <c r="X569" s="1">
        <v>282.5</v>
      </c>
      <c r="Y569" s="3">
        <v>83.231660000000005</v>
      </c>
      <c r="Z569" s="3">
        <f t="shared" si="104"/>
        <v>88.67249000000001</v>
      </c>
      <c r="AA569" s="1">
        <f t="shared" si="107"/>
        <v>0.19651414739719938</v>
      </c>
      <c r="AD569" s="4">
        <v>250.01865000000001</v>
      </c>
      <c r="AE569" s="1">
        <v>282.5</v>
      </c>
      <c r="AF569" s="3">
        <v>92.647689999999997</v>
      </c>
      <c r="AG569" s="3">
        <f t="shared" si="105"/>
        <v>92.909179999999992</v>
      </c>
      <c r="AH569" s="1">
        <f t="shared" si="106"/>
        <v>0.12649400882526074</v>
      </c>
    </row>
    <row r="570" spans="23:34" x14ac:dyDescent="0.2">
      <c r="W570" s="4">
        <v>250.01003</v>
      </c>
      <c r="X570" s="1">
        <v>283</v>
      </c>
      <c r="Y570" s="5">
        <v>83.220169999999996</v>
      </c>
      <c r="Z570" s="3">
        <f t="shared" si="104"/>
        <v>88.661000000000001</v>
      </c>
      <c r="AA570" s="1">
        <f t="shared" si="107"/>
        <v>0.19670493509098866</v>
      </c>
      <c r="AD570" s="4">
        <v>250.01713000000001</v>
      </c>
      <c r="AE570" s="1">
        <v>283</v>
      </c>
      <c r="AF570" s="5">
        <v>92.625559999999993</v>
      </c>
      <c r="AG570" s="3">
        <f t="shared" si="105"/>
        <v>92.887049999999988</v>
      </c>
      <c r="AH570" s="1">
        <f t="shared" si="106"/>
        <v>0.12686139194449317</v>
      </c>
    </row>
    <row r="571" spans="23:34" x14ac:dyDescent="0.2">
      <c r="W571" s="4">
        <v>250.005</v>
      </c>
      <c r="X571" s="1">
        <v>283.5</v>
      </c>
      <c r="Y571" s="3">
        <v>83.189419999999998</v>
      </c>
      <c r="Z571" s="3">
        <f t="shared" si="104"/>
        <v>88.630250000000004</v>
      </c>
      <c r="AA571" s="1">
        <f t="shared" si="107"/>
        <v>0.19721552878846596</v>
      </c>
      <c r="AD571" s="4">
        <v>250.01737</v>
      </c>
      <c r="AE571" s="1">
        <v>283.5</v>
      </c>
      <c r="AF571" s="3">
        <v>92.735470000000007</v>
      </c>
      <c r="AG571" s="3">
        <f t="shared" si="105"/>
        <v>92.996960000000001</v>
      </c>
      <c r="AH571" s="1">
        <f t="shared" si="106"/>
        <v>0.12503676118828733</v>
      </c>
    </row>
    <row r="572" spans="23:34" x14ac:dyDescent="0.2">
      <c r="W572" s="4">
        <v>250.00801999999999</v>
      </c>
      <c r="X572" s="1">
        <v>284</v>
      </c>
      <c r="Y572" s="5">
        <v>83.15307</v>
      </c>
      <c r="Z572" s="3">
        <f t="shared" si="104"/>
        <v>88.593900000000005</v>
      </c>
      <c r="AA572" s="1">
        <f t="shared" si="107"/>
        <v>0.19781910865523999</v>
      </c>
      <c r="AD572" s="4">
        <v>250.01812000000001</v>
      </c>
      <c r="AE572" s="1">
        <v>284</v>
      </c>
      <c r="AF572" s="5">
        <v>92.629459999999995</v>
      </c>
      <c r="AG572" s="3">
        <f t="shared" si="105"/>
        <v>92.890949999999989</v>
      </c>
      <c r="AH572" s="1">
        <f t="shared" si="106"/>
        <v>0.12679664751769665</v>
      </c>
    </row>
    <row r="573" spans="23:34" x14ac:dyDescent="0.2">
      <c r="W573" s="4">
        <v>250.00897000000001</v>
      </c>
      <c r="X573" s="1">
        <v>284.5</v>
      </c>
      <c r="Y573" s="3">
        <v>83.155050000000003</v>
      </c>
      <c r="Z573" s="3">
        <f t="shared" si="104"/>
        <v>88.595880000000008</v>
      </c>
      <c r="AA573" s="1">
        <f t="shared" si="107"/>
        <v>0.19778623140252433</v>
      </c>
      <c r="AD573" s="4">
        <v>250.01713000000001</v>
      </c>
      <c r="AE573" s="1">
        <v>284.5</v>
      </c>
      <c r="AF573" s="3">
        <v>92.560649999999995</v>
      </c>
      <c r="AG573" s="3">
        <f t="shared" si="105"/>
        <v>92.82213999999999</v>
      </c>
      <c r="AH573" s="1">
        <f t="shared" si="106"/>
        <v>0.12793897162227774</v>
      </c>
    </row>
    <row r="574" spans="23:34" x14ac:dyDescent="0.2">
      <c r="W574" s="4">
        <v>250.00408999999999</v>
      </c>
      <c r="X574" s="1">
        <v>285</v>
      </c>
      <c r="Y574" s="5">
        <v>83.151250000000005</v>
      </c>
      <c r="Z574" s="3">
        <f t="shared" si="104"/>
        <v>88.59208000000001</v>
      </c>
      <c r="AA574" s="1">
        <f t="shared" si="107"/>
        <v>0.19784932916026135</v>
      </c>
      <c r="AD574" s="4">
        <v>250.01678999999999</v>
      </c>
      <c r="AE574" s="1">
        <v>285</v>
      </c>
      <c r="AF574" s="5">
        <v>92.682559999999995</v>
      </c>
      <c r="AG574" s="3">
        <f t="shared" si="105"/>
        <v>92.94404999999999</v>
      </c>
      <c r="AH574" s="1">
        <f t="shared" si="106"/>
        <v>0.12591512724515985</v>
      </c>
    </row>
    <row r="575" spans="23:34" x14ac:dyDescent="0.2">
      <c r="W575" s="4">
        <v>250.00398999999999</v>
      </c>
      <c r="X575" s="1">
        <v>285.5</v>
      </c>
      <c r="Y575" s="3">
        <v>83.139719999999997</v>
      </c>
      <c r="Z575" s="3">
        <f t="shared" si="104"/>
        <v>88.580550000000002</v>
      </c>
      <c r="AA575" s="1">
        <f t="shared" si="107"/>
        <v>0.19804078104097411</v>
      </c>
      <c r="AD575" s="4">
        <v>250.01185000000001</v>
      </c>
      <c r="AE575" s="1">
        <v>285.5</v>
      </c>
      <c r="AF575" s="3">
        <v>92.652240000000006</v>
      </c>
      <c r="AG575" s="3">
        <f t="shared" si="105"/>
        <v>92.913730000000001</v>
      </c>
      <c r="AH575" s="1">
        <f t="shared" si="106"/>
        <v>0.12641847366066467</v>
      </c>
    </row>
    <row r="576" spans="23:34" x14ac:dyDescent="0.2">
      <c r="W576" s="4">
        <v>250.00399999999999</v>
      </c>
      <c r="X576" s="1">
        <v>286</v>
      </c>
      <c r="Y576" s="5">
        <v>83.133870000000002</v>
      </c>
      <c r="Z576" s="3">
        <f t="shared" si="104"/>
        <v>88.574700000000007</v>
      </c>
      <c r="AA576" s="1">
        <f t="shared" si="107"/>
        <v>0.19813791837854289</v>
      </c>
      <c r="AD576" s="4">
        <v>250.01453000000001</v>
      </c>
      <c r="AE576" s="1">
        <v>286</v>
      </c>
      <c r="AF576" s="5">
        <v>92.739360000000005</v>
      </c>
      <c r="AG576" s="3">
        <f t="shared" si="105"/>
        <v>93.00085</v>
      </c>
      <c r="AH576" s="1">
        <f t="shared" si="106"/>
        <v>0.12497218277284163</v>
      </c>
    </row>
    <row r="577" spans="23:34" x14ac:dyDescent="0.2">
      <c r="W577" s="4">
        <v>250.00400999999999</v>
      </c>
      <c r="X577" s="1">
        <v>286.5</v>
      </c>
      <c r="Y577" s="3">
        <v>83.112620000000007</v>
      </c>
      <c r="Z577" s="3">
        <f t="shared" si="104"/>
        <v>88.553450000000012</v>
      </c>
      <c r="AA577" s="1">
        <f t="shared" si="107"/>
        <v>0.19849076768167756</v>
      </c>
      <c r="AD577" s="4">
        <v>250.01714999999999</v>
      </c>
      <c r="AE577" s="1">
        <v>286.5</v>
      </c>
      <c r="AF577" s="3">
        <v>92.607529999999997</v>
      </c>
      <c r="AG577" s="3">
        <f t="shared" si="105"/>
        <v>92.869019999999992</v>
      </c>
      <c r="AH577" s="1">
        <f t="shared" si="106"/>
        <v>0.12716071040991378</v>
      </c>
    </row>
    <row r="578" spans="23:34" x14ac:dyDescent="0.2">
      <c r="W578" s="4">
        <v>250.00298000000001</v>
      </c>
      <c r="X578" s="1">
        <v>287</v>
      </c>
      <c r="Y578" s="5">
        <v>83.087940000000003</v>
      </c>
      <c r="Z578" s="3">
        <f t="shared" si="104"/>
        <v>88.528770000000009</v>
      </c>
      <c r="AA578" s="1">
        <f t="shared" si="107"/>
        <v>0.19890057101350661</v>
      </c>
      <c r="AD578" s="4">
        <v>250.01849000000001</v>
      </c>
      <c r="AE578" s="1">
        <v>287</v>
      </c>
      <c r="AF578" s="5">
        <v>92.600819999999999</v>
      </c>
      <c r="AG578" s="3">
        <f t="shared" si="105"/>
        <v>92.862309999999994</v>
      </c>
      <c r="AH578" s="1">
        <f t="shared" si="106"/>
        <v>0.12727210402627387</v>
      </c>
    </row>
    <row r="579" spans="23:34" x14ac:dyDescent="0.2">
      <c r="W579" s="4">
        <v>250.00398000000001</v>
      </c>
      <c r="X579" s="1">
        <v>287.5</v>
      </c>
      <c r="Y579" s="3">
        <v>83.076279999999997</v>
      </c>
      <c r="Z579" s="3">
        <f t="shared" si="104"/>
        <v>88.517110000000002</v>
      </c>
      <c r="AA579" s="1">
        <f t="shared" si="107"/>
        <v>0.1990941815017209</v>
      </c>
      <c r="AD579" s="4">
        <v>250.02030999999999</v>
      </c>
      <c r="AE579" s="1">
        <v>287.5</v>
      </c>
      <c r="AF579" s="3">
        <v>92.699439999999996</v>
      </c>
      <c r="AG579" s="3">
        <f t="shared" si="105"/>
        <v>92.960929999999991</v>
      </c>
      <c r="AH579" s="1">
        <f t="shared" si="106"/>
        <v>0.12563490008507661</v>
      </c>
    </row>
    <row r="580" spans="23:34" x14ac:dyDescent="0.2">
      <c r="W580" s="4">
        <v>250.00497999999999</v>
      </c>
      <c r="X580" s="1">
        <v>288</v>
      </c>
      <c r="Y580" s="5">
        <v>83.062839999999994</v>
      </c>
      <c r="Z580" s="3">
        <f t="shared" si="104"/>
        <v>88.50367</v>
      </c>
      <c r="AA580" s="1">
        <f t="shared" si="107"/>
        <v>0.19931734830803299</v>
      </c>
      <c r="AD580" s="4">
        <v>250.02153999999999</v>
      </c>
      <c r="AE580" s="1">
        <v>288</v>
      </c>
      <c r="AF580" s="5">
        <v>92.618740000000003</v>
      </c>
      <c r="AG580" s="3">
        <f t="shared" si="105"/>
        <v>92.880229999999997</v>
      </c>
      <c r="AH580" s="1">
        <f t="shared" si="106"/>
        <v>0.1269746116857115</v>
      </c>
    </row>
    <row r="581" spans="23:34" x14ac:dyDescent="0.2">
      <c r="W581" s="4">
        <v>250.00899999999999</v>
      </c>
      <c r="X581" s="1">
        <v>288.5</v>
      </c>
      <c r="Y581" s="3">
        <v>83.053529999999995</v>
      </c>
      <c r="Z581" s="3">
        <f t="shared" ref="Z581:Z644" si="108">100-($Y$4-Y581)</f>
        <v>88.49436</v>
      </c>
      <c r="AA581" s="1">
        <f t="shared" si="107"/>
        <v>0.19947193781448874</v>
      </c>
      <c r="AD581" s="4">
        <v>250.02306999999999</v>
      </c>
      <c r="AE581" s="1">
        <v>288.5</v>
      </c>
      <c r="AF581" s="3">
        <v>92.559190000000001</v>
      </c>
      <c r="AG581" s="3">
        <f t="shared" ref="AG581:AG644" si="109">100-($AF$4-AF581)</f>
        <v>92.820679999999996</v>
      </c>
      <c r="AH581" s="1">
        <f t="shared" si="106"/>
        <v>0.12796320927948865</v>
      </c>
    </row>
    <row r="582" spans="23:34" x14ac:dyDescent="0.2">
      <c r="W582" s="4">
        <v>250.00601</v>
      </c>
      <c r="X582" s="1">
        <v>289</v>
      </c>
      <c r="Y582" s="5">
        <v>83.030370000000005</v>
      </c>
      <c r="Z582" s="3">
        <f t="shared" si="108"/>
        <v>88.47120000000001</v>
      </c>
      <c r="AA582" s="1">
        <f t="shared" si="107"/>
        <v>0.19985650204322275</v>
      </c>
      <c r="AD582" s="4">
        <v>250.02616</v>
      </c>
      <c r="AE582" s="1">
        <v>289</v>
      </c>
      <c r="AF582" s="5">
        <v>92.616789999999995</v>
      </c>
      <c r="AG582" s="3">
        <f t="shared" si="109"/>
        <v>92.87827999999999</v>
      </c>
      <c r="AH582" s="1">
        <f t="shared" si="106"/>
        <v>0.12700698389910986</v>
      </c>
    </row>
    <row r="583" spans="23:34" x14ac:dyDescent="0.2">
      <c r="W583" s="4">
        <v>250.00899000000001</v>
      </c>
      <c r="X583" s="1">
        <v>289.5</v>
      </c>
      <c r="Y583" s="3">
        <v>83.020830000000004</v>
      </c>
      <c r="Z583" s="3">
        <f t="shared" si="108"/>
        <v>88.461660000000009</v>
      </c>
      <c r="AA583" s="1">
        <f t="shared" si="107"/>
        <v>0.2000149106244889</v>
      </c>
      <c r="AD583" s="4">
        <v>250.02452</v>
      </c>
      <c r="AE583" s="1">
        <v>289.5</v>
      </c>
      <c r="AF583" s="3">
        <v>92.559420000000003</v>
      </c>
      <c r="AG583" s="3">
        <f t="shared" si="109"/>
        <v>92.820909999999998</v>
      </c>
      <c r="AH583" s="1">
        <f t="shared" si="106"/>
        <v>0.12795939101842113</v>
      </c>
    </row>
    <row r="584" spans="23:34" x14ac:dyDescent="0.2">
      <c r="W584" s="4">
        <v>250.00702000000001</v>
      </c>
      <c r="X584" s="1">
        <v>290</v>
      </c>
      <c r="Y584" s="5">
        <v>82.995810000000006</v>
      </c>
      <c r="Z584" s="3">
        <f t="shared" si="108"/>
        <v>88.436640000000011</v>
      </c>
      <c r="AA584" s="1">
        <f t="shared" si="107"/>
        <v>0.200430359545168</v>
      </c>
      <c r="AD584" s="4">
        <v>250.02072000000001</v>
      </c>
      <c r="AE584" s="1">
        <v>290</v>
      </c>
      <c r="AF584" s="5">
        <v>92.608699999999999</v>
      </c>
      <c r="AG584" s="3">
        <f t="shared" si="109"/>
        <v>92.870189999999994</v>
      </c>
      <c r="AH584" s="1">
        <f t="shared" si="106"/>
        <v>0.1271412870818748</v>
      </c>
    </row>
    <row r="585" spans="23:34" x14ac:dyDescent="0.2">
      <c r="W585" s="4">
        <v>250.00301999999999</v>
      </c>
      <c r="X585" s="1">
        <v>290.5</v>
      </c>
      <c r="Y585" s="3">
        <v>82.982519999999994</v>
      </c>
      <c r="Z585" s="3">
        <f t="shared" si="108"/>
        <v>88.423349999999999</v>
      </c>
      <c r="AA585" s="1">
        <f t="shared" si="107"/>
        <v>0.20065103565051695</v>
      </c>
      <c r="AD585" s="4">
        <v>250.01933</v>
      </c>
      <c r="AE585" s="1">
        <v>290.5</v>
      </c>
      <c r="AF585" s="3">
        <v>92.504750000000001</v>
      </c>
      <c r="AG585" s="3">
        <f t="shared" si="109"/>
        <v>92.766239999999996</v>
      </c>
      <c r="AH585" s="1">
        <f t="shared" si="106"/>
        <v>0.1288669750730273</v>
      </c>
    </row>
    <row r="586" spans="23:34" x14ac:dyDescent="0.2">
      <c r="W586" s="4">
        <v>250.00595999999999</v>
      </c>
      <c r="X586" s="1">
        <v>291</v>
      </c>
      <c r="Y586" s="5">
        <v>82.968919999999997</v>
      </c>
      <c r="Z586" s="3">
        <f t="shared" si="108"/>
        <v>88.409750000000003</v>
      </c>
      <c r="AA586" s="1">
        <f t="shared" si="107"/>
        <v>0.20087685920452317</v>
      </c>
      <c r="AD586" s="4">
        <v>250.01650000000001</v>
      </c>
      <c r="AE586" s="1">
        <v>291</v>
      </c>
      <c r="AF586" s="5">
        <v>92.627799999999993</v>
      </c>
      <c r="AG586" s="3">
        <f t="shared" si="109"/>
        <v>92.889289999999988</v>
      </c>
      <c r="AH586" s="1">
        <f t="shared" ref="AH586:AH649" si="110">($AG$9-AG586)/($AG$9*(1-$N$1))</f>
        <v>0.12682420540192288</v>
      </c>
    </row>
    <row r="587" spans="23:34" x14ac:dyDescent="0.2">
      <c r="W587" s="4">
        <v>250.00895</v>
      </c>
      <c r="X587" s="1">
        <v>291.5</v>
      </c>
      <c r="Y587" s="3">
        <v>82.968980000000002</v>
      </c>
      <c r="Z587" s="3">
        <f t="shared" si="108"/>
        <v>88.409810000000007</v>
      </c>
      <c r="AA587" s="1">
        <f t="shared" si="107"/>
        <v>0.20087586292413775</v>
      </c>
      <c r="AD587" s="4">
        <v>250.01665</v>
      </c>
      <c r="AE587" s="1">
        <v>291.5</v>
      </c>
      <c r="AF587" s="3">
        <v>92.509919999999994</v>
      </c>
      <c r="AG587" s="3">
        <f t="shared" si="109"/>
        <v>92.771409999999989</v>
      </c>
      <c r="AH587" s="1">
        <f t="shared" si="110"/>
        <v>0.12878114720468439</v>
      </c>
    </row>
    <row r="588" spans="23:34" x14ac:dyDescent="0.2">
      <c r="W588" s="4">
        <v>250.01096000000001</v>
      </c>
      <c r="X588" s="1">
        <v>292</v>
      </c>
      <c r="Y588" s="5">
        <v>82.928690000000003</v>
      </c>
      <c r="Z588" s="3">
        <f t="shared" si="108"/>
        <v>88.369520000000009</v>
      </c>
      <c r="AA588" s="1">
        <f t="shared" ref="AA588:AA651" si="111">($Z$11-Z588)/($Z$11*(1-$N$1))</f>
        <v>0.20154486520288123</v>
      </c>
      <c r="AD588" s="4">
        <v>250.01510999999999</v>
      </c>
      <c r="AE588" s="1">
        <v>292</v>
      </c>
      <c r="AF588" s="5">
        <v>92.582480000000004</v>
      </c>
      <c r="AG588" s="3">
        <f t="shared" si="109"/>
        <v>92.843969999999999</v>
      </c>
      <c r="AH588" s="1">
        <f t="shared" si="110"/>
        <v>0.12757656884356805</v>
      </c>
    </row>
    <row r="589" spans="23:34" x14ac:dyDescent="0.2">
      <c r="W589" s="4">
        <v>250.00995</v>
      </c>
      <c r="X589" s="1">
        <v>292.5</v>
      </c>
      <c r="Y589" s="3">
        <v>82.922939999999997</v>
      </c>
      <c r="Z589" s="3">
        <f t="shared" si="108"/>
        <v>88.363770000000002</v>
      </c>
      <c r="AA589" s="1">
        <f t="shared" si="111"/>
        <v>0.20164034207314133</v>
      </c>
      <c r="AD589" s="4">
        <v>250.01669000000001</v>
      </c>
      <c r="AE589" s="1">
        <v>292.5</v>
      </c>
      <c r="AF589" s="3">
        <v>92.637709999999998</v>
      </c>
      <c r="AG589" s="3">
        <f t="shared" si="109"/>
        <v>92.899199999999993</v>
      </c>
      <c r="AH589" s="1">
        <f t="shared" si="110"/>
        <v>0.12665968815331941</v>
      </c>
    </row>
    <row r="590" spans="23:34" x14ac:dyDescent="0.2">
      <c r="W590" s="4">
        <v>250.00899000000001</v>
      </c>
      <c r="X590" s="1">
        <v>293</v>
      </c>
      <c r="Y590" s="5">
        <v>82.896050000000002</v>
      </c>
      <c r="Z590" s="3">
        <f t="shared" si="108"/>
        <v>88.336880000000008</v>
      </c>
      <c r="AA590" s="1">
        <f t="shared" si="111"/>
        <v>0.20208684173249625</v>
      </c>
      <c r="AD590" s="4">
        <v>250.01569000000001</v>
      </c>
      <c r="AE590" s="1">
        <v>293</v>
      </c>
      <c r="AF590" s="5">
        <v>92.384060000000005</v>
      </c>
      <c r="AG590" s="3">
        <f t="shared" si="109"/>
        <v>92.64555</v>
      </c>
      <c r="AH590" s="1">
        <f t="shared" si="110"/>
        <v>0.13087056606535238</v>
      </c>
    </row>
    <row r="591" spans="23:34" x14ac:dyDescent="0.2">
      <c r="W591" s="4">
        <v>249.999</v>
      </c>
      <c r="X591" s="1">
        <v>293.5</v>
      </c>
      <c r="Y591" s="3">
        <v>82.884559999999993</v>
      </c>
      <c r="Z591" s="3">
        <f t="shared" si="108"/>
        <v>88.325389999999999</v>
      </c>
      <c r="AA591" s="1">
        <f t="shared" si="111"/>
        <v>0.20227762942628549</v>
      </c>
      <c r="AD591" s="4">
        <v>250.01679999999999</v>
      </c>
      <c r="AE591" s="1">
        <v>293.5</v>
      </c>
      <c r="AF591" s="3">
        <v>92.491919999999993</v>
      </c>
      <c r="AG591" s="3">
        <f t="shared" si="109"/>
        <v>92.753409999999988</v>
      </c>
      <c r="AH591" s="1">
        <f t="shared" si="110"/>
        <v>0.12907996763605281</v>
      </c>
    </row>
    <row r="592" spans="23:34" x14ac:dyDescent="0.2">
      <c r="W592" s="4">
        <v>250.00303</v>
      </c>
      <c r="X592" s="1">
        <v>294</v>
      </c>
      <c r="Y592" s="5">
        <v>82.857799999999997</v>
      </c>
      <c r="Z592" s="3">
        <f t="shared" si="108"/>
        <v>88.298630000000003</v>
      </c>
      <c r="AA592" s="1">
        <f t="shared" si="111"/>
        <v>0.20272197047813889</v>
      </c>
      <c r="AD592" s="4">
        <v>250.01698999999999</v>
      </c>
      <c r="AE592" s="1">
        <v>294</v>
      </c>
      <c r="AF592" s="5">
        <v>92.462440000000001</v>
      </c>
      <c r="AG592" s="3">
        <f t="shared" si="109"/>
        <v>92.723929999999996</v>
      </c>
      <c r="AH592" s="1">
        <f t="shared" si="110"/>
        <v>0.12956936909809383</v>
      </c>
    </row>
    <row r="593" spans="23:34" x14ac:dyDescent="0.2">
      <c r="W593" s="4">
        <v>250.00402</v>
      </c>
      <c r="X593" s="1">
        <v>294.5</v>
      </c>
      <c r="Y593" s="3">
        <v>82.857770000000002</v>
      </c>
      <c r="Z593" s="3">
        <f t="shared" si="108"/>
        <v>88.298600000000008</v>
      </c>
      <c r="AA593" s="1">
        <f t="shared" si="111"/>
        <v>0.20272246861833149</v>
      </c>
      <c r="AD593" s="4">
        <v>250.01608999999999</v>
      </c>
      <c r="AE593" s="1">
        <v>294.5</v>
      </c>
      <c r="AF593" s="3">
        <v>92.432860000000005</v>
      </c>
      <c r="AG593" s="3">
        <f t="shared" si="109"/>
        <v>92.69435</v>
      </c>
      <c r="AH593" s="1">
        <f t="shared" si="110"/>
        <v>0.13006043067364251</v>
      </c>
    </row>
    <row r="594" spans="23:34" x14ac:dyDescent="0.2">
      <c r="W594" s="4">
        <v>250.00398000000001</v>
      </c>
      <c r="X594" s="1">
        <v>295</v>
      </c>
      <c r="Y594" s="5">
        <v>82.828959999999995</v>
      </c>
      <c r="Z594" s="3">
        <f t="shared" si="108"/>
        <v>88.26979</v>
      </c>
      <c r="AA594" s="1">
        <f t="shared" si="111"/>
        <v>0.20320084925001689</v>
      </c>
      <c r="AD594" s="4">
        <v>250.01468</v>
      </c>
      <c r="AE594" s="1">
        <v>295</v>
      </c>
      <c r="AF594" s="5">
        <v>92.460539999999995</v>
      </c>
      <c r="AG594" s="3">
        <f t="shared" si="109"/>
        <v>92.72202999999999</v>
      </c>
      <c r="AH594" s="1">
        <f t="shared" si="110"/>
        <v>0.12960091125473838</v>
      </c>
    </row>
    <row r="595" spans="23:34" x14ac:dyDescent="0.2">
      <c r="W595" s="4">
        <v>250.01</v>
      </c>
      <c r="X595" s="1">
        <v>295.5</v>
      </c>
      <c r="Y595" s="3">
        <v>82.807879999999997</v>
      </c>
      <c r="Z595" s="3">
        <f t="shared" si="108"/>
        <v>88.248710000000003</v>
      </c>
      <c r="AA595" s="1">
        <f t="shared" si="111"/>
        <v>0.20355087575872655</v>
      </c>
      <c r="AD595" s="4">
        <v>250.01418000000001</v>
      </c>
      <c r="AE595" s="1">
        <v>295.5</v>
      </c>
      <c r="AF595" s="3">
        <v>92.421019999999999</v>
      </c>
      <c r="AG595" s="3">
        <f t="shared" si="109"/>
        <v>92.682509999999994</v>
      </c>
      <c r="AH595" s="1">
        <f t="shared" si="110"/>
        <v>0.1302569881129427</v>
      </c>
    </row>
    <row r="596" spans="23:34" x14ac:dyDescent="0.2">
      <c r="W596" s="4">
        <v>250.001</v>
      </c>
      <c r="X596" s="1">
        <v>296</v>
      </c>
      <c r="Y596" s="5">
        <v>82.804190000000006</v>
      </c>
      <c r="Z596" s="3">
        <f t="shared" si="108"/>
        <v>88.245020000000011</v>
      </c>
      <c r="AA596" s="1">
        <f t="shared" si="111"/>
        <v>0.20361214700242369</v>
      </c>
      <c r="AD596" s="4">
        <v>250.01459</v>
      </c>
      <c r="AE596" s="1">
        <v>296</v>
      </c>
      <c r="AF596" s="5">
        <v>92.450590000000005</v>
      </c>
      <c r="AG596" s="3">
        <f t="shared" si="109"/>
        <v>92.71208</v>
      </c>
      <c r="AH596" s="1">
        <f t="shared" si="110"/>
        <v>0.1297660925487446</v>
      </c>
    </row>
    <row r="597" spans="23:34" x14ac:dyDescent="0.2">
      <c r="W597" s="4">
        <v>250.00201000000001</v>
      </c>
      <c r="X597" s="1">
        <v>296.5</v>
      </c>
      <c r="Y597" s="3">
        <v>82.786829999999995</v>
      </c>
      <c r="Z597" s="3">
        <f t="shared" si="108"/>
        <v>88.22766</v>
      </c>
      <c r="AA597" s="1">
        <f t="shared" si="111"/>
        <v>0.20390040412724361</v>
      </c>
      <c r="AD597" s="4">
        <v>250.01875000000001</v>
      </c>
      <c r="AE597" s="1">
        <v>296.5</v>
      </c>
      <c r="AF597" s="3">
        <v>92.451939999999993</v>
      </c>
      <c r="AG597" s="3">
        <f t="shared" si="109"/>
        <v>92.713429999999988</v>
      </c>
      <c r="AH597" s="1">
        <f t="shared" si="110"/>
        <v>0.12974368101639219</v>
      </c>
    </row>
    <row r="598" spans="23:34" x14ac:dyDescent="0.2">
      <c r="W598" s="4">
        <v>250.00398999999999</v>
      </c>
      <c r="X598" s="1">
        <v>297</v>
      </c>
      <c r="Y598" s="5">
        <v>82.769620000000003</v>
      </c>
      <c r="Z598" s="3">
        <f t="shared" si="108"/>
        <v>88.210450000000009</v>
      </c>
      <c r="AA598" s="1">
        <f t="shared" si="111"/>
        <v>0.20418617055109989</v>
      </c>
      <c r="AD598" s="4">
        <v>250.01715999999999</v>
      </c>
      <c r="AE598" s="1">
        <v>297</v>
      </c>
      <c r="AF598" s="5">
        <v>92.411299999999997</v>
      </c>
      <c r="AG598" s="3">
        <f t="shared" si="109"/>
        <v>92.672789999999992</v>
      </c>
      <c r="AH598" s="1">
        <f t="shared" si="110"/>
        <v>0.13041835114588168</v>
      </c>
    </row>
    <row r="599" spans="23:34" x14ac:dyDescent="0.2">
      <c r="W599" s="4">
        <v>250.00801999999999</v>
      </c>
      <c r="X599" s="1">
        <v>297.5</v>
      </c>
      <c r="Y599" s="3">
        <v>82.746769999999998</v>
      </c>
      <c r="Z599" s="3">
        <f t="shared" si="108"/>
        <v>88.187600000000003</v>
      </c>
      <c r="AA599" s="1">
        <f t="shared" si="111"/>
        <v>0.20456558733117666</v>
      </c>
      <c r="AD599" s="4">
        <v>250.01382000000001</v>
      </c>
      <c r="AE599" s="1">
        <v>297.5</v>
      </c>
      <c r="AF599" s="3">
        <v>92.435940000000002</v>
      </c>
      <c r="AG599" s="3">
        <f t="shared" si="109"/>
        <v>92.697429999999997</v>
      </c>
      <c r="AH599" s="1">
        <f t="shared" si="110"/>
        <v>0.1300092991776084</v>
      </c>
    </row>
    <row r="600" spans="23:34" x14ac:dyDescent="0.2">
      <c r="W600" s="4">
        <v>250.00595999999999</v>
      </c>
      <c r="X600" s="1">
        <v>298</v>
      </c>
      <c r="Y600" s="5">
        <v>82.729309999999998</v>
      </c>
      <c r="Z600" s="3">
        <f t="shared" si="108"/>
        <v>88.170140000000004</v>
      </c>
      <c r="AA600" s="1">
        <f t="shared" si="111"/>
        <v>0.20485550492330526</v>
      </c>
      <c r="AD600" s="4">
        <v>250.01514</v>
      </c>
      <c r="AE600" s="1">
        <v>298</v>
      </c>
      <c r="AF600" s="5">
        <v>92.34066</v>
      </c>
      <c r="AG600" s="3">
        <f t="shared" si="109"/>
        <v>92.602149999999995</v>
      </c>
      <c r="AH600" s="1">
        <f t="shared" si="110"/>
        <v>0.13159105532765186</v>
      </c>
    </row>
    <row r="601" spans="23:34" x14ac:dyDescent="0.2">
      <c r="W601" s="4">
        <v>250.00400999999999</v>
      </c>
      <c r="X601" s="1">
        <v>298.5</v>
      </c>
      <c r="Y601" s="3">
        <v>82.716030000000003</v>
      </c>
      <c r="Z601" s="3">
        <f t="shared" si="108"/>
        <v>88.156860000000009</v>
      </c>
      <c r="AA601" s="1">
        <f t="shared" si="111"/>
        <v>0.20507601498192304</v>
      </c>
      <c r="AD601" s="4">
        <v>250.01241999999999</v>
      </c>
      <c r="AE601" s="1">
        <v>298.5</v>
      </c>
      <c r="AF601" s="3">
        <v>92.389600000000002</v>
      </c>
      <c r="AG601" s="3">
        <f t="shared" si="109"/>
        <v>92.651089999999996</v>
      </c>
      <c r="AH601" s="1">
        <f t="shared" si="110"/>
        <v>0.1307785957770313</v>
      </c>
    </row>
    <row r="602" spans="23:34" x14ac:dyDescent="0.2">
      <c r="W602" s="4">
        <v>250.00599</v>
      </c>
      <c r="X602" s="1">
        <v>299</v>
      </c>
      <c r="Y602" s="5">
        <v>82.683210000000003</v>
      </c>
      <c r="Z602" s="3">
        <f t="shared" si="108"/>
        <v>88.124040000000008</v>
      </c>
      <c r="AA602" s="1">
        <f t="shared" si="111"/>
        <v>0.20562098035269402</v>
      </c>
      <c r="AD602" s="4">
        <v>250.01239000000001</v>
      </c>
      <c r="AE602" s="1">
        <v>299</v>
      </c>
      <c r="AF602" s="5">
        <v>92.441999999999993</v>
      </c>
      <c r="AG602" s="3">
        <f t="shared" si="109"/>
        <v>92.703489999999988</v>
      </c>
      <c r="AH602" s="1">
        <f t="shared" si="110"/>
        <v>0.12990869629904786</v>
      </c>
    </row>
    <row r="603" spans="23:34" x14ac:dyDescent="0.2">
      <c r="W603" s="4">
        <v>250.00399999999999</v>
      </c>
      <c r="X603" s="1">
        <v>299.5</v>
      </c>
      <c r="Y603" s="3">
        <v>82.67944</v>
      </c>
      <c r="Z603" s="3">
        <f t="shared" si="108"/>
        <v>88.120270000000005</v>
      </c>
      <c r="AA603" s="1">
        <f t="shared" si="111"/>
        <v>0.20568357997023842</v>
      </c>
      <c r="AD603" s="4">
        <v>250.01373000000001</v>
      </c>
      <c r="AE603" s="1">
        <v>299.5</v>
      </c>
      <c r="AF603" s="3">
        <v>92.308959999999999</v>
      </c>
      <c r="AG603" s="3">
        <f t="shared" si="109"/>
        <v>92.570449999999994</v>
      </c>
      <c r="AH603" s="1">
        <f t="shared" si="110"/>
        <v>0.13211731130956178</v>
      </c>
    </row>
    <row r="604" spans="23:34" x14ac:dyDescent="0.2">
      <c r="W604" s="4">
        <v>250.00695999999999</v>
      </c>
      <c r="X604" s="1">
        <v>300</v>
      </c>
      <c r="Y604" s="5">
        <v>82.675389999999993</v>
      </c>
      <c r="Z604" s="3">
        <f t="shared" si="108"/>
        <v>88.116219999999998</v>
      </c>
      <c r="AA604" s="1">
        <f t="shared" si="111"/>
        <v>0.20575082889624777</v>
      </c>
      <c r="AD604" s="4">
        <v>250.01045999999999</v>
      </c>
      <c r="AE604" s="1">
        <v>300</v>
      </c>
      <c r="AF604" s="5">
        <v>92.412019999999998</v>
      </c>
      <c r="AG604" s="3">
        <f t="shared" si="109"/>
        <v>92.673509999999993</v>
      </c>
      <c r="AH604" s="1">
        <f t="shared" si="110"/>
        <v>0.13040639832862691</v>
      </c>
    </row>
    <row r="605" spans="23:34" x14ac:dyDescent="0.2">
      <c r="W605" s="4">
        <v>250.006</v>
      </c>
      <c r="X605" s="1">
        <v>300.5</v>
      </c>
      <c r="Y605" s="3">
        <v>82.644760000000005</v>
      </c>
      <c r="Z605" s="3">
        <f t="shared" si="108"/>
        <v>88.08559000000001</v>
      </c>
      <c r="AA605" s="1">
        <f t="shared" si="111"/>
        <v>0.20625943003295427</v>
      </c>
      <c r="AD605" s="4">
        <v>250.00842</v>
      </c>
      <c r="AE605" s="1">
        <v>300.5</v>
      </c>
      <c r="AF605" s="3">
        <v>92.295509999999993</v>
      </c>
      <c r="AG605" s="3">
        <f t="shared" si="109"/>
        <v>92.556999999999988</v>
      </c>
      <c r="AH605" s="1">
        <f t="shared" si="110"/>
        <v>0.13234059657633437</v>
      </c>
    </row>
    <row r="606" spans="23:34" x14ac:dyDescent="0.2">
      <c r="W606" s="4">
        <v>250.00301999999999</v>
      </c>
      <c r="X606" s="1">
        <v>301</v>
      </c>
      <c r="Y606" s="5">
        <v>82.625730000000004</v>
      </c>
      <c r="Z606" s="3">
        <f t="shared" si="108"/>
        <v>88.06656000000001</v>
      </c>
      <c r="AA606" s="1">
        <f t="shared" si="111"/>
        <v>0.20657541696183215</v>
      </c>
      <c r="AD606" s="4">
        <v>250.00960000000001</v>
      </c>
      <c r="AE606" s="1">
        <v>301</v>
      </c>
      <c r="AF606" s="5">
        <v>92.289820000000006</v>
      </c>
      <c r="AG606" s="3">
        <f t="shared" si="109"/>
        <v>92.551310000000001</v>
      </c>
      <c r="AH606" s="1">
        <f t="shared" si="110"/>
        <v>0.13243505703491673</v>
      </c>
    </row>
    <row r="607" spans="23:34" x14ac:dyDescent="0.2">
      <c r="W607" s="4">
        <v>250.00299000000001</v>
      </c>
      <c r="X607" s="1">
        <v>301.5</v>
      </c>
      <c r="Y607" s="3">
        <v>82.622129999999999</v>
      </c>
      <c r="Z607" s="3">
        <f t="shared" si="108"/>
        <v>88.062960000000004</v>
      </c>
      <c r="AA607" s="1">
        <f t="shared" si="111"/>
        <v>0.20663519378495154</v>
      </c>
      <c r="AD607" s="4">
        <v>250.01226</v>
      </c>
      <c r="AE607" s="1">
        <v>301.5</v>
      </c>
      <c r="AF607" s="3">
        <v>92.30574</v>
      </c>
      <c r="AG607" s="3">
        <f t="shared" si="109"/>
        <v>92.567229999999995</v>
      </c>
      <c r="AH607" s="1">
        <f t="shared" si="110"/>
        <v>0.13217076696450655</v>
      </c>
    </row>
    <row r="608" spans="23:34" x14ac:dyDescent="0.2">
      <c r="W608" s="4">
        <v>250.00603000000001</v>
      </c>
      <c r="X608" s="1">
        <v>302</v>
      </c>
      <c r="Y608" s="5">
        <v>82.606610000000003</v>
      </c>
      <c r="Z608" s="3">
        <f t="shared" si="108"/>
        <v>88.047440000000009</v>
      </c>
      <c r="AA608" s="1">
        <f t="shared" si="111"/>
        <v>0.20689289831128801</v>
      </c>
      <c r="AD608" s="4">
        <v>250.01016999999999</v>
      </c>
      <c r="AE608" s="1">
        <v>302</v>
      </c>
      <c r="AF608" s="5">
        <v>92.25018</v>
      </c>
      <c r="AG608" s="3">
        <f t="shared" si="109"/>
        <v>92.511669999999995</v>
      </c>
      <c r="AH608" s="1">
        <f t="shared" si="110"/>
        <v>0.13309312602933035</v>
      </c>
    </row>
    <row r="609" spans="23:34" x14ac:dyDescent="0.2">
      <c r="W609" s="4">
        <v>250.00698</v>
      </c>
      <c r="X609" s="1">
        <v>302.5</v>
      </c>
      <c r="Y609" s="3">
        <v>82.596879999999999</v>
      </c>
      <c r="Z609" s="3">
        <f t="shared" si="108"/>
        <v>88.037710000000004</v>
      </c>
      <c r="AA609" s="1">
        <f t="shared" si="111"/>
        <v>0.20705446178044107</v>
      </c>
      <c r="AD609" s="4">
        <v>250.00873000000001</v>
      </c>
      <c r="AE609" s="1">
        <v>302.5</v>
      </c>
      <c r="AF609" s="3">
        <v>92.34178</v>
      </c>
      <c r="AG609" s="3">
        <f t="shared" si="109"/>
        <v>92.603269999999995</v>
      </c>
      <c r="AH609" s="1">
        <f t="shared" si="110"/>
        <v>0.13157246205636672</v>
      </c>
    </row>
    <row r="610" spans="23:34" x14ac:dyDescent="0.2">
      <c r="W610" s="4">
        <v>250.00303</v>
      </c>
      <c r="X610" s="1">
        <v>303</v>
      </c>
      <c r="Y610" s="5">
        <v>82.587249999999997</v>
      </c>
      <c r="Z610" s="3">
        <f t="shared" si="108"/>
        <v>88.028080000000003</v>
      </c>
      <c r="AA610" s="1">
        <f t="shared" si="111"/>
        <v>0.20721436478228522</v>
      </c>
      <c r="AD610" s="4">
        <v>250.01271</v>
      </c>
      <c r="AE610" s="1">
        <v>303</v>
      </c>
      <c r="AF610" s="5">
        <v>92.228859999999997</v>
      </c>
      <c r="AG610" s="3">
        <f t="shared" si="109"/>
        <v>92.490349999999992</v>
      </c>
      <c r="AH610" s="1">
        <f t="shared" si="110"/>
        <v>0.1334470622291512</v>
      </c>
    </row>
    <row r="611" spans="23:34" x14ac:dyDescent="0.2">
      <c r="W611" s="4">
        <v>250.00601</v>
      </c>
      <c r="X611" s="1">
        <v>303.5</v>
      </c>
      <c r="Y611" s="3">
        <v>82.570059999999998</v>
      </c>
      <c r="Z611" s="3">
        <f t="shared" si="108"/>
        <v>88.010890000000003</v>
      </c>
      <c r="AA611" s="1">
        <f t="shared" si="111"/>
        <v>0.20749979911267988</v>
      </c>
      <c r="AD611" s="4">
        <v>250.01328000000001</v>
      </c>
      <c r="AE611" s="1">
        <v>303.5</v>
      </c>
      <c r="AF611" s="3">
        <v>92.268349999999998</v>
      </c>
      <c r="AG611" s="3">
        <f t="shared" si="109"/>
        <v>92.529839999999993</v>
      </c>
      <c r="AH611" s="1">
        <f t="shared" si="110"/>
        <v>0.13279148340499908</v>
      </c>
    </row>
    <row r="612" spans="23:34" x14ac:dyDescent="0.2">
      <c r="W612" s="4">
        <v>250.00699</v>
      </c>
      <c r="X612" s="1">
        <v>304</v>
      </c>
      <c r="Y612" s="5">
        <v>82.54513</v>
      </c>
      <c r="Z612" s="3">
        <f t="shared" si="108"/>
        <v>87.985960000000006</v>
      </c>
      <c r="AA612" s="1">
        <f t="shared" si="111"/>
        <v>0.207913753612781</v>
      </c>
      <c r="AD612" s="4">
        <v>250.01729</v>
      </c>
      <c r="AE612" s="1">
        <v>304</v>
      </c>
      <c r="AF612" s="5">
        <v>92.197019999999995</v>
      </c>
      <c r="AG612" s="3">
        <f t="shared" si="109"/>
        <v>92.45850999999999</v>
      </c>
      <c r="AH612" s="1">
        <f t="shared" si="110"/>
        <v>0.13397564236997181</v>
      </c>
    </row>
    <row r="613" spans="23:34" x14ac:dyDescent="0.2">
      <c r="W613" s="4">
        <v>250.00596999999999</v>
      </c>
      <c r="X613" s="1">
        <v>304.5</v>
      </c>
      <c r="Y613" s="3">
        <v>82.535700000000006</v>
      </c>
      <c r="Z613" s="3">
        <f t="shared" si="108"/>
        <v>87.976530000000011</v>
      </c>
      <c r="AA613" s="1">
        <f t="shared" si="111"/>
        <v>0.2080703356800073</v>
      </c>
      <c r="AD613" s="4">
        <v>250.01994999999999</v>
      </c>
      <c r="AE613" s="1">
        <v>304.5</v>
      </c>
      <c r="AF613" s="3">
        <v>92.247889999999998</v>
      </c>
      <c r="AG613" s="3">
        <f t="shared" si="109"/>
        <v>92.509379999999993</v>
      </c>
      <c r="AH613" s="1">
        <f t="shared" si="110"/>
        <v>0.1331311426286545</v>
      </c>
    </row>
    <row r="614" spans="23:34" x14ac:dyDescent="0.2">
      <c r="W614" s="4">
        <v>250.00596999999999</v>
      </c>
      <c r="X614" s="1">
        <v>305</v>
      </c>
      <c r="Y614" s="5">
        <v>82.508740000000003</v>
      </c>
      <c r="Z614" s="3">
        <f t="shared" si="108"/>
        <v>87.949570000000008</v>
      </c>
      <c r="AA614" s="1">
        <f t="shared" si="111"/>
        <v>0.20851799766647855</v>
      </c>
      <c r="AD614" s="4">
        <v>250.01768000000001</v>
      </c>
      <c r="AE614" s="1">
        <v>305</v>
      </c>
      <c r="AF614" s="5">
        <v>92.264489999999995</v>
      </c>
      <c r="AG614" s="3">
        <f t="shared" si="109"/>
        <v>92.52597999999999</v>
      </c>
      <c r="AH614" s="1">
        <f t="shared" si="110"/>
        <v>0.13285556378639257</v>
      </c>
    </row>
    <row r="615" spans="23:34" x14ac:dyDescent="0.2">
      <c r="W615" s="4">
        <v>250.00904</v>
      </c>
      <c r="X615" s="1">
        <v>305.5</v>
      </c>
      <c r="Y615" s="3">
        <v>82.491510000000005</v>
      </c>
      <c r="Z615" s="3">
        <f t="shared" si="108"/>
        <v>87.932340000000011</v>
      </c>
      <c r="AA615" s="1">
        <f t="shared" si="111"/>
        <v>0.20880409618379672</v>
      </c>
      <c r="AD615" s="4">
        <v>250.01760999999999</v>
      </c>
      <c r="AE615" s="1">
        <v>305.5</v>
      </c>
      <c r="AF615" s="3">
        <v>92.322090000000003</v>
      </c>
      <c r="AG615" s="3">
        <f t="shared" si="109"/>
        <v>92.583579999999998</v>
      </c>
      <c r="AH615" s="1">
        <f t="shared" si="110"/>
        <v>0.13189933840601353</v>
      </c>
    </row>
    <row r="616" spans="23:34" x14ac:dyDescent="0.2">
      <c r="W616" s="4">
        <v>250.00801000000001</v>
      </c>
      <c r="X616" s="1">
        <v>306</v>
      </c>
      <c r="Y616" s="5">
        <v>82.493530000000007</v>
      </c>
      <c r="Z616" s="3">
        <f t="shared" si="108"/>
        <v>87.934360000000012</v>
      </c>
      <c r="AA616" s="1">
        <f t="shared" si="111"/>
        <v>0.20877055474415754</v>
      </c>
      <c r="AD616" s="4">
        <v>250.01687999999999</v>
      </c>
      <c r="AE616" s="1">
        <v>306</v>
      </c>
      <c r="AF616" s="5">
        <v>92.241579999999999</v>
      </c>
      <c r="AG616" s="3">
        <f t="shared" si="109"/>
        <v>92.503069999999994</v>
      </c>
      <c r="AH616" s="1">
        <f t="shared" si="110"/>
        <v>0.13323589579098416</v>
      </c>
    </row>
    <row r="617" spans="23:34" x14ac:dyDescent="0.2">
      <c r="W617" s="4">
        <v>250.00702000000001</v>
      </c>
      <c r="X617" s="1">
        <v>306.5</v>
      </c>
      <c r="Y617" s="3">
        <v>82.47627</v>
      </c>
      <c r="Z617" s="3">
        <f t="shared" si="108"/>
        <v>87.917100000000005</v>
      </c>
      <c r="AA617" s="1">
        <f t="shared" si="111"/>
        <v>0.20905715140166853</v>
      </c>
      <c r="AD617" s="4">
        <v>250.01586</v>
      </c>
      <c r="AE617" s="1">
        <v>306.5</v>
      </c>
      <c r="AF617" s="3">
        <v>92.282880000000006</v>
      </c>
      <c r="AG617" s="3">
        <f t="shared" si="109"/>
        <v>92.544370000000001</v>
      </c>
      <c r="AH617" s="1">
        <f t="shared" si="110"/>
        <v>0.13255026891234434</v>
      </c>
    </row>
    <row r="618" spans="23:34" x14ac:dyDescent="0.2">
      <c r="W618" s="4">
        <v>250.00199000000001</v>
      </c>
      <c r="X618" s="1">
        <v>307</v>
      </c>
      <c r="Y618" s="5">
        <v>82.462909999999994</v>
      </c>
      <c r="Z618" s="3">
        <f t="shared" si="108"/>
        <v>87.903739999999999</v>
      </c>
      <c r="AA618" s="1">
        <f t="shared" si="111"/>
        <v>0.20927898983413359</v>
      </c>
      <c r="AD618" s="4">
        <v>250.01727</v>
      </c>
      <c r="AE618" s="1">
        <v>307</v>
      </c>
      <c r="AF618" s="5">
        <v>92.227189999999993</v>
      </c>
      <c r="AG618" s="3">
        <f t="shared" si="109"/>
        <v>92.488679999999988</v>
      </c>
      <c r="AH618" s="1">
        <f t="shared" si="110"/>
        <v>0.13347478612472824</v>
      </c>
    </row>
    <row r="619" spans="23:34" x14ac:dyDescent="0.2">
      <c r="W619" s="4">
        <v>250.00198</v>
      </c>
      <c r="X619" s="1">
        <v>307.5</v>
      </c>
      <c r="Y619" s="3">
        <v>82.447429999999997</v>
      </c>
      <c r="Z619" s="3">
        <f t="shared" si="108"/>
        <v>87.888260000000002</v>
      </c>
      <c r="AA619" s="1">
        <f t="shared" si="111"/>
        <v>0.20953603017354652</v>
      </c>
      <c r="AD619" s="4">
        <v>250.01866000000001</v>
      </c>
      <c r="AE619" s="1">
        <v>307.5</v>
      </c>
      <c r="AF619" s="3">
        <v>92.258690000000001</v>
      </c>
      <c r="AG619" s="3">
        <f t="shared" si="109"/>
        <v>92.520179999999996</v>
      </c>
      <c r="AH619" s="1">
        <f t="shared" si="110"/>
        <v>0.1329518503698334</v>
      </c>
    </row>
    <row r="620" spans="23:34" x14ac:dyDescent="0.2">
      <c r="W620" s="4">
        <v>250.00098</v>
      </c>
      <c r="X620" s="1">
        <v>308</v>
      </c>
      <c r="Y620" s="5">
        <v>82.422569999999993</v>
      </c>
      <c r="Z620" s="3">
        <f t="shared" si="108"/>
        <v>87.863399999999999</v>
      </c>
      <c r="AA620" s="1">
        <f t="shared" si="111"/>
        <v>0.20994882234653153</v>
      </c>
      <c r="AD620" s="4">
        <v>250.01723000000001</v>
      </c>
      <c r="AE620" s="1">
        <v>308</v>
      </c>
      <c r="AF620" s="5">
        <v>92.172229999999999</v>
      </c>
      <c r="AG620" s="3">
        <f t="shared" si="109"/>
        <v>92.433719999999994</v>
      </c>
      <c r="AH620" s="1">
        <f t="shared" si="110"/>
        <v>0.13438718450850634</v>
      </c>
    </row>
    <row r="621" spans="23:34" x14ac:dyDescent="0.2">
      <c r="W621" s="4">
        <v>250.00402</v>
      </c>
      <c r="X621" s="1">
        <v>308.5</v>
      </c>
      <c r="Y621" s="3">
        <v>82.414900000000003</v>
      </c>
      <c r="Z621" s="3">
        <f t="shared" si="108"/>
        <v>87.855730000000008</v>
      </c>
      <c r="AA621" s="1">
        <f t="shared" si="111"/>
        <v>0.21007618018912166</v>
      </c>
      <c r="AD621" s="4">
        <v>250.01625000000001</v>
      </c>
      <c r="AE621" s="1">
        <v>308.5</v>
      </c>
      <c r="AF621" s="3">
        <v>92.190790000000007</v>
      </c>
      <c r="AG621" s="3">
        <f t="shared" si="109"/>
        <v>92.452280000000002</v>
      </c>
      <c r="AH621" s="1">
        <f t="shared" si="110"/>
        <v>0.13407906744149523</v>
      </c>
    </row>
    <row r="622" spans="23:34" x14ac:dyDescent="0.2">
      <c r="W622" s="4">
        <v>250.00201999999999</v>
      </c>
      <c r="X622" s="1">
        <v>309</v>
      </c>
      <c r="Y622" s="5">
        <v>82.405270000000002</v>
      </c>
      <c r="Z622" s="3">
        <f t="shared" si="108"/>
        <v>87.846100000000007</v>
      </c>
      <c r="AA622" s="1">
        <f t="shared" si="111"/>
        <v>0.21023608319096582</v>
      </c>
      <c r="AD622" s="4">
        <v>250.01563999999999</v>
      </c>
      <c r="AE622" s="1">
        <v>309</v>
      </c>
      <c r="AF622" s="5">
        <v>92.069950000000006</v>
      </c>
      <c r="AG622" s="3">
        <f t="shared" si="109"/>
        <v>92.331440000000001</v>
      </c>
      <c r="AH622" s="1">
        <f t="shared" si="110"/>
        <v>0.1360851486040818</v>
      </c>
    </row>
    <row r="623" spans="23:34" x14ac:dyDescent="0.2">
      <c r="W623" s="4">
        <v>250.00201999999999</v>
      </c>
      <c r="X623" s="1">
        <v>309.5</v>
      </c>
      <c r="Y623" s="3">
        <v>82.376519999999999</v>
      </c>
      <c r="Z623" s="3">
        <f t="shared" si="108"/>
        <v>87.817350000000005</v>
      </c>
      <c r="AA623" s="1">
        <f t="shared" si="111"/>
        <v>0.21071346754226583</v>
      </c>
      <c r="AD623" s="4">
        <v>250.01268999999999</v>
      </c>
      <c r="AE623" s="1">
        <v>309.5</v>
      </c>
      <c r="AF623" s="3">
        <v>92.04853</v>
      </c>
      <c r="AG623" s="3">
        <f t="shared" si="109"/>
        <v>92.310019999999994</v>
      </c>
      <c r="AH623" s="1">
        <f t="shared" si="110"/>
        <v>0.13644074491741029</v>
      </c>
    </row>
    <row r="624" spans="23:34" x14ac:dyDescent="0.2">
      <c r="W624" s="4">
        <v>250.00295</v>
      </c>
      <c r="X624" s="1">
        <v>310</v>
      </c>
      <c r="Y624" s="5">
        <v>82.380160000000004</v>
      </c>
      <c r="Z624" s="3">
        <f t="shared" si="108"/>
        <v>87.820990000000009</v>
      </c>
      <c r="AA624" s="1">
        <f t="shared" si="111"/>
        <v>0.2106530265322229</v>
      </c>
      <c r="AD624" s="4">
        <v>250.01322999999999</v>
      </c>
      <c r="AE624" s="1">
        <v>310</v>
      </c>
      <c r="AF624" s="5">
        <v>92.135890000000003</v>
      </c>
      <c r="AG624" s="3">
        <f t="shared" si="109"/>
        <v>92.397379999999998</v>
      </c>
      <c r="AH624" s="1">
        <f t="shared" si="110"/>
        <v>0.13499046975716891</v>
      </c>
    </row>
    <row r="625" spans="23:34" x14ac:dyDescent="0.2">
      <c r="W625" s="4">
        <v>250.00503</v>
      </c>
      <c r="X625" s="1">
        <v>310.5</v>
      </c>
      <c r="Y625" s="3">
        <v>82.341920000000002</v>
      </c>
      <c r="Z625" s="3">
        <f t="shared" si="108"/>
        <v>87.782750000000007</v>
      </c>
      <c r="AA625" s="1">
        <f t="shared" si="111"/>
        <v>0.21128798923113462</v>
      </c>
      <c r="AD625" s="4">
        <v>250.01412999999999</v>
      </c>
      <c r="AE625" s="1">
        <v>310.5</v>
      </c>
      <c r="AF625" s="3">
        <v>92.143129999999999</v>
      </c>
      <c r="AG625" s="3">
        <f t="shared" si="109"/>
        <v>92.404619999999994</v>
      </c>
      <c r="AH625" s="1">
        <f t="shared" si="110"/>
        <v>0.13487027753921857</v>
      </c>
    </row>
    <row r="626" spans="23:34" x14ac:dyDescent="0.2">
      <c r="W626" s="4">
        <v>250.00899999999999</v>
      </c>
      <c r="X626" s="1">
        <v>311</v>
      </c>
      <c r="Y626" s="5">
        <v>82.326639999999998</v>
      </c>
      <c r="Z626" s="3">
        <f t="shared" si="108"/>
        <v>87.767470000000003</v>
      </c>
      <c r="AA626" s="1">
        <f t="shared" si="111"/>
        <v>0.21154170863592994</v>
      </c>
      <c r="AD626" s="4">
        <v>250.01496</v>
      </c>
      <c r="AE626" s="1">
        <v>311</v>
      </c>
      <c r="AF626" s="5">
        <v>92.029409999999999</v>
      </c>
      <c r="AG626" s="3">
        <f t="shared" si="109"/>
        <v>92.290899999999993</v>
      </c>
      <c r="AH626" s="1">
        <f t="shared" si="110"/>
        <v>0.13675815862006385</v>
      </c>
    </row>
    <row r="627" spans="23:34" x14ac:dyDescent="0.2">
      <c r="W627" s="4">
        <v>250.00801999999999</v>
      </c>
      <c r="X627" s="1">
        <v>311.5</v>
      </c>
      <c r="Y627" s="3">
        <v>82.307509999999994</v>
      </c>
      <c r="Z627" s="3">
        <f t="shared" si="108"/>
        <v>87.748339999999999</v>
      </c>
      <c r="AA627" s="1">
        <f t="shared" si="111"/>
        <v>0.21185935603211672</v>
      </c>
      <c r="AD627" s="4">
        <v>250.01253</v>
      </c>
      <c r="AE627" s="1">
        <v>311.5</v>
      </c>
      <c r="AF627" s="3">
        <v>92.063590000000005</v>
      </c>
      <c r="AG627" s="3">
        <f t="shared" si="109"/>
        <v>92.32508</v>
      </c>
      <c r="AH627" s="1">
        <f t="shared" si="110"/>
        <v>0.13619073182316532</v>
      </c>
    </row>
    <row r="628" spans="23:34" x14ac:dyDescent="0.2">
      <c r="W628" s="4">
        <v>250.00702000000001</v>
      </c>
      <c r="X628" s="1">
        <v>312</v>
      </c>
      <c r="Y628" s="5">
        <v>82.3018</v>
      </c>
      <c r="Z628" s="3">
        <f t="shared" si="108"/>
        <v>87.742630000000005</v>
      </c>
      <c r="AA628" s="1">
        <f t="shared" si="111"/>
        <v>0.21195416871545306</v>
      </c>
      <c r="AD628" s="4">
        <v>250.01197999999999</v>
      </c>
      <c r="AE628" s="1">
        <v>312</v>
      </c>
      <c r="AF628" s="5">
        <v>92.082099999999997</v>
      </c>
      <c r="AG628" s="3">
        <f t="shared" si="109"/>
        <v>92.343589999999992</v>
      </c>
      <c r="AH628" s="1">
        <f t="shared" si="110"/>
        <v>0.13588344481290826</v>
      </c>
    </row>
    <row r="629" spans="23:34" x14ac:dyDescent="0.2">
      <c r="W629" s="4">
        <v>250.00801000000001</v>
      </c>
      <c r="X629" s="1">
        <v>312.5</v>
      </c>
      <c r="Y629" s="3">
        <v>82.290239999999997</v>
      </c>
      <c r="Z629" s="3">
        <f t="shared" si="108"/>
        <v>87.731070000000003</v>
      </c>
      <c r="AA629" s="1">
        <f t="shared" si="111"/>
        <v>0.21214611873635844</v>
      </c>
      <c r="AD629" s="4">
        <v>250.00946999999999</v>
      </c>
      <c r="AE629" s="1">
        <v>312.5</v>
      </c>
      <c r="AF629" s="3">
        <v>92.032539999999997</v>
      </c>
      <c r="AG629" s="3">
        <f t="shared" si="109"/>
        <v>92.294029999999992</v>
      </c>
      <c r="AH629" s="1">
        <f t="shared" si="110"/>
        <v>0.13670619706727594</v>
      </c>
    </row>
    <row r="630" spans="23:34" x14ac:dyDescent="0.2">
      <c r="W630" s="4">
        <v>250.00797</v>
      </c>
      <c r="X630" s="1">
        <v>313</v>
      </c>
      <c r="Y630" s="5">
        <v>82.263440000000003</v>
      </c>
      <c r="Z630" s="3">
        <f t="shared" si="108"/>
        <v>87.704270000000008</v>
      </c>
      <c r="AA630" s="1">
        <f t="shared" si="111"/>
        <v>0.21259112397513535</v>
      </c>
      <c r="AD630" s="4">
        <v>250.01007000000001</v>
      </c>
      <c r="AE630" s="1">
        <v>313</v>
      </c>
      <c r="AF630" s="5">
        <v>92.06071</v>
      </c>
      <c r="AG630" s="3">
        <f t="shared" si="109"/>
        <v>92.322199999999995</v>
      </c>
      <c r="AH630" s="1">
        <f t="shared" si="110"/>
        <v>0.13623854309218433</v>
      </c>
    </row>
    <row r="631" spans="23:34" x14ac:dyDescent="0.2">
      <c r="W631" s="4">
        <v>250.00505999999999</v>
      </c>
      <c r="X631" s="1">
        <v>313.5</v>
      </c>
      <c r="Y631" s="3">
        <v>82.255880000000005</v>
      </c>
      <c r="Z631" s="3">
        <f t="shared" si="108"/>
        <v>87.69671000000001</v>
      </c>
      <c r="AA631" s="1">
        <f t="shared" si="111"/>
        <v>0.21271665530368586</v>
      </c>
      <c r="AD631" s="4">
        <v>250.01102</v>
      </c>
      <c r="AE631" s="1">
        <v>313.5</v>
      </c>
      <c r="AF631" s="3">
        <v>91.936580000000006</v>
      </c>
      <c r="AG631" s="3">
        <f t="shared" si="109"/>
        <v>92.198070000000001</v>
      </c>
      <c r="AH631" s="1">
        <f t="shared" si="110"/>
        <v>0.1382992419891709</v>
      </c>
    </row>
    <row r="632" spans="23:34" x14ac:dyDescent="0.2">
      <c r="W632" s="4">
        <v>250.00303</v>
      </c>
      <c r="X632" s="1">
        <v>314</v>
      </c>
      <c r="Y632" s="5">
        <v>82.240309999999994</v>
      </c>
      <c r="Z632" s="3">
        <f t="shared" si="108"/>
        <v>87.681139999999999</v>
      </c>
      <c r="AA632" s="1">
        <f t="shared" si="111"/>
        <v>0.21297519006367702</v>
      </c>
      <c r="AD632" s="4">
        <v>250.01609999999999</v>
      </c>
      <c r="AE632" s="1">
        <v>314</v>
      </c>
      <c r="AF632" s="5">
        <v>92.089129999999997</v>
      </c>
      <c r="AG632" s="3">
        <f t="shared" si="109"/>
        <v>92.350619999999992</v>
      </c>
      <c r="AH632" s="1">
        <f t="shared" si="110"/>
        <v>0.13576673883332382</v>
      </c>
    </row>
    <row r="633" spans="23:34" x14ac:dyDescent="0.2">
      <c r="W633" s="4">
        <v>250.00400999999999</v>
      </c>
      <c r="X633" s="1">
        <v>314.5</v>
      </c>
      <c r="Y633" s="3">
        <v>82.225049999999996</v>
      </c>
      <c r="Z633" s="3">
        <f t="shared" si="108"/>
        <v>87.665880000000001</v>
      </c>
      <c r="AA633" s="1">
        <f t="shared" si="111"/>
        <v>0.21322857737501044</v>
      </c>
      <c r="AD633" s="4">
        <v>250.02376000000001</v>
      </c>
      <c r="AE633" s="1">
        <v>314.5</v>
      </c>
      <c r="AF633" s="3">
        <v>92.114580000000004</v>
      </c>
      <c r="AG633" s="3">
        <f t="shared" si="109"/>
        <v>92.376069999999999</v>
      </c>
      <c r="AH633" s="1">
        <f t="shared" si="110"/>
        <v>0.13534423994563893</v>
      </c>
    </row>
    <row r="634" spans="23:34" x14ac:dyDescent="0.2">
      <c r="W634" s="4">
        <v>250.00399999999999</v>
      </c>
      <c r="X634" s="1">
        <v>315</v>
      </c>
      <c r="Y634" s="5">
        <v>82.207970000000003</v>
      </c>
      <c r="Z634" s="3">
        <f t="shared" si="108"/>
        <v>87.648800000000008</v>
      </c>
      <c r="AA634" s="1">
        <f t="shared" si="111"/>
        <v>0.21351218519136525</v>
      </c>
      <c r="AD634" s="4">
        <v>250.02598</v>
      </c>
      <c r="AE634" s="1">
        <v>315</v>
      </c>
      <c r="AF634" s="5">
        <v>92.053210000000007</v>
      </c>
      <c r="AG634" s="3">
        <f t="shared" si="109"/>
        <v>92.314700000000002</v>
      </c>
      <c r="AH634" s="1">
        <f t="shared" si="110"/>
        <v>0.13636305160525439</v>
      </c>
    </row>
    <row r="635" spans="23:34" x14ac:dyDescent="0.2">
      <c r="W635" s="4">
        <v>250.00398000000001</v>
      </c>
      <c r="X635" s="1">
        <v>315.5</v>
      </c>
      <c r="Y635" s="3">
        <v>82.209689999999995</v>
      </c>
      <c r="Z635" s="3">
        <f t="shared" si="108"/>
        <v>87.65052</v>
      </c>
      <c r="AA635" s="1">
        <f t="shared" si="111"/>
        <v>0.21348362515365282</v>
      </c>
      <c r="AD635" s="4">
        <v>250.02753999999999</v>
      </c>
      <c r="AE635" s="1">
        <v>315.5</v>
      </c>
      <c r="AF635" s="3">
        <v>91.975960000000001</v>
      </c>
      <c r="AG635" s="3">
        <f t="shared" si="109"/>
        <v>92.237449999999995</v>
      </c>
      <c r="AH635" s="1">
        <f t="shared" si="110"/>
        <v>0.13764548928987724</v>
      </c>
    </row>
    <row r="636" spans="23:34" x14ac:dyDescent="0.2">
      <c r="W636" s="4">
        <v>250.00700000000001</v>
      </c>
      <c r="X636" s="1">
        <v>316</v>
      </c>
      <c r="Y636" s="5">
        <v>82.175129999999996</v>
      </c>
      <c r="Z636" s="3">
        <f t="shared" si="108"/>
        <v>87.615960000000001</v>
      </c>
      <c r="AA636" s="1">
        <f t="shared" si="111"/>
        <v>0.2140574826555981</v>
      </c>
      <c r="AD636" s="4">
        <v>250.02280999999999</v>
      </c>
      <c r="AE636" s="1">
        <v>316</v>
      </c>
      <c r="AF636" s="5">
        <v>91.970299999999995</v>
      </c>
      <c r="AG636" s="3">
        <f t="shared" si="109"/>
        <v>92.23178999999999</v>
      </c>
      <c r="AH636" s="1">
        <f t="shared" si="110"/>
        <v>0.13773945171440763</v>
      </c>
    </row>
    <row r="637" spans="23:34" x14ac:dyDescent="0.2">
      <c r="W637" s="4">
        <v>250.00400999999999</v>
      </c>
      <c r="X637" s="1">
        <v>316.5</v>
      </c>
      <c r="Y637" s="3">
        <v>82.171409999999995</v>
      </c>
      <c r="Z637" s="3">
        <f t="shared" si="108"/>
        <v>87.61224</v>
      </c>
      <c r="AA637" s="1">
        <f t="shared" si="111"/>
        <v>0.21411925203948806</v>
      </c>
      <c r="AD637" s="4">
        <v>250.01808</v>
      </c>
      <c r="AE637" s="1">
        <v>316.5</v>
      </c>
      <c r="AF637" s="3">
        <v>91.954120000000003</v>
      </c>
      <c r="AG637" s="3">
        <f t="shared" si="109"/>
        <v>92.215609999999998</v>
      </c>
      <c r="AH637" s="1">
        <f t="shared" si="110"/>
        <v>0.13800805807993752</v>
      </c>
    </row>
    <row r="638" spans="23:34" x14ac:dyDescent="0.2">
      <c r="W638" s="4">
        <v>250.00794999999999</v>
      </c>
      <c r="X638" s="1">
        <v>317</v>
      </c>
      <c r="Y638" s="5">
        <v>82.155889999999999</v>
      </c>
      <c r="Z638" s="3">
        <f t="shared" si="108"/>
        <v>87.596720000000005</v>
      </c>
      <c r="AA638" s="1">
        <f t="shared" si="111"/>
        <v>0.21437695656582451</v>
      </c>
      <c r="AD638" s="4">
        <v>250.02018000000001</v>
      </c>
      <c r="AE638" s="1">
        <v>317</v>
      </c>
      <c r="AF638" s="5">
        <v>92.007649999999998</v>
      </c>
      <c r="AG638" s="3">
        <f t="shared" si="109"/>
        <v>92.269139999999993</v>
      </c>
      <c r="AH638" s="1">
        <f t="shared" si="110"/>
        <v>0.13711939931931813</v>
      </c>
    </row>
    <row r="639" spans="23:34" x14ac:dyDescent="0.2">
      <c r="W639" s="4">
        <v>250.00503</v>
      </c>
      <c r="X639" s="1">
        <v>317.5</v>
      </c>
      <c r="Y639" s="3">
        <v>82.138739999999999</v>
      </c>
      <c r="Z639" s="3">
        <f t="shared" si="108"/>
        <v>87.579570000000004</v>
      </c>
      <c r="AA639" s="1">
        <f t="shared" si="111"/>
        <v>0.21466172670929565</v>
      </c>
      <c r="AD639" s="4">
        <v>250.02012999999999</v>
      </c>
      <c r="AE639" s="1">
        <v>317.5</v>
      </c>
      <c r="AF639" s="3">
        <v>91.967060000000004</v>
      </c>
      <c r="AG639" s="3">
        <f t="shared" si="109"/>
        <v>92.228549999999998</v>
      </c>
      <c r="AH639" s="1">
        <f t="shared" si="110"/>
        <v>0.13779323939205379</v>
      </c>
    </row>
    <row r="640" spans="23:34" x14ac:dyDescent="0.2">
      <c r="W640" s="4">
        <v>250.01000999999999</v>
      </c>
      <c r="X640" s="1">
        <v>318</v>
      </c>
      <c r="Y640" s="5">
        <v>82.132900000000006</v>
      </c>
      <c r="Z640" s="3">
        <f t="shared" si="108"/>
        <v>87.573730000000012</v>
      </c>
      <c r="AA640" s="1">
        <f t="shared" si="111"/>
        <v>0.21475869800013347</v>
      </c>
      <c r="AD640" s="4">
        <v>250.01536999999999</v>
      </c>
      <c r="AE640" s="1">
        <v>318</v>
      </c>
      <c r="AF640" s="5">
        <v>92.040059999999997</v>
      </c>
      <c r="AG640" s="3">
        <f t="shared" si="109"/>
        <v>92.301549999999992</v>
      </c>
      <c r="AH640" s="1">
        <f t="shared" si="110"/>
        <v>0.13658135653150424</v>
      </c>
    </row>
    <row r="641" spans="23:34" x14ac:dyDescent="0.2">
      <c r="W641" s="4">
        <v>250.00496000000001</v>
      </c>
      <c r="X641" s="1">
        <v>318.5</v>
      </c>
      <c r="Y641" s="3">
        <v>82.113950000000003</v>
      </c>
      <c r="Z641" s="3">
        <f t="shared" si="108"/>
        <v>87.554780000000008</v>
      </c>
      <c r="AA641" s="1">
        <f t="shared" si="111"/>
        <v>0.21507335655516432</v>
      </c>
      <c r="AD641" s="4">
        <v>250.01517999999999</v>
      </c>
      <c r="AE641" s="1">
        <v>318.5</v>
      </c>
      <c r="AF641" s="3">
        <v>91.888509999999997</v>
      </c>
      <c r="AG641" s="3">
        <f t="shared" si="109"/>
        <v>92.149999999999991</v>
      </c>
      <c r="AH641" s="1">
        <f t="shared" si="110"/>
        <v>0.13909725855227545</v>
      </c>
    </row>
    <row r="642" spans="23:34" x14ac:dyDescent="0.2">
      <c r="W642" s="4">
        <v>250.00596999999999</v>
      </c>
      <c r="X642" s="1">
        <v>319</v>
      </c>
      <c r="Y642" s="5">
        <v>82.098519999999994</v>
      </c>
      <c r="Z642" s="3">
        <f t="shared" si="108"/>
        <v>87.539349999999999</v>
      </c>
      <c r="AA642" s="1">
        <f t="shared" si="111"/>
        <v>0.21532956666092301</v>
      </c>
      <c r="AD642" s="4">
        <v>250.01930999999999</v>
      </c>
      <c r="AE642" s="1">
        <v>319</v>
      </c>
      <c r="AF642" s="5">
        <v>91.988600000000005</v>
      </c>
      <c r="AG642" s="3">
        <f t="shared" si="109"/>
        <v>92.25009</v>
      </c>
      <c r="AH642" s="1">
        <f t="shared" si="110"/>
        <v>0.13743565094251622</v>
      </c>
    </row>
    <row r="643" spans="23:34" x14ac:dyDescent="0.2">
      <c r="W643" s="4">
        <v>250.00198</v>
      </c>
      <c r="X643" s="1">
        <v>319.5</v>
      </c>
      <c r="Y643" s="3">
        <v>82.075379999999996</v>
      </c>
      <c r="Z643" s="3">
        <f t="shared" si="108"/>
        <v>87.516210000000001</v>
      </c>
      <c r="AA643" s="1">
        <f t="shared" si="111"/>
        <v>0.21571379879619537</v>
      </c>
      <c r="AD643" s="4">
        <v>250.01979</v>
      </c>
      <c r="AE643" s="1">
        <v>319.5</v>
      </c>
      <c r="AF643" s="3">
        <v>91.933989999999994</v>
      </c>
      <c r="AG643" s="3">
        <f t="shared" si="109"/>
        <v>92.195479999999989</v>
      </c>
      <c r="AH643" s="1">
        <f t="shared" si="110"/>
        <v>0.13834223892901801</v>
      </c>
    </row>
    <row r="644" spans="23:34" x14ac:dyDescent="0.2">
      <c r="W644" s="4">
        <v>250.00703999999999</v>
      </c>
      <c r="X644" s="1">
        <v>320</v>
      </c>
      <c r="Y644" s="5">
        <v>82.065929999999994</v>
      </c>
      <c r="Z644" s="3">
        <f t="shared" si="108"/>
        <v>87.50676</v>
      </c>
      <c r="AA644" s="1">
        <f t="shared" si="111"/>
        <v>0.21587071295688356</v>
      </c>
      <c r="AD644" s="4">
        <v>250.01823999999999</v>
      </c>
      <c r="AE644" s="1">
        <v>320</v>
      </c>
      <c r="AF644" s="5">
        <v>91.904660000000007</v>
      </c>
      <c r="AG644" s="3">
        <f t="shared" si="109"/>
        <v>92.166150000000002</v>
      </c>
      <c r="AH644" s="1">
        <f t="shared" si="110"/>
        <v>0.13882915022079753</v>
      </c>
    </row>
    <row r="645" spans="23:34" x14ac:dyDescent="0.2">
      <c r="W645" s="4">
        <v>250.00502</v>
      </c>
      <c r="X645" s="1">
        <v>320.5</v>
      </c>
      <c r="Y645" s="3">
        <v>82.035210000000006</v>
      </c>
      <c r="Z645" s="3">
        <f t="shared" ref="Z645:Z708" si="112">100-($Y$4-Y645)</f>
        <v>87.476040000000012</v>
      </c>
      <c r="AA645" s="1">
        <f t="shared" si="111"/>
        <v>0.21638080851416808</v>
      </c>
      <c r="AD645" s="4">
        <v>250.0196</v>
      </c>
      <c r="AE645" s="1">
        <v>320.5</v>
      </c>
      <c r="AF645" s="3">
        <v>91.986639999999994</v>
      </c>
      <c r="AG645" s="3">
        <f t="shared" ref="AG645:AG708" si="113">100-($AF$4-AF645)</f>
        <v>92.248129999999989</v>
      </c>
      <c r="AH645" s="1">
        <f t="shared" si="110"/>
        <v>0.13746818916726541</v>
      </c>
    </row>
    <row r="646" spans="23:34" x14ac:dyDescent="0.2">
      <c r="W646" s="4">
        <v>250.00702000000001</v>
      </c>
      <c r="X646" s="1">
        <v>321</v>
      </c>
      <c r="Y646" s="5">
        <v>82.031289999999998</v>
      </c>
      <c r="Z646" s="3">
        <f t="shared" si="112"/>
        <v>87.472120000000004</v>
      </c>
      <c r="AA646" s="1">
        <f t="shared" si="111"/>
        <v>0.21644589883267587</v>
      </c>
      <c r="AD646" s="4">
        <v>250.02035000000001</v>
      </c>
      <c r="AE646" s="1">
        <v>321</v>
      </c>
      <c r="AF646" s="5">
        <v>91.933340000000001</v>
      </c>
      <c r="AG646" s="3">
        <f t="shared" si="113"/>
        <v>92.194829999999996</v>
      </c>
      <c r="AH646" s="1">
        <f t="shared" si="110"/>
        <v>0.13835302966681728</v>
      </c>
    </row>
    <row r="647" spans="23:34" x14ac:dyDescent="0.2">
      <c r="W647" s="4">
        <v>250.006</v>
      </c>
      <c r="X647" s="1">
        <v>321.5</v>
      </c>
      <c r="Y647" s="3">
        <v>82.016019999999997</v>
      </c>
      <c r="Z647" s="3">
        <f t="shared" si="112"/>
        <v>87.456850000000003</v>
      </c>
      <c r="AA647" s="1">
        <f t="shared" si="111"/>
        <v>0.21669945219074027</v>
      </c>
      <c r="AD647" s="4">
        <v>250.02072000000001</v>
      </c>
      <c r="AE647" s="1">
        <v>321.5</v>
      </c>
      <c r="AF647" s="3">
        <v>91.774180000000001</v>
      </c>
      <c r="AG647" s="3">
        <f t="shared" si="113"/>
        <v>92.035669999999996</v>
      </c>
      <c r="AH647" s="1">
        <f t="shared" si="110"/>
        <v>0.14099526632551704</v>
      </c>
    </row>
    <row r="648" spans="23:34" x14ac:dyDescent="0.2">
      <c r="W648" s="4">
        <v>250.00494</v>
      </c>
      <c r="X648" s="1">
        <v>322</v>
      </c>
      <c r="Y648" s="5">
        <v>82.013959999999997</v>
      </c>
      <c r="Z648" s="3">
        <f t="shared" si="112"/>
        <v>87.454790000000003</v>
      </c>
      <c r="AA648" s="1">
        <f t="shared" si="111"/>
        <v>0.21673365781730297</v>
      </c>
      <c r="AD648" s="4">
        <v>250.01849999999999</v>
      </c>
      <c r="AE648" s="1">
        <v>322</v>
      </c>
      <c r="AF648" s="5">
        <v>91.702920000000006</v>
      </c>
      <c r="AG648" s="3">
        <f t="shared" si="113"/>
        <v>91.964410000000001</v>
      </c>
      <c r="AH648" s="1">
        <f t="shared" si="110"/>
        <v>0.1421782632110343</v>
      </c>
    </row>
    <row r="649" spans="23:34" x14ac:dyDescent="0.2">
      <c r="W649" s="4">
        <v>250.00299000000001</v>
      </c>
      <c r="X649" s="1">
        <v>322.5</v>
      </c>
      <c r="Y649" s="3">
        <v>81.979500000000002</v>
      </c>
      <c r="Z649" s="3">
        <f t="shared" si="112"/>
        <v>87.420330000000007</v>
      </c>
      <c r="AA649" s="1">
        <f t="shared" si="111"/>
        <v>0.21730585485193932</v>
      </c>
      <c r="AD649" s="4">
        <v>250.01799</v>
      </c>
      <c r="AE649" s="1">
        <v>322.5</v>
      </c>
      <c r="AF649" s="3">
        <v>91.798929999999999</v>
      </c>
      <c r="AG649" s="3">
        <f t="shared" si="113"/>
        <v>92.060419999999993</v>
      </c>
      <c r="AH649" s="1">
        <f t="shared" si="110"/>
        <v>0.1405843882323855</v>
      </c>
    </row>
    <row r="650" spans="23:34" x14ac:dyDescent="0.2">
      <c r="W650" s="4">
        <v>250.00301999999999</v>
      </c>
      <c r="X650" s="1">
        <v>323</v>
      </c>
      <c r="Y650" s="5">
        <v>81.968029999999999</v>
      </c>
      <c r="Z650" s="3">
        <f t="shared" si="112"/>
        <v>87.408860000000004</v>
      </c>
      <c r="AA650" s="1">
        <f t="shared" si="111"/>
        <v>0.21749631045226669</v>
      </c>
      <c r="AD650" s="4">
        <v>250.01982000000001</v>
      </c>
      <c r="AE650" s="1">
        <v>323</v>
      </c>
      <c r="AF650" s="5">
        <v>91.870400000000004</v>
      </c>
      <c r="AG650" s="3">
        <f t="shared" si="113"/>
        <v>92.131889999999999</v>
      </c>
      <c r="AH650" s="1">
        <f t="shared" ref="AH650:AH713" si="114">($AG$9-AG650)/($AG$9*(1-$N$1))</f>
        <v>0.13939790510850211</v>
      </c>
    </row>
    <row r="651" spans="23:34" x14ac:dyDescent="0.2">
      <c r="W651" s="4">
        <v>250.00803999999999</v>
      </c>
      <c r="X651" s="1">
        <v>323.5</v>
      </c>
      <c r="Y651" s="3">
        <v>81.962320000000005</v>
      </c>
      <c r="Z651" s="3">
        <f t="shared" si="112"/>
        <v>87.403150000000011</v>
      </c>
      <c r="AA651" s="1">
        <f t="shared" si="111"/>
        <v>0.21759112313560303</v>
      </c>
      <c r="AD651" s="4">
        <v>250.02157</v>
      </c>
      <c r="AE651" s="1">
        <v>323.5</v>
      </c>
      <c r="AF651" s="3">
        <v>91.806330000000003</v>
      </c>
      <c r="AG651" s="3">
        <f t="shared" si="113"/>
        <v>92.067819999999998</v>
      </c>
      <c r="AH651" s="1">
        <f t="shared" si="114"/>
        <v>0.14046153983282289</v>
      </c>
    </row>
    <row r="652" spans="23:34" x14ac:dyDescent="0.2">
      <c r="W652" s="4">
        <v>250.00503</v>
      </c>
      <c r="X652" s="1">
        <v>324</v>
      </c>
      <c r="Y652" s="5">
        <v>81.935500000000005</v>
      </c>
      <c r="Z652" s="3">
        <f t="shared" si="112"/>
        <v>87.37633000000001</v>
      </c>
      <c r="AA652" s="1">
        <f t="shared" ref="AA652:AA715" si="115">($Z$11-Z652)/($Z$11*(1-$N$1))</f>
        <v>0.21803646046784184</v>
      </c>
      <c r="AD652" s="4">
        <v>250.02030999999999</v>
      </c>
      <c r="AE652" s="1">
        <v>324</v>
      </c>
      <c r="AF652" s="5">
        <v>91.791120000000006</v>
      </c>
      <c r="AG652" s="3">
        <f t="shared" si="113"/>
        <v>92.052610000000001</v>
      </c>
      <c r="AH652" s="1">
        <f t="shared" si="114"/>
        <v>0.14071404309732913</v>
      </c>
    </row>
    <row r="653" spans="23:34" x14ac:dyDescent="0.2">
      <c r="W653" s="4">
        <v>250.005</v>
      </c>
      <c r="X653" s="1">
        <v>324.5</v>
      </c>
      <c r="Y653" s="3">
        <v>81.92953</v>
      </c>
      <c r="Z653" s="3">
        <f t="shared" si="112"/>
        <v>87.370360000000005</v>
      </c>
      <c r="AA653" s="1">
        <f t="shared" si="115"/>
        <v>0.21813559036618144</v>
      </c>
      <c r="AD653" s="4">
        <v>250.01859999999999</v>
      </c>
      <c r="AE653" s="1">
        <v>324.5</v>
      </c>
      <c r="AF653" s="3">
        <v>91.699950000000001</v>
      </c>
      <c r="AG653" s="3">
        <f t="shared" si="113"/>
        <v>91.961439999999996</v>
      </c>
      <c r="AH653" s="1">
        <f t="shared" si="114"/>
        <v>0.14222756858221017</v>
      </c>
    </row>
    <row r="654" spans="23:34" x14ac:dyDescent="0.2">
      <c r="W654" s="4">
        <v>250.00599</v>
      </c>
      <c r="X654" s="1">
        <v>325</v>
      </c>
      <c r="Y654" s="5">
        <v>81.918329999999997</v>
      </c>
      <c r="Z654" s="3">
        <f t="shared" si="112"/>
        <v>87.359160000000003</v>
      </c>
      <c r="AA654" s="1">
        <f t="shared" si="115"/>
        <v>0.21832156270477485</v>
      </c>
      <c r="AD654" s="4">
        <v>250.01477</v>
      </c>
      <c r="AE654" s="1">
        <v>325</v>
      </c>
      <c r="AF654" s="5">
        <v>91.815770000000001</v>
      </c>
      <c r="AG654" s="3">
        <f t="shared" si="113"/>
        <v>92.077259999999995</v>
      </c>
      <c r="AH654" s="1">
        <f t="shared" si="114"/>
        <v>0.14030482511770526</v>
      </c>
    </row>
    <row r="655" spans="23:34" x14ac:dyDescent="0.2">
      <c r="W655" s="4">
        <v>250.00398999999999</v>
      </c>
      <c r="X655" s="1">
        <v>325.5</v>
      </c>
      <c r="Y655" s="3">
        <v>81.918120000000002</v>
      </c>
      <c r="Z655" s="3">
        <f t="shared" si="112"/>
        <v>87.358950000000007</v>
      </c>
      <c r="AA655" s="1">
        <f t="shared" si="115"/>
        <v>0.2183250496861234</v>
      </c>
      <c r="AD655" s="4">
        <v>250.01364000000001</v>
      </c>
      <c r="AE655" s="1">
        <v>325.5</v>
      </c>
      <c r="AF655" s="3">
        <v>91.855559999999997</v>
      </c>
      <c r="AG655" s="3">
        <f t="shared" si="113"/>
        <v>92.117049999999992</v>
      </c>
      <c r="AH655" s="1">
        <f t="shared" si="114"/>
        <v>0.13964426595303039</v>
      </c>
    </row>
    <row r="656" spans="23:34" x14ac:dyDescent="0.2">
      <c r="W656" s="4">
        <v>250.00299000000001</v>
      </c>
      <c r="X656" s="1">
        <v>326</v>
      </c>
      <c r="Y656" s="5">
        <v>81.893190000000004</v>
      </c>
      <c r="Z656" s="3">
        <f t="shared" si="112"/>
        <v>87.33402000000001</v>
      </c>
      <c r="AA656" s="1">
        <f t="shared" si="115"/>
        <v>0.21873900418622452</v>
      </c>
      <c r="AD656" s="4">
        <v>250.01053999999999</v>
      </c>
      <c r="AE656" s="1">
        <v>326</v>
      </c>
      <c r="AF656" s="5">
        <v>91.715739999999997</v>
      </c>
      <c r="AG656" s="3">
        <f t="shared" si="113"/>
        <v>91.977229999999992</v>
      </c>
      <c r="AH656" s="1">
        <f t="shared" si="114"/>
        <v>0.14196543665935984</v>
      </c>
    </row>
    <row r="657" spans="23:34" x14ac:dyDescent="0.2">
      <c r="W657" s="4">
        <v>250.00299000000001</v>
      </c>
      <c r="X657" s="1">
        <v>326.5</v>
      </c>
      <c r="Y657" s="3">
        <v>81.879760000000005</v>
      </c>
      <c r="Z657" s="3">
        <f t="shared" si="112"/>
        <v>87.32059000000001</v>
      </c>
      <c r="AA657" s="1">
        <f t="shared" si="115"/>
        <v>0.21896200494580567</v>
      </c>
      <c r="AD657" s="4">
        <v>250.00971999999999</v>
      </c>
      <c r="AE657" s="1">
        <v>326.5</v>
      </c>
      <c r="AF657" s="3">
        <v>91.793710000000004</v>
      </c>
      <c r="AG657" s="3">
        <f t="shared" si="113"/>
        <v>92.055199999999999</v>
      </c>
      <c r="AH657" s="1">
        <f t="shared" si="114"/>
        <v>0.14067104615748227</v>
      </c>
    </row>
    <row r="658" spans="23:34" x14ac:dyDescent="0.2">
      <c r="W658" s="4">
        <v>250.00997000000001</v>
      </c>
      <c r="X658" s="1">
        <v>327</v>
      </c>
      <c r="Y658" s="5">
        <v>81.862579999999994</v>
      </c>
      <c r="Z658" s="3">
        <f t="shared" si="112"/>
        <v>87.30341</v>
      </c>
      <c r="AA658" s="1">
        <f t="shared" si="115"/>
        <v>0.21924727322946963</v>
      </c>
      <c r="AD658" s="4">
        <v>250.01240000000001</v>
      </c>
      <c r="AE658" s="1">
        <v>327</v>
      </c>
      <c r="AF658" s="5">
        <v>91.684349999999995</v>
      </c>
      <c r="AG658" s="3">
        <f t="shared" si="113"/>
        <v>91.94583999999999</v>
      </c>
      <c r="AH658" s="1">
        <f t="shared" si="114"/>
        <v>0.14248654628939622</v>
      </c>
    </row>
    <row r="659" spans="23:34" x14ac:dyDescent="0.2">
      <c r="W659" s="4">
        <v>250.00899000000001</v>
      </c>
      <c r="X659" s="1">
        <v>327.5</v>
      </c>
      <c r="Y659" s="3">
        <v>81.856880000000004</v>
      </c>
      <c r="Z659" s="3">
        <f t="shared" si="112"/>
        <v>87.297710000000009</v>
      </c>
      <c r="AA659" s="1">
        <f t="shared" si="115"/>
        <v>0.21934191986607501</v>
      </c>
      <c r="AD659" s="4">
        <v>250.01623000000001</v>
      </c>
      <c r="AE659" s="1">
        <v>327.5</v>
      </c>
      <c r="AF659" s="3">
        <v>91.707679999999996</v>
      </c>
      <c r="AG659" s="3">
        <f t="shared" si="113"/>
        <v>91.969169999999991</v>
      </c>
      <c r="AH659" s="1">
        <f t="shared" si="114"/>
        <v>0.1420992418080726</v>
      </c>
    </row>
    <row r="660" spans="23:34" x14ac:dyDescent="0.2">
      <c r="W660" s="4">
        <v>250.00602000000001</v>
      </c>
      <c r="X660" s="1">
        <v>328</v>
      </c>
      <c r="Y660" s="5">
        <v>81.837580000000003</v>
      </c>
      <c r="Z660" s="3">
        <f t="shared" si="112"/>
        <v>87.278410000000008</v>
      </c>
      <c r="AA660" s="1">
        <f t="shared" si="115"/>
        <v>0.21966239005668686</v>
      </c>
      <c r="AD660" s="4">
        <v>250.01465999999999</v>
      </c>
      <c r="AE660" s="1">
        <v>328</v>
      </c>
      <c r="AF660" s="5">
        <v>91.771860000000004</v>
      </c>
      <c r="AG660" s="3">
        <f t="shared" si="113"/>
        <v>92.033349999999999</v>
      </c>
      <c r="AH660" s="1">
        <f t="shared" si="114"/>
        <v>0.14103378095889335</v>
      </c>
    </row>
    <row r="661" spans="23:34" x14ac:dyDescent="0.2">
      <c r="W661" s="4">
        <v>250.00497999999999</v>
      </c>
      <c r="X661" s="1">
        <v>328.5</v>
      </c>
      <c r="Y661" s="3">
        <v>81.818520000000007</v>
      </c>
      <c r="Z661" s="3">
        <f t="shared" si="112"/>
        <v>87.259350000000012</v>
      </c>
      <c r="AA661" s="1">
        <f t="shared" si="115"/>
        <v>0.21997887512575731</v>
      </c>
      <c r="AD661" s="4">
        <v>250.01595</v>
      </c>
      <c r="AE661" s="1">
        <v>328.5</v>
      </c>
      <c r="AF661" s="3">
        <v>91.759910000000005</v>
      </c>
      <c r="AG661" s="3">
        <f t="shared" si="113"/>
        <v>92.0214</v>
      </c>
      <c r="AH661" s="1">
        <f t="shared" si="114"/>
        <v>0.14123216452305182</v>
      </c>
    </row>
    <row r="662" spans="23:34" x14ac:dyDescent="0.2">
      <c r="W662" s="4">
        <v>250.00801000000001</v>
      </c>
      <c r="X662" s="1">
        <v>329</v>
      </c>
      <c r="Y662" s="5">
        <v>81.810820000000007</v>
      </c>
      <c r="Z662" s="3">
        <f t="shared" si="112"/>
        <v>87.251650000000012</v>
      </c>
      <c r="AA662" s="1">
        <f t="shared" si="115"/>
        <v>0.22010673110854026</v>
      </c>
      <c r="AD662" s="4">
        <v>250.01756</v>
      </c>
      <c r="AE662" s="1">
        <v>329</v>
      </c>
      <c r="AF662" s="5">
        <v>91.693449999999999</v>
      </c>
      <c r="AG662" s="3">
        <f t="shared" si="113"/>
        <v>91.954939999999993</v>
      </c>
      <c r="AH662" s="1">
        <f t="shared" si="114"/>
        <v>0.14233547596020438</v>
      </c>
    </row>
    <row r="663" spans="23:34" x14ac:dyDescent="0.2">
      <c r="W663" s="4">
        <v>250.00403</v>
      </c>
      <c r="X663" s="1">
        <v>329.5</v>
      </c>
      <c r="Y663" s="3">
        <v>81.789749999999998</v>
      </c>
      <c r="Z663" s="3">
        <f t="shared" si="112"/>
        <v>87.230580000000003</v>
      </c>
      <c r="AA663" s="1">
        <f t="shared" si="115"/>
        <v>0.22045659157051919</v>
      </c>
      <c r="AD663" s="4">
        <v>250.01544000000001</v>
      </c>
      <c r="AE663" s="1">
        <v>329.5</v>
      </c>
      <c r="AF663" s="3">
        <v>91.74033</v>
      </c>
      <c r="AG663" s="3">
        <f t="shared" si="113"/>
        <v>92.001819999999995</v>
      </c>
      <c r="AH663" s="1">
        <f t="shared" si="114"/>
        <v>0.14155721474784042</v>
      </c>
    </row>
    <row r="664" spans="23:34" x14ac:dyDescent="0.2">
      <c r="W664" s="4">
        <v>250.00899000000001</v>
      </c>
      <c r="X664" s="1">
        <v>330</v>
      </c>
      <c r="Y664" s="5">
        <v>81.774270000000001</v>
      </c>
      <c r="Z664" s="3">
        <f t="shared" si="112"/>
        <v>87.215100000000007</v>
      </c>
      <c r="AA664" s="1">
        <f t="shared" si="115"/>
        <v>0.22071363190993212</v>
      </c>
      <c r="AD664" s="4">
        <v>250.01695000000001</v>
      </c>
      <c r="AE664" s="1">
        <v>330</v>
      </c>
      <c r="AF664" s="5">
        <v>91.757599999999996</v>
      </c>
      <c r="AG664" s="3">
        <f t="shared" si="113"/>
        <v>92.019089999999991</v>
      </c>
      <c r="AH664" s="1">
        <f t="shared" si="114"/>
        <v>0.14127051314507755</v>
      </c>
    </row>
    <row r="665" spans="23:34" x14ac:dyDescent="0.2">
      <c r="W665" s="4">
        <v>250.00395</v>
      </c>
      <c r="X665" s="1">
        <v>330.5</v>
      </c>
      <c r="Y665" s="3">
        <v>81.75506</v>
      </c>
      <c r="Z665" s="3">
        <f t="shared" si="112"/>
        <v>87.195890000000006</v>
      </c>
      <c r="AA665" s="1">
        <f t="shared" si="115"/>
        <v>0.22103260767996596</v>
      </c>
      <c r="AD665" s="4">
        <v>250.01759999999999</v>
      </c>
      <c r="AE665" s="1">
        <v>330.5</v>
      </c>
      <c r="AF665" s="3">
        <v>91.550989999999999</v>
      </c>
      <c r="AG665" s="3">
        <f t="shared" si="113"/>
        <v>91.812479999999994</v>
      </c>
      <c r="AH665" s="1">
        <f t="shared" si="114"/>
        <v>0.14470047366313452</v>
      </c>
    </row>
    <row r="666" spans="23:34" x14ac:dyDescent="0.2">
      <c r="W666" s="4">
        <v>250.00502</v>
      </c>
      <c r="X666" s="1">
        <v>331</v>
      </c>
      <c r="Y666" s="5">
        <v>81.745829999999998</v>
      </c>
      <c r="Z666" s="3">
        <f t="shared" si="112"/>
        <v>87.186660000000003</v>
      </c>
      <c r="AA666" s="1">
        <f t="shared" si="115"/>
        <v>0.22118586881257465</v>
      </c>
      <c r="AD666" s="4">
        <v>250.01799</v>
      </c>
      <c r="AE666" s="1">
        <v>331</v>
      </c>
      <c r="AF666" s="5">
        <v>91.566820000000007</v>
      </c>
      <c r="AG666" s="3">
        <f t="shared" si="113"/>
        <v>91.828310000000002</v>
      </c>
      <c r="AH666" s="1">
        <f t="shared" si="114"/>
        <v>0.14443767769488094</v>
      </c>
    </row>
    <row r="667" spans="23:34" x14ac:dyDescent="0.2">
      <c r="W667" s="4">
        <v>250.00601</v>
      </c>
      <c r="X667" s="1">
        <v>331.5</v>
      </c>
      <c r="Y667" s="3">
        <v>81.722560000000001</v>
      </c>
      <c r="Z667" s="3">
        <f t="shared" si="112"/>
        <v>87.163390000000007</v>
      </c>
      <c r="AA667" s="1">
        <f t="shared" si="115"/>
        <v>0.22157225955534854</v>
      </c>
      <c r="AD667" s="4">
        <v>250.01911000000001</v>
      </c>
      <c r="AE667" s="1">
        <v>331.5</v>
      </c>
      <c r="AF667" s="3">
        <v>91.708070000000006</v>
      </c>
      <c r="AG667" s="3">
        <f t="shared" si="113"/>
        <v>91.969560000000001</v>
      </c>
      <c r="AH667" s="1">
        <f t="shared" si="114"/>
        <v>0.14209276736539278</v>
      </c>
    </row>
    <row r="668" spans="23:34" x14ac:dyDescent="0.2">
      <c r="W668" s="4">
        <v>250.00404</v>
      </c>
      <c r="X668" s="1">
        <v>332</v>
      </c>
      <c r="Y668" s="5">
        <v>81.699529999999996</v>
      </c>
      <c r="Z668" s="3">
        <f t="shared" si="112"/>
        <v>87.140360000000001</v>
      </c>
      <c r="AA668" s="1">
        <f t="shared" si="115"/>
        <v>0.22195466517658125</v>
      </c>
      <c r="AD668" s="4">
        <v>250.01857000000001</v>
      </c>
      <c r="AE668" s="1">
        <v>332</v>
      </c>
      <c r="AF668" s="5">
        <v>91.543840000000003</v>
      </c>
      <c r="AG668" s="3">
        <f t="shared" si="113"/>
        <v>91.805329999999998</v>
      </c>
      <c r="AH668" s="1">
        <f t="shared" si="114"/>
        <v>0.144819171778928</v>
      </c>
    </row>
    <row r="669" spans="23:34" x14ac:dyDescent="0.2">
      <c r="W669" s="4">
        <v>250.00596999999999</v>
      </c>
      <c r="X669" s="1">
        <v>332.5</v>
      </c>
      <c r="Y669" s="3">
        <v>81.697710000000001</v>
      </c>
      <c r="Z669" s="3">
        <f t="shared" si="112"/>
        <v>87.138540000000006</v>
      </c>
      <c r="AA669" s="1">
        <f t="shared" si="115"/>
        <v>0.2219848856816026</v>
      </c>
      <c r="AD669" s="4">
        <v>250.02034</v>
      </c>
      <c r="AE669" s="1">
        <v>332.5</v>
      </c>
      <c r="AF669" s="3">
        <v>91.657870000000003</v>
      </c>
      <c r="AG669" s="3">
        <f t="shared" si="113"/>
        <v>91.919359999999998</v>
      </c>
      <c r="AH669" s="1">
        <f t="shared" si="114"/>
        <v>0.14292614434620918</v>
      </c>
    </row>
    <row r="670" spans="23:34" x14ac:dyDescent="0.2">
      <c r="W670" s="4">
        <v>250.00400999999999</v>
      </c>
      <c r="X670" s="1">
        <v>333</v>
      </c>
      <c r="Y670" s="5">
        <v>81.686160000000001</v>
      </c>
      <c r="Z670" s="3">
        <f t="shared" si="112"/>
        <v>87.126990000000006</v>
      </c>
      <c r="AA670" s="1">
        <f t="shared" si="115"/>
        <v>0.22217666965577701</v>
      </c>
      <c r="AD670" s="4">
        <v>250.01669000000001</v>
      </c>
      <c r="AE670" s="1">
        <v>333</v>
      </c>
      <c r="AF670" s="5">
        <v>91.515929999999997</v>
      </c>
      <c r="AG670" s="3">
        <f t="shared" si="113"/>
        <v>91.777419999999992</v>
      </c>
      <c r="AH670" s="1">
        <f t="shared" si="114"/>
        <v>0.14528250945889989</v>
      </c>
    </row>
    <row r="671" spans="23:34" x14ac:dyDescent="0.2">
      <c r="W671" s="4">
        <v>250.00397000000001</v>
      </c>
      <c r="X671" s="1">
        <v>333.5</v>
      </c>
      <c r="Y671" s="3">
        <v>81.670829999999995</v>
      </c>
      <c r="Z671" s="3">
        <f t="shared" si="112"/>
        <v>87.111660000000001</v>
      </c>
      <c r="AA671" s="1">
        <f t="shared" si="115"/>
        <v>0.2224312192942268</v>
      </c>
      <c r="AD671" s="4">
        <v>250.01194000000001</v>
      </c>
      <c r="AE671" s="1">
        <v>333.5</v>
      </c>
      <c r="AF671" s="3">
        <v>91.503399999999999</v>
      </c>
      <c r="AG671" s="3">
        <f t="shared" si="113"/>
        <v>91.764889999999994</v>
      </c>
      <c r="AH671" s="1">
        <f t="shared" si="114"/>
        <v>0.14549052168140242</v>
      </c>
    </row>
    <row r="672" spans="23:34" x14ac:dyDescent="0.2">
      <c r="W672" s="4">
        <v>250.00201000000001</v>
      </c>
      <c r="X672" s="1">
        <v>334</v>
      </c>
      <c r="Y672" s="5">
        <v>81.661259999999999</v>
      </c>
      <c r="Z672" s="3">
        <f t="shared" si="112"/>
        <v>87.102090000000004</v>
      </c>
      <c r="AA672" s="1">
        <f t="shared" si="115"/>
        <v>0.22259012601568556</v>
      </c>
      <c r="AD672" s="4">
        <v>250.01555999999999</v>
      </c>
      <c r="AE672" s="1">
        <v>334</v>
      </c>
      <c r="AF672" s="5">
        <v>91.548810000000003</v>
      </c>
      <c r="AG672" s="3">
        <f t="shared" si="113"/>
        <v>91.810299999999998</v>
      </c>
      <c r="AH672" s="1">
        <f t="shared" si="114"/>
        <v>0.14473666413760017</v>
      </c>
    </row>
    <row r="673" spans="23:34" x14ac:dyDescent="0.2">
      <c r="W673" s="4">
        <v>250.00099</v>
      </c>
      <c r="X673" s="1">
        <v>334.5</v>
      </c>
      <c r="Y673" s="3">
        <v>81.640159999999995</v>
      </c>
      <c r="Z673" s="3">
        <f t="shared" si="112"/>
        <v>87.08099</v>
      </c>
      <c r="AA673" s="1">
        <f t="shared" si="115"/>
        <v>0.22294048461785709</v>
      </c>
      <c r="AD673" s="4">
        <v>250.01808</v>
      </c>
      <c r="AE673" s="1">
        <v>334.5</v>
      </c>
      <c r="AF673" s="3">
        <v>91.48066</v>
      </c>
      <c r="AG673" s="3">
        <f t="shared" si="113"/>
        <v>91.742149999999995</v>
      </c>
      <c r="AH673" s="1">
        <f t="shared" si="114"/>
        <v>0.14586803149303115</v>
      </c>
    </row>
    <row r="674" spans="23:34" x14ac:dyDescent="0.2">
      <c r="W674" s="4">
        <v>250.00702000000001</v>
      </c>
      <c r="X674" s="1">
        <v>335</v>
      </c>
      <c r="Y674" s="5">
        <v>81.620900000000006</v>
      </c>
      <c r="Z674" s="3">
        <f t="shared" si="112"/>
        <v>87.061730000000011</v>
      </c>
      <c r="AA674" s="1">
        <f t="shared" si="115"/>
        <v>0.22326029062154515</v>
      </c>
      <c r="AD674" s="4">
        <v>250.01859999999999</v>
      </c>
      <c r="AE674" s="1">
        <v>335</v>
      </c>
      <c r="AF674" s="5">
        <v>91.536280000000005</v>
      </c>
      <c r="AG674" s="3">
        <f t="shared" si="113"/>
        <v>91.79777</v>
      </c>
      <c r="AH674" s="1">
        <f t="shared" si="114"/>
        <v>0.14494467636010272</v>
      </c>
    </row>
    <row r="675" spans="23:34" x14ac:dyDescent="0.2">
      <c r="W675" s="4">
        <v>250.00698</v>
      </c>
      <c r="X675" s="1">
        <v>335.5</v>
      </c>
      <c r="Y675" s="3">
        <v>81.609440000000006</v>
      </c>
      <c r="Z675" s="3">
        <f t="shared" si="112"/>
        <v>87.050270000000012</v>
      </c>
      <c r="AA675" s="1">
        <f t="shared" si="115"/>
        <v>0.22345058017514158</v>
      </c>
      <c r="AD675" s="4">
        <v>250.02227999999999</v>
      </c>
      <c r="AE675" s="1">
        <v>335.5</v>
      </c>
      <c r="AF675" s="3">
        <v>91.608009999999993</v>
      </c>
      <c r="AG675" s="3">
        <f t="shared" si="113"/>
        <v>91.869499999999988</v>
      </c>
      <c r="AH675" s="1">
        <f t="shared" si="114"/>
        <v>0.14375387694109981</v>
      </c>
    </row>
    <row r="676" spans="23:34" x14ac:dyDescent="0.2">
      <c r="W676" s="4">
        <v>250.00602000000001</v>
      </c>
      <c r="X676" s="1">
        <v>336</v>
      </c>
      <c r="Y676" s="5">
        <v>81.582599999999999</v>
      </c>
      <c r="Z676" s="3">
        <f t="shared" si="112"/>
        <v>87.023430000000005</v>
      </c>
      <c r="AA676" s="1">
        <f t="shared" si="115"/>
        <v>0.22389624960084226</v>
      </c>
      <c r="AD676" s="4">
        <v>250.02384000000001</v>
      </c>
      <c r="AE676" s="1">
        <v>336</v>
      </c>
      <c r="AF676" s="5">
        <v>91.653459999999995</v>
      </c>
      <c r="AG676" s="3">
        <f t="shared" si="113"/>
        <v>91.91494999999999</v>
      </c>
      <c r="AH676" s="1">
        <f t="shared" si="114"/>
        <v>0.14299935535189456</v>
      </c>
    </row>
    <row r="677" spans="23:34" x14ac:dyDescent="0.2">
      <c r="W677" s="4">
        <v>250.00300999999999</v>
      </c>
      <c r="X677" s="1">
        <v>336.5</v>
      </c>
      <c r="Y677" s="3">
        <v>81.573139999999995</v>
      </c>
      <c r="Z677" s="3">
        <f t="shared" si="112"/>
        <v>87.01397</v>
      </c>
      <c r="AA677" s="1">
        <f t="shared" si="115"/>
        <v>0.2240533298082614</v>
      </c>
      <c r="AD677" s="4">
        <v>250.02137999999999</v>
      </c>
      <c r="AE677" s="1">
        <v>336.5</v>
      </c>
      <c r="AF677" s="3">
        <v>91.573160000000001</v>
      </c>
      <c r="AG677" s="3">
        <f t="shared" si="113"/>
        <v>91.834649999999996</v>
      </c>
      <c r="AH677" s="1">
        <f t="shared" si="114"/>
        <v>0.14433242649849906</v>
      </c>
    </row>
    <row r="678" spans="23:34" x14ac:dyDescent="0.2">
      <c r="W678" s="4">
        <v>250.00298000000001</v>
      </c>
      <c r="X678" s="1">
        <v>337</v>
      </c>
      <c r="Y678" s="5">
        <v>81.557839999999999</v>
      </c>
      <c r="Z678" s="3">
        <f t="shared" si="112"/>
        <v>86.998670000000004</v>
      </c>
      <c r="AA678" s="1">
        <f t="shared" si="115"/>
        <v>0.22430738130651834</v>
      </c>
      <c r="AD678" s="4">
        <v>250.01915</v>
      </c>
      <c r="AE678" s="1">
        <v>337</v>
      </c>
      <c r="AF678" s="5">
        <v>91.513599999999997</v>
      </c>
      <c r="AG678" s="3">
        <f t="shared" si="113"/>
        <v>91.775089999999992</v>
      </c>
      <c r="AH678" s="1">
        <f t="shared" si="114"/>
        <v>0.14532119010362704</v>
      </c>
    </row>
    <row r="679" spans="23:34" x14ac:dyDescent="0.2">
      <c r="W679" s="4">
        <v>250.00602000000001</v>
      </c>
      <c r="X679" s="1">
        <v>337.5</v>
      </c>
      <c r="Y679" s="3">
        <v>81.532769999999999</v>
      </c>
      <c r="Z679" s="3">
        <f t="shared" si="112"/>
        <v>86.973600000000005</v>
      </c>
      <c r="AA679" s="1">
        <f t="shared" si="115"/>
        <v>0.2247236604608519</v>
      </c>
      <c r="AD679" s="4">
        <v>250.01863</v>
      </c>
      <c r="AE679" s="1">
        <v>337.5</v>
      </c>
      <c r="AF679" s="3">
        <v>91.519319999999993</v>
      </c>
      <c r="AG679" s="3">
        <f t="shared" si="113"/>
        <v>91.780809999999988</v>
      </c>
      <c r="AH679" s="1">
        <f t="shared" si="114"/>
        <v>0.14522623161099224</v>
      </c>
    </row>
    <row r="680" spans="23:34" x14ac:dyDescent="0.2">
      <c r="W680" s="4">
        <v>250.00791000000001</v>
      </c>
      <c r="X680" s="1">
        <v>338</v>
      </c>
      <c r="Y680" s="5">
        <v>81.525090000000006</v>
      </c>
      <c r="Z680" s="3">
        <f t="shared" si="112"/>
        <v>86.965920000000011</v>
      </c>
      <c r="AA680" s="1">
        <f t="shared" si="115"/>
        <v>0.22485118435017298</v>
      </c>
      <c r="AD680" s="4">
        <v>250.01732000000001</v>
      </c>
      <c r="AE680" s="1">
        <v>338</v>
      </c>
      <c r="AF680" s="5">
        <v>91.626339999999999</v>
      </c>
      <c r="AG680" s="3">
        <f t="shared" si="113"/>
        <v>91.887829999999994</v>
      </c>
      <c r="AH680" s="1">
        <f t="shared" si="114"/>
        <v>0.14344957813515621</v>
      </c>
    </row>
    <row r="681" spans="23:34" x14ac:dyDescent="0.2">
      <c r="W681" s="4">
        <v>250.00904</v>
      </c>
      <c r="X681" s="1">
        <v>338.5</v>
      </c>
      <c r="Y681" s="3">
        <v>81.511719999999997</v>
      </c>
      <c r="Z681" s="3">
        <f t="shared" si="112"/>
        <v>86.952550000000002</v>
      </c>
      <c r="AA681" s="1">
        <f t="shared" si="115"/>
        <v>0.22507318882936897</v>
      </c>
      <c r="AD681" s="4">
        <v>250.01089999999999</v>
      </c>
      <c r="AE681" s="1">
        <v>338.5</v>
      </c>
      <c r="AF681" s="3">
        <v>91.449380000000005</v>
      </c>
      <c r="AG681" s="3">
        <f t="shared" si="113"/>
        <v>91.71087</v>
      </c>
      <c r="AH681" s="1">
        <f t="shared" si="114"/>
        <v>0.14638731499820906</v>
      </c>
    </row>
    <row r="682" spans="23:34" x14ac:dyDescent="0.2">
      <c r="W682" s="4">
        <v>250.00299000000001</v>
      </c>
      <c r="X682" s="1">
        <v>339</v>
      </c>
      <c r="Y682" s="5">
        <v>81.492519999999999</v>
      </c>
      <c r="Z682" s="3">
        <f t="shared" si="112"/>
        <v>86.933350000000004</v>
      </c>
      <c r="AA682" s="1">
        <f t="shared" si="115"/>
        <v>0.22539199855267189</v>
      </c>
      <c r="AD682" s="4">
        <v>250.01447999999999</v>
      </c>
      <c r="AE682" s="1">
        <v>339</v>
      </c>
      <c r="AF682" s="5">
        <v>91.488560000000007</v>
      </c>
      <c r="AG682" s="3">
        <f t="shared" si="113"/>
        <v>91.750050000000002</v>
      </c>
      <c r="AH682" s="1">
        <f t="shared" si="114"/>
        <v>0.14573688252593048</v>
      </c>
    </row>
    <row r="683" spans="23:34" x14ac:dyDescent="0.2">
      <c r="W683" s="4">
        <v>250.00497999999999</v>
      </c>
      <c r="X683" s="1">
        <v>339.5</v>
      </c>
      <c r="Y683" s="3">
        <v>81.488690000000005</v>
      </c>
      <c r="Z683" s="3">
        <f t="shared" si="112"/>
        <v>86.929520000000011</v>
      </c>
      <c r="AA683" s="1">
        <f t="shared" si="115"/>
        <v>0.22545559445060148</v>
      </c>
      <c r="AD683" s="4">
        <v>250.02312000000001</v>
      </c>
      <c r="AE683" s="1">
        <v>339.5</v>
      </c>
      <c r="AF683" s="3">
        <v>91.306920000000005</v>
      </c>
      <c r="AG683" s="3">
        <f t="shared" si="113"/>
        <v>91.56841</v>
      </c>
      <c r="AH683" s="1">
        <f t="shared" si="114"/>
        <v>0.1487523127011392</v>
      </c>
    </row>
    <row r="684" spans="23:34" x14ac:dyDescent="0.2">
      <c r="W684" s="4">
        <v>250.005</v>
      </c>
      <c r="X684" s="1">
        <v>340</v>
      </c>
      <c r="Y684" s="5">
        <v>81.46575</v>
      </c>
      <c r="Z684" s="3">
        <f t="shared" si="112"/>
        <v>86.906580000000005</v>
      </c>
      <c r="AA684" s="1">
        <f t="shared" si="115"/>
        <v>0.22583650565125621</v>
      </c>
      <c r="AD684" s="4">
        <v>250.02104</v>
      </c>
      <c r="AE684" s="1">
        <v>340</v>
      </c>
      <c r="AF684" s="5">
        <v>91.426169999999999</v>
      </c>
      <c r="AG684" s="3">
        <f t="shared" si="113"/>
        <v>91.687659999999994</v>
      </c>
      <c r="AH684" s="1">
        <f t="shared" si="114"/>
        <v>0.14677262734332364</v>
      </c>
    </row>
    <row r="685" spans="23:34" x14ac:dyDescent="0.2">
      <c r="W685" s="4">
        <v>250.00603000000001</v>
      </c>
      <c r="X685" s="1">
        <v>340.5</v>
      </c>
      <c r="Y685" s="3">
        <v>81.448580000000007</v>
      </c>
      <c r="Z685" s="3">
        <f t="shared" si="112"/>
        <v>86.889410000000012</v>
      </c>
      <c r="AA685" s="1">
        <f t="shared" si="115"/>
        <v>0.226121607888189</v>
      </c>
      <c r="AD685" s="4">
        <v>250.01761999999999</v>
      </c>
      <c r="AE685" s="1">
        <v>340.5</v>
      </c>
      <c r="AF685" s="3">
        <v>91.439880000000002</v>
      </c>
      <c r="AG685" s="3">
        <f t="shared" si="113"/>
        <v>91.701369999999997</v>
      </c>
      <c r="AH685" s="1">
        <f t="shared" si="114"/>
        <v>0.1465450257814313</v>
      </c>
    </row>
    <row r="686" spans="23:34" x14ac:dyDescent="0.2">
      <c r="W686" s="4">
        <v>250.00400999999999</v>
      </c>
      <c r="X686" s="1">
        <v>341</v>
      </c>
      <c r="Y686" s="5">
        <v>81.435119999999998</v>
      </c>
      <c r="Z686" s="3">
        <f t="shared" si="112"/>
        <v>86.875950000000003</v>
      </c>
      <c r="AA686" s="1">
        <f t="shared" si="115"/>
        <v>0.22634510678796296</v>
      </c>
      <c r="AD686" s="4">
        <v>250.01682</v>
      </c>
      <c r="AE686" s="1">
        <v>341</v>
      </c>
      <c r="AF686" s="5">
        <v>91.341149999999999</v>
      </c>
      <c r="AG686" s="3">
        <f t="shared" si="113"/>
        <v>91.602639999999994</v>
      </c>
      <c r="AH686" s="1">
        <f t="shared" si="114"/>
        <v>0.14818405584748706</v>
      </c>
    </row>
    <row r="687" spans="23:34" x14ac:dyDescent="0.2">
      <c r="W687" s="4">
        <v>250.006</v>
      </c>
      <c r="X687" s="1">
        <v>341.5</v>
      </c>
      <c r="Y687" s="3">
        <v>81.419510000000002</v>
      </c>
      <c r="Z687" s="3">
        <f t="shared" si="112"/>
        <v>86.860340000000008</v>
      </c>
      <c r="AA687" s="1">
        <f t="shared" si="115"/>
        <v>0.22660430573487741</v>
      </c>
      <c r="AD687" s="4">
        <v>250.01797999999999</v>
      </c>
      <c r="AE687" s="1">
        <v>341.5</v>
      </c>
      <c r="AF687" s="3">
        <v>91.468050000000005</v>
      </c>
      <c r="AG687" s="3">
        <f t="shared" si="113"/>
        <v>91.72954</v>
      </c>
      <c r="AH687" s="1">
        <f t="shared" si="114"/>
        <v>0.1460773718063397</v>
      </c>
    </row>
    <row r="688" spans="23:34" x14ac:dyDescent="0.2">
      <c r="W688" s="4">
        <v>249.99800999999999</v>
      </c>
      <c r="X688" s="1">
        <v>342</v>
      </c>
      <c r="Y688" s="5">
        <v>81.400509999999997</v>
      </c>
      <c r="Z688" s="3">
        <f t="shared" si="112"/>
        <v>86.841340000000002</v>
      </c>
      <c r="AA688" s="1">
        <f t="shared" si="115"/>
        <v>0.2269197945235627</v>
      </c>
      <c r="AD688" s="4">
        <v>250.01587000000001</v>
      </c>
      <c r="AE688" s="1">
        <v>342</v>
      </c>
      <c r="AF688" s="5">
        <v>91.414699999999996</v>
      </c>
      <c r="AG688" s="3">
        <f t="shared" si="113"/>
        <v>91.676189999999991</v>
      </c>
      <c r="AH688" s="1">
        <f t="shared" si="114"/>
        <v>0.14696304236264565</v>
      </c>
    </row>
    <row r="689" spans="23:34" x14ac:dyDescent="0.2">
      <c r="W689" s="4">
        <v>249.99993000000001</v>
      </c>
      <c r="X689" s="1">
        <v>342.5</v>
      </c>
      <c r="Y689" s="3">
        <v>81.390870000000007</v>
      </c>
      <c r="Z689" s="3">
        <f t="shared" si="112"/>
        <v>86.831700000000012</v>
      </c>
      <c r="AA689" s="1">
        <f t="shared" si="115"/>
        <v>0.22707986357213755</v>
      </c>
      <c r="AD689" s="4">
        <v>250.01293999999999</v>
      </c>
      <c r="AE689" s="1">
        <v>342.5</v>
      </c>
      <c r="AF689" s="3">
        <v>91.424899999999994</v>
      </c>
      <c r="AG689" s="3">
        <f t="shared" si="113"/>
        <v>91.686389999999989</v>
      </c>
      <c r="AH689" s="1">
        <f t="shared" si="114"/>
        <v>0.14679371078487027</v>
      </c>
    </row>
    <row r="690" spans="23:34" x14ac:dyDescent="0.2">
      <c r="W690" s="4">
        <v>250.00602000000001</v>
      </c>
      <c r="X690" s="1">
        <v>343</v>
      </c>
      <c r="Y690" s="5">
        <v>81.379409999999993</v>
      </c>
      <c r="Z690" s="3">
        <f t="shared" si="112"/>
        <v>86.820239999999998</v>
      </c>
      <c r="AA690" s="1">
        <f t="shared" si="115"/>
        <v>0.22727015312573423</v>
      </c>
      <c r="AD690" s="4">
        <v>250.01229000000001</v>
      </c>
      <c r="AE690" s="1">
        <v>343</v>
      </c>
      <c r="AF690" s="5">
        <v>91.406959999999998</v>
      </c>
      <c r="AG690" s="3">
        <f t="shared" si="113"/>
        <v>91.668449999999993</v>
      </c>
      <c r="AH690" s="1">
        <f t="shared" si="114"/>
        <v>0.14709153514813406</v>
      </c>
    </row>
    <row r="691" spans="23:34" x14ac:dyDescent="0.2">
      <c r="W691" s="4">
        <v>250.00899999999999</v>
      </c>
      <c r="X691" s="1">
        <v>343.5</v>
      </c>
      <c r="Y691" s="3">
        <v>81.37182</v>
      </c>
      <c r="Z691" s="3">
        <f t="shared" si="112"/>
        <v>86.812650000000005</v>
      </c>
      <c r="AA691" s="1">
        <f t="shared" si="115"/>
        <v>0.2273961825944773</v>
      </c>
      <c r="AD691" s="4">
        <v>250.01344</v>
      </c>
      <c r="AE691" s="1">
        <v>343.5</v>
      </c>
      <c r="AF691" s="3">
        <v>91.350980000000007</v>
      </c>
      <c r="AG691" s="3">
        <f t="shared" si="113"/>
        <v>91.612470000000002</v>
      </c>
      <c r="AH691" s="1">
        <f t="shared" si="114"/>
        <v>0.14802086668968964</v>
      </c>
    </row>
    <row r="692" spans="23:34" x14ac:dyDescent="0.2">
      <c r="W692" s="4">
        <v>250.00404</v>
      </c>
      <c r="X692" s="1">
        <v>344</v>
      </c>
      <c r="Y692" s="5">
        <v>81.360240000000005</v>
      </c>
      <c r="Z692" s="3">
        <f t="shared" si="112"/>
        <v>86.80107000000001</v>
      </c>
      <c r="AA692" s="1">
        <f t="shared" si="115"/>
        <v>0.22758846470884431</v>
      </c>
      <c r="AD692" s="4">
        <v>250.01181</v>
      </c>
      <c r="AE692" s="1">
        <v>344</v>
      </c>
      <c r="AF692" s="5">
        <v>91.306399999999996</v>
      </c>
      <c r="AG692" s="3">
        <f t="shared" si="113"/>
        <v>91.567889999999991</v>
      </c>
      <c r="AH692" s="1">
        <f t="shared" si="114"/>
        <v>0.1487609452913789</v>
      </c>
    </row>
    <row r="693" spans="23:34" x14ac:dyDescent="0.2">
      <c r="W693" s="4">
        <v>250.00701000000001</v>
      </c>
      <c r="X693" s="1">
        <v>344.5</v>
      </c>
      <c r="Y693" s="3">
        <v>81.356430000000003</v>
      </c>
      <c r="Z693" s="3">
        <f t="shared" si="112"/>
        <v>86.797260000000009</v>
      </c>
      <c r="AA693" s="1">
        <f t="shared" si="115"/>
        <v>0.22765172851331228</v>
      </c>
      <c r="AD693" s="4">
        <v>250.01389</v>
      </c>
      <c r="AE693" s="1">
        <v>344.5</v>
      </c>
      <c r="AF693" s="3">
        <v>91.294489999999996</v>
      </c>
      <c r="AG693" s="3">
        <f t="shared" si="113"/>
        <v>91.555979999999991</v>
      </c>
      <c r="AH693" s="1">
        <f t="shared" si="114"/>
        <v>0.14895866481013431</v>
      </c>
    </row>
    <row r="694" spans="23:34" x14ac:dyDescent="0.2">
      <c r="W694" s="4">
        <v>250.00397000000001</v>
      </c>
      <c r="X694" s="1">
        <v>345</v>
      </c>
      <c r="Y694" s="5">
        <v>81.337180000000004</v>
      </c>
      <c r="Z694" s="3">
        <f t="shared" si="112"/>
        <v>86.778010000000009</v>
      </c>
      <c r="AA694" s="1">
        <f t="shared" si="115"/>
        <v>0.22797136847026964</v>
      </c>
      <c r="AD694" s="4">
        <v>250.01408000000001</v>
      </c>
      <c r="AE694" s="1">
        <v>345</v>
      </c>
      <c r="AF694" s="5">
        <v>91.30556</v>
      </c>
      <c r="AG694" s="3">
        <f t="shared" si="113"/>
        <v>91.567049999999995</v>
      </c>
      <c r="AH694" s="1">
        <f t="shared" si="114"/>
        <v>0.14877489024484269</v>
      </c>
    </row>
    <row r="695" spans="23:34" x14ac:dyDescent="0.2">
      <c r="W695" s="4">
        <v>250.00198</v>
      </c>
      <c r="X695" s="1">
        <v>345.5</v>
      </c>
      <c r="Y695" s="3">
        <v>81.319919999999996</v>
      </c>
      <c r="Z695" s="3">
        <f t="shared" si="112"/>
        <v>86.760750000000002</v>
      </c>
      <c r="AA695" s="1">
        <f t="shared" si="115"/>
        <v>0.22825796512778063</v>
      </c>
      <c r="AD695" s="4">
        <v>250.01408000000001</v>
      </c>
      <c r="AE695" s="1">
        <v>345.5</v>
      </c>
      <c r="AF695" s="3">
        <v>91.404499999999999</v>
      </c>
      <c r="AG695" s="3">
        <f t="shared" si="113"/>
        <v>91.665989999999994</v>
      </c>
      <c r="AH695" s="1">
        <f t="shared" si="114"/>
        <v>0.14713237394042106</v>
      </c>
    </row>
    <row r="696" spans="23:34" x14ac:dyDescent="0.2">
      <c r="W696" s="4">
        <v>250.00498999999999</v>
      </c>
      <c r="X696" s="1">
        <v>346</v>
      </c>
      <c r="Y696" s="5">
        <v>81.306610000000006</v>
      </c>
      <c r="Z696" s="3">
        <f t="shared" si="112"/>
        <v>86.747440000000012</v>
      </c>
      <c r="AA696" s="1">
        <f t="shared" si="115"/>
        <v>0.22847897332659098</v>
      </c>
      <c r="AD696" s="4">
        <v>250.01355000000001</v>
      </c>
      <c r="AE696" s="1">
        <v>346</v>
      </c>
      <c r="AF696" s="5">
        <v>91.442639999999997</v>
      </c>
      <c r="AG696" s="3">
        <f t="shared" si="113"/>
        <v>91.704129999999992</v>
      </c>
      <c r="AH696" s="1">
        <f t="shared" si="114"/>
        <v>0.14649920664862157</v>
      </c>
    </row>
    <row r="697" spans="23:34" x14ac:dyDescent="0.2">
      <c r="W697" s="4">
        <v>250.006</v>
      </c>
      <c r="X697" s="1">
        <v>346.5</v>
      </c>
      <c r="Y697" s="3">
        <v>81.302670000000006</v>
      </c>
      <c r="Z697" s="3">
        <f t="shared" si="112"/>
        <v>86.743500000000012</v>
      </c>
      <c r="AA697" s="1">
        <f t="shared" si="115"/>
        <v>0.22854439573856045</v>
      </c>
      <c r="AD697" s="4">
        <v>250.01354000000001</v>
      </c>
      <c r="AE697" s="1">
        <v>346.5</v>
      </c>
      <c r="AF697" s="3">
        <v>91.42689</v>
      </c>
      <c r="AG697" s="3">
        <f t="shared" si="113"/>
        <v>91.688379999999995</v>
      </c>
      <c r="AH697" s="1">
        <f t="shared" si="114"/>
        <v>0.14676067452606889</v>
      </c>
    </row>
    <row r="698" spans="23:34" x14ac:dyDescent="0.2">
      <c r="W698" s="4">
        <v>250.00303</v>
      </c>
      <c r="X698" s="1">
        <v>347</v>
      </c>
      <c r="Y698" s="5">
        <v>81.273799999999994</v>
      </c>
      <c r="Z698" s="3">
        <f t="shared" si="112"/>
        <v>86.71463</v>
      </c>
      <c r="AA698" s="1">
        <f t="shared" si="115"/>
        <v>0.22902377265063126</v>
      </c>
      <c r="AD698" s="4">
        <v>250.01768999999999</v>
      </c>
      <c r="AE698" s="1">
        <v>347</v>
      </c>
      <c r="AF698" s="5">
        <v>91.263040000000004</v>
      </c>
      <c r="AG698" s="3">
        <f t="shared" si="113"/>
        <v>91.524529999999999</v>
      </c>
      <c r="AH698" s="1">
        <f t="shared" si="114"/>
        <v>0.1494807705082751</v>
      </c>
    </row>
    <row r="699" spans="23:34" x14ac:dyDescent="0.2">
      <c r="W699" s="4">
        <v>250.01102</v>
      </c>
      <c r="X699" s="1">
        <v>347.5</v>
      </c>
      <c r="Y699" s="3">
        <v>81.272090000000006</v>
      </c>
      <c r="Z699" s="3">
        <f t="shared" si="112"/>
        <v>86.712920000000011</v>
      </c>
      <c r="AA699" s="1">
        <f t="shared" si="115"/>
        <v>0.22905216664161274</v>
      </c>
      <c r="AD699" s="4">
        <v>250.02109999999999</v>
      </c>
      <c r="AE699" s="1">
        <v>347.5</v>
      </c>
      <c r="AF699" s="3">
        <v>91.37321</v>
      </c>
      <c r="AG699" s="3">
        <f t="shared" si="113"/>
        <v>91.634699999999995</v>
      </c>
      <c r="AH699" s="1">
        <f t="shared" si="114"/>
        <v>0.14765182345694977</v>
      </c>
    </row>
    <row r="700" spans="23:34" x14ac:dyDescent="0.2">
      <c r="W700" s="4">
        <v>250.00801000000001</v>
      </c>
      <c r="X700" s="1">
        <v>348</v>
      </c>
      <c r="Y700" s="5">
        <v>81.245069999999998</v>
      </c>
      <c r="Z700" s="3">
        <f t="shared" si="112"/>
        <v>86.685900000000004</v>
      </c>
      <c r="AA700" s="1">
        <f t="shared" si="115"/>
        <v>0.22950082490846938</v>
      </c>
      <c r="AD700" s="4">
        <v>250.02103</v>
      </c>
      <c r="AE700" s="1">
        <v>348</v>
      </c>
      <c r="AF700" s="5">
        <v>91.233549999999994</v>
      </c>
      <c r="AG700" s="3">
        <f t="shared" si="113"/>
        <v>91.495039999999989</v>
      </c>
      <c r="AH700" s="1">
        <f t="shared" si="114"/>
        <v>0.14997033798166717</v>
      </c>
    </row>
    <row r="701" spans="23:34" x14ac:dyDescent="0.2">
      <c r="W701" s="4">
        <v>250.00599</v>
      </c>
      <c r="X701" s="1">
        <v>348.5</v>
      </c>
      <c r="Y701" s="3">
        <v>81.227890000000002</v>
      </c>
      <c r="Z701" s="3">
        <f t="shared" si="112"/>
        <v>86.668720000000008</v>
      </c>
      <c r="AA701" s="1">
        <f t="shared" si="115"/>
        <v>0.22978609319213308</v>
      </c>
      <c r="AD701" s="4">
        <v>250.01935</v>
      </c>
      <c r="AE701" s="1">
        <v>348.5</v>
      </c>
      <c r="AF701" s="3">
        <v>91.353179999999995</v>
      </c>
      <c r="AG701" s="3">
        <f t="shared" si="113"/>
        <v>91.61466999999999</v>
      </c>
      <c r="AH701" s="1">
        <f t="shared" si="114"/>
        <v>0.1479843441925226</v>
      </c>
    </row>
    <row r="702" spans="23:34" x14ac:dyDescent="0.2">
      <c r="W702" s="4">
        <v>250.005</v>
      </c>
      <c r="X702" s="1">
        <v>349</v>
      </c>
      <c r="Y702" s="5">
        <v>81.222110000000001</v>
      </c>
      <c r="Z702" s="3">
        <f t="shared" si="112"/>
        <v>86.662940000000006</v>
      </c>
      <c r="AA702" s="1">
        <f t="shared" si="115"/>
        <v>0.22988206820258578</v>
      </c>
      <c r="AD702" s="4">
        <v>250.02250000000001</v>
      </c>
      <c r="AE702" s="1">
        <v>349</v>
      </c>
      <c r="AF702" s="5">
        <v>91.315439999999995</v>
      </c>
      <c r="AG702" s="3">
        <f t="shared" si="113"/>
        <v>91.57692999999999</v>
      </c>
      <c r="AH702" s="1">
        <f t="shared" si="114"/>
        <v>0.14861087103029166</v>
      </c>
    </row>
    <row r="703" spans="23:34" x14ac:dyDescent="0.2">
      <c r="W703" s="4">
        <v>250.00706</v>
      </c>
      <c r="X703" s="1">
        <v>349.5</v>
      </c>
      <c r="Y703" s="3">
        <v>81.19726</v>
      </c>
      <c r="Z703" s="3">
        <f t="shared" si="112"/>
        <v>86.638090000000005</v>
      </c>
      <c r="AA703" s="1">
        <f t="shared" si="115"/>
        <v>0.23029469432883984</v>
      </c>
      <c r="AD703" s="4">
        <v>250.02445</v>
      </c>
      <c r="AE703" s="1">
        <v>349.5</v>
      </c>
      <c r="AF703" s="3">
        <v>91.349369999999993</v>
      </c>
      <c r="AG703" s="3">
        <f t="shared" si="113"/>
        <v>91.610859999999988</v>
      </c>
      <c r="AH703" s="1">
        <f t="shared" si="114"/>
        <v>0.14804759451716226</v>
      </c>
    </row>
    <row r="704" spans="23:34" x14ac:dyDescent="0.2">
      <c r="W704" s="4">
        <v>250.00595000000001</v>
      </c>
      <c r="X704" s="1">
        <v>350</v>
      </c>
      <c r="Y704" s="5">
        <v>81.180000000000007</v>
      </c>
      <c r="Z704" s="3">
        <f t="shared" si="112"/>
        <v>86.620830000000012</v>
      </c>
      <c r="AA704" s="1">
        <f t="shared" si="115"/>
        <v>0.23058129098635061</v>
      </c>
      <c r="AD704" s="4">
        <v>250.02336</v>
      </c>
      <c r="AE704" s="1">
        <v>350</v>
      </c>
      <c r="AF704" s="5">
        <v>91.311710000000005</v>
      </c>
      <c r="AG704" s="3">
        <f t="shared" si="113"/>
        <v>91.5732</v>
      </c>
      <c r="AH704" s="1">
        <f t="shared" si="114"/>
        <v>0.14867279326412505</v>
      </c>
    </row>
    <row r="705" spans="23:34" x14ac:dyDescent="0.2">
      <c r="W705" s="4">
        <v>250.00103999999999</v>
      </c>
      <c r="X705" s="1">
        <v>350.5</v>
      </c>
      <c r="Y705" s="3">
        <v>81.168379999999999</v>
      </c>
      <c r="Z705" s="3">
        <f t="shared" si="112"/>
        <v>86.609210000000004</v>
      </c>
      <c r="AA705" s="1">
        <f t="shared" si="115"/>
        <v>0.23077423728764135</v>
      </c>
      <c r="AD705" s="4">
        <v>250.01632000000001</v>
      </c>
      <c r="AE705" s="1">
        <v>350.5</v>
      </c>
      <c r="AF705" s="3">
        <v>91.217339999999993</v>
      </c>
      <c r="AG705" s="3">
        <f t="shared" si="113"/>
        <v>91.478829999999988</v>
      </c>
      <c r="AH705" s="1">
        <f t="shared" si="114"/>
        <v>0.15023944238124951</v>
      </c>
    </row>
    <row r="706" spans="23:34" x14ac:dyDescent="0.2">
      <c r="W706" s="4">
        <v>250.00201999999999</v>
      </c>
      <c r="X706" s="1">
        <v>351</v>
      </c>
      <c r="Y706" s="5">
        <v>81.157139999999998</v>
      </c>
      <c r="Z706" s="3">
        <f t="shared" si="112"/>
        <v>86.597970000000004</v>
      </c>
      <c r="AA706" s="1">
        <f t="shared" si="115"/>
        <v>0.2309608738131583</v>
      </c>
      <c r="AD706" s="4">
        <v>250.01384999999999</v>
      </c>
      <c r="AE706" s="1">
        <v>351</v>
      </c>
      <c r="AF706" s="5">
        <v>91.245249999999999</v>
      </c>
      <c r="AG706" s="3">
        <f t="shared" si="113"/>
        <v>91.506739999999994</v>
      </c>
      <c r="AH706" s="1">
        <f t="shared" si="114"/>
        <v>0.14977610470127761</v>
      </c>
    </row>
    <row r="707" spans="23:34" x14ac:dyDescent="0.2">
      <c r="W707" s="4">
        <v>250.00498999999999</v>
      </c>
      <c r="X707" s="1">
        <v>351.5</v>
      </c>
      <c r="Y707" s="3">
        <v>81.13785</v>
      </c>
      <c r="Z707" s="3">
        <f t="shared" si="112"/>
        <v>86.578680000000006</v>
      </c>
      <c r="AA707" s="1">
        <f t="shared" si="115"/>
        <v>0.23128117795703917</v>
      </c>
      <c r="AD707" s="4">
        <v>250.01067</v>
      </c>
      <c r="AE707" s="1">
        <v>351.5</v>
      </c>
      <c r="AF707" s="3">
        <v>91.124600000000001</v>
      </c>
      <c r="AG707" s="3">
        <f t="shared" si="113"/>
        <v>91.386089999999996</v>
      </c>
      <c r="AH707" s="1">
        <f t="shared" si="114"/>
        <v>0.1517790316481997</v>
      </c>
    </row>
    <row r="708" spans="23:34" x14ac:dyDescent="0.2">
      <c r="W708" s="4">
        <v>250.00298000000001</v>
      </c>
      <c r="X708" s="1">
        <v>352</v>
      </c>
      <c r="Y708" s="5">
        <v>81.122479999999996</v>
      </c>
      <c r="Z708" s="3">
        <f t="shared" si="112"/>
        <v>86.563310000000001</v>
      </c>
      <c r="AA708" s="1">
        <f t="shared" si="115"/>
        <v>0.2315363917824125</v>
      </c>
      <c r="AD708" s="4">
        <v>250.00693999999999</v>
      </c>
      <c r="AE708" s="1">
        <v>352</v>
      </c>
      <c r="AF708" s="5">
        <v>91.25179</v>
      </c>
      <c r="AG708" s="3">
        <f t="shared" si="113"/>
        <v>91.513279999999995</v>
      </c>
      <c r="AH708" s="1">
        <f t="shared" si="114"/>
        <v>0.14966753327788043</v>
      </c>
    </row>
    <row r="709" spans="23:34" x14ac:dyDescent="0.2">
      <c r="W709" s="4">
        <v>250.00796</v>
      </c>
      <c r="X709" s="1">
        <v>352.5</v>
      </c>
      <c r="Y709" s="3">
        <v>81.128339999999994</v>
      </c>
      <c r="Z709" s="3">
        <f t="shared" ref="Z709:Z772" si="116">100-($Y$4-Y709)</f>
        <v>86.56917</v>
      </c>
      <c r="AA709" s="1">
        <f t="shared" si="115"/>
        <v>0.23143908839811278</v>
      </c>
      <c r="AD709" s="4">
        <v>250.00977</v>
      </c>
      <c r="AE709" s="1">
        <v>352.5</v>
      </c>
      <c r="AF709" s="3">
        <v>91.169280000000001</v>
      </c>
      <c r="AG709" s="3">
        <f t="shared" ref="AG709:AG772" si="117">100-($AF$4-AF709)</f>
        <v>91.430769999999995</v>
      </c>
      <c r="AH709" s="1">
        <f t="shared" si="114"/>
        <v>0.15103729293300303</v>
      </c>
    </row>
    <row r="710" spans="23:34" x14ac:dyDescent="0.2">
      <c r="W710" s="4">
        <v>250.00497999999999</v>
      </c>
      <c r="X710" s="1">
        <v>353</v>
      </c>
      <c r="Y710" s="5">
        <v>81.120540000000005</v>
      </c>
      <c r="Z710" s="3">
        <f t="shared" si="116"/>
        <v>86.561370000000011</v>
      </c>
      <c r="AA710" s="1">
        <f t="shared" si="115"/>
        <v>0.23156860484820441</v>
      </c>
      <c r="AD710" s="4">
        <v>250.00829999999999</v>
      </c>
      <c r="AE710" s="1">
        <v>353</v>
      </c>
      <c r="AF710" s="5">
        <v>91.193110000000004</v>
      </c>
      <c r="AG710" s="3">
        <f t="shared" si="117"/>
        <v>91.454599999999999</v>
      </c>
      <c r="AH710" s="1">
        <f t="shared" si="114"/>
        <v>0.15064168788414134</v>
      </c>
    </row>
    <row r="711" spans="23:34" x14ac:dyDescent="0.2">
      <c r="W711" s="4">
        <v>250.00305</v>
      </c>
      <c r="X711" s="1">
        <v>353.5</v>
      </c>
      <c r="Y711" s="3">
        <v>81.101349999999996</v>
      </c>
      <c r="Z711" s="3">
        <f t="shared" si="116"/>
        <v>86.542180000000002</v>
      </c>
      <c r="AA711" s="1">
        <f t="shared" si="115"/>
        <v>0.2318872485247766</v>
      </c>
      <c r="AD711" s="4">
        <v>250.00906000000001</v>
      </c>
      <c r="AE711" s="1">
        <v>353.5</v>
      </c>
      <c r="AF711" s="3">
        <v>91.259169999999997</v>
      </c>
      <c r="AG711" s="3">
        <f t="shared" si="117"/>
        <v>91.520659999999992</v>
      </c>
      <c r="AH711" s="1">
        <f t="shared" si="114"/>
        <v>0.1495450169010194</v>
      </c>
    </row>
    <row r="712" spans="23:34" x14ac:dyDescent="0.2">
      <c r="W712" s="4">
        <v>250.00694999999999</v>
      </c>
      <c r="X712" s="1">
        <v>354</v>
      </c>
      <c r="Y712" s="5">
        <v>81.070970000000003</v>
      </c>
      <c r="Z712" s="3">
        <f t="shared" si="116"/>
        <v>86.511800000000008</v>
      </c>
      <c r="AA712" s="1">
        <f t="shared" si="115"/>
        <v>0.23239169849321104</v>
      </c>
      <c r="AD712" s="4">
        <v>250.01505</v>
      </c>
      <c r="AE712" s="1">
        <v>354</v>
      </c>
      <c r="AF712" s="5">
        <v>91.119500000000002</v>
      </c>
      <c r="AG712" s="3">
        <f t="shared" si="117"/>
        <v>91.380989999999997</v>
      </c>
      <c r="AH712" s="1">
        <f t="shared" si="114"/>
        <v>0.15186369743708739</v>
      </c>
    </row>
    <row r="713" spans="23:34" x14ac:dyDescent="0.2">
      <c r="W713" s="4">
        <v>250.00294</v>
      </c>
      <c r="X713" s="1">
        <v>354.5</v>
      </c>
      <c r="Y713" s="3">
        <v>81.064920000000001</v>
      </c>
      <c r="Z713" s="3">
        <f t="shared" si="116"/>
        <v>86.505750000000006</v>
      </c>
      <c r="AA713" s="1">
        <f t="shared" si="115"/>
        <v>0.23249215676539767</v>
      </c>
      <c r="AD713" s="4">
        <v>250.01436000000001</v>
      </c>
      <c r="AE713" s="1">
        <v>354.5</v>
      </c>
      <c r="AF713" s="3">
        <v>91.024510000000006</v>
      </c>
      <c r="AG713" s="3">
        <f t="shared" si="117"/>
        <v>91.286000000000001</v>
      </c>
      <c r="AH713" s="1">
        <f t="shared" si="114"/>
        <v>0.1534406392579587</v>
      </c>
    </row>
    <row r="714" spans="23:34" x14ac:dyDescent="0.2">
      <c r="W714" s="4">
        <v>250.00498999999999</v>
      </c>
      <c r="X714" s="1">
        <v>355</v>
      </c>
      <c r="Y714" s="5">
        <v>81.034199999999998</v>
      </c>
      <c r="Z714" s="3">
        <f t="shared" si="116"/>
        <v>86.475030000000004</v>
      </c>
      <c r="AA714" s="1">
        <f t="shared" si="115"/>
        <v>0.23300225232268243</v>
      </c>
      <c r="AD714" s="4">
        <v>250.01496</v>
      </c>
      <c r="AE714" s="1">
        <v>355</v>
      </c>
      <c r="AF714" s="5">
        <v>91.13691</v>
      </c>
      <c r="AG714" s="3">
        <f t="shared" si="117"/>
        <v>91.398399999999995</v>
      </c>
      <c r="AH714" s="1">
        <f t="shared" ref="AH714:AH777" si="118">($AG$9-AG714)/($AG$9*(1-$N$1))</f>
        <v>0.15157467167541386</v>
      </c>
    </row>
    <row r="715" spans="23:34" x14ac:dyDescent="0.2">
      <c r="W715" s="4">
        <v>250.00701000000001</v>
      </c>
      <c r="X715" s="1">
        <v>355.5</v>
      </c>
      <c r="Y715" s="3">
        <v>81.020939999999996</v>
      </c>
      <c r="Z715" s="3">
        <f t="shared" si="116"/>
        <v>86.461770000000001</v>
      </c>
      <c r="AA715" s="1">
        <f t="shared" si="115"/>
        <v>0.23322243028783854</v>
      </c>
      <c r="AD715" s="4">
        <v>250.01893000000001</v>
      </c>
      <c r="AE715" s="1">
        <v>355.5</v>
      </c>
      <c r="AF715" s="3">
        <v>91.083070000000006</v>
      </c>
      <c r="AG715" s="3">
        <f t="shared" si="117"/>
        <v>91.344560000000001</v>
      </c>
      <c r="AH715" s="1">
        <f t="shared" si="118"/>
        <v>0.15246847678790681</v>
      </c>
    </row>
    <row r="716" spans="23:34" x14ac:dyDescent="0.2">
      <c r="W716" s="4">
        <v>250.01</v>
      </c>
      <c r="X716" s="1">
        <v>356</v>
      </c>
      <c r="Y716" s="5">
        <v>81.014840000000007</v>
      </c>
      <c r="Z716" s="3">
        <f t="shared" si="116"/>
        <v>86.455670000000012</v>
      </c>
      <c r="AA716" s="1">
        <f t="shared" ref="AA716:AA779" si="119">($Z$11-Z716)/($Z$11*(1-$N$1))</f>
        <v>0.23332371879367941</v>
      </c>
      <c r="AD716" s="4">
        <v>250.01958999999999</v>
      </c>
      <c r="AE716" s="1">
        <v>356</v>
      </c>
      <c r="AF716" s="5">
        <v>91.090609999999998</v>
      </c>
      <c r="AG716" s="3">
        <f t="shared" si="117"/>
        <v>91.352099999999993</v>
      </c>
      <c r="AH716" s="1">
        <f t="shared" si="118"/>
        <v>0.15234330422943373</v>
      </c>
    </row>
    <row r="717" spans="23:34" x14ac:dyDescent="0.2">
      <c r="W717" s="4">
        <v>250.00701000000001</v>
      </c>
      <c r="X717" s="1">
        <v>356.5</v>
      </c>
      <c r="Y717" s="3">
        <v>80.990139999999997</v>
      </c>
      <c r="Z717" s="3">
        <f t="shared" si="116"/>
        <v>86.430970000000002</v>
      </c>
      <c r="AA717" s="1">
        <f t="shared" si="119"/>
        <v>0.23373385421897033</v>
      </c>
      <c r="AD717" s="4">
        <v>250.01931999999999</v>
      </c>
      <c r="AE717" s="1">
        <v>356.5</v>
      </c>
      <c r="AF717" s="3">
        <v>91.148179999999996</v>
      </c>
      <c r="AG717" s="3">
        <f t="shared" si="117"/>
        <v>91.409669999999991</v>
      </c>
      <c r="AH717" s="1">
        <f t="shared" si="118"/>
        <v>0.15138757688310717</v>
      </c>
    </row>
    <row r="718" spans="23:34" x14ac:dyDescent="0.2">
      <c r="W718" s="4">
        <v>250.00801000000001</v>
      </c>
      <c r="X718" s="1">
        <v>357</v>
      </c>
      <c r="Y718" s="5">
        <v>80.984380000000002</v>
      </c>
      <c r="Z718" s="3">
        <f t="shared" si="116"/>
        <v>86.425210000000007</v>
      </c>
      <c r="AA718" s="1">
        <f t="shared" si="119"/>
        <v>0.23382949713596113</v>
      </c>
      <c r="AD718" s="4">
        <v>250.01898</v>
      </c>
      <c r="AE718" s="1">
        <v>357</v>
      </c>
      <c r="AF718" s="5">
        <v>91.126130000000003</v>
      </c>
      <c r="AG718" s="3">
        <f t="shared" si="117"/>
        <v>91.387619999999998</v>
      </c>
      <c r="AH718" s="1">
        <f t="shared" si="118"/>
        <v>0.15175363191153335</v>
      </c>
    </row>
    <row r="719" spans="23:34" x14ac:dyDescent="0.2">
      <c r="W719" s="4">
        <v>250.01094000000001</v>
      </c>
      <c r="X719" s="1">
        <v>357.5</v>
      </c>
      <c r="Y719" s="3">
        <v>80.974930000000001</v>
      </c>
      <c r="Z719" s="3">
        <f t="shared" si="116"/>
        <v>86.415760000000006</v>
      </c>
      <c r="AA719" s="1">
        <f t="shared" si="119"/>
        <v>0.23398641129664932</v>
      </c>
      <c r="AD719" s="4">
        <v>250.01926</v>
      </c>
      <c r="AE719" s="1">
        <v>357.5</v>
      </c>
      <c r="AF719" s="3">
        <v>90.987179999999995</v>
      </c>
      <c r="AG719" s="3">
        <f t="shared" si="117"/>
        <v>91.24866999999999</v>
      </c>
      <c r="AH719" s="1">
        <f t="shared" si="118"/>
        <v>0.15406035963034681</v>
      </c>
    </row>
    <row r="720" spans="23:34" x14ac:dyDescent="0.2">
      <c r="W720" s="4">
        <v>250.00597999999999</v>
      </c>
      <c r="X720" s="1">
        <v>358</v>
      </c>
      <c r="Y720" s="5">
        <v>80.967190000000002</v>
      </c>
      <c r="Z720" s="3">
        <f t="shared" si="116"/>
        <v>86.408020000000008</v>
      </c>
      <c r="AA720" s="1">
        <f t="shared" si="119"/>
        <v>0.23411493146635579</v>
      </c>
      <c r="AD720" s="4">
        <v>250.02269999999999</v>
      </c>
      <c r="AE720" s="1">
        <v>358</v>
      </c>
      <c r="AF720" s="5">
        <v>91.049899999999994</v>
      </c>
      <c r="AG720" s="3">
        <f t="shared" si="117"/>
        <v>91.311389999999989</v>
      </c>
      <c r="AH720" s="1">
        <f t="shared" si="118"/>
        <v>0.15301913643837869</v>
      </c>
    </row>
    <row r="721" spans="23:34" x14ac:dyDescent="0.2">
      <c r="W721" s="4">
        <v>249.99895000000001</v>
      </c>
      <c r="X721" s="1">
        <v>358.5</v>
      </c>
      <c r="Y721" s="3">
        <v>80.934370000000001</v>
      </c>
      <c r="Z721" s="3">
        <f t="shared" si="116"/>
        <v>86.375200000000007</v>
      </c>
      <c r="AA721" s="1">
        <f t="shared" si="119"/>
        <v>0.23465989683712676</v>
      </c>
      <c r="AD721" s="4">
        <v>250.02163999999999</v>
      </c>
      <c r="AE721" s="1">
        <v>358.5</v>
      </c>
      <c r="AF721" s="3">
        <v>91.163399999999996</v>
      </c>
      <c r="AG721" s="3">
        <f t="shared" si="117"/>
        <v>91.424889999999991</v>
      </c>
      <c r="AH721" s="1">
        <f t="shared" si="118"/>
        <v>0.1511349076072501</v>
      </c>
    </row>
    <row r="722" spans="23:34" x14ac:dyDescent="0.2">
      <c r="W722" s="4">
        <v>250.00503</v>
      </c>
      <c r="X722" s="1">
        <v>359</v>
      </c>
      <c r="Y722" s="5">
        <v>80.932630000000003</v>
      </c>
      <c r="Z722" s="3">
        <f t="shared" si="116"/>
        <v>86.373460000000009</v>
      </c>
      <c r="AA722" s="1">
        <f t="shared" si="119"/>
        <v>0.23468878896830106</v>
      </c>
      <c r="AD722" s="4">
        <v>250.01954000000001</v>
      </c>
      <c r="AE722" s="1">
        <v>359</v>
      </c>
      <c r="AF722" s="5">
        <v>91.062749999999994</v>
      </c>
      <c r="AG722" s="3">
        <f t="shared" si="117"/>
        <v>91.324239999999989</v>
      </c>
      <c r="AH722" s="1">
        <f t="shared" si="118"/>
        <v>0.1528058118526518</v>
      </c>
    </row>
    <row r="723" spans="23:34" x14ac:dyDescent="0.2">
      <c r="W723" s="4">
        <v>250.00801000000001</v>
      </c>
      <c r="X723" s="1">
        <v>359.5</v>
      </c>
      <c r="Y723" s="3">
        <v>80.911519999999996</v>
      </c>
      <c r="Z723" s="3">
        <f t="shared" si="116"/>
        <v>86.352350000000001</v>
      </c>
      <c r="AA723" s="1">
        <f t="shared" si="119"/>
        <v>0.23503931361720351</v>
      </c>
      <c r="AD723" s="4">
        <v>250.01792</v>
      </c>
      <c r="AE723" s="1">
        <v>359.5</v>
      </c>
      <c r="AF723" s="3">
        <v>91.089150000000004</v>
      </c>
      <c r="AG723" s="3">
        <f t="shared" si="117"/>
        <v>91.350639999999999</v>
      </c>
      <c r="AH723" s="1">
        <f t="shared" si="118"/>
        <v>0.15236754188664464</v>
      </c>
    </row>
    <row r="724" spans="23:34" x14ac:dyDescent="0.2">
      <c r="W724" s="4">
        <v>250.00102999999999</v>
      </c>
      <c r="X724" s="1">
        <v>360</v>
      </c>
      <c r="Y724" s="5">
        <v>80.896090000000001</v>
      </c>
      <c r="Z724" s="3">
        <f t="shared" si="116"/>
        <v>86.336920000000006</v>
      </c>
      <c r="AA724" s="1">
        <f t="shared" si="119"/>
        <v>0.235295523722962</v>
      </c>
      <c r="AD724" s="4">
        <v>250.01618999999999</v>
      </c>
      <c r="AE724" s="1">
        <v>360</v>
      </c>
      <c r="AF724" s="5">
        <v>90.991100000000003</v>
      </c>
      <c r="AG724" s="3">
        <f t="shared" si="117"/>
        <v>91.252589999999998</v>
      </c>
      <c r="AH724" s="1">
        <f t="shared" si="118"/>
        <v>0.15399528318084865</v>
      </c>
    </row>
    <row r="725" spans="23:34" x14ac:dyDescent="0.2">
      <c r="W725" s="4">
        <v>250.00102000000001</v>
      </c>
      <c r="X725" s="1">
        <v>360.5</v>
      </c>
      <c r="Y725" s="3">
        <v>80.861770000000007</v>
      </c>
      <c r="Z725" s="3">
        <f t="shared" si="116"/>
        <v>86.302600000000012</v>
      </c>
      <c r="AA725" s="1">
        <f t="shared" si="119"/>
        <v>0.23586539610336588</v>
      </c>
      <c r="AD725" s="4">
        <v>250.01430999999999</v>
      </c>
      <c r="AE725" s="1">
        <v>360.5</v>
      </c>
      <c r="AF725" s="3">
        <v>91.093239999999994</v>
      </c>
      <c r="AG725" s="3">
        <f t="shared" si="117"/>
        <v>91.354729999999989</v>
      </c>
      <c r="AH725" s="1">
        <f t="shared" si="118"/>
        <v>0.15229964324418388</v>
      </c>
    </row>
    <row r="726" spans="23:34" x14ac:dyDescent="0.2">
      <c r="W726" s="4">
        <v>249.99901</v>
      </c>
      <c r="X726" s="1">
        <v>361</v>
      </c>
      <c r="Y726" s="5">
        <v>80.861710000000002</v>
      </c>
      <c r="Z726" s="3">
        <f t="shared" si="116"/>
        <v>86.302540000000008</v>
      </c>
      <c r="AA726" s="1">
        <f t="shared" si="119"/>
        <v>0.23586639238375129</v>
      </c>
      <c r="AD726" s="4">
        <v>250.01527999999999</v>
      </c>
      <c r="AE726" s="1">
        <v>361</v>
      </c>
      <c r="AF726" s="5">
        <v>91.082719999999995</v>
      </c>
      <c r="AG726" s="3">
        <f t="shared" si="117"/>
        <v>91.34420999999999</v>
      </c>
      <c r="AH726" s="1">
        <f t="shared" si="118"/>
        <v>0.1524742871851836</v>
      </c>
    </row>
    <row r="727" spans="23:34" x14ac:dyDescent="0.2">
      <c r="W727" s="4">
        <v>250.00708</v>
      </c>
      <c r="X727" s="1">
        <v>361.5</v>
      </c>
      <c r="Y727" s="3">
        <v>80.842770000000002</v>
      </c>
      <c r="Z727" s="3">
        <f t="shared" si="116"/>
        <v>86.283600000000007</v>
      </c>
      <c r="AA727" s="1">
        <f t="shared" si="119"/>
        <v>0.23618088489205119</v>
      </c>
      <c r="AD727" s="4">
        <v>250.02269999999999</v>
      </c>
      <c r="AE727" s="1">
        <v>361.5</v>
      </c>
      <c r="AF727" s="3">
        <v>91.016869999999997</v>
      </c>
      <c r="AG727" s="3">
        <f t="shared" si="117"/>
        <v>91.278359999999992</v>
      </c>
      <c r="AH727" s="1">
        <f t="shared" si="118"/>
        <v>0.15356747192993966</v>
      </c>
    </row>
    <row r="728" spans="23:34" x14ac:dyDescent="0.2">
      <c r="W728" s="4">
        <v>250.00502</v>
      </c>
      <c r="X728" s="1">
        <v>362</v>
      </c>
      <c r="Y728" s="5">
        <v>80.800250000000005</v>
      </c>
      <c r="Z728" s="3">
        <f t="shared" si="116"/>
        <v>86.241080000000011</v>
      </c>
      <c r="AA728" s="1">
        <f t="shared" si="119"/>
        <v>0.2368869155917824</v>
      </c>
      <c r="AD728" s="4">
        <v>250.02698000000001</v>
      </c>
      <c r="AE728" s="1">
        <v>362</v>
      </c>
      <c r="AF728" s="5">
        <v>91.055679999999995</v>
      </c>
      <c r="AG728" s="3">
        <f t="shared" si="117"/>
        <v>91.31716999999999</v>
      </c>
      <c r="AH728" s="1">
        <f t="shared" si="118"/>
        <v>0.15292318187763926</v>
      </c>
    </row>
    <row r="729" spans="23:34" x14ac:dyDescent="0.2">
      <c r="W729" s="4">
        <v>250.00596999999999</v>
      </c>
      <c r="X729" s="1">
        <v>362.5</v>
      </c>
      <c r="Y729" s="3">
        <v>80.815529999999995</v>
      </c>
      <c r="Z729" s="3">
        <f t="shared" si="116"/>
        <v>86.256360000000001</v>
      </c>
      <c r="AA729" s="1">
        <f t="shared" si="119"/>
        <v>0.23663319618698733</v>
      </c>
      <c r="AD729" s="4">
        <v>250.02421000000001</v>
      </c>
      <c r="AE729" s="1">
        <v>362.5</v>
      </c>
      <c r="AF729" s="3">
        <v>91.01961</v>
      </c>
      <c r="AG729" s="3">
        <f t="shared" si="117"/>
        <v>91.281099999999995</v>
      </c>
      <c r="AH729" s="1">
        <f t="shared" si="118"/>
        <v>0.15352198481983131</v>
      </c>
    </row>
    <row r="730" spans="23:34" x14ac:dyDescent="0.2">
      <c r="W730" s="4">
        <v>250.00796</v>
      </c>
      <c r="X730" s="1">
        <v>363</v>
      </c>
      <c r="Y730" s="5">
        <v>80.804159999999996</v>
      </c>
      <c r="Z730" s="3">
        <f t="shared" si="116"/>
        <v>86.244990000000001</v>
      </c>
      <c r="AA730" s="1">
        <f t="shared" si="119"/>
        <v>0.23682199132000578</v>
      </c>
      <c r="AD730" s="4">
        <v>250.02126000000001</v>
      </c>
      <c r="AE730" s="1">
        <v>363</v>
      </c>
      <c r="AF730" s="5">
        <v>91.04298</v>
      </c>
      <c r="AG730" s="3">
        <f t="shared" si="117"/>
        <v>91.304469999999995</v>
      </c>
      <c r="AH730" s="1">
        <f t="shared" si="118"/>
        <v>0.15313401629310466</v>
      </c>
    </row>
    <row r="731" spans="23:34" x14ac:dyDescent="0.2">
      <c r="W731" s="4">
        <v>250.00398999999999</v>
      </c>
      <c r="X731" s="1">
        <v>363.5</v>
      </c>
      <c r="Y731" s="3">
        <v>80.779309999999995</v>
      </c>
      <c r="Z731" s="3">
        <f t="shared" si="116"/>
        <v>86.220140000000001</v>
      </c>
      <c r="AA731" s="1">
        <f t="shared" si="119"/>
        <v>0.23723461744625984</v>
      </c>
      <c r="AD731" s="4">
        <v>250.02177</v>
      </c>
      <c r="AE731" s="1">
        <v>363.5</v>
      </c>
      <c r="AF731" s="3">
        <v>90.944130000000001</v>
      </c>
      <c r="AG731" s="3">
        <f t="shared" si="117"/>
        <v>91.205619999999996</v>
      </c>
      <c r="AH731" s="1">
        <f t="shared" si="118"/>
        <v>0.15477503849536947</v>
      </c>
    </row>
    <row r="732" spans="23:34" x14ac:dyDescent="0.2">
      <c r="W732" s="4">
        <v>250.00597999999999</v>
      </c>
      <c r="X732" s="1">
        <v>364</v>
      </c>
      <c r="Y732" s="5">
        <v>80.765789999999996</v>
      </c>
      <c r="Z732" s="3">
        <f t="shared" si="116"/>
        <v>86.206620000000001</v>
      </c>
      <c r="AA732" s="1">
        <f t="shared" si="119"/>
        <v>0.237459112626419</v>
      </c>
      <c r="AD732" s="4">
        <v>250.02454</v>
      </c>
      <c r="AE732" s="1">
        <v>364</v>
      </c>
      <c r="AF732" s="5">
        <v>90.99915</v>
      </c>
      <c r="AG732" s="3">
        <f t="shared" si="117"/>
        <v>91.260639999999995</v>
      </c>
      <c r="AH732" s="1">
        <f t="shared" si="118"/>
        <v>0.15386164404348673</v>
      </c>
    </row>
    <row r="733" spans="23:34" x14ac:dyDescent="0.2">
      <c r="W733" s="4">
        <v>250.00604999999999</v>
      </c>
      <c r="X733" s="1">
        <v>364.5</v>
      </c>
      <c r="Y733" s="3">
        <v>80.758200000000002</v>
      </c>
      <c r="Z733" s="3">
        <f t="shared" si="116"/>
        <v>86.199030000000008</v>
      </c>
      <c r="AA733" s="1">
        <f t="shared" si="119"/>
        <v>0.23758514209516207</v>
      </c>
      <c r="AD733" s="4">
        <v>250.02463</v>
      </c>
      <c r="AE733" s="1">
        <v>364.5</v>
      </c>
      <c r="AF733" s="3">
        <v>90.772319999999993</v>
      </c>
      <c r="AG733" s="3">
        <f t="shared" si="117"/>
        <v>91.033809999999988</v>
      </c>
      <c r="AH733" s="1">
        <f t="shared" si="118"/>
        <v>0.15762727951278099</v>
      </c>
    </row>
    <row r="734" spans="23:34" x14ac:dyDescent="0.2">
      <c r="W734" s="4">
        <v>250.00398000000001</v>
      </c>
      <c r="X734" s="1">
        <v>365</v>
      </c>
      <c r="Y734" s="5">
        <v>80.744770000000003</v>
      </c>
      <c r="Z734" s="3">
        <f t="shared" si="116"/>
        <v>86.185600000000008</v>
      </c>
      <c r="AA734" s="1">
        <f t="shared" si="119"/>
        <v>0.23780814285474325</v>
      </c>
      <c r="AD734" s="4">
        <v>250.02289999999999</v>
      </c>
      <c r="AE734" s="1">
        <v>365</v>
      </c>
      <c r="AF734" s="5">
        <v>90.882959999999997</v>
      </c>
      <c r="AG734" s="3">
        <f t="shared" si="117"/>
        <v>91.144449999999992</v>
      </c>
      <c r="AH734" s="1">
        <f t="shared" si="118"/>
        <v>0.15579052992796982</v>
      </c>
    </row>
    <row r="735" spans="23:34" x14ac:dyDescent="0.2">
      <c r="W735" s="4">
        <v>250.00700000000001</v>
      </c>
      <c r="X735" s="1">
        <v>365.5</v>
      </c>
      <c r="Y735" s="3">
        <v>80.72748</v>
      </c>
      <c r="Z735" s="3">
        <f t="shared" si="116"/>
        <v>86.168310000000005</v>
      </c>
      <c r="AA735" s="1">
        <f t="shared" si="119"/>
        <v>0.23809523765244681</v>
      </c>
      <c r="AD735" s="4">
        <v>250.01979</v>
      </c>
      <c r="AE735" s="1">
        <v>365.5</v>
      </c>
      <c r="AF735" s="3">
        <v>90.915019999999998</v>
      </c>
      <c r="AG735" s="3">
        <f t="shared" si="117"/>
        <v>91.176509999999993</v>
      </c>
      <c r="AH735" s="1">
        <f t="shared" si="118"/>
        <v>0.15525829753743253</v>
      </c>
    </row>
    <row r="736" spans="23:34" x14ac:dyDescent="0.2">
      <c r="W736" s="4">
        <v>250.00301999999999</v>
      </c>
      <c r="X736" s="1">
        <v>366</v>
      </c>
      <c r="Y736" s="5">
        <v>80.708349999999996</v>
      </c>
      <c r="Z736" s="3">
        <f t="shared" si="116"/>
        <v>86.149180000000001</v>
      </c>
      <c r="AA736" s="1">
        <f t="shared" si="119"/>
        <v>0.23841288504863362</v>
      </c>
      <c r="AD736" s="4">
        <v>250.01792</v>
      </c>
      <c r="AE736" s="1">
        <v>366</v>
      </c>
      <c r="AF736" s="5">
        <v>90.898200000000003</v>
      </c>
      <c r="AG736" s="3">
        <f t="shared" si="117"/>
        <v>91.159689999999998</v>
      </c>
      <c r="AH736" s="1">
        <f t="shared" si="118"/>
        <v>0.15553752862941114</v>
      </c>
    </row>
    <row r="737" spans="23:34" x14ac:dyDescent="0.2">
      <c r="W737" s="4">
        <v>250.00700000000001</v>
      </c>
      <c r="X737" s="1">
        <v>366.5</v>
      </c>
      <c r="Y737" s="3">
        <v>80.700659999999999</v>
      </c>
      <c r="Z737" s="3">
        <f t="shared" si="116"/>
        <v>86.141490000000005</v>
      </c>
      <c r="AA737" s="1">
        <f t="shared" si="119"/>
        <v>0.23854057498468562</v>
      </c>
      <c r="AD737" s="4">
        <v>250.01781</v>
      </c>
      <c r="AE737" s="1">
        <v>366.5</v>
      </c>
      <c r="AF737" s="3">
        <v>90.882549999999995</v>
      </c>
      <c r="AG737" s="3">
        <f t="shared" si="117"/>
        <v>91.14403999999999</v>
      </c>
      <c r="AH737" s="1">
        <f t="shared" si="118"/>
        <v>0.15579733639335103</v>
      </c>
    </row>
    <row r="738" spans="23:34" x14ac:dyDescent="0.2">
      <c r="W738" s="4">
        <v>250.00495000000001</v>
      </c>
      <c r="X738" s="1">
        <v>367</v>
      </c>
      <c r="Y738" s="5">
        <v>80.685299999999998</v>
      </c>
      <c r="Z738" s="3">
        <f t="shared" si="116"/>
        <v>86.126130000000003</v>
      </c>
      <c r="AA738" s="1">
        <f t="shared" si="119"/>
        <v>0.23879562276332797</v>
      </c>
      <c r="AD738" s="4">
        <v>250.01519999999999</v>
      </c>
      <c r="AE738" s="1">
        <v>367</v>
      </c>
      <c r="AF738" s="5">
        <v>90.827860000000001</v>
      </c>
      <c r="AG738" s="3">
        <f t="shared" si="117"/>
        <v>91.089349999999996</v>
      </c>
      <c r="AH738" s="1">
        <f t="shared" si="118"/>
        <v>0.15670525247065858</v>
      </c>
    </row>
    <row r="739" spans="23:34" x14ac:dyDescent="0.2">
      <c r="W739" s="4">
        <v>250.00397000000001</v>
      </c>
      <c r="X739" s="1">
        <v>367.5</v>
      </c>
      <c r="Y739" s="3">
        <v>80.66995</v>
      </c>
      <c r="Z739" s="3">
        <f t="shared" si="116"/>
        <v>86.110780000000005</v>
      </c>
      <c r="AA739" s="1">
        <f t="shared" si="119"/>
        <v>0.2390505044952394</v>
      </c>
      <c r="AD739" s="4">
        <v>250.01265000000001</v>
      </c>
      <c r="AE739" s="1">
        <v>367.5</v>
      </c>
      <c r="AF739" s="3">
        <v>90.925569999999993</v>
      </c>
      <c r="AG739" s="3">
        <f t="shared" si="117"/>
        <v>91.187059999999988</v>
      </c>
      <c r="AH739" s="1">
        <f t="shared" si="118"/>
        <v>0.15508315556238056</v>
      </c>
    </row>
    <row r="740" spans="23:34" x14ac:dyDescent="0.2">
      <c r="W740" s="4">
        <v>250.00899000000001</v>
      </c>
      <c r="X740" s="1">
        <v>368</v>
      </c>
      <c r="Y740" s="5">
        <v>80.660430000000005</v>
      </c>
      <c r="Z740" s="3">
        <f t="shared" si="116"/>
        <v>86.101260000000011</v>
      </c>
      <c r="AA740" s="1">
        <f t="shared" si="119"/>
        <v>0.23920858098304371</v>
      </c>
      <c r="AD740" s="4">
        <v>250.00890000000001</v>
      </c>
      <c r="AE740" s="1">
        <v>368</v>
      </c>
      <c r="AF740" s="5">
        <v>90.911280000000005</v>
      </c>
      <c r="AG740" s="3">
        <f t="shared" si="117"/>
        <v>91.17277</v>
      </c>
      <c r="AH740" s="1">
        <f t="shared" si="118"/>
        <v>0.15532038578261673</v>
      </c>
    </row>
    <row r="741" spans="23:34" x14ac:dyDescent="0.2">
      <c r="W741" s="4">
        <v>250.01002</v>
      </c>
      <c r="X741" s="1">
        <v>368.5</v>
      </c>
      <c r="Y741" s="3">
        <v>80.644990000000007</v>
      </c>
      <c r="Z741" s="3">
        <f t="shared" si="116"/>
        <v>86.085820000000012</v>
      </c>
      <c r="AA741" s="1">
        <f t="shared" si="119"/>
        <v>0.23946495713553312</v>
      </c>
      <c r="AD741" s="4">
        <v>250.0127</v>
      </c>
      <c r="AE741" s="1">
        <v>368.5</v>
      </c>
      <c r="AF741" s="3">
        <v>90.923640000000006</v>
      </c>
      <c r="AG741" s="3">
        <f t="shared" si="117"/>
        <v>91.185130000000001</v>
      </c>
      <c r="AH741" s="1">
        <f t="shared" si="118"/>
        <v>0.15511519575307708</v>
      </c>
    </row>
    <row r="742" spans="23:34" x14ac:dyDescent="0.2">
      <c r="W742" s="4">
        <v>250.00599</v>
      </c>
      <c r="X742" s="1">
        <v>369</v>
      </c>
      <c r="Y742" s="5">
        <v>80.646829999999994</v>
      </c>
      <c r="Z742" s="3">
        <f t="shared" si="116"/>
        <v>86.08766</v>
      </c>
      <c r="AA742" s="1">
        <f t="shared" si="119"/>
        <v>0.23943440453705012</v>
      </c>
      <c r="AD742" s="4">
        <v>250.01751999999999</v>
      </c>
      <c r="AE742" s="1">
        <v>369</v>
      </c>
      <c r="AF742" s="5">
        <v>90.88158</v>
      </c>
      <c r="AG742" s="3">
        <f t="shared" si="117"/>
        <v>91.143069999999994</v>
      </c>
      <c r="AH742" s="1">
        <f t="shared" si="118"/>
        <v>0.15581343949437471</v>
      </c>
    </row>
    <row r="743" spans="23:34" x14ac:dyDescent="0.2">
      <c r="W743" s="4">
        <v>250.00197</v>
      </c>
      <c r="X743" s="1">
        <v>369.5</v>
      </c>
      <c r="Y743" s="3">
        <v>80.620220000000003</v>
      </c>
      <c r="Z743" s="3">
        <f t="shared" si="116"/>
        <v>86.061050000000009</v>
      </c>
      <c r="AA743" s="1">
        <f t="shared" si="119"/>
        <v>0.23987625488794015</v>
      </c>
      <c r="AD743" s="4">
        <v>250.02126000000001</v>
      </c>
      <c r="AE743" s="1">
        <v>369.5</v>
      </c>
      <c r="AF743" s="3">
        <v>90.805629999999994</v>
      </c>
      <c r="AG743" s="3">
        <f t="shared" si="117"/>
        <v>91.067119999999989</v>
      </c>
      <c r="AH743" s="1">
        <f t="shared" si="118"/>
        <v>0.1570742957033987</v>
      </c>
    </row>
    <row r="744" spans="23:34" x14ac:dyDescent="0.2">
      <c r="W744" s="4">
        <v>250.00002000000001</v>
      </c>
      <c r="X744" s="1">
        <v>370</v>
      </c>
      <c r="Y744" s="5">
        <v>80.604749999999996</v>
      </c>
      <c r="Z744" s="3">
        <f t="shared" si="116"/>
        <v>86.045580000000001</v>
      </c>
      <c r="AA744" s="1">
        <f t="shared" si="119"/>
        <v>0.24013312918062238</v>
      </c>
      <c r="AD744" s="4">
        <v>250.02471</v>
      </c>
      <c r="AE744" s="1">
        <v>370</v>
      </c>
      <c r="AF744" s="5">
        <v>90.890870000000007</v>
      </c>
      <c r="AG744" s="3">
        <f t="shared" si="117"/>
        <v>91.152360000000002</v>
      </c>
      <c r="AH744" s="1">
        <f t="shared" si="118"/>
        <v>0.15565921494951832</v>
      </c>
    </row>
    <row r="745" spans="23:34" x14ac:dyDescent="0.2">
      <c r="W745" s="4">
        <v>250.001</v>
      </c>
      <c r="X745" s="1">
        <v>370.5</v>
      </c>
      <c r="Y745" s="3">
        <v>80.597049999999996</v>
      </c>
      <c r="Z745" s="3">
        <f t="shared" si="116"/>
        <v>86.037880000000001</v>
      </c>
      <c r="AA745" s="1">
        <f t="shared" si="119"/>
        <v>0.24026098516340533</v>
      </c>
      <c r="AD745" s="4">
        <v>250.02331000000001</v>
      </c>
      <c r="AE745" s="1">
        <v>370.5</v>
      </c>
      <c r="AF745" s="3">
        <v>90.810169999999999</v>
      </c>
      <c r="AG745" s="3">
        <f t="shared" si="117"/>
        <v>91.071659999999994</v>
      </c>
      <c r="AH745" s="1">
        <f t="shared" si="118"/>
        <v>0.15699892655015346</v>
      </c>
    </row>
    <row r="746" spans="23:34" x14ac:dyDescent="0.2">
      <c r="W746" s="4">
        <v>250.00402</v>
      </c>
      <c r="X746" s="1">
        <v>371</v>
      </c>
      <c r="Y746" s="5">
        <v>80.581919999999997</v>
      </c>
      <c r="Z746" s="3">
        <f t="shared" si="116"/>
        <v>86.022750000000002</v>
      </c>
      <c r="AA746" s="1">
        <f t="shared" si="119"/>
        <v>0.24051221386723726</v>
      </c>
      <c r="AD746" s="4">
        <v>250.02168</v>
      </c>
      <c r="AE746" s="1">
        <v>371</v>
      </c>
      <c r="AF746" s="5">
        <v>90.873310000000004</v>
      </c>
      <c r="AG746" s="3">
        <f t="shared" si="117"/>
        <v>91.134799999999998</v>
      </c>
      <c r="AH746" s="1">
        <f t="shared" si="118"/>
        <v>0.15595073088145334</v>
      </c>
    </row>
    <row r="747" spans="23:34" x14ac:dyDescent="0.2">
      <c r="W747" s="4">
        <v>250.00997000000001</v>
      </c>
      <c r="X747" s="1">
        <v>371.5</v>
      </c>
      <c r="Y747" s="3">
        <v>80.574060000000003</v>
      </c>
      <c r="Z747" s="3">
        <f t="shared" si="116"/>
        <v>86.014890000000008</v>
      </c>
      <c r="AA747" s="1">
        <f t="shared" si="119"/>
        <v>0.2406427265977143</v>
      </c>
      <c r="AD747" s="4">
        <v>250.02196000000001</v>
      </c>
      <c r="AE747" s="1">
        <v>371.5</v>
      </c>
      <c r="AF747" s="3">
        <v>90.754000000000005</v>
      </c>
      <c r="AG747" s="3">
        <f t="shared" si="117"/>
        <v>91.01549</v>
      </c>
      <c r="AH747" s="1">
        <f t="shared" si="118"/>
        <v>0.15793141230737354</v>
      </c>
    </row>
    <row r="748" spans="23:34" x14ac:dyDescent="0.2">
      <c r="W748" s="4">
        <v>250.00398000000001</v>
      </c>
      <c r="X748" s="1">
        <v>372</v>
      </c>
      <c r="Y748" s="5">
        <v>80.560580000000002</v>
      </c>
      <c r="Z748" s="3">
        <f t="shared" si="116"/>
        <v>86.001410000000007</v>
      </c>
      <c r="AA748" s="1">
        <f t="shared" si="119"/>
        <v>0.24086655759094991</v>
      </c>
      <c r="AD748" s="4">
        <v>250.02180999999999</v>
      </c>
      <c r="AE748" s="1">
        <v>372</v>
      </c>
      <c r="AF748" s="5">
        <v>90.856449999999995</v>
      </c>
      <c r="AG748" s="3">
        <f t="shared" si="117"/>
        <v>91.11793999999999</v>
      </c>
      <c r="AH748" s="1">
        <f t="shared" si="118"/>
        <v>0.15623062601883519</v>
      </c>
    </row>
    <row r="749" spans="23:34" x14ac:dyDescent="0.2">
      <c r="W749" s="4">
        <v>250.00704999999999</v>
      </c>
      <c r="X749" s="1">
        <v>372.5</v>
      </c>
      <c r="Y749" s="3">
        <v>80.551060000000007</v>
      </c>
      <c r="Z749" s="3">
        <f t="shared" si="116"/>
        <v>85.991890000000012</v>
      </c>
      <c r="AA749" s="1">
        <f t="shared" si="119"/>
        <v>0.24102463407875421</v>
      </c>
      <c r="AD749" s="4">
        <v>250.02047999999999</v>
      </c>
      <c r="AE749" s="1">
        <v>372.5</v>
      </c>
      <c r="AF749" s="3">
        <v>90.827349999999996</v>
      </c>
      <c r="AG749" s="3">
        <f t="shared" si="117"/>
        <v>91.08883999999999</v>
      </c>
      <c r="AH749" s="1">
        <f t="shared" si="118"/>
        <v>0.15671371904954745</v>
      </c>
    </row>
    <row r="750" spans="23:34" x14ac:dyDescent="0.2">
      <c r="W750" s="4">
        <v>250.01602</v>
      </c>
      <c r="X750" s="1">
        <v>373</v>
      </c>
      <c r="Y750" s="5">
        <v>80.529920000000004</v>
      </c>
      <c r="Z750" s="3">
        <f t="shared" si="116"/>
        <v>85.97075000000001</v>
      </c>
      <c r="AA750" s="1">
        <f t="shared" si="119"/>
        <v>0.24137565686784926</v>
      </c>
      <c r="AD750" s="4">
        <v>250.02064999999999</v>
      </c>
      <c r="AE750" s="1">
        <v>373</v>
      </c>
      <c r="AF750" s="5">
        <v>90.782160000000005</v>
      </c>
      <c r="AG750" s="3">
        <f t="shared" si="117"/>
        <v>91.04365</v>
      </c>
      <c r="AH750" s="1">
        <f t="shared" si="118"/>
        <v>0.15746392434363277</v>
      </c>
    </row>
    <row r="751" spans="23:34" x14ac:dyDescent="0.2">
      <c r="W751" s="4">
        <v>250.01301000000001</v>
      </c>
      <c r="X751" s="1">
        <v>373.5</v>
      </c>
      <c r="Y751" s="3">
        <v>80.512789999999995</v>
      </c>
      <c r="Z751" s="3">
        <f t="shared" si="116"/>
        <v>85.953620000000001</v>
      </c>
      <c r="AA751" s="1">
        <f t="shared" si="119"/>
        <v>0.24166009491785873</v>
      </c>
      <c r="AD751" s="4">
        <v>250.01652000000001</v>
      </c>
      <c r="AE751" s="1">
        <v>373.5</v>
      </c>
      <c r="AF751" s="3">
        <v>90.704989999999995</v>
      </c>
      <c r="AG751" s="3">
        <f t="shared" si="117"/>
        <v>90.96647999999999</v>
      </c>
      <c r="AH751" s="1">
        <f t="shared" si="118"/>
        <v>0.15874503393744957</v>
      </c>
    </row>
    <row r="752" spans="23:34" x14ac:dyDescent="0.2">
      <c r="W752" s="4">
        <v>250.00496999999999</v>
      </c>
      <c r="X752" s="1">
        <v>374</v>
      </c>
      <c r="Y752" s="5">
        <v>80.493489999999994</v>
      </c>
      <c r="Z752" s="3">
        <f t="shared" si="116"/>
        <v>85.93432</v>
      </c>
      <c r="AA752" s="1">
        <f t="shared" si="119"/>
        <v>0.24198056510847057</v>
      </c>
      <c r="AD752" s="4">
        <v>250.01474999999999</v>
      </c>
      <c r="AE752" s="1">
        <v>374</v>
      </c>
      <c r="AF752" s="5">
        <v>90.650270000000006</v>
      </c>
      <c r="AG752" s="3">
        <f t="shared" si="117"/>
        <v>90.911760000000001</v>
      </c>
      <c r="AH752" s="1">
        <f t="shared" si="118"/>
        <v>0.15965344804880935</v>
      </c>
    </row>
    <row r="753" spans="23:34" x14ac:dyDescent="0.2">
      <c r="W753" s="4">
        <v>249.99897000000001</v>
      </c>
      <c r="X753" s="1">
        <v>374.5</v>
      </c>
      <c r="Y753" s="3">
        <v>80.485919999999993</v>
      </c>
      <c r="Z753" s="3">
        <f t="shared" si="116"/>
        <v>85.926749999999998</v>
      </c>
      <c r="AA753" s="1">
        <f t="shared" si="119"/>
        <v>0.242106262483752</v>
      </c>
      <c r="AD753" s="4">
        <v>250.01291000000001</v>
      </c>
      <c r="AE753" s="1">
        <v>374.5</v>
      </c>
      <c r="AF753" s="3">
        <v>90.766850000000005</v>
      </c>
      <c r="AG753" s="3">
        <f t="shared" si="117"/>
        <v>91.02834</v>
      </c>
      <c r="AH753" s="1">
        <f t="shared" si="118"/>
        <v>0.15771808772164667</v>
      </c>
    </row>
    <row r="754" spans="23:34" x14ac:dyDescent="0.2">
      <c r="W754" s="4">
        <v>250.00102000000001</v>
      </c>
      <c r="X754" s="1">
        <v>375</v>
      </c>
      <c r="Y754" s="5">
        <v>80.466809999999995</v>
      </c>
      <c r="Z754" s="3">
        <f t="shared" si="116"/>
        <v>85.907640000000001</v>
      </c>
      <c r="AA754" s="1">
        <f t="shared" si="119"/>
        <v>0.24242357778647691</v>
      </c>
      <c r="AD754" s="4">
        <v>250.01224999999999</v>
      </c>
      <c r="AE754" s="1">
        <v>375</v>
      </c>
      <c r="AF754" s="5">
        <v>90.759389999999996</v>
      </c>
      <c r="AG754" s="3">
        <f t="shared" si="117"/>
        <v>91.020879999999991</v>
      </c>
      <c r="AH754" s="1">
        <f t="shared" si="118"/>
        <v>0.15784193218931394</v>
      </c>
    </row>
    <row r="755" spans="23:34" x14ac:dyDescent="0.2">
      <c r="W755" s="4">
        <v>250.00603000000001</v>
      </c>
      <c r="X755" s="1">
        <v>375.5</v>
      </c>
      <c r="Y755" s="3">
        <v>80.434150000000002</v>
      </c>
      <c r="Z755" s="3">
        <f t="shared" si="116"/>
        <v>85.874980000000008</v>
      </c>
      <c r="AA755" s="1">
        <f t="shared" si="119"/>
        <v>0.24296588640955358</v>
      </c>
      <c r="AD755" s="4">
        <v>250.0136</v>
      </c>
      <c r="AE755" s="1">
        <v>375.5</v>
      </c>
      <c r="AF755" s="3">
        <v>90.61354</v>
      </c>
      <c r="AG755" s="3">
        <f t="shared" si="117"/>
        <v>90.875029999999995</v>
      </c>
      <c r="AH755" s="1">
        <f t="shared" si="118"/>
        <v>0.16026320774015174</v>
      </c>
    </row>
    <row r="756" spans="23:34" x14ac:dyDescent="0.2">
      <c r="W756" s="4">
        <v>250.00801999999999</v>
      </c>
      <c r="X756" s="1">
        <v>376</v>
      </c>
      <c r="Y756" s="5">
        <v>80.430260000000004</v>
      </c>
      <c r="Z756" s="3">
        <f t="shared" si="116"/>
        <v>85.871090000000009</v>
      </c>
      <c r="AA756" s="1">
        <f t="shared" si="119"/>
        <v>0.24303047858786855</v>
      </c>
      <c r="AD756" s="4">
        <v>250.01757000000001</v>
      </c>
      <c r="AE756" s="1">
        <v>376</v>
      </c>
      <c r="AF756" s="5">
        <v>90.678839999999994</v>
      </c>
      <c r="AG756" s="3">
        <f t="shared" si="117"/>
        <v>90.940329999999989</v>
      </c>
      <c r="AH756" s="1">
        <f t="shared" si="118"/>
        <v>0.15917915361968757</v>
      </c>
    </row>
    <row r="757" spans="23:34" x14ac:dyDescent="0.2">
      <c r="W757" s="4">
        <v>250.00400999999999</v>
      </c>
      <c r="X757" s="1">
        <v>376.5</v>
      </c>
      <c r="Y757" s="3">
        <v>80.430350000000004</v>
      </c>
      <c r="Z757" s="3">
        <f t="shared" si="116"/>
        <v>85.87118000000001</v>
      </c>
      <c r="AA757" s="1">
        <f t="shared" si="119"/>
        <v>0.24302898416729057</v>
      </c>
      <c r="AD757" s="4">
        <v>250.01521</v>
      </c>
      <c r="AE757" s="1">
        <v>376.5</v>
      </c>
      <c r="AF757" s="3">
        <v>90.659239999999997</v>
      </c>
      <c r="AG757" s="3">
        <f t="shared" si="117"/>
        <v>90.920729999999992</v>
      </c>
      <c r="AH757" s="1">
        <f t="shared" si="118"/>
        <v>0.15950453586717755</v>
      </c>
    </row>
    <row r="758" spans="23:34" x14ac:dyDescent="0.2">
      <c r="W758" s="4">
        <v>250.00503</v>
      </c>
      <c r="X758" s="1">
        <v>377</v>
      </c>
      <c r="Y758" s="5">
        <v>80.405410000000003</v>
      </c>
      <c r="Z758" s="3">
        <f t="shared" si="116"/>
        <v>85.846240000000009</v>
      </c>
      <c r="AA758" s="1">
        <f t="shared" si="119"/>
        <v>0.24344310471412264</v>
      </c>
      <c r="AD758" s="4">
        <v>250.01446999999999</v>
      </c>
      <c r="AE758" s="1">
        <v>377</v>
      </c>
      <c r="AF758" s="5">
        <v>90.882769999999994</v>
      </c>
      <c r="AG758" s="3">
        <f t="shared" si="117"/>
        <v>91.144259999999989</v>
      </c>
      <c r="AH758" s="1">
        <f t="shared" si="118"/>
        <v>0.15579368414363431</v>
      </c>
    </row>
    <row r="759" spans="23:34" x14ac:dyDescent="0.2">
      <c r="W759" s="4">
        <v>250.00497999999999</v>
      </c>
      <c r="X759" s="1">
        <v>377.5</v>
      </c>
      <c r="Y759" s="3">
        <v>80.395859999999999</v>
      </c>
      <c r="Z759" s="3">
        <f t="shared" si="116"/>
        <v>85.836690000000004</v>
      </c>
      <c r="AA759" s="1">
        <f t="shared" si="119"/>
        <v>0.24360167934211974</v>
      </c>
      <c r="AD759" s="4">
        <v>250.01687000000001</v>
      </c>
      <c r="AE759" s="1">
        <v>377.5</v>
      </c>
      <c r="AF759" s="3">
        <v>90.650559999999999</v>
      </c>
      <c r="AG759" s="3">
        <f t="shared" si="117"/>
        <v>90.912049999999994</v>
      </c>
      <c r="AH759" s="1">
        <f t="shared" si="118"/>
        <v>0.15964863371963742</v>
      </c>
    </row>
    <row r="760" spans="23:34" x14ac:dyDescent="0.2">
      <c r="W760" s="4">
        <v>250.00103999999999</v>
      </c>
      <c r="X760" s="1">
        <v>378</v>
      </c>
      <c r="Y760" s="5">
        <v>80.399789999999996</v>
      </c>
      <c r="Z760" s="3">
        <f t="shared" si="116"/>
        <v>85.840620000000001</v>
      </c>
      <c r="AA760" s="1">
        <f t="shared" si="119"/>
        <v>0.24353642297688122</v>
      </c>
      <c r="AD760" s="4">
        <v>250.01347000000001</v>
      </c>
      <c r="AE760" s="1">
        <v>378</v>
      </c>
      <c r="AF760" s="5">
        <v>90.584389999999999</v>
      </c>
      <c r="AG760" s="3">
        <f t="shared" si="117"/>
        <v>90.845879999999994</v>
      </c>
      <c r="AH760" s="1">
        <f t="shared" si="118"/>
        <v>0.16074713082761782</v>
      </c>
    </row>
    <row r="761" spans="23:34" x14ac:dyDescent="0.2">
      <c r="W761" s="4">
        <v>250.00595000000001</v>
      </c>
      <c r="X761" s="1">
        <v>378.5</v>
      </c>
      <c r="Y761" s="3">
        <v>80.380439999999993</v>
      </c>
      <c r="Z761" s="3">
        <f t="shared" si="116"/>
        <v>85.821269999999998</v>
      </c>
      <c r="AA761" s="1">
        <f t="shared" si="119"/>
        <v>0.2438577234011475</v>
      </c>
      <c r="AD761" s="4">
        <v>250.01259999999999</v>
      </c>
      <c r="AE761" s="1">
        <v>378.5</v>
      </c>
      <c r="AF761" s="3">
        <v>90.725859999999997</v>
      </c>
      <c r="AG761" s="3">
        <f t="shared" si="117"/>
        <v>90.987349999999992</v>
      </c>
      <c r="AH761" s="1">
        <f t="shared" si="118"/>
        <v>0.15839856824841295</v>
      </c>
    </row>
    <row r="762" spans="23:34" x14ac:dyDescent="0.2">
      <c r="W762" s="4">
        <v>250.00601</v>
      </c>
      <c r="X762" s="1">
        <v>379</v>
      </c>
      <c r="Y762" s="5">
        <v>80.346029999999999</v>
      </c>
      <c r="Z762" s="3">
        <f t="shared" si="116"/>
        <v>85.786860000000004</v>
      </c>
      <c r="AA762" s="1">
        <f t="shared" si="119"/>
        <v>0.24442909020212938</v>
      </c>
      <c r="AD762" s="4">
        <v>250.01541</v>
      </c>
      <c r="AE762" s="1">
        <v>379</v>
      </c>
      <c r="AF762" s="5">
        <v>90.584050000000005</v>
      </c>
      <c r="AG762" s="3">
        <f t="shared" si="117"/>
        <v>90.84554</v>
      </c>
      <c r="AH762" s="1">
        <f t="shared" si="118"/>
        <v>0.16075277521354356</v>
      </c>
    </row>
    <row r="763" spans="23:34" x14ac:dyDescent="0.2">
      <c r="W763" s="4">
        <v>250.00700000000001</v>
      </c>
      <c r="X763" s="1">
        <v>379.5</v>
      </c>
      <c r="Y763" s="3">
        <v>80.332620000000006</v>
      </c>
      <c r="Z763" s="3">
        <f t="shared" si="116"/>
        <v>85.773450000000011</v>
      </c>
      <c r="AA763" s="1">
        <f t="shared" si="119"/>
        <v>0.24465175886824866</v>
      </c>
      <c r="AD763" s="4">
        <v>250.01732999999999</v>
      </c>
      <c r="AE763" s="1">
        <v>379.5</v>
      </c>
      <c r="AF763" s="3">
        <v>90.697950000000006</v>
      </c>
      <c r="AG763" s="3">
        <f t="shared" si="117"/>
        <v>90.959440000000001</v>
      </c>
      <c r="AH763" s="1">
        <f t="shared" si="118"/>
        <v>0.15886190592838459</v>
      </c>
    </row>
    <row r="764" spans="23:34" x14ac:dyDescent="0.2">
      <c r="W764" s="4">
        <v>250.00697</v>
      </c>
      <c r="X764" s="1">
        <v>380</v>
      </c>
      <c r="Y764" s="5">
        <v>80.309380000000004</v>
      </c>
      <c r="Z764" s="3">
        <f t="shared" si="116"/>
        <v>85.75021000000001</v>
      </c>
      <c r="AA764" s="1">
        <f t="shared" si="119"/>
        <v>0.24503765147082995</v>
      </c>
      <c r="AD764" s="4">
        <v>250.01489000000001</v>
      </c>
      <c r="AE764" s="1">
        <v>380</v>
      </c>
      <c r="AF764" s="5">
        <v>90.719139999999996</v>
      </c>
      <c r="AG764" s="3">
        <f t="shared" si="117"/>
        <v>90.980629999999991</v>
      </c>
      <c r="AH764" s="1">
        <f t="shared" si="118"/>
        <v>0.15851012787612384</v>
      </c>
    </row>
    <row r="765" spans="23:34" x14ac:dyDescent="0.2">
      <c r="W765" s="4">
        <v>250.00494</v>
      </c>
      <c r="X765" s="1">
        <v>380.5</v>
      </c>
      <c r="Y765" s="3">
        <v>80.288380000000004</v>
      </c>
      <c r="Z765" s="3">
        <f t="shared" si="116"/>
        <v>85.729210000000009</v>
      </c>
      <c r="AA765" s="1">
        <f t="shared" si="119"/>
        <v>0.24538634960569256</v>
      </c>
      <c r="AD765" s="4">
        <v>250.01049</v>
      </c>
      <c r="AE765" s="1">
        <v>380.5</v>
      </c>
      <c r="AF765" s="3">
        <v>90.537289999999999</v>
      </c>
      <c r="AG765" s="3">
        <f t="shared" si="117"/>
        <v>90.798779999999994</v>
      </c>
      <c r="AH765" s="1">
        <f t="shared" si="118"/>
        <v>0.16152904428969847</v>
      </c>
    </row>
    <row r="766" spans="23:34" x14ac:dyDescent="0.2">
      <c r="W766" s="4">
        <v>250.00496000000001</v>
      </c>
      <c r="X766" s="1">
        <v>381</v>
      </c>
      <c r="Y766" s="5">
        <v>80.282480000000007</v>
      </c>
      <c r="Z766" s="3">
        <f t="shared" si="116"/>
        <v>85.723310000000012</v>
      </c>
      <c r="AA766" s="1">
        <f t="shared" si="119"/>
        <v>0.24548431717691582</v>
      </c>
      <c r="AD766" s="4">
        <v>250.00877</v>
      </c>
      <c r="AE766" s="1">
        <v>381</v>
      </c>
      <c r="AF766" s="5">
        <v>90.612430000000003</v>
      </c>
      <c r="AG766" s="3">
        <f t="shared" si="117"/>
        <v>90.873919999999998</v>
      </c>
      <c r="AH766" s="1">
        <f t="shared" si="118"/>
        <v>0.16028163500008608</v>
      </c>
    </row>
    <row r="767" spans="23:34" x14ac:dyDescent="0.2">
      <c r="W767" s="4">
        <v>250.00698</v>
      </c>
      <c r="X767" s="1">
        <v>381.5</v>
      </c>
      <c r="Y767" s="3">
        <v>80.271029999999996</v>
      </c>
      <c r="Z767" s="3">
        <f t="shared" si="116"/>
        <v>85.711860000000001</v>
      </c>
      <c r="AA767" s="1">
        <f t="shared" si="119"/>
        <v>0.24567444068378153</v>
      </c>
      <c r="AD767" s="4">
        <v>250.00990999999999</v>
      </c>
      <c r="AE767" s="1">
        <v>381.5</v>
      </c>
      <c r="AF767" s="3">
        <v>90.631370000000004</v>
      </c>
      <c r="AG767" s="3">
        <f t="shared" si="117"/>
        <v>90.892859999999999</v>
      </c>
      <c r="AH767" s="1">
        <f t="shared" si="118"/>
        <v>0.1599672095017462</v>
      </c>
    </row>
    <row r="768" spans="23:34" x14ac:dyDescent="0.2">
      <c r="W768" s="4">
        <v>250.00694999999999</v>
      </c>
      <c r="X768" s="1">
        <v>382</v>
      </c>
      <c r="Y768" s="5">
        <v>80.259450000000001</v>
      </c>
      <c r="Z768" s="3">
        <f t="shared" si="116"/>
        <v>85.700280000000006</v>
      </c>
      <c r="AA768" s="1">
        <f t="shared" si="119"/>
        <v>0.24586672279814853</v>
      </c>
      <c r="AD768" s="4">
        <v>250.00543999999999</v>
      </c>
      <c r="AE768" s="1">
        <v>382</v>
      </c>
      <c r="AF768" s="5">
        <v>90.502769999999998</v>
      </c>
      <c r="AG768" s="3">
        <f t="shared" si="117"/>
        <v>90.764259999999993</v>
      </c>
      <c r="AH768" s="1">
        <f t="shared" si="118"/>
        <v>0.16210211547252279</v>
      </c>
    </row>
    <row r="769" spans="23:34" x14ac:dyDescent="0.2">
      <c r="W769" s="4">
        <v>250.00294</v>
      </c>
      <c r="X769" s="1">
        <v>382.5</v>
      </c>
      <c r="Y769" s="3">
        <v>80.244029999999995</v>
      </c>
      <c r="Z769" s="3">
        <f t="shared" si="116"/>
        <v>85.68486</v>
      </c>
      <c r="AA769" s="1">
        <f t="shared" si="119"/>
        <v>0.24612276685717632</v>
      </c>
      <c r="AD769" s="4">
        <v>250.00715</v>
      </c>
      <c r="AE769" s="1">
        <v>382.5</v>
      </c>
      <c r="AF769" s="3">
        <v>90.575559999999996</v>
      </c>
      <c r="AG769" s="3">
        <f t="shared" si="117"/>
        <v>90.837049999999991</v>
      </c>
      <c r="AH769" s="1">
        <f t="shared" si="118"/>
        <v>0.16089371885033915</v>
      </c>
    </row>
    <row r="770" spans="23:34" x14ac:dyDescent="0.2">
      <c r="W770" s="4">
        <v>250.00801999999999</v>
      </c>
      <c r="X770" s="1">
        <v>383</v>
      </c>
      <c r="Y770" s="5">
        <v>80.238699999999994</v>
      </c>
      <c r="Z770" s="3">
        <f t="shared" si="116"/>
        <v>85.67953</v>
      </c>
      <c r="AA770" s="1">
        <f t="shared" si="119"/>
        <v>0.24621126976473906</v>
      </c>
      <c r="AD770" s="4">
        <v>250.01113000000001</v>
      </c>
      <c r="AE770" s="1">
        <v>383</v>
      </c>
      <c r="AF770" s="5">
        <v>90.562010000000001</v>
      </c>
      <c r="AG770" s="3">
        <f t="shared" si="117"/>
        <v>90.823499999999996</v>
      </c>
      <c r="AH770" s="1">
        <f t="shared" si="118"/>
        <v>0.16111866423061916</v>
      </c>
    </row>
    <row r="771" spans="23:34" x14ac:dyDescent="0.2">
      <c r="W771" s="4">
        <v>250.00201000000001</v>
      </c>
      <c r="X771" s="1">
        <v>383.5</v>
      </c>
      <c r="Y771" s="3">
        <v>80.217349999999996</v>
      </c>
      <c r="Z771" s="3">
        <f t="shared" si="116"/>
        <v>85.658180000000002</v>
      </c>
      <c r="AA771" s="1">
        <f t="shared" si="119"/>
        <v>0.24656577953518266</v>
      </c>
      <c r="AD771" s="4">
        <v>250.01087000000001</v>
      </c>
      <c r="AE771" s="1">
        <v>383.5</v>
      </c>
      <c r="AF771" s="3">
        <v>90.541979999999995</v>
      </c>
      <c r="AG771" s="3">
        <f t="shared" si="117"/>
        <v>90.80346999999999</v>
      </c>
      <c r="AH771" s="1">
        <f t="shared" si="118"/>
        <v>0.16145118496619199</v>
      </c>
    </row>
    <row r="772" spans="23:34" x14ac:dyDescent="0.2">
      <c r="W772" s="4">
        <v>250.00101000000001</v>
      </c>
      <c r="X772" s="1">
        <v>384</v>
      </c>
      <c r="Y772" s="5">
        <v>80.203940000000003</v>
      </c>
      <c r="Z772" s="3">
        <f t="shared" si="116"/>
        <v>85.644770000000008</v>
      </c>
      <c r="AA772" s="1">
        <f t="shared" si="119"/>
        <v>0.24678844820130194</v>
      </c>
      <c r="AD772" s="4">
        <v>250.01321999999999</v>
      </c>
      <c r="AE772" s="1">
        <v>384</v>
      </c>
      <c r="AF772" s="5">
        <v>90.393600000000006</v>
      </c>
      <c r="AG772" s="3">
        <f t="shared" si="117"/>
        <v>90.655090000000001</v>
      </c>
      <c r="AH772" s="1">
        <f t="shared" si="118"/>
        <v>0.16391446138877203</v>
      </c>
    </row>
    <row r="773" spans="23:34" x14ac:dyDescent="0.2">
      <c r="W773" s="4">
        <v>250.00300999999999</v>
      </c>
      <c r="X773" s="1">
        <v>384.5</v>
      </c>
      <c r="Y773" s="3">
        <v>80.188680000000005</v>
      </c>
      <c r="Z773" s="3">
        <f t="shared" ref="Z773:Z836" si="120">100-($Y$4-Y773)</f>
        <v>85.62951000000001</v>
      </c>
      <c r="AA773" s="1">
        <f t="shared" si="119"/>
        <v>0.24704183551263539</v>
      </c>
      <c r="AD773" s="4">
        <v>250.01535000000001</v>
      </c>
      <c r="AE773" s="1">
        <v>384.5</v>
      </c>
      <c r="AF773" s="3">
        <v>90.508359999999996</v>
      </c>
      <c r="AG773" s="3">
        <f t="shared" ref="AG773:AG836" si="121">100-($AF$4-AF773)</f>
        <v>90.769849999999991</v>
      </c>
      <c r="AH773" s="1">
        <f t="shared" si="118"/>
        <v>0.16200931512744784</v>
      </c>
    </row>
    <row r="774" spans="23:34" x14ac:dyDescent="0.2">
      <c r="W774" s="4">
        <v>250.00299999999999</v>
      </c>
      <c r="X774" s="1">
        <v>385</v>
      </c>
      <c r="Y774" s="5">
        <v>80.173320000000004</v>
      </c>
      <c r="Z774" s="3">
        <f t="shared" si="120"/>
        <v>85.614150000000009</v>
      </c>
      <c r="AA774" s="1">
        <f t="shared" si="119"/>
        <v>0.24729688329127777</v>
      </c>
      <c r="AD774" s="4">
        <v>250.01618999999999</v>
      </c>
      <c r="AE774" s="1">
        <v>385</v>
      </c>
      <c r="AF774" s="5">
        <v>90.428210000000007</v>
      </c>
      <c r="AG774" s="3">
        <f t="shared" si="121"/>
        <v>90.689700000000002</v>
      </c>
      <c r="AH774" s="1">
        <f t="shared" si="118"/>
        <v>0.16333989610379088</v>
      </c>
    </row>
    <row r="775" spans="23:34" x14ac:dyDescent="0.2">
      <c r="W775" s="4">
        <v>250.00303</v>
      </c>
      <c r="X775" s="1">
        <v>385.5</v>
      </c>
      <c r="Y775" s="3">
        <v>80.161810000000003</v>
      </c>
      <c r="Z775" s="3">
        <f t="shared" si="120"/>
        <v>85.602640000000008</v>
      </c>
      <c r="AA775" s="1">
        <f t="shared" si="119"/>
        <v>0.24748800307852867</v>
      </c>
      <c r="AD775" s="4">
        <v>250.01823999999999</v>
      </c>
      <c r="AE775" s="1">
        <v>385.5</v>
      </c>
      <c r="AF775" s="3">
        <v>90.523830000000004</v>
      </c>
      <c r="AG775" s="3">
        <f t="shared" si="121"/>
        <v>90.785319999999999</v>
      </c>
      <c r="AH775" s="1">
        <f t="shared" si="118"/>
        <v>0.16175249556782165</v>
      </c>
    </row>
    <row r="776" spans="23:34" x14ac:dyDescent="0.2">
      <c r="W776" s="4">
        <v>250.00502</v>
      </c>
      <c r="X776" s="1">
        <v>386</v>
      </c>
      <c r="Y776" s="5">
        <v>80.150310000000005</v>
      </c>
      <c r="Z776" s="3">
        <f t="shared" si="120"/>
        <v>85.59114000000001</v>
      </c>
      <c r="AA776" s="1">
        <f t="shared" si="119"/>
        <v>0.24767895681904861</v>
      </c>
      <c r="AD776" s="4">
        <v>250.01563999999999</v>
      </c>
      <c r="AE776" s="1">
        <v>386</v>
      </c>
      <c r="AF776" s="5">
        <v>90.524370000000005</v>
      </c>
      <c r="AG776" s="3">
        <f t="shared" si="121"/>
        <v>90.78586</v>
      </c>
      <c r="AH776" s="1">
        <f t="shared" si="118"/>
        <v>0.16174353095488059</v>
      </c>
    </row>
    <row r="777" spans="23:34" x14ac:dyDescent="0.2">
      <c r="W777" s="4">
        <v>250.00700000000001</v>
      </c>
      <c r="X777" s="1">
        <v>386.5</v>
      </c>
      <c r="Y777" s="3">
        <v>80.135009999999994</v>
      </c>
      <c r="Z777" s="3">
        <f t="shared" si="120"/>
        <v>85.575839999999999</v>
      </c>
      <c r="AA777" s="1">
        <f t="shared" si="119"/>
        <v>0.24793300831730583</v>
      </c>
      <c r="AD777" s="4">
        <v>250.01445000000001</v>
      </c>
      <c r="AE777" s="1">
        <v>386.5</v>
      </c>
      <c r="AF777" s="3">
        <v>90.512680000000003</v>
      </c>
      <c r="AG777" s="3">
        <f t="shared" si="121"/>
        <v>90.774169999999998</v>
      </c>
      <c r="AH777" s="1">
        <f t="shared" si="118"/>
        <v>0.16193759822391932</v>
      </c>
    </row>
    <row r="778" spans="23:34" x14ac:dyDescent="0.2">
      <c r="W778" s="4">
        <v>250.00399999999999</v>
      </c>
      <c r="X778" s="1">
        <v>387</v>
      </c>
      <c r="Y778" s="5">
        <v>80.131240000000005</v>
      </c>
      <c r="Z778" s="3">
        <f t="shared" si="120"/>
        <v>85.572070000000011</v>
      </c>
      <c r="AA778" s="1">
        <f t="shared" si="119"/>
        <v>0.24799560793485001</v>
      </c>
      <c r="AD778" s="4">
        <v>250.0164</v>
      </c>
      <c r="AE778" s="1">
        <v>387</v>
      </c>
      <c r="AF778" s="5">
        <v>90.462959999999995</v>
      </c>
      <c r="AG778" s="3">
        <f t="shared" si="121"/>
        <v>90.72444999999999</v>
      </c>
      <c r="AH778" s="1">
        <f t="shared" ref="AH778:AH841" si="122">($AG$9-AG778)/($AG$9*(1-$N$1))</f>
        <v>0.16276300665989929</v>
      </c>
    </row>
    <row r="779" spans="23:34" x14ac:dyDescent="0.2">
      <c r="W779" s="4">
        <v>250.00398000000001</v>
      </c>
      <c r="X779" s="1">
        <v>387.5</v>
      </c>
      <c r="Y779" s="3">
        <v>80.117800000000003</v>
      </c>
      <c r="Z779" s="3">
        <f t="shared" si="120"/>
        <v>85.558630000000008</v>
      </c>
      <c r="AA779" s="1">
        <f t="shared" si="119"/>
        <v>0.24821877474116211</v>
      </c>
      <c r="AD779" s="4">
        <v>250.01495</v>
      </c>
      <c r="AE779" s="1">
        <v>387.5</v>
      </c>
      <c r="AF779" s="3">
        <v>90.411940000000001</v>
      </c>
      <c r="AG779" s="3">
        <f t="shared" si="121"/>
        <v>90.673429999999996</v>
      </c>
      <c r="AH779" s="1">
        <f t="shared" si="122"/>
        <v>0.16360999657147784</v>
      </c>
    </row>
    <row r="780" spans="23:34" x14ac:dyDescent="0.2">
      <c r="W780" s="4">
        <v>250.011</v>
      </c>
      <c r="X780" s="1">
        <v>388</v>
      </c>
      <c r="Y780" s="5">
        <v>80.100570000000005</v>
      </c>
      <c r="Z780" s="3">
        <f t="shared" si="120"/>
        <v>85.54140000000001</v>
      </c>
      <c r="AA780" s="1">
        <f t="shared" ref="AA780:AA843" si="123">($Z$11-Z780)/($Z$11*(1-$N$1))</f>
        <v>0.24850487325848028</v>
      </c>
      <c r="AD780" s="4">
        <v>250.01562000000001</v>
      </c>
      <c r="AE780" s="1">
        <v>388</v>
      </c>
      <c r="AF780" s="5">
        <v>90.554519999999997</v>
      </c>
      <c r="AG780" s="3">
        <f t="shared" si="121"/>
        <v>90.816009999999991</v>
      </c>
      <c r="AH780" s="1">
        <f t="shared" si="122"/>
        <v>0.16124300673233866</v>
      </c>
    </row>
    <row r="781" spans="23:34" x14ac:dyDescent="0.2">
      <c r="W781" s="4">
        <v>250.00801000000001</v>
      </c>
      <c r="X781" s="1">
        <v>388.5</v>
      </c>
      <c r="Y781" s="3">
        <v>80.09487</v>
      </c>
      <c r="Z781" s="3">
        <f t="shared" si="120"/>
        <v>85.535700000000006</v>
      </c>
      <c r="AA781" s="1">
        <f t="shared" si="123"/>
        <v>0.24859951989508591</v>
      </c>
      <c r="AD781" s="4">
        <v>250.01614000000001</v>
      </c>
      <c r="AE781" s="1">
        <v>388.5</v>
      </c>
      <c r="AF781" s="3">
        <v>90.351560000000006</v>
      </c>
      <c r="AG781" s="3">
        <f t="shared" si="121"/>
        <v>90.613050000000001</v>
      </c>
      <c r="AH781" s="1">
        <f t="shared" si="122"/>
        <v>0.16461237310736801</v>
      </c>
    </row>
    <row r="782" spans="23:34" x14ac:dyDescent="0.2">
      <c r="W782" s="4">
        <v>250.00801999999999</v>
      </c>
      <c r="X782" s="1">
        <v>389</v>
      </c>
      <c r="Y782" s="5">
        <v>80.083150000000003</v>
      </c>
      <c r="Z782" s="3">
        <f t="shared" si="120"/>
        <v>85.523980000000009</v>
      </c>
      <c r="AA782" s="1">
        <f t="shared" si="123"/>
        <v>0.24879412666368536</v>
      </c>
      <c r="AD782" s="4">
        <v>250.01791</v>
      </c>
      <c r="AE782" s="1">
        <v>389</v>
      </c>
      <c r="AF782" s="5">
        <v>90.410110000000003</v>
      </c>
      <c r="AG782" s="3">
        <f t="shared" si="121"/>
        <v>90.671599999999998</v>
      </c>
      <c r="AH782" s="1">
        <f t="shared" si="122"/>
        <v>0.16364037664866693</v>
      </c>
    </row>
    <row r="783" spans="23:34" x14ac:dyDescent="0.2">
      <c r="W783" s="4">
        <v>250.00698</v>
      </c>
      <c r="X783" s="1">
        <v>389.5</v>
      </c>
      <c r="Y783" s="3">
        <v>80.058210000000003</v>
      </c>
      <c r="Z783" s="3">
        <f t="shared" si="120"/>
        <v>85.499040000000008</v>
      </c>
      <c r="AA783" s="1">
        <f t="shared" si="123"/>
        <v>0.24920824721051743</v>
      </c>
      <c r="AD783" s="4">
        <v>250.01964000000001</v>
      </c>
      <c r="AE783" s="1">
        <v>389.5</v>
      </c>
      <c r="AF783" s="3">
        <v>90.413970000000006</v>
      </c>
      <c r="AG783" s="3">
        <f t="shared" si="121"/>
        <v>90.675460000000001</v>
      </c>
      <c r="AH783" s="1">
        <f t="shared" si="122"/>
        <v>0.16357629626727344</v>
      </c>
    </row>
    <row r="784" spans="23:34" x14ac:dyDescent="0.2">
      <c r="W784" s="4">
        <v>250.00403</v>
      </c>
      <c r="X784" s="1">
        <v>390</v>
      </c>
      <c r="Y784" s="5">
        <v>80.043049999999994</v>
      </c>
      <c r="Z784" s="3">
        <f t="shared" si="120"/>
        <v>85.483879999999999</v>
      </c>
      <c r="AA784" s="1">
        <f t="shared" si="123"/>
        <v>0.24945997405454218</v>
      </c>
      <c r="AD784" s="4">
        <v>250.0206</v>
      </c>
      <c r="AE784" s="1">
        <v>390</v>
      </c>
      <c r="AF784" s="5">
        <v>90.501000000000005</v>
      </c>
      <c r="AG784" s="3">
        <f t="shared" si="121"/>
        <v>90.76249</v>
      </c>
      <c r="AH784" s="1">
        <f t="shared" si="122"/>
        <v>0.16213149948160724</v>
      </c>
    </row>
    <row r="785" spans="23:34" x14ac:dyDescent="0.2">
      <c r="W785" s="4">
        <v>250.00407000000001</v>
      </c>
      <c r="X785" s="1">
        <v>390.5</v>
      </c>
      <c r="Y785" s="3">
        <v>80.021879999999996</v>
      </c>
      <c r="Z785" s="3">
        <f t="shared" si="120"/>
        <v>85.462710000000001</v>
      </c>
      <c r="AA785" s="1">
        <f t="shared" si="123"/>
        <v>0.24981149498382982</v>
      </c>
      <c r="AD785" s="4">
        <v>250.01994999999999</v>
      </c>
      <c r="AE785" s="1">
        <v>390.5</v>
      </c>
      <c r="AF785" s="3">
        <v>90.304500000000004</v>
      </c>
      <c r="AG785" s="3">
        <f t="shared" si="121"/>
        <v>90.565989999999999</v>
      </c>
      <c r="AH785" s="1">
        <f t="shared" si="122"/>
        <v>0.16539362252404566</v>
      </c>
    </row>
    <row r="786" spans="23:34" x14ac:dyDescent="0.2">
      <c r="W786" s="4">
        <v>250.00800000000001</v>
      </c>
      <c r="X786" s="1">
        <v>391</v>
      </c>
      <c r="Y786" s="5">
        <v>80.012420000000006</v>
      </c>
      <c r="Z786" s="3">
        <f t="shared" si="120"/>
        <v>85.453250000000011</v>
      </c>
      <c r="AA786" s="1">
        <f t="shared" si="123"/>
        <v>0.24996857519124871</v>
      </c>
      <c r="AD786" s="4">
        <v>250.02</v>
      </c>
      <c r="AE786" s="1">
        <v>391</v>
      </c>
      <c r="AF786" s="5">
        <v>90.404340000000005</v>
      </c>
      <c r="AG786" s="3">
        <f t="shared" si="121"/>
        <v>90.66583</v>
      </c>
      <c r="AH786" s="1">
        <f t="shared" si="122"/>
        <v>0.16373616519805556</v>
      </c>
    </row>
    <row r="787" spans="23:34" x14ac:dyDescent="0.2">
      <c r="W787" s="4">
        <v>250.00503</v>
      </c>
      <c r="X787" s="1">
        <v>391.5</v>
      </c>
      <c r="Y787" s="3">
        <v>79.993070000000003</v>
      </c>
      <c r="Z787" s="3">
        <f t="shared" si="120"/>
        <v>85.433900000000008</v>
      </c>
      <c r="AA787" s="1">
        <f t="shared" si="123"/>
        <v>0.25028987561551497</v>
      </c>
      <c r="AD787" s="4">
        <v>250.02089000000001</v>
      </c>
      <c r="AE787" s="1">
        <v>391.5</v>
      </c>
      <c r="AF787" s="3">
        <v>90.261870000000002</v>
      </c>
      <c r="AG787" s="3">
        <f t="shared" si="121"/>
        <v>90.523359999999997</v>
      </c>
      <c r="AH787" s="1">
        <f t="shared" si="122"/>
        <v>0.16610132891233653</v>
      </c>
    </row>
    <row r="788" spans="23:34" x14ac:dyDescent="0.2">
      <c r="W788" s="4">
        <v>250.01096999999999</v>
      </c>
      <c r="X788" s="1">
        <v>392</v>
      </c>
      <c r="Y788" s="5">
        <v>80.000900000000001</v>
      </c>
      <c r="Z788" s="3">
        <f t="shared" si="120"/>
        <v>85.441730000000007</v>
      </c>
      <c r="AA788" s="1">
        <f t="shared" si="123"/>
        <v>0.25015986102523052</v>
      </c>
      <c r="AD788" s="4">
        <v>250.01804000000001</v>
      </c>
      <c r="AE788" s="1">
        <v>392</v>
      </c>
      <c r="AF788" s="5">
        <v>90.385419999999996</v>
      </c>
      <c r="AG788" s="3">
        <f t="shared" si="121"/>
        <v>90.646909999999991</v>
      </c>
      <c r="AH788" s="1">
        <f t="shared" si="122"/>
        <v>0.16405025867369405</v>
      </c>
    </row>
    <row r="789" spans="23:34" x14ac:dyDescent="0.2">
      <c r="W789" s="4">
        <v>250.00899999999999</v>
      </c>
      <c r="X789" s="1">
        <v>392.5</v>
      </c>
      <c r="Y789" s="3">
        <v>79.985429999999994</v>
      </c>
      <c r="Z789" s="3">
        <f t="shared" si="120"/>
        <v>85.426259999999999</v>
      </c>
      <c r="AA789" s="1">
        <f t="shared" si="123"/>
        <v>0.25041673531791275</v>
      </c>
      <c r="AD789" s="4">
        <v>250.01582999999999</v>
      </c>
      <c r="AE789" s="1">
        <v>392.5</v>
      </c>
      <c r="AF789" s="3">
        <v>90.391530000000003</v>
      </c>
      <c r="AG789" s="3">
        <f t="shared" si="121"/>
        <v>90.653019999999998</v>
      </c>
      <c r="AH789" s="1">
        <f t="shared" si="122"/>
        <v>0.16394882573837943</v>
      </c>
    </row>
    <row r="790" spans="23:34" x14ac:dyDescent="0.2">
      <c r="W790" s="4">
        <v>250.00496999999999</v>
      </c>
      <c r="X790" s="1">
        <v>393</v>
      </c>
      <c r="Y790" s="5">
        <v>79.979709999999997</v>
      </c>
      <c r="Z790" s="3">
        <f t="shared" si="120"/>
        <v>85.420540000000003</v>
      </c>
      <c r="AA790" s="1">
        <f t="shared" si="123"/>
        <v>0.25051171404798006</v>
      </c>
      <c r="AD790" s="4">
        <v>250.01684</v>
      </c>
      <c r="AE790" s="1">
        <v>393</v>
      </c>
      <c r="AF790" s="5">
        <v>90.392330000000001</v>
      </c>
      <c r="AG790" s="3">
        <f t="shared" si="121"/>
        <v>90.653819999999996</v>
      </c>
      <c r="AH790" s="1">
        <f t="shared" si="122"/>
        <v>0.16393554483031864</v>
      </c>
    </row>
    <row r="791" spans="23:34" x14ac:dyDescent="0.2">
      <c r="W791" s="4">
        <v>250.00300999999999</v>
      </c>
      <c r="X791" s="1">
        <v>393.5</v>
      </c>
      <c r="Y791" s="3">
        <v>79.960440000000006</v>
      </c>
      <c r="Z791" s="3">
        <f t="shared" si="120"/>
        <v>85.401270000000011</v>
      </c>
      <c r="AA791" s="1">
        <f t="shared" si="123"/>
        <v>0.25083168609839906</v>
      </c>
      <c r="AD791" s="4">
        <v>250.01623000000001</v>
      </c>
      <c r="AE791" s="1">
        <v>393.5</v>
      </c>
      <c r="AF791" s="3">
        <v>90.377070000000003</v>
      </c>
      <c r="AG791" s="3">
        <f t="shared" si="121"/>
        <v>90.638559999999998</v>
      </c>
      <c r="AH791" s="1">
        <f t="shared" si="122"/>
        <v>0.1641888781515787</v>
      </c>
    </row>
    <row r="792" spans="23:34" x14ac:dyDescent="0.2">
      <c r="W792" s="4">
        <v>250.00704999999999</v>
      </c>
      <c r="X792" s="1">
        <v>394</v>
      </c>
      <c r="Y792" s="5">
        <v>79.954930000000004</v>
      </c>
      <c r="Z792" s="3">
        <f t="shared" si="120"/>
        <v>85.39576000000001</v>
      </c>
      <c r="AA792" s="1">
        <f t="shared" si="123"/>
        <v>0.25092317784711776</v>
      </c>
      <c r="AD792" s="4">
        <v>250.01363000000001</v>
      </c>
      <c r="AE792" s="1">
        <v>394</v>
      </c>
      <c r="AF792" s="5">
        <v>90.312219999999996</v>
      </c>
      <c r="AG792" s="3">
        <f t="shared" si="121"/>
        <v>90.573709999999991</v>
      </c>
      <c r="AH792" s="1">
        <f t="shared" si="122"/>
        <v>0.16526546176125889</v>
      </c>
    </row>
    <row r="793" spans="23:34" x14ac:dyDescent="0.2">
      <c r="W793" s="4">
        <v>250.00201000000001</v>
      </c>
      <c r="X793" s="1">
        <v>394.5</v>
      </c>
      <c r="Y793" s="3">
        <v>79.931669999999997</v>
      </c>
      <c r="Z793" s="3">
        <f t="shared" si="120"/>
        <v>85.372500000000002</v>
      </c>
      <c r="AA793" s="1">
        <f t="shared" si="123"/>
        <v>0.25130940254316092</v>
      </c>
      <c r="AD793" s="4">
        <v>250.01585</v>
      </c>
      <c r="AE793" s="1">
        <v>394.5</v>
      </c>
      <c r="AF793" s="3">
        <v>90.500129999999999</v>
      </c>
      <c r="AG793" s="3">
        <f t="shared" si="121"/>
        <v>90.761619999999994</v>
      </c>
      <c r="AH793" s="1">
        <f t="shared" si="122"/>
        <v>0.16214594246912348</v>
      </c>
    </row>
    <row r="794" spans="23:34" x14ac:dyDescent="0.2">
      <c r="W794" s="4">
        <v>249.99793</v>
      </c>
      <c r="X794" s="1">
        <v>395</v>
      </c>
      <c r="Y794" s="5">
        <v>79.920029999999997</v>
      </c>
      <c r="Z794" s="3">
        <f t="shared" si="120"/>
        <v>85.360860000000002</v>
      </c>
      <c r="AA794" s="1">
        <f t="shared" si="123"/>
        <v>0.25150268093791334</v>
      </c>
      <c r="AD794" s="4">
        <v>250.01705000000001</v>
      </c>
      <c r="AE794" s="1">
        <v>395</v>
      </c>
      <c r="AF794" s="5">
        <v>90.367689999999996</v>
      </c>
      <c r="AG794" s="3">
        <f t="shared" si="121"/>
        <v>90.629179999999991</v>
      </c>
      <c r="AH794" s="1">
        <f t="shared" si="122"/>
        <v>0.16434459679859192</v>
      </c>
    </row>
    <row r="795" spans="23:34" x14ac:dyDescent="0.2">
      <c r="W795" s="4">
        <v>250.00200000000001</v>
      </c>
      <c r="X795" s="1">
        <v>395.5</v>
      </c>
      <c r="Y795" s="3">
        <v>79.893299999999996</v>
      </c>
      <c r="Z795" s="3">
        <f t="shared" si="120"/>
        <v>85.334130000000002</v>
      </c>
      <c r="AA795" s="1">
        <f t="shared" si="123"/>
        <v>0.25194652384957417</v>
      </c>
      <c r="AD795" s="4">
        <v>250.01704000000001</v>
      </c>
      <c r="AE795" s="1">
        <v>395.5</v>
      </c>
      <c r="AF795" s="3">
        <v>90.363529999999997</v>
      </c>
      <c r="AG795" s="3">
        <f t="shared" si="121"/>
        <v>90.625019999999992</v>
      </c>
      <c r="AH795" s="1">
        <f t="shared" si="122"/>
        <v>0.16441365752050816</v>
      </c>
    </row>
    <row r="796" spans="23:34" x14ac:dyDescent="0.2">
      <c r="W796" s="4">
        <v>250.00299999999999</v>
      </c>
      <c r="X796" s="1">
        <v>396</v>
      </c>
      <c r="Y796" s="5">
        <v>79.87433</v>
      </c>
      <c r="Z796" s="3">
        <f t="shared" si="120"/>
        <v>85.315160000000006</v>
      </c>
      <c r="AA796" s="1">
        <f t="shared" si="123"/>
        <v>0.25226151449806661</v>
      </c>
      <c r="AD796" s="4">
        <v>250.02046999999999</v>
      </c>
      <c r="AE796" s="1">
        <v>396</v>
      </c>
      <c r="AF796" s="5">
        <v>90.161779999999993</v>
      </c>
      <c r="AG796" s="3">
        <f t="shared" si="121"/>
        <v>90.423269999999988</v>
      </c>
      <c r="AH796" s="1">
        <f t="shared" si="122"/>
        <v>0.16776293652209576</v>
      </c>
    </row>
    <row r="797" spans="23:34" x14ac:dyDescent="0.2">
      <c r="W797" s="4">
        <v>250.00398999999999</v>
      </c>
      <c r="X797" s="1">
        <v>396.5</v>
      </c>
      <c r="Y797" s="3">
        <v>79.866590000000002</v>
      </c>
      <c r="Z797" s="3">
        <f t="shared" si="120"/>
        <v>85.307420000000008</v>
      </c>
      <c r="AA797" s="1">
        <f t="shared" si="123"/>
        <v>0.2523900346677731</v>
      </c>
      <c r="AD797" s="4">
        <v>250.02387999999999</v>
      </c>
      <c r="AE797" s="1">
        <v>396.5</v>
      </c>
      <c r="AF797" s="3">
        <v>90.171099999999996</v>
      </c>
      <c r="AG797" s="3">
        <f t="shared" si="121"/>
        <v>90.43258999999999</v>
      </c>
      <c r="AH797" s="1">
        <f t="shared" si="122"/>
        <v>0.16760821394318717</v>
      </c>
    </row>
    <row r="798" spans="23:34" x14ac:dyDescent="0.2">
      <c r="W798" s="4">
        <v>250.00497999999999</v>
      </c>
      <c r="X798" s="1">
        <v>397</v>
      </c>
      <c r="Y798" s="5">
        <v>79.864660000000001</v>
      </c>
      <c r="Z798" s="3">
        <f t="shared" si="120"/>
        <v>85.305490000000006</v>
      </c>
      <c r="AA798" s="1">
        <f t="shared" si="123"/>
        <v>0.25242208168683428</v>
      </c>
      <c r="AD798" s="4">
        <v>250.02332999999999</v>
      </c>
      <c r="AE798" s="1">
        <v>397</v>
      </c>
      <c r="AF798" s="5">
        <v>90.219800000000006</v>
      </c>
      <c r="AG798" s="3">
        <f t="shared" si="121"/>
        <v>90.481290000000001</v>
      </c>
      <c r="AH798" s="1">
        <f t="shared" si="122"/>
        <v>0.16679973866498471</v>
      </c>
    </row>
    <row r="799" spans="23:34" x14ac:dyDescent="0.2">
      <c r="W799" s="4">
        <v>250.01202000000001</v>
      </c>
      <c r="X799" s="1">
        <v>397.5</v>
      </c>
      <c r="Y799" s="3">
        <v>79.845370000000003</v>
      </c>
      <c r="Z799" s="3">
        <f t="shared" si="120"/>
        <v>85.286200000000008</v>
      </c>
      <c r="AA799" s="1">
        <f t="shared" si="123"/>
        <v>0.25274238583071518</v>
      </c>
      <c r="AD799" s="4">
        <v>250.02073999999999</v>
      </c>
      <c r="AE799" s="1">
        <v>397.5</v>
      </c>
      <c r="AF799" s="3">
        <v>90.259029999999996</v>
      </c>
      <c r="AG799" s="3">
        <f t="shared" si="121"/>
        <v>90.520519999999991</v>
      </c>
      <c r="AH799" s="1">
        <f t="shared" si="122"/>
        <v>0.16614847613595254</v>
      </c>
    </row>
    <row r="800" spans="23:34" x14ac:dyDescent="0.2">
      <c r="W800" s="4">
        <v>250.00998999999999</v>
      </c>
      <c r="X800" s="1">
        <v>398</v>
      </c>
      <c r="Y800" s="5">
        <v>79.849320000000006</v>
      </c>
      <c r="Z800" s="3">
        <f t="shared" si="120"/>
        <v>85.290150000000011</v>
      </c>
      <c r="AA800" s="1">
        <f t="shared" si="123"/>
        <v>0.25267679737201482</v>
      </c>
      <c r="AD800" s="4">
        <v>250.02070000000001</v>
      </c>
      <c r="AE800" s="1">
        <v>398</v>
      </c>
      <c r="AF800" s="5">
        <v>90.323409999999996</v>
      </c>
      <c r="AG800" s="3">
        <f t="shared" si="121"/>
        <v>90.58489999999999</v>
      </c>
      <c r="AH800" s="1">
        <f t="shared" si="122"/>
        <v>0.1650796950597582</v>
      </c>
    </row>
    <row r="801" spans="23:34" x14ac:dyDescent="0.2">
      <c r="W801" s="4">
        <v>250.00699</v>
      </c>
      <c r="X801" s="1">
        <v>398.5</v>
      </c>
      <c r="Y801" s="3">
        <v>79.822460000000007</v>
      </c>
      <c r="Z801" s="3">
        <f t="shared" si="120"/>
        <v>85.263290000000012</v>
      </c>
      <c r="AA801" s="1">
        <f t="shared" si="123"/>
        <v>0.25312279889117711</v>
      </c>
      <c r="AD801" s="4">
        <v>250.02137999999999</v>
      </c>
      <c r="AE801" s="1">
        <v>398.5</v>
      </c>
      <c r="AF801" s="3">
        <v>90.237170000000006</v>
      </c>
      <c r="AG801" s="3">
        <f t="shared" si="121"/>
        <v>90.498660000000001</v>
      </c>
      <c r="AH801" s="1">
        <f t="shared" si="122"/>
        <v>0.16651137694871421</v>
      </c>
    </row>
    <row r="802" spans="23:34" x14ac:dyDescent="0.2">
      <c r="W802" s="4">
        <v>250.00397000000001</v>
      </c>
      <c r="X802" s="1">
        <v>399</v>
      </c>
      <c r="Y802" s="5">
        <v>79.818539999999999</v>
      </c>
      <c r="Z802" s="3">
        <f t="shared" si="120"/>
        <v>85.259370000000004</v>
      </c>
      <c r="AA802" s="1">
        <f t="shared" si="123"/>
        <v>0.25318788920968494</v>
      </c>
      <c r="AD802" s="4">
        <v>250.01999000000001</v>
      </c>
      <c r="AE802" s="1">
        <v>399</v>
      </c>
      <c r="AF802" s="5">
        <v>90.286770000000004</v>
      </c>
      <c r="AG802" s="3">
        <f t="shared" si="121"/>
        <v>90.548259999999999</v>
      </c>
      <c r="AH802" s="1">
        <f t="shared" si="122"/>
        <v>0.16568796064894353</v>
      </c>
    </row>
    <row r="803" spans="23:34" x14ac:dyDescent="0.2">
      <c r="W803" s="4">
        <v>250.00799000000001</v>
      </c>
      <c r="X803" s="1">
        <v>399.5</v>
      </c>
      <c r="Y803" s="3">
        <v>79.795659999999998</v>
      </c>
      <c r="Z803" s="3">
        <f t="shared" si="120"/>
        <v>85.236490000000003</v>
      </c>
      <c r="AA803" s="1">
        <f t="shared" si="123"/>
        <v>0.25356780412995428</v>
      </c>
      <c r="AD803" s="4">
        <v>250.01499000000001</v>
      </c>
      <c r="AE803" s="1">
        <v>399.5</v>
      </c>
      <c r="AF803" s="3">
        <v>90.236289999999997</v>
      </c>
      <c r="AG803" s="3">
        <f t="shared" si="121"/>
        <v>90.497779999999992</v>
      </c>
      <c r="AH803" s="1">
        <f t="shared" si="122"/>
        <v>0.16652598594758125</v>
      </c>
    </row>
    <row r="804" spans="23:34" x14ac:dyDescent="0.2">
      <c r="W804" s="4">
        <v>250.00095999999999</v>
      </c>
      <c r="X804" s="1">
        <v>400</v>
      </c>
      <c r="Y804" s="5">
        <v>79.782219999999995</v>
      </c>
      <c r="Z804" s="3">
        <f t="shared" si="120"/>
        <v>85.223050000000001</v>
      </c>
      <c r="AA804" s="1">
        <f t="shared" si="123"/>
        <v>0.2537909709362664</v>
      </c>
      <c r="AD804" s="4">
        <v>250.01301000000001</v>
      </c>
      <c r="AE804" s="1">
        <v>400</v>
      </c>
      <c r="AF804" s="5">
        <v>90.134060000000005</v>
      </c>
      <c r="AG804" s="3">
        <f t="shared" si="121"/>
        <v>90.39555</v>
      </c>
      <c r="AH804" s="1">
        <f t="shared" si="122"/>
        <v>0.16822311998640291</v>
      </c>
    </row>
    <row r="805" spans="23:34" x14ac:dyDescent="0.2">
      <c r="W805" s="4">
        <v>250.00900999999999</v>
      </c>
      <c r="X805" s="1">
        <v>400.5</v>
      </c>
      <c r="Y805" s="3">
        <v>79.776409999999998</v>
      </c>
      <c r="Z805" s="3">
        <f t="shared" si="120"/>
        <v>85.217240000000004</v>
      </c>
      <c r="AA805" s="1">
        <f t="shared" si="123"/>
        <v>0.25388744408691166</v>
      </c>
      <c r="AD805" s="4">
        <v>250.01340999999999</v>
      </c>
      <c r="AE805" s="1">
        <v>400.5</v>
      </c>
      <c r="AF805" s="3">
        <v>90.277330000000006</v>
      </c>
      <c r="AG805" s="3">
        <f t="shared" si="121"/>
        <v>90.538820000000001</v>
      </c>
      <c r="AH805" s="1">
        <f t="shared" si="122"/>
        <v>0.16584467536406114</v>
      </c>
    </row>
    <row r="806" spans="23:34" x14ac:dyDescent="0.2">
      <c r="W806" s="4">
        <v>250.00396000000001</v>
      </c>
      <c r="X806" s="1">
        <v>401</v>
      </c>
      <c r="Y806" s="5">
        <v>79.762919999999994</v>
      </c>
      <c r="Z806" s="3">
        <f t="shared" si="120"/>
        <v>85.203749999999999</v>
      </c>
      <c r="AA806" s="1">
        <f t="shared" si="123"/>
        <v>0.25411144112687822</v>
      </c>
      <c r="AD806" s="4">
        <v>250.00697</v>
      </c>
      <c r="AE806" s="1">
        <v>401</v>
      </c>
      <c r="AF806" s="5">
        <v>90.165890000000005</v>
      </c>
      <c r="AG806" s="3">
        <f t="shared" si="121"/>
        <v>90.427379999999999</v>
      </c>
      <c r="AH806" s="1">
        <f t="shared" si="122"/>
        <v>0.16769470585693311</v>
      </c>
    </row>
    <row r="807" spans="23:34" x14ac:dyDescent="0.2">
      <c r="W807" s="4">
        <v>249.99798000000001</v>
      </c>
      <c r="X807" s="1">
        <v>401.5</v>
      </c>
      <c r="Y807" s="3">
        <v>79.747829999999993</v>
      </c>
      <c r="Z807" s="3">
        <f t="shared" si="120"/>
        <v>85.188659999999999</v>
      </c>
      <c r="AA807" s="1">
        <f t="shared" si="123"/>
        <v>0.25436200564378664</v>
      </c>
      <c r="AD807" s="4">
        <v>250.00220999999999</v>
      </c>
      <c r="AE807" s="1">
        <v>401.5</v>
      </c>
      <c r="AF807" s="3">
        <v>90.227130000000002</v>
      </c>
      <c r="AG807" s="3">
        <f t="shared" si="121"/>
        <v>90.488619999999997</v>
      </c>
      <c r="AH807" s="1">
        <f t="shared" si="122"/>
        <v>0.16667805234487754</v>
      </c>
    </row>
    <row r="808" spans="23:34" x14ac:dyDescent="0.2">
      <c r="W808" s="4">
        <v>250.00700000000001</v>
      </c>
      <c r="X808" s="1">
        <v>402</v>
      </c>
      <c r="Y808" s="5">
        <v>79.726619999999997</v>
      </c>
      <c r="Z808" s="3">
        <f t="shared" si="120"/>
        <v>85.167450000000002</v>
      </c>
      <c r="AA808" s="1">
        <f t="shared" si="123"/>
        <v>0.25471419075999779</v>
      </c>
      <c r="AD808" s="4">
        <v>250.00631999999999</v>
      </c>
      <c r="AE808" s="1">
        <v>402</v>
      </c>
      <c r="AF808" s="5">
        <v>90.206100000000006</v>
      </c>
      <c r="AG808" s="3">
        <f t="shared" si="121"/>
        <v>90.467590000000001</v>
      </c>
      <c r="AH808" s="1">
        <f t="shared" si="122"/>
        <v>0.16702717421552621</v>
      </c>
    </row>
    <row r="809" spans="23:34" x14ac:dyDescent="0.2">
      <c r="W809" s="4">
        <v>250.00403</v>
      </c>
      <c r="X809" s="1">
        <v>402.5</v>
      </c>
      <c r="Y809" s="3">
        <v>79.703440000000001</v>
      </c>
      <c r="Z809" s="3">
        <f t="shared" si="120"/>
        <v>85.144270000000006</v>
      </c>
      <c r="AA809" s="1">
        <f t="shared" si="123"/>
        <v>0.25509908708219364</v>
      </c>
      <c r="AD809" s="4">
        <v>250.00845000000001</v>
      </c>
      <c r="AE809" s="1">
        <v>402.5</v>
      </c>
      <c r="AF809" s="3">
        <v>90.140990000000002</v>
      </c>
      <c r="AG809" s="3">
        <f t="shared" si="121"/>
        <v>90.402479999999997</v>
      </c>
      <c r="AH809" s="1">
        <f t="shared" si="122"/>
        <v>0.16810807412032611</v>
      </c>
    </row>
    <row r="810" spans="23:34" x14ac:dyDescent="0.2">
      <c r="W810" s="4">
        <v>250.00603000000001</v>
      </c>
      <c r="X810" s="1">
        <v>403</v>
      </c>
      <c r="Y810" s="5">
        <v>79.703469999999996</v>
      </c>
      <c r="Z810" s="3">
        <f t="shared" si="120"/>
        <v>85.144300000000001</v>
      </c>
      <c r="AA810" s="1">
        <f t="shared" si="123"/>
        <v>0.25509858894200105</v>
      </c>
      <c r="AD810" s="4">
        <v>250.00926000000001</v>
      </c>
      <c r="AE810" s="1">
        <v>403</v>
      </c>
      <c r="AF810" s="5">
        <v>90.058059999999998</v>
      </c>
      <c r="AG810" s="3">
        <f t="shared" si="121"/>
        <v>90.319549999999992</v>
      </c>
      <c r="AH810" s="1">
        <f t="shared" si="122"/>
        <v>0.16948480625218074</v>
      </c>
    </row>
    <row r="811" spans="23:34" x14ac:dyDescent="0.2">
      <c r="W811" s="4">
        <v>250.00601</v>
      </c>
      <c r="X811" s="1">
        <v>403.5</v>
      </c>
      <c r="Y811" s="3">
        <v>79.686300000000003</v>
      </c>
      <c r="Z811" s="3">
        <f t="shared" si="120"/>
        <v>85.127130000000008</v>
      </c>
      <c r="AA811" s="1">
        <f t="shared" si="123"/>
        <v>0.25538369117893384</v>
      </c>
      <c r="AD811" s="4">
        <v>250.01047</v>
      </c>
      <c r="AE811" s="1">
        <v>403.5</v>
      </c>
      <c r="AF811" s="3">
        <v>90.206010000000006</v>
      </c>
      <c r="AG811" s="3">
        <f t="shared" si="121"/>
        <v>90.467500000000001</v>
      </c>
      <c r="AH811" s="1">
        <f t="shared" si="122"/>
        <v>0.16702866831768307</v>
      </c>
    </row>
    <row r="812" spans="23:34" x14ac:dyDescent="0.2">
      <c r="W812" s="4">
        <v>250.00399999999999</v>
      </c>
      <c r="X812" s="1">
        <v>404</v>
      </c>
      <c r="Y812" s="5">
        <v>79.680629999999994</v>
      </c>
      <c r="Z812" s="3">
        <f t="shared" si="120"/>
        <v>85.121459999999999</v>
      </c>
      <c r="AA812" s="1">
        <f t="shared" si="123"/>
        <v>0.25547783967534687</v>
      </c>
      <c r="AD812" s="4">
        <v>250.00747000000001</v>
      </c>
      <c r="AE812" s="1">
        <v>404</v>
      </c>
      <c r="AF812" s="5">
        <v>90.008970000000005</v>
      </c>
      <c r="AG812" s="3">
        <f t="shared" si="121"/>
        <v>90.27046</v>
      </c>
      <c r="AH812" s="1">
        <f t="shared" si="122"/>
        <v>0.17029975597306254</v>
      </c>
    </row>
    <row r="813" spans="23:34" x14ac:dyDescent="0.2">
      <c r="W813" s="4">
        <v>250.00398999999999</v>
      </c>
      <c r="X813" s="1">
        <v>404.5</v>
      </c>
      <c r="Y813" s="3">
        <v>79.674790000000002</v>
      </c>
      <c r="Z813" s="3">
        <f t="shared" si="120"/>
        <v>85.115620000000007</v>
      </c>
      <c r="AA813" s="1">
        <f t="shared" si="123"/>
        <v>0.25557481096618473</v>
      </c>
      <c r="AD813" s="4">
        <v>250.00646</v>
      </c>
      <c r="AE813" s="1">
        <v>404.5</v>
      </c>
      <c r="AF813" s="3">
        <v>90.111890000000002</v>
      </c>
      <c r="AG813" s="3">
        <f t="shared" si="121"/>
        <v>90.373379999999997</v>
      </c>
      <c r="AH813" s="1">
        <f t="shared" si="122"/>
        <v>0.16859116715103836</v>
      </c>
    </row>
    <row r="814" spans="23:34" x14ac:dyDescent="0.2">
      <c r="W814" s="4">
        <v>250.00299999999999</v>
      </c>
      <c r="X814" s="1">
        <v>405</v>
      </c>
      <c r="Y814" s="5">
        <v>79.665099999999995</v>
      </c>
      <c r="Z814" s="3">
        <f t="shared" si="120"/>
        <v>85.105930000000001</v>
      </c>
      <c r="AA814" s="1">
        <f t="shared" si="123"/>
        <v>0.25573571024841429</v>
      </c>
      <c r="AD814" s="4">
        <v>250.00913</v>
      </c>
      <c r="AE814" s="1">
        <v>405</v>
      </c>
      <c r="AF814" s="5">
        <v>90.063659999999999</v>
      </c>
      <c r="AG814" s="3">
        <f t="shared" si="121"/>
        <v>90.325149999999994</v>
      </c>
      <c r="AH814" s="1">
        <f t="shared" si="122"/>
        <v>0.16939183989575499</v>
      </c>
    </row>
    <row r="815" spans="23:34" x14ac:dyDescent="0.2">
      <c r="W815" s="4">
        <v>250.00702000000001</v>
      </c>
      <c r="X815" s="1">
        <v>405.5</v>
      </c>
      <c r="Y815" s="3">
        <v>79.671009999999995</v>
      </c>
      <c r="Z815" s="3">
        <f t="shared" si="120"/>
        <v>85.111840000000001</v>
      </c>
      <c r="AA815" s="1">
        <f t="shared" si="123"/>
        <v>0.25563757663046011</v>
      </c>
      <c r="AD815" s="4">
        <v>250.01491999999999</v>
      </c>
      <c r="AE815" s="1">
        <v>405.5</v>
      </c>
      <c r="AF815" s="3">
        <v>90.104659999999996</v>
      </c>
      <c r="AG815" s="3">
        <f t="shared" si="121"/>
        <v>90.36614999999999</v>
      </c>
      <c r="AH815" s="1">
        <f t="shared" si="122"/>
        <v>0.16871119335763812</v>
      </c>
    </row>
    <row r="816" spans="23:34" x14ac:dyDescent="0.2">
      <c r="W816" s="4">
        <v>250.00701000000001</v>
      </c>
      <c r="X816" s="1">
        <v>406</v>
      </c>
      <c r="Y816" s="5">
        <v>79.638369999999995</v>
      </c>
      <c r="Z816" s="3">
        <f t="shared" si="120"/>
        <v>85.0792</v>
      </c>
      <c r="AA816" s="1">
        <f t="shared" si="123"/>
        <v>0.25617955316007512</v>
      </c>
      <c r="AD816" s="4">
        <v>250.01795999999999</v>
      </c>
      <c r="AE816" s="1">
        <v>406</v>
      </c>
      <c r="AF816" s="5">
        <v>90.146680000000003</v>
      </c>
      <c r="AG816" s="3">
        <f t="shared" si="121"/>
        <v>90.408169999999998</v>
      </c>
      <c r="AH816" s="1">
        <f t="shared" si="122"/>
        <v>0.16801361366174353</v>
      </c>
    </row>
    <row r="817" spans="23:34" x14ac:dyDescent="0.2">
      <c r="W817" s="4">
        <v>250.00396000000001</v>
      </c>
      <c r="X817" s="1">
        <v>406.5</v>
      </c>
      <c r="Y817" s="3">
        <v>79.632689999999997</v>
      </c>
      <c r="Z817" s="3">
        <f t="shared" si="120"/>
        <v>85.073520000000002</v>
      </c>
      <c r="AA817" s="1">
        <f t="shared" si="123"/>
        <v>0.25627386770321886</v>
      </c>
      <c r="AD817" s="4">
        <v>250.01633000000001</v>
      </c>
      <c r="AE817" s="1">
        <v>406.5</v>
      </c>
      <c r="AF817" s="3">
        <v>90.003590000000003</v>
      </c>
      <c r="AG817" s="3">
        <f t="shared" si="121"/>
        <v>90.265079999999998</v>
      </c>
      <c r="AH817" s="1">
        <f t="shared" si="122"/>
        <v>0.17038907007977158</v>
      </c>
    </row>
    <row r="818" spans="23:34" x14ac:dyDescent="0.2">
      <c r="W818" s="4">
        <v>250.00299999999999</v>
      </c>
      <c r="X818" s="1">
        <v>407</v>
      </c>
      <c r="Y818" s="5">
        <v>79.605699999999999</v>
      </c>
      <c r="Z818" s="3">
        <f t="shared" si="120"/>
        <v>85.046530000000004</v>
      </c>
      <c r="AA818" s="1">
        <f t="shared" si="123"/>
        <v>0.25672202782988268</v>
      </c>
      <c r="AD818" s="4">
        <v>250.01664</v>
      </c>
      <c r="AE818" s="1">
        <v>407</v>
      </c>
      <c r="AF818" s="5">
        <v>89.965310000000002</v>
      </c>
      <c r="AG818" s="3">
        <f t="shared" si="121"/>
        <v>90.226799999999997</v>
      </c>
      <c r="AH818" s="1">
        <f t="shared" si="122"/>
        <v>0.17102456153048173</v>
      </c>
    </row>
    <row r="819" spans="23:34" x14ac:dyDescent="0.2">
      <c r="W819" s="4">
        <v>250.00303</v>
      </c>
      <c r="X819" s="1">
        <v>407.5</v>
      </c>
      <c r="Y819" s="3">
        <v>79.622950000000003</v>
      </c>
      <c r="Z819" s="3">
        <f t="shared" si="120"/>
        <v>85.063780000000008</v>
      </c>
      <c r="AA819" s="1">
        <f t="shared" si="123"/>
        <v>0.25643559721910264</v>
      </c>
      <c r="AD819" s="4">
        <v>250.01512</v>
      </c>
      <c r="AE819" s="1">
        <v>407.5</v>
      </c>
      <c r="AF819" s="3">
        <v>90.088300000000004</v>
      </c>
      <c r="AG819" s="3">
        <f t="shared" si="121"/>
        <v>90.349789999999999</v>
      </c>
      <c r="AH819" s="1">
        <f t="shared" si="122"/>
        <v>0.1689827879274817</v>
      </c>
    </row>
    <row r="820" spans="23:34" x14ac:dyDescent="0.2">
      <c r="W820" s="4">
        <v>250.00304</v>
      </c>
      <c r="X820" s="1">
        <v>408</v>
      </c>
      <c r="Y820" s="5">
        <v>79.596369999999993</v>
      </c>
      <c r="Z820" s="3">
        <f t="shared" si="120"/>
        <v>85.037199999999999</v>
      </c>
      <c r="AA820" s="1">
        <f t="shared" si="123"/>
        <v>0.25687694942980033</v>
      </c>
      <c r="AD820" s="4">
        <v>250.01541</v>
      </c>
      <c r="AE820" s="1">
        <v>408</v>
      </c>
      <c r="AF820" s="5">
        <v>90.040379999999999</v>
      </c>
      <c r="AG820" s="3">
        <f t="shared" si="121"/>
        <v>90.301869999999994</v>
      </c>
      <c r="AH820" s="1">
        <f t="shared" si="122"/>
        <v>0.16977831432032478</v>
      </c>
    </row>
    <row r="821" spans="23:34" x14ac:dyDescent="0.2">
      <c r="W821" s="4">
        <v>250.00599</v>
      </c>
      <c r="X821" s="1">
        <v>408.5</v>
      </c>
      <c r="Y821" s="3">
        <v>79.577010000000001</v>
      </c>
      <c r="Z821" s="3">
        <f t="shared" si="120"/>
        <v>85.017840000000007</v>
      </c>
      <c r="AA821" s="1">
        <f t="shared" si="123"/>
        <v>0.25719841590079728</v>
      </c>
      <c r="AD821" s="4">
        <v>250.01401000000001</v>
      </c>
      <c r="AE821" s="1">
        <v>408.5</v>
      </c>
      <c r="AF821" s="3">
        <v>89.93441</v>
      </c>
      <c r="AG821" s="3">
        <f t="shared" si="121"/>
        <v>90.195899999999995</v>
      </c>
      <c r="AH821" s="1">
        <f t="shared" si="122"/>
        <v>0.17153753660433088</v>
      </c>
    </row>
    <row r="822" spans="23:34" x14ac:dyDescent="0.2">
      <c r="W822" s="4">
        <v>250.01104000000001</v>
      </c>
      <c r="X822" s="1">
        <v>409</v>
      </c>
      <c r="Y822" s="5">
        <v>79.567480000000003</v>
      </c>
      <c r="Z822" s="3">
        <f t="shared" si="120"/>
        <v>85.008310000000009</v>
      </c>
      <c r="AA822" s="1">
        <f t="shared" si="123"/>
        <v>0.25735665843533251</v>
      </c>
      <c r="AD822" s="4">
        <v>250.01177999999999</v>
      </c>
      <c r="AE822" s="1">
        <v>409</v>
      </c>
      <c r="AF822" s="5">
        <v>89.913780000000003</v>
      </c>
      <c r="AG822" s="3">
        <f t="shared" si="121"/>
        <v>90.175269999999998</v>
      </c>
      <c r="AH822" s="1">
        <f t="shared" si="122"/>
        <v>0.17188001802094915</v>
      </c>
    </row>
    <row r="823" spans="23:34" x14ac:dyDescent="0.2">
      <c r="W823" s="4">
        <v>250.01298</v>
      </c>
      <c r="X823" s="1">
        <v>409.5</v>
      </c>
      <c r="Y823" s="3">
        <v>79.5732</v>
      </c>
      <c r="Z823" s="3">
        <f t="shared" si="120"/>
        <v>85.014030000000005</v>
      </c>
      <c r="AA823" s="1">
        <f t="shared" si="123"/>
        <v>0.25726167970526526</v>
      </c>
      <c r="AD823" s="4">
        <v>250.00855999999999</v>
      </c>
      <c r="AE823" s="1">
        <v>409.5</v>
      </c>
      <c r="AF823" s="3">
        <v>89.995490000000004</v>
      </c>
      <c r="AG823" s="3">
        <f t="shared" si="121"/>
        <v>90.256979999999999</v>
      </c>
      <c r="AH823" s="1">
        <f t="shared" si="122"/>
        <v>0.17052353927388736</v>
      </c>
    </row>
    <row r="824" spans="23:34" x14ac:dyDescent="0.2">
      <c r="W824" s="4">
        <v>250.00903</v>
      </c>
      <c r="X824" s="1">
        <v>410</v>
      </c>
      <c r="Y824" s="5">
        <v>79.550089999999997</v>
      </c>
      <c r="Z824" s="3">
        <f t="shared" si="120"/>
        <v>84.990920000000003</v>
      </c>
      <c r="AA824" s="1">
        <f t="shared" si="123"/>
        <v>0.25764541370034505</v>
      </c>
      <c r="AD824" s="4">
        <v>250.01308</v>
      </c>
      <c r="AE824" s="1">
        <v>410</v>
      </c>
      <c r="AF824" s="5">
        <v>89.997749999999996</v>
      </c>
      <c r="AG824" s="3">
        <f t="shared" si="121"/>
        <v>90.259239999999991</v>
      </c>
      <c r="AH824" s="1">
        <f t="shared" si="122"/>
        <v>0.17048602070861565</v>
      </c>
    </row>
    <row r="825" spans="23:34" x14ac:dyDescent="0.2">
      <c r="W825" s="4">
        <v>250.00700000000001</v>
      </c>
      <c r="X825" s="1">
        <v>410.5</v>
      </c>
      <c r="Y825" s="3">
        <v>79.538650000000004</v>
      </c>
      <c r="Z825" s="3">
        <f t="shared" si="120"/>
        <v>84.979480000000009</v>
      </c>
      <c r="AA825" s="1">
        <f t="shared" si="123"/>
        <v>0.25783537116047961</v>
      </c>
      <c r="AD825" s="4">
        <v>250.01765</v>
      </c>
      <c r="AE825" s="1">
        <v>410.5</v>
      </c>
      <c r="AF825" s="3">
        <v>89.911090000000002</v>
      </c>
      <c r="AG825" s="3">
        <f t="shared" si="121"/>
        <v>90.172579999999996</v>
      </c>
      <c r="AH825" s="1">
        <f t="shared" si="122"/>
        <v>0.17192467507430367</v>
      </c>
    </row>
    <row r="826" spans="23:34" x14ac:dyDescent="0.2">
      <c r="W826" s="4">
        <v>250.00397000000001</v>
      </c>
      <c r="X826" s="1">
        <v>411</v>
      </c>
      <c r="Y826" s="5">
        <v>79.52731</v>
      </c>
      <c r="Z826" s="3">
        <f t="shared" si="120"/>
        <v>84.968140000000005</v>
      </c>
      <c r="AA826" s="1">
        <f t="shared" si="123"/>
        <v>0.25802366815330546</v>
      </c>
      <c r="AD826" s="4">
        <v>250.01838000000001</v>
      </c>
      <c r="AE826" s="1">
        <v>411</v>
      </c>
      <c r="AF826" s="5">
        <v>89.911770000000004</v>
      </c>
      <c r="AG826" s="3">
        <f t="shared" si="121"/>
        <v>90.173259999999999</v>
      </c>
      <c r="AH826" s="1">
        <f t="shared" si="122"/>
        <v>0.17191338630245195</v>
      </c>
    </row>
    <row r="827" spans="23:34" x14ac:dyDescent="0.2">
      <c r="W827" s="4">
        <v>250.00402</v>
      </c>
      <c r="X827" s="1">
        <v>411.5</v>
      </c>
      <c r="Y827" s="3">
        <v>79.536630000000002</v>
      </c>
      <c r="Z827" s="3">
        <f t="shared" si="120"/>
        <v>84.977460000000008</v>
      </c>
      <c r="AA827" s="1">
        <f t="shared" si="123"/>
        <v>0.25786891260011879</v>
      </c>
      <c r="AD827" s="4">
        <v>250.02078</v>
      </c>
      <c r="AE827" s="1">
        <v>411.5</v>
      </c>
      <c r="AF827" s="3">
        <v>90.001159999999999</v>
      </c>
      <c r="AG827" s="3">
        <f t="shared" si="121"/>
        <v>90.262649999999994</v>
      </c>
      <c r="AH827" s="1">
        <f t="shared" si="122"/>
        <v>0.17042941083800639</v>
      </c>
    </row>
    <row r="828" spans="23:34" x14ac:dyDescent="0.2">
      <c r="W828" s="4">
        <v>250.006</v>
      </c>
      <c r="X828" s="1">
        <v>412</v>
      </c>
      <c r="Y828" s="5">
        <v>79.500389999999996</v>
      </c>
      <c r="Z828" s="3">
        <f t="shared" si="120"/>
        <v>84.941220000000001</v>
      </c>
      <c r="AA828" s="1">
        <f t="shared" si="123"/>
        <v>0.25847066595285317</v>
      </c>
      <c r="AD828" s="4">
        <v>250.02504999999999</v>
      </c>
      <c r="AE828" s="1">
        <v>412</v>
      </c>
      <c r="AF828" s="5">
        <v>90.001720000000006</v>
      </c>
      <c r="AG828" s="3">
        <f t="shared" si="121"/>
        <v>90.263210000000001</v>
      </c>
      <c r="AH828" s="1">
        <f t="shared" si="122"/>
        <v>0.17042011420236369</v>
      </c>
    </row>
    <row r="829" spans="23:34" x14ac:dyDescent="0.2">
      <c r="W829" s="4">
        <v>250.00498999999999</v>
      </c>
      <c r="X829" s="1">
        <v>412.5</v>
      </c>
      <c r="Y829" s="3">
        <v>79.483170000000001</v>
      </c>
      <c r="Z829" s="3">
        <f t="shared" si="120"/>
        <v>84.924000000000007</v>
      </c>
      <c r="AA829" s="1">
        <f t="shared" si="123"/>
        <v>0.2587565984234404</v>
      </c>
      <c r="AD829" s="4">
        <v>250.02906999999999</v>
      </c>
      <c r="AE829" s="1">
        <v>412.5</v>
      </c>
      <c r="AF829" s="3">
        <v>89.92859</v>
      </c>
      <c r="AG829" s="3">
        <f t="shared" si="121"/>
        <v>90.190079999999995</v>
      </c>
      <c r="AH829" s="1">
        <f t="shared" si="122"/>
        <v>0.17163415521047332</v>
      </c>
    </row>
    <row r="830" spans="23:34" x14ac:dyDescent="0.2">
      <c r="W830" s="4">
        <v>250.011</v>
      </c>
      <c r="X830" s="1">
        <v>413</v>
      </c>
      <c r="Y830" s="5">
        <v>79.500510000000006</v>
      </c>
      <c r="Z830" s="3">
        <f t="shared" si="120"/>
        <v>84.941340000000011</v>
      </c>
      <c r="AA830" s="1">
        <f t="shared" si="123"/>
        <v>0.25846867339208235</v>
      </c>
      <c r="AD830" s="4">
        <v>250.02763999999999</v>
      </c>
      <c r="AE830" s="1">
        <v>413</v>
      </c>
      <c r="AF830" s="5">
        <v>89.951660000000004</v>
      </c>
      <c r="AG830" s="3">
        <f t="shared" si="121"/>
        <v>90.213149999999999</v>
      </c>
      <c r="AH830" s="1">
        <f t="shared" si="122"/>
        <v>0.1712511670242694</v>
      </c>
    </row>
    <row r="831" spans="23:34" x14ac:dyDescent="0.2">
      <c r="W831" s="4">
        <v>250.00601</v>
      </c>
      <c r="X831" s="1">
        <v>413.5</v>
      </c>
      <c r="Y831" s="3">
        <v>79.463920000000002</v>
      </c>
      <c r="Z831" s="3">
        <f t="shared" si="120"/>
        <v>84.904750000000007</v>
      </c>
      <c r="AA831" s="1">
        <f t="shared" si="123"/>
        <v>0.25907623838039778</v>
      </c>
      <c r="AD831" s="4">
        <v>250.02462</v>
      </c>
      <c r="AE831" s="1">
        <v>413.5</v>
      </c>
      <c r="AF831" s="3">
        <v>89.904880000000006</v>
      </c>
      <c r="AG831" s="3">
        <f t="shared" si="121"/>
        <v>90.166370000000001</v>
      </c>
      <c r="AH831" s="1">
        <f t="shared" si="122"/>
        <v>0.1720277681231257</v>
      </c>
    </row>
    <row r="832" spans="23:34" x14ac:dyDescent="0.2">
      <c r="W832" s="4">
        <v>250.00797</v>
      </c>
      <c r="X832" s="1">
        <v>414</v>
      </c>
      <c r="Y832" s="5">
        <v>79.456280000000007</v>
      </c>
      <c r="Z832" s="3">
        <f t="shared" si="120"/>
        <v>84.897110000000012</v>
      </c>
      <c r="AA832" s="1">
        <f t="shared" si="123"/>
        <v>0.25920309808279529</v>
      </c>
      <c r="AD832" s="4">
        <v>250.01820000000001</v>
      </c>
      <c r="AE832" s="1">
        <v>414</v>
      </c>
      <c r="AF832" s="5">
        <v>89.83426</v>
      </c>
      <c r="AG832" s="3">
        <f t="shared" si="121"/>
        <v>90.095749999999995</v>
      </c>
      <c r="AH832" s="1">
        <f t="shared" si="122"/>
        <v>0.17320014028219452</v>
      </c>
    </row>
    <row r="833" spans="23:34" x14ac:dyDescent="0.2">
      <c r="W833" s="4">
        <v>250.00697</v>
      </c>
      <c r="X833" s="1">
        <v>414.5</v>
      </c>
      <c r="Y833" s="3">
        <v>79.435190000000006</v>
      </c>
      <c r="Z833" s="3">
        <f t="shared" si="120"/>
        <v>84.876020000000011</v>
      </c>
      <c r="AA833" s="1">
        <f t="shared" si="123"/>
        <v>0.2595532906382359</v>
      </c>
      <c r="AD833" s="4">
        <v>250.01652999999999</v>
      </c>
      <c r="AE833" s="1">
        <v>414.5</v>
      </c>
      <c r="AF833" s="3">
        <v>89.822860000000006</v>
      </c>
      <c r="AG833" s="3">
        <f t="shared" si="121"/>
        <v>90.084350000000001</v>
      </c>
      <c r="AH833" s="1">
        <f t="shared" si="122"/>
        <v>0.17338939322206107</v>
      </c>
    </row>
    <row r="834" spans="23:34" x14ac:dyDescent="0.2">
      <c r="W834" s="4">
        <v>250.00198</v>
      </c>
      <c r="X834" s="1">
        <v>415</v>
      </c>
      <c r="Y834" s="5">
        <v>79.433189999999996</v>
      </c>
      <c r="Z834" s="3">
        <f t="shared" si="120"/>
        <v>84.874020000000002</v>
      </c>
      <c r="AA834" s="1">
        <f t="shared" si="123"/>
        <v>0.25958649998441347</v>
      </c>
      <c r="AD834" s="4">
        <v>250.02003999999999</v>
      </c>
      <c r="AE834" s="1">
        <v>415</v>
      </c>
      <c r="AF834" s="5">
        <v>89.845849999999999</v>
      </c>
      <c r="AG834" s="3">
        <f t="shared" si="121"/>
        <v>90.107339999999994</v>
      </c>
      <c r="AH834" s="1">
        <f t="shared" si="122"/>
        <v>0.17300773312666343</v>
      </c>
    </row>
    <row r="835" spans="23:34" x14ac:dyDescent="0.2">
      <c r="W835" s="4">
        <v>249.99995999999999</v>
      </c>
      <c r="X835" s="1">
        <v>415.5</v>
      </c>
      <c r="Y835" s="3">
        <v>79.417770000000004</v>
      </c>
      <c r="Z835" s="3">
        <f t="shared" si="120"/>
        <v>84.85860000000001</v>
      </c>
      <c r="AA835" s="1">
        <f t="shared" si="123"/>
        <v>0.25984254404344098</v>
      </c>
      <c r="AD835" s="4">
        <v>250.02096</v>
      </c>
      <c r="AE835" s="1">
        <v>415.5</v>
      </c>
      <c r="AF835" s="3">
        <v>89.842470000000006</v>
      </c>
      <c r="AG835" s="3">
        <f t="shared" si="121"/>
        <v>90.103960000000001</v>
      </c>
      <c r="AH835" s="1">
        <f t="shared" si="122"/>
        <v>0.17306384496322028</v>
      </c>
    </row>
    <row r="836" spans="23:34" x14ac:dyDescent="0.2">
      <c r="W836" s="4">
        <v>250.00002000000001</v>
      </c>
      <c r="X836" s="1">
        <v>416</v>
      </c>
      <c r="Y836" s="5">
        <v>79.385220000000004</v>
      </c>
      <c r="Z836" s="3">
        <f t="shared" si="120"/>
        <v>84.826050000000009</v>
      </c>
      <c r="AA836" s="1">
        <f t="shared" si="123"/>
        <v>0.26038302615247799</v>
      </c>
      <c r="AD836" s="4">
        <v>250.01839000000001</v>
      </c>
      <c r="AE836" s="1">
        <v>416</v>
      </c>
      <c r="AF836" s="5">
        <v>89.854929999999996</v>
      </c>
      <c r="AG836" s="3">
        <f t="shared" si="121"/>
        <v>90.116419999999991</v>
      </c>
      <c r="AH836" s="1">
        <f t="shared" si="122"/>
        <v>0.17285699482017319</v>
      </c>
    </row>
    <row r="837" spans="23:34" x14ac:dyDescent="0.2">
      <c r="W837" s="4">
        <v>250.00698</v>
      </c>
      <c r="X837" s="1">
        <v>416.5</v>
      </c>
      <c r="Y837" s="3">
        <v>79.383369999999999</v>
      </c>
      <c r="Z837" s="3">
        <f t="shared" ref="Z837:Z900" si="124">100-($Y$4-Y837)</f>
        <v>84.824200000000005</v>
      </c>
      <c r="AA837" s="1">
        <f t="shared" si="123"/>
        <v>0.26041374479769219</v>
      </c>
      <c r="AD837" s="4">
        <v>250.01695000000001</v>
      </c>
      <c r="AE837" s="1">
        <v>416.5</v>
      </c>
      <c r="AF837" s="3">
        <v>89.807360000000003</v>
      </c>
      <c r="AG837" s="3">
        <f t="shared" ref="AG837:AG900" si="125">100-($AF$4-AF837)</f>
        <v>90.068849999999998</v>
      </c>
      <c r="AH837" s="1">
        <f t="shared" si="122"/>
        <v>0.17364671081573949</v>
      </c>
    </row>
    <row r="838" spans="23:34" x14ac:dyDescent="0.2">
      <c r="W838" s="4">
        <v>250.00300999999999</v>
      </c>
      <c r="X838" s="1">
        <v>417</v>
      </c>
      <c r="Y838" s="5">
        <v>79.375699999999995</v>
      </c>
      <c r="Z838" s="3">
        <f t="shared" si="124"/>
        <v>84.81653</v>
      </c>
      <c r="AA838" s="1">
        <f t="shared" si="123"/>
        <v>0.26054110264028252</v>
      </c>
      <c r="AD838" s="4">
        <v>250.01675</v>
      </c>
      <c r="AE838" s="1">
        <v>417</v>
      </c>
      <c r="AF838" s="5">
        <v>89.886920000000003</v>
      </c>
      <c r="AG838" s="3">
        <f t="shared" si="125"/>
        <v>90.148409999999998</v>
      </c>
      <c r="AH838" s="1">
        <f t="shared" si="122"/>
        <v>0.17232592450909112</v>
      </c>
    </row>
    <row r="839" spans="23:34" x14ac:dyDescent="0.2">
      <c r="W839" s="4">
        <v>250.001</v>
      </c>
      <c r="X839" s="1">
        <v>417.5</v>
      </c>
      <c r="Y839" s="3">
        <v>79.348889999999997</v>
      </c>
      <c r="Z839" s="3">
        <f t="shared" si="124"/>
        <v>84.789720000000003</v>
      </c>
      <c r="AA839" s="1">
        <f t="shared" si="123"/>
        <v>0.26098627392579038</v>
      </c>
      <c r="AD839" s="4">
        <v>250.01795000000001</v>
      </c>
      <c r="AE839" s="1">
        <v>417.5</v>
      </c>
      <c r="AF839" s="3">
        <v>89.858930000000001</v>
      </c>
      <c r="AG839" s="3">
        <f t="shared" si="125"/>
        <v>90.120419999999996</v>
      </c>
      <c r="AH839" s="1">
        <f t="shared" si="122"/>
        <v>0.17279059027986904</v>
      </c>
    </row>
    <row r="840" spans="23:34" x14ac:dyDescent="0.2">
      <c r="W840" s="4">
        <v>250.00395</v>
      </c>
      <c r="X840" s="1">
        <v>418</v>
      </c>
      <c r="Y840" s="5">
        <v>79.352500000000006</v>
      </c>
      <c r="Z840" s="3">
        <f t="shared" si="124"/>
        <v>84.793330000000012</v>
      </c>
      <c r="AA840" s="1">
        <f t="shared" si="123"/>
        <v>0.26092633105594004</v>
      </c>
      <c r="AD840" s="4">
        <v>250.02011999999999</v>
      </c>
      <c r="AE840" s="1">
        <v>418</v>
      </c>
      <c r="AF840" s="5">
        <v>89.89461</v>
      </c>
      <c r="AG840" s="3">
        <f t="shared" si="125"/>
        <v>90.156099999999995</v>
      </c>
      <c r="AH840" s="1">
        <f t="shared" si="122"/>
        <v>0.17219826178035655</v>
      </c>
    </row>
    <row r="841" spans="23:34" x14ac:dyDescent="0.2">
      <c r="W841" s="4">
        <v>250.00702999999999</v>
      </c>
      <c r="X841" s="1">
        <v>418.5</v>
      </c>
      <c r="Y841" s="3">
        <v>79.339110000000005</v>
      </c>
      <c r="Z841" s="3">
        <f t="shared" si="124"/>
        <v>84.779940000000011</v>
      </c>
      <c r="AA841" s="1">
        <f t="shared" si="123"/>
        <v>0.26114866762859767</v>
      </c>
      <c r="AD841" s="4">
        <v>250.0188</v>
      </c>
      <c r="AE841" s="1">
        <v>418.5</v>
      </c>
      <c r="AF841" s="3">
        <v>89.857200000000006</v>
      </c>
      <c r="AG841" s="3">
        <f t="shared" si="125"/>
        <v>90.118690000000001</v>
      </c>
      <c r="AH841" s="1">
        <f t="shared" si="122"/>
        <v>0.17281931024355046</v>
      </c>
    </row>
    <row r="842" spans="23:34" x14ac:dyDescent="0.2">
      <c r="W842" s="4">
        <v>250.00701000000001</v>
      </c>
      <c r="X842" s="1">
        <v>419</v>
      </c>
      <c r="Y842" s="5">
        <v>79.327680000000001</v>
      </c>
      <c r="Z842" s="3">
        <f t="shared" si="124"/>
        <v>84.768510000000006</v>
      </c>
      <c r="AA842" s="1">
        <f t="shared" si="123"/>
        <v>0.26133845904200154</v>
      </c>
      <c r="AD842" s="4">
        <v>250.01759999999999</v>
      </c>
      <c r="AE842" s="1">
        <v>419</v>
      </c>
      <c r="AF842" s="5">
        <v>89.782499999999999</v>
      </c>
      <c r="AG842" s="3">
        <f t="shared" si="125"/>
        <v>90.043989999999994</v>
      </c>
      <c r="AH842" s="1">
        <f t="shared" ref="AH842:AH905" si="126">($AG$9-AG842)/($AG$9*(1-$N$1))</f>
        <v>0.17405941503372946</v>
      </c>
    </row>
    <row r="843" spans="23:34" x14ac:dyDescent="0.2">
      <c r="W843" s="4">
        <v>250.006</v>
      </c>
      <c r="X843" s="1">
        <v>419.5</v>
      </c>
      <c r="Y843" s="3">
        <v>79.319900000000004</v>
      </c>
      <c r="Z843" s="3">
        <f t="shared" si="124"/>
        <v>84.760730000000009</v>
      </c>
      <c r="AA843" s="1">
        <f t="shared" si="123"/>
        <v>0.26146764339863154</v>
      </c>
      <c r="AD843" s="4">
        <v>250.01732999999999</v>
      </c>
      <c r="AE843" s="1">
        <v>419.5</v>
      </c>
      <c r="AF843" s="3">
        <v>89.754329999999996</v>
      </c>
      <c r="AG843" s="3">
        <f t="shared" si="125"/>
        <v>90.015819999999991</v>
      </c>
      <c r="AH843" s="1">
        <f t="shared" si="126"/>
        <v>0.17452706900882106</v>
      </c>
    </row>
    <row r="844" spans="23:34" x14ac:dyDescent="0.2">
      <c r="W844" s="4">
        <v>250.00398000000001</v>
      </c>
      <c r="X844" s="1">
        <v>420</v>
      </c>
      <c r="Y844" s="5">
        <v>79.316069999999996</v>
      </c>
      <c r="Z844" s="3">
        <f t="shared" si="124"/>
        <v>84.756900000000002</v>
      </c>
      <c r="AA844" s="1">
        <f t="shared" ref="AA844:AA907" si="127">($Z$11-Z844)/($Z$11*(1-$N$1))</f>
        <v>0.26153123929656136</v>
      </c>
      <c r="AD844" s="4">
        <v>250.01462000000001</v>
      </c>
      <c r="AE844" s="1">
        <v>420</v>
      </c>
      <c r="AF844" s="5">
        <v>89.744569999999996</v>
      </c>
      <c r="AG844" s="3">
        <f t="shared" si="125"/>
        <v>90.006059999999991</v>
      </c>
      <c r="AH844" s="1">
        <f t="shared" si="126"/>
        <v>0.17468909608716304</v>
      </c>
    </row>
    <row r="845" spans="23:34" x14ac:dyDescent="0.2">
      <c r="W845" s="4">
        <v>250.00799000000001</v>
      </c>
      <c r="X845" s="1">
        <v>420.5</v>
      </c>
      <c r="Y845" s="3">
        <v>79.291210000000007</v>
      </c>
      <c r="Z845" s="3">
        <f t="shared" si="124"/>
        <v>84.732040000000012</v>
      </c>
      <c r="AA845" s="1">
        <f t="shared" si="127"/>
        <v>0.26194403146954615</v>
      </c>
      <c r="AD845" s="4">
        <v>250.01307</v>
      </c>
      <c r="AE845" s="1">
        <v>420.5</v>
      </c>
      <c r="AF845" s="3">
        <v>89.632459999999995</v>
      </c>
      <c r="AG845" s="3">
        <f t="shared" si="125"/>
        <v>89.89394999999999</v>
      </c>
      <c r="AH845" s="1">
        <f t="shared" si="126"/>
        <v>0.17655024934053593</v>
      </c>
    </row>
    <row r="846" spans="23:34" x14ac:dyDescent="0.2">
      <c r="W846" s="4">
        <v>250.00796</v>
      </c>
      <c r="X846" s="1">
        <v>421</v>
      </c>
      <c r="Y846" s="5">
        <v>79.26643</v>
      </c>
      <c r="Z846" s="3">
        <f t="shared" si="124"/>
        <v>84.707260000000005</v>
      </c>
      <c r="AA846" s="1">
        <f t="shared" si="127"/>
        <v>0.26235549526868412</v>
      </c>
      <c r="AD846" s="4">
        <v>250.01294999999999</v>
      </c>
      <c r="AE846" s="1">
        <v>421</v>
      </c>
      <c r="AF846" s="5">
        <v>89.904290000000003</v>
      </c>
      <c r="AG846" s="3">
        <f t="shared" si="125"/>
        <v>90.165779999999998</v>
      </c>
      <c r="AH846" s="1">
        <f t="shared" si="126"/>
        <v>0.17203756279282062</v>
      </c>
    </row>
    <row r="847" spans="23:34" x14ac:dyDescent="0.2">
      <c r="W847" s="4">
        <v>250.00595000000001</v>
      </c>
      <c r="X847" s="1">
        <v>421.5</v>
      </c>
      <c r="Y847" s="3">
        <v>79.266310000000004</v>
      </c>
      <c r="Z847" s="3">
        <f t="shared" si="124"/>
        <v>84.70714000000001</v>
      </c>
      <c r="AA847" s="1">
        <f t="shared" si="127"/>
        <v>0.26235748782945467</v>
      </c>
      <c r="AD847" s="4">
        <v>250.01113000000001</v>
      </c>
      <c r="AE847" s="1">
        <v>421.5</v>
      </c>
      <c r="AF847" s="3">
        <v>89.611609999999999</v>
      </c>
      <c r="AG847" s="3">
        <f t="shared" si="125"/>
        <v>89.873099999999994</v>
      </c>
      <c r="AH847" s="1">
        <f t="shared" si="126"/>
        <v>0.17689638300687094</v>
      </c>
    </row>
    <row r="848" spans="23:34" x14ac:dyDescent="0.2">
      <c r="W848" s="4">
        <v>249.99997999999999</v>
      </c>
      <c r="X848" s="1">
        <v>422</v>
      </c>
      <c r="Y848" s="5">
        <v>79.245220000000003</v>
      </c>
      <c r="Z848" s="3">
        <f t="shared" si="124"/>
        <v>84.686050000000009</v>
      </c>
      <c r="AA848" s="1">
        <f t="shared" si="127"/>
        <v>0.26270768038489528</v>
      </c>
      <c r="AD848" s="4">
        <v>250.00944999999999</v>
      </c>
      <c r="AE848" s="1">
        <v>422</v>
      </c>
      <c r="AF848" s="5">
        <v>89.752459999999999</v>
      </c>
      <c r="AG848" s="3">
        <f t="shared" si="125"/>
        <v>90.013949999999994</v>
      </c>
      <c r="AH848" s="1">
        <f t="shared" si="126"/>
        <v>0.17455811313141317</v>
      </c>
    </row>
    <row r="849" spans="23:34" x14ac:dyDescent="0.2">
      <c r="W849" s="4">
        <v>250.00400999999999</v>
      </c>
      <c r="X849" s="1">
        <v>422.5</v>
      </c>
      <c r="Y849" s="3">
        <v>79.235780000000005</v>
      </c>
      <c r="Z849" s="3">
        <f t="shared" si="124"/>
        <v>84.676610000000011</v>
      </c>
      <c r="AA849" s="1">
        <f t="shared" si="127"/>
        <v>0.2628644284988525</v>
      </c>
      <c r="AD849" s="4">
        <v>250.01045999999999</v>
      </c>
      <c r="AE849" s="1">
        <v>422.5</v>
      </c>
      <c r="AF849" s="3">
        <v>89.743219999999994</v>
      </c>
      <c r="AG849" s="3">
        <f t="shared" si="125"/>
        <v>90.004709999999989</v>
      </c>
      <c r="AH849" s="1">
        <f t="shared" si="126"/>
        <v>0.1747115076195157</v>
      </c>
    </row>
    <row r="850" spans="23:34" x14ac:dyDescent="0.2">
      <c r="W850" s="4">
        <v>250.00599</v>
      </c>
      <c r="X850" s="1">
        <v>423</v>
      </c>
      <c r="Y850" s="5">
        <v>79.222219999999993</v>
      </c>
      <c r="Z850" s="3">
        <f t="shared" si="124"/>
        <v>84.663049999999998</v>
      </c>
      <c r="AA850" s="1">
        <f t="shared" si="127"/>
        <v>0.26308958786593539</v>
      </c>
      <c r="AD850" s="4">
        <v>250.00864999999999</v>
      </c>
      <c r="AE850" s="1">
        <v>423</v>
      </c>
      <c r="AF850" s="5">
        <v>89.624930000000006</v>
      </c>
      <c r="AG850" s="3">
        <f t="shared" si="125"/>
        <v>89.886420000000001</v>
      </c>
      <c r="AH850" s="1">
        <f t="shared" si="126"/>
        <v>0.1766752558876582</v>
      </c>
    </row>
    <row r="851" spans="23:34" x14ac:dyDescent="0.2">
      <c r="W851" s="4">
        <v>250.01102</v>
      </c>
      <c r="X851" s="1">
        <v>423.5</v>
      </c>
      <c r="Y851" s="3">
        <v>79.222329999999999</v>
      </c>
      <c r="Z851" s="3">
        <f t="shared" si="124"/>
        <v>84.663160000000005</v>
      </c>
      <c r="AA851" s="1">
        <f t="shared" si="127"/>
        <v>0.26308776135189554</v>
      </c>
      <c r="AD851" s="4">
        <v>250.00702999999999</v>
      </c>
      <c r="AE851" s="1">
        <v>423.5</v>
      </c>
      <c r="AF851" s="3">
        <v>89.804209999999998</v>
      </c>
      <c r="AG851" s="3">
        <f t="shared" si="125"/>
        <v>90.065699999999993</v>
      </c>
      <c r="AH851" s="1">
        <f t="shared" si="126"/>
        <v>0.17369900439122904</v>
      </c>
    </row>
    <row r="852" spans="23:34" x14ac:dyDescent="0.2">
      <c r="W852" s="4">
        <v>250.01400000000001</v>
      </c>
      <c r="X852" s="1">
        <v>424</v>
      </c>
      <c r="Y852" s="5">
        <v>79.210849999999994</v>
      </c>
      <c r="Z852" s="3">
        <f t="shared" si="124"/>
        <v>84.651679999999999</v>
      </c>
      <c r="AA852" s="1">
        <f t="shared" si="127"/>
        <v>0.26327838299895384</v>
      </c>
      <c r="AD852" s="4">
        <v>250.00811999999999</v>
      </c>
      <c r="AE852" s="1">
        <v>424</v>
      </c>
      <c r="AF852" s="5">
        <v>89.640259999999998</v>
      </c>
      <c r="AG852" s="3">
        <f t="shared" si="125"/>
        <v>89.901749999999993</v>
      </c>
      <c r="AH852" s="1">
        <f t="shared" si="126"/>
        <v>0.17642076048694291</v>
      </c>
    </row>
    <row r="853" spans="23:34" x14ac:dyDescent="0.2">
      <c r="W853" s="4">
        <v>250.00698</v>
      </c>
      <c r="X853" s="1">
        <v>424.5</v>
      </c>
      <c r="Y853" s="3">
        <v>79.210729999999998</v>
      </c>
      <c r="Z853" s="3">
        <f t="shared" si="124"/>
        <v>84.651560000000003</v>
      </c>
      <c r="AA853" s="1">
        <f t="shared" si="127"/>
        <v>0.26328037555972444</v>
      </c>
      <c r="AD853" s="4">
        <v>250.00993</v>
      </c>
      <c r="AE853" s="1">
        <v>424.5</v>
      </c>
      <c r="AF853" s="3">
        <v>89.744029999999995</v>
      </c>
      <c r="AG853" s="3">
        <f t="shared" si="125"/>
        <v>90.00551999999999</v>
      </c>
      <c r="AH853" s="1">
        <f t="shared" si="126"/>
        <v>0.1746980607001041</v>
      </c>
    </row>
    <row r="854" spans="23:34" x14ac:dyDescent="0.2">
      <c r="W854" s="4">
        <v>250.00601</v>
      </c>
      <c r="X854" s="1">
        <v>425</v>
      </c>
      <c r="Y854" s="5">
        <v>79.178120000000007</v>
      </c>
      <c r="Z854" s="3">
        <f t="shared" si="124"/>
        <v>84.618950000000012</v>
      </c>
      <c r="AA854" s="1">
        <f t="shared" si="127"/>
        <v>0.26382185394914659</v>
      </c>
      <c r="AD854" s="4">
        <v>250.01356999999999</v>
      </c>
      <c r="AE854" s="1">
        <v>425</v>
      </c>
      <c r="AF854" s="5">
        <v>89.629649999999998</v>
      </c>
      <c r="AG854" s="3">
        <f t="shared" si="125"/>
        <v>89.891139999999993</v>
      </c>
      <c r="AH854" s="1">
        <f t="shared" si="126"/>
        <v>0.17659689853009949</v>
      </c>
    </row>
    <row r="855" spans="23:34" x14ac:dyDescent="0.2">
      <c r="W855" s="4">
        <v>250.00901999999999</v>
      </c>
      <c r="X855" s="1">
        <v>425.5</v>
      </c>
      <c r="Y855" s="3">
        <v>79.191779999999994</v>
      </c>
      <c r="Z855" s="3">
        <f t="shared" si="124"/>
        <v>84.63261</v>
      </c>
      <c r="AA855" s="1">
        <f t="shared" si="127"/>
        <v>0.26359503411475527</v>
      </c>
      <c r="AD855" s="4">
        <v>250.01617999999999</v>
      </c>
      <c r="AE855" s="1">
        <v>425.5</v>
      </c>
      <c r="AF855" s="3">
        <v>89.642300000000006</v>
      </c>
      <c r="AG855" s="3">
        <f t="shared" si="125"/>
        <v>89.903790000000001</v>
      </c>
      <c r="AH855" s="1">
        <f t="shared" si="126"/>
        <v>0.1763868941713877</v>
      </c>
    </row>
    <row r="856" spans="23:34" x14ac:dyDescent="0.2">
      <c r="W856" s="4">
        <v>250.00200000000001</v>
      </c>
      <c r="X856" s="1">
        <v>426</v>
      </c>
      <c r="Y856" s="5">
        <v>79.176280000000006</v>
      </c>
      <c r="Z856" s="3">
        <f t="shared" si="124"/>
        <v>84.617110000000011</v>
      </c>
      <c r="AA856" s="1">
        <f t="shared" si="127"/>
        <v>0.26385240654762981</v>
      </c>
      <c r="AD856" s="4">
        <v>250.01843</v>
      </c>
      <c r="AE856" s="1">
        <v>426</v>
      </c>
      <c r="AF856" s="5">
        <v>89.598590000000002</v>
      </c>
      <c r="AG856" s="3">
        <f t="shared" si="125"/>
        <v>89.860079999999996</v>
      </c>
      <c r="AH856" s="1">
        <f t="shared" si="126"/>
        <v>0.17711252978556069</v>
      </c>
    </row>
    <row r="857" spans="23:34" x14ac:dyDescent="0.2">
      <c r="W857" s="4">
        <v>250.00201000000001</v>
      </c>
      <c r="X857" s="1">
        <v>426.5</v>
      </c>
      <c r="Y857" s="3">
        <v>79.149429999999995</v>
      </c>
      <c r="Z857" s="3">
        <f t="shared" si="124"/>
        <v>84.590260000000001</v>
      </c>
      <c r="AA857" s="1">
        <f t="shared" si="127"/>
        <v>0.26429824202006147</v>
      </c>
      <c r="AD857" s="4">
        <v>250.02198000000001</v>
      </c>
      <c r="AE857" s="1">
        <v>426.5</v>
      </c>
      <c r="AF857" s="3">
        <v>89.649169999999998</v>
      </c>
      <c r="AG857" s="3">
        <f t="shared" si="125"/>
        <v>89.910659999999993</v>
      </c>
      <c r="AH857" s="1">
        <f t="shared" si="126"/>
        <v>0.17627284437341553</v>
      </c>
    </row>
    <row r="858" spans="23:34" x14ac:dyDescent="0.2">
      <c r="W858" s="4">
        <v>250.00301999999999</v>
      </c>
      <c r="X858" s="1">
        <v>427</v>
      </c>
      <c r="Y858" s="5">
        <v>79.153300000000002</v>
      </c>
      <c r="Z858" s="3">
        <f t="shared" si="124"/>
        <v>84.594130000000007</v>
      </c>
      <c r="AA858" s="1">
        <f t="shared" si="127"/>
        <v>0.26423398193520808</v>
      </c>
      <c r="AD858" s="4">
        <v>250.02413999999999</v>
      </c>
      <c r="AE858" s="1">
        <v>427</v>
      </c>
      <c r="AF858" s="5">
        <v>89.576490000000007</v>
      </c>
      <c r="AG858" s="3">
        <f t="shared" si="125"/>
        <v>89.837980000000002</v>
      </c>
      <c r="AH858" s="1">
        <f t="shared" si="126"/>
        <v>0.1774794148707407</v>
      </c>
    </row>
    <row r="859" spans="23:34" x14ac:dyDescent="0.2">
      <c r="W859" s="4">
        <v>250.001</v>
      </c>
      <c r="X859" s="1">
        <v>427.5</v>
      </c>
      <c r="Y859" s="3">
        <v>79.132159999999999</v>
      </c>
      <c r="Z859" s="3">
        <f t="shared" si="124"/>
        <v>84.572990000000004</v>
      </c>
      <c r="AA859" s="1">
        <f t="shared" si="127"/>
        <v>0.26458500472430313</v>
      </c>
      <c r="AD859" s="4">
        <v>250.02563000000001</v>
      </c>
      <c r="AE859" s="1">
        <v>427.5</v>
      </c>
      <c r="AF859" s="3">
        <v>89.625190000000003</v>
      </c>
      <c r="AG859" s="3">
        <f t="shared" si="125"/>
        <v>89.886679999999998</v>
      </c>
      <c r="AH859" s="1">
        <f t="shared" si="126"/>
        <v>0.17667093959253846</v>
      </c>
    </row>
    <row r="860" spans="23:34" x14ac:dyDescent="0.2">
      <c r="W860" s="4">
        <v>250.00400999999999</v>
      </c>
      <c r="X860" s="1">
        <v>428</v>
      </c>
      <c r="Y860" s="5">
        <v>79.133989999999997</v>
      </c>
      <c r="Z860" s="3">
        <f t="shared" si="124"/>
        <v>84.574820000000003</v>
      </c>
      <c r="AA860" s="1">
        <f t="shared" si="127"/>
        <v>0.26455461817255088</v>
      </c>
      <c r="AD860" s="4">
        <v>250.02259000000001</v>
      </c>
      <c r="AE860" s="1">
        <v>428</v>
      </c>
      <c r="AF860" s="5">
        <v>89.474890000000002</v>
      </c>
      <c r="AG860" s="3">
        <f t="shared" si="125"/>
        <v>89.736379999999997</v>
      </c>
      <c r="AH860" s="1">
        <f t="shared" si="126"/>
        <v>0.17916609019446467</v>
      </c>
    </row>
    <row r="861" spans="23:34" x14ac:dyDescent="0.2">
      <c r="W861" s="4">
        <v>250.00398999999999</v>
      </c>
      <c r="X861" s="1">
        <v>428.5</v>
      </c>
      <c r="Y861" s="3">
        <v>79.111019999999996</v>
      </c>
      <c r="Z861" s="3">
        <f t="shared" si="124"/>
        <v>84.551850000000002</v>
      </c>
      <c r="AA861" s="1">
        <f t="shared" si="127"/>
        <v>0.26493602751339818</v>
      </c>
      <c r="AD861" s="4">
        <v>250.02035000000001</v>
      </c>
      <c r="AE861" s="1">
        <v>428.5</v>
      </c>
      <c r="AF861" s="3">
        <v>89.57687</v>
      </c>
      <c r="AG861" s="3">
        <f t="shared" si="125"/>
        <v>89.838359999999994</v>
      </c>
      <c r="AH861" s="1">
        <f t="shared" si="126"/>
        <v>0.17747310643941194</v>
      </c>
    </row>
    <row r="862" spans="23:34" x14ac:dyDescent="0.2">
      <c r="W862" s="4">
        <v>250.00703999999999</v>
      </c>
      <c r="X862" s="1">
        <v>429</v>
      </c>
      <c r="Y862" s="5">
        <v>79.10351</v>
      </c>
      <c r="Z862" s="3">
        <f t="shared" si="124"/>
        <v>84.544340000000005</v>
      </c>
      <c r="AA862" s="1">
        <f t="shared" si="127"/>
        <v>0.26506072860829422</v>
      </c>
      <c r="AD862" s="4">
        <v>250.02056999999999</v>
      </c>
      <c r="AE862" s="1">
        <v>429</v>
      </c>
      <c r="AF862" s="5">
        <v>89.564310000000006</v>
      </c>
      <c r="AG862" s="3">
        <f t="shared" si="125"/>
        <v>89.825800000000001</v>
      </c>
      <c r="AH862" s="1">
        <f t="shared" si="126"/>
        <v>0.17768161669596666</v>
      </c>
    </row>
    <row r="863" spans="23:34" x14ac:dyDescent="0.2">
      <c r="W863" s="4">
        <v>250.00301999999999</v>
      </c>
      <c r="X863" s="1">
        <v>429.5</v>
      </c>
      <c r="Y863" s="3">
        <v>79.08417</v>
      </c>
      <c r="Z863" s="3">
        <f t="shared" si="124"/>
        <v>84.525000000000006</v>
      </c>
      <c r="AA863" s="1">
        <f t="shared" si="127"/>
        <v>0.26538186298582961</v>
      </c>
      <c r="AD863" s="4">
        <v>250.01725999999999</v>
      </c>
      <c r="AE863" s="1">
        <v>429.5</v>
      </c>
      <c r="AF863" s="3">
        <v>89.550619999999995</v>
      </c>
      <c r="AG863" s="3">
        <f t="shared" si="125"/>
        <v>89.81210999999999</v>
      </c>
      <c r="AH863" s="1">
        <f t="shared" si="126"/>
        <v>0.1779088862351576</v>
      </c>
    </row>
    <row r="864" spans="23:34" x14ac:dyDescent="0.2">
      <c r="W864" s="4">
        <v>250.00505999999999</v>
      </c>
      <c r="X864" s="1">
        <v>430</v>
      </c>
      <c r="Y864" s="5">
        <v>79.097560000000001</v>
      </c>
      <c r="Z864" s="3">
        <f t="shared" si="124"/>
        <v>84.538390000000007</v>
      </c>
      <c r="AA864" s="1">
        <f t="shared" si="127"/>
        <v>0.26515952641317192</v>
      </c>
      <c r="AD864" s="4">
        <v>250.01406</v>
      </c>
      <c r="AE864" s="1">
        <v>430</v>
      </c>
      <c r="AF864" s="5">
        <v>89.519369999999995</v>
      </c>
      <c r="AG864" s="3">
        <f t="shared" si="125"/>
        <v>89.78085999999999</v>
      </c>
      <c r="AH864" s="1">
        <f t="shared" si="126"/>
        <v>0.17842767170628329</v>
      </c>
    </row>
    <row r="865" spans="23:34" x14ac:dyDescent="0.2">
      <c r="W865" s="4">
        <v>250.00703999999999</v>
      </c>
      <c r="X865" s="1">
        <v>430.5</v>
      </c>
      <c r="Y865" s="3">
        <v>79.069040000000001</v>
      </c>
      <c r="Z865" s="3">
        <f t="shared" si="124"/>
        <v>84.509870000000006</v>
      </c>
      <c r="AA865" s="1">
        <f t="shared" si="127"/>
        <v>0.26563309168966154</v>
      </c>
      <c r="AD865" s="4">
        <v>250.01548</v>
      </c>
      <c r="AE865" s="1">
        <v>430.5</v>
      </c>
      <c r="AF865" s="3">
        <v>89.572469999999996</v>
      </c>
      <c r="AG865" s="3">
        <f t="shared" si="125"/>
        <v>89.83395999999999</v>
      </c>
      <c r="AH865" s="1">
        <f t="shared" si="126"/>
        <v>0.1775461514337465</v>
      </c>
    </row>
    <row r="866" spans="23:34" x14ac:dyDescent="0.2">
      <c r="W866" s="4">
        <v>250.00695999999999</v>
      </c>
      <c r="X866" s="1">
        <v>431</v>
      </c>
      <c r="Y866" s="5">
        <v>79.059200000000004</v>
      </c>
      <c r="Z866" s="3">
        <f t="shared" si="124"/>
        <v>84.50003000000001</v>
      </c>
      <c r="AA866" s="1">
        <f t="shared" si="127"/>
        <v>0.26579648167285425</v>
      </c>
      <c r="AD866" s="4">
        <v>250.01755</v>
      </c>
      <c r="AE866" s="1">
        <v>431</v>
      </c>
      <c r="AF866" s="5">
        <v>89.669960000000003</v>
      </c>
      <c r="AG866" s="3">
        <f t="shared" si="125"/>
        <v>89.931449999999998</v>
      </c>
      <c r="AH866" s="1">
        <f t="shared" si="126"/>
        <v>0.17592770677518496</v>
      </c>
    </row>
    <row r="867" spans="23:34" x14ac:dyDescent="0.2">
      <c r="W867" s="4">
        <v>250.00603000000001</v>
      </c>
      <c r="X867" s="1">
        <v>431.5</v>
      </c>
      <c r="Y867" s="3">
        <v>79.043819999999997</v>
      </c>
      <c r="Z867" s="3">
        <f t="shared" si="124"/>
        <v>84.484650000000002</v>
      </c>
      <c r="AA867" s="1">
        <f t="shared" si="127"/>
        <v>0.26605186154495847</v>
      </c>
      <c r="AD867" s="4">
        <v>250.01669999999999</v>
      </c>
      <c r="AE867" s="1">
        <v>431.5</v>
      </c>
      <c r="AF867" s="3">
        <v>89.584990000000005</v>
      </c>
      <c r="AG867" s="3">
        <f t="shared" si="125"/>
        <v>89.84648</v>
      </c>
      <c r="AH867" s="1">
        <f t="shared" si="126"/>
        <v>0.17733830522259456</v>
      </c>
    </row>
    <row r="868" spans="23:34" x14ac:dyDescent="0.2">
      <c r="W868" s="4">
        <v>250.01399000000001</v>
      </c>
      <c r="X868" s="1">
        <v>432</v>
      </c>
      <c r="Y868" s="5">
        <v>79.047700000000006</v>
      </c>
      <c r="Z868" s="3">
        <f t="shared" si="124"/>
        <v>84.488530000000011</v>
      </c>
      <c r="AA868" s="1">
        <f t="shared" si="127"/>
        <v>0.26598743541337416</v>
      </c>
      <c r="AD868" s="4">
        <v>250.01657</v>
      </c>
      <c r="AE868" s="1">
        <v>432</v>
      </c>
      <c r="AF868" s="5">
        <v>89.572540000000004</v>
      </c>
      <c r="AG868" s="3">
        <f t="shared" si="125"/>
        <v>89.834029999999998</v>
      </c>
      <c r="AH868" s="1">
        <f t="shared" si="126"/>
        <v>0.17754498935429106</v>
      </c>
    </row>
    <row r="869" spans="23:34" x14ac:dyDescent="0.2">
      <c r="W869" s="4">
        <v>250.00700000000001</v>
      </c>
      <c r="X869" s="1">
        <v>432.5</v>
      </c>
      <c r="Y869" s="3">
        <v>79.018979999999999</v>
      </c>
      <c r="Z869" s="3">
        <f t="shared" si="124"/>
        <v>84.459810000000004</v>
      </c>
      <c r="AA869" s="1">
        <f t="shared" si="127"/>
        <v>0.26646432162448158</v>
      </c>
      <c r="AD869" s="4">
        <v>250.01515000000001</v>
      </c>
      <c r="AE869" s="1">
        <v>432.5</v>
      </c>
      <c r="AF869" s="3">
        <v>89.578710000000001</v>
      </c>
      <c r="AG869" s="3">
        <f t="shared" si="125"/>
        <v>89.840199999999996</v>
      </c>
      <c r="AH869" s="1">
        <f t="shared" si="126"/>
        <v>0.17744256035087203</v>
      </c>
    </row>
    <row r="870" spans="23:34" x14ac:dyDescent="0.2">
      <c r="W870" s="4">
        <v>250.00298000000001</v>
      </c>
      <c r="X870" s="1">
        <v>433</v>
      </c>
      <c r="Y870" s="5">
        <v>79.013379999999998</v>
      </c>
      <c r="Z870" s="3">
        <f t="shared" si="124"/>
        <v>84.454210000000003</v>
      </c>
      <c r="AA870" s="1">
        <f t="shared" si="127"/>
        <v>0.26655730779377834</v>
      </c>
      <c r="AD870" s="4">
        <v>250.01302000000001</v>
      </c>
      <c r="AE870" s="1">
        <v>433</v>
      </c>
      <c r="AF870" s="5">
        <v>89.53828</v>
      </c>
      <c r="AG870" s="3">
        <f t="shared" si="125"/>
        <v>89.799769999999995</v>
      </c>
      <c r="AH870" s="1">
        <f t="shared" si="126"/>
        <v>0.17811374424199564</v>
      </c>
    </row>
    <row r="871" spans="23:34" x14ac:dyDescent="0.2">
      <c r="W871" s="4">
        <v>249.99995999999999</v>
      </c>
      <c r="X871" s="1">
        <v>433.5</v>
      </c>
      <c r="Y871" s="3">
        <v>79.011219999999994</v>
      </c>
      <c r="Z871" s="3">
        <f t="shared" si="124"/>
        <v>84.45205</v>
      </c>
      <c r="AA871" s="1">
        <f t="shared" si="127"/>
        <v>0.26659317388764997</v>
      </c>
      <c r="AD871" s="4">
        <v>250.01185000000001</v>
      </c>
      <c r="AE871" s="1">
        <v>433.5</v>
      </c>
      <c r="AF871" s="3">
        <v>89.538300000000007</v>
      </c>
      <c r="AG871" s="3">
        <f t="shared" si="125"/>
        <v>89.799790000000002</v>
      </c>
      <c r="AH871" s="1">
        <f t="shared" si="126"/>
        <v>0.178113412219294</v>
      </c>
    </row>
    <row r="872" spans="23:34" x14ac:dyDescent="0.2">
      <c r="W872" s="4">
        <v>249.99700999999999</v>
      </c>
      <c r="X872" s="1">
        <v>434</v>
      </c>
      <c r="Y872" s="5">
        <v>78.986379999999997</v>
      </c>
      <c r="Z872" s="3">
        <f t="shared" si="124"/>
        <v>84.427210000000002</v>
      </c>
      <c r="AA872" s="1">
        <f t="shared" si="127"/>
        <v>0.26700563396717308</v>
      </c>
      <c r="AD872" s="4">
        <v>250.01080999999999</v>
      </c>
      <c r="AE872" s="1">
        <v>434</v>
      </c>
      <c r="AF872" s="5">
        <v>89.50367</v>
      </c>
      <c r="AG872" s="3">
        <f t="shared" si="125"/>
        <v>89.765159999999995</v>
      </c>
      <c r="AH872" s="1">
        <f t="shared" si="126"/>
        <v>0.17868830952697679</v>
      </c>
    </row>
    <row r="873" spans="23:34" x14ac:dyDescent="0.2">
      <c r="W873" s="4">
        <v>249.99902</v>
      </c>
      <c r="X873" s="1">
        <v>434.5</v>
      </c>
      <c r="Y873" s="3">
        <v>78.961560000000006</v>
      </c>
      <c r="Z873" s="3">
        <f t="shared" si="124"/>
        <v>84.402390000000011</v>
      </c>
      <c r="AA873" s="1">
        <f t="shared" si="127"/>
        <v>0.26741776195323436</v>
      </c>
      <c r="AD873" s="4">
        <v>250.01410999999999</v>
      </c>
      <c r="AE873" s="1">
        <v>434.5</v>
      </c>
      <c r="AF873" s="3">
        <v>89.466080000000005</v>
      </c>
      <c r="AG873" s="3">
        <f t="shared" si="125"/>
        <v>89.72757</v>
      </c>
      <c r="AH873" s="1">
        <f t="shared" si="126"/>
        <v>0.17931234619448438</v>
      </c>
    </row>
    <row r="874" spans="23:34" x14ac:dyDescent="0.2">
      <c r="W874" s="4">
        <v>250.00404</v>
      </c>
      <c r="X874" s="1">
        <v>435</v>
      </c>
      <c r="Y874" s="5">
        <v>78.963430000000002</v>
      </c>
      <c r="Z874" s="3">
        <f t="shared" si="124"/>
        <v>84.404260000000008</v>
      </c>
      <c r="AA874" s="1">
        <f t="shared" si="127"/>
        <v>0.26738671121455854</v>
      </c>
      <c r="AD874" s="4">
        <v>250.01711</v>
      </c>
      <c r="AE874" s="1">
        <v>435</v>
      </c>
      <c r="AF874" s="5">
        <v>89.437039999999996</v>
      </c>
      <c r="AG874" s="3">
        <f t="shared" si="125"/>
        <v>89.698529999999991</v>
      </c>
      <c r="AH874" s="1">
        <f t="shared" si="126"/>
        <v>0.17979444315709223</v>
      </c>
    </row>
    <row r="875" spans="23:34" x14ac:dyDescent="0.2">
      <c r="W875" s="4">
        <v>250.00396000000001</v>
      </c>
      <c r="X875" s="1">
        <v>435.5</v>
      </c>
      <c r="Y875" s="3">
        <v>78.948089999999993</v>
      </c>
      <c r="Z875" s="3">
        <f t="shared" si="124"/>
        <v>84.388919999999999</v>
      </c>
      <c r="AA875" s="1">
        <f t="shared" si="127"/>
        <v>0.26764142689973924</v>
      </c>
      <c r="AD875" s="4">
        <v>250.01528999999999</v>
      </c>
      <c r="AE875" s="1">
        <v>435.5</v>
      </c>
      <c r="AF875" s="3">
        <v>89.51491</v>
      </c>
      <c r="AG875" s="3">
        <f t="shared" si="125"/>
        <v>89.776399999999995</v>
      </c>
      <c r="AH875" s="1">
        <f t="shared" si="126"/>
        <v>0.17850171276872229</v>
      </c>
    </row>
    <row r="876" spans="23:34" x14ac:dyDescent="0.2">
      <c r="W876" s="4">
        <v>250.00603000000001</v>
      </c>
      <c r="X876" s="1">
        <v>436</v>
      </c>
      <c r="Y876" s="5">
        <v>78.930710000000005</v>
      </c>
      <c r="Z876" s="3">
        <f t="shared" si="124"/>
        <v>84.37154000000001</v>
      </c>
      <c r="AA876" s="1">
        <f t="shared" si="127"/>
        <v>0.26793001611802059</v>
      </c>
      <c r="AD876" s="4">
        <v>250.01674</v>
      </c>
      <c r="AE876" s="1">
        <v>436</v>
      </c>
      <c r="AF876" s="5">
        <v>89.507390000000001</v>
      </c>
      <c r="AG876" s="3">
        <f t="shared" si="125"/>
        <v>89.768879999999996</v>
      </c>
      <c r="AH876" s="1">
        <f t="shared" si="126"/>
        <v>0.17862655330449395</v>
      </c>
    </row>
    <row r="877" spans="23:34" x14ac:dyDescent="0.2">
      <c r="W877" s="4">
        <v>250.00599</v>
      </c>
      <c r="X877" s="1">
        <v>436.5</v>
      </c>
      <c r="Y877" s="3">
        <v>78.928849999999997</v>
      </c>
      <c r="Z877" s="3">
        <f t="shared" si="124"/>
        <v>84.369680000000002</v>
      </c>
      <c r="AA877" s="1">
        <f t="shared" si="127"/>
        <v>0.26796090080996571</v>
      </c>
      <c r="AD877" s="4">
        <v>250.0164</v>
      </c>
      <c r="AE877" s="1">
        <v>436.5</v>
      </c>
      <c r="AF877" s="3">
        <v>89.429950000000005</v>
      </c>
      <c r="AG877" s="3">
        <f t="shared" si="125"/>
        <v>89.69144</v>
      </c>
      <c r="AH877" s="1">
        <f t="shared" si="126"/>
        <v>0.17991214520478108</v>
      </c>
    </row>
    <row r="878" spans="23:34" x14ac:dyDescent="0.2">
      <c r="W878" s="4">
        <v>250.00798</v>
      </c>
      <c r="X878" s="1">
        <v>437</v>
      </c>
      <c r="Y878" s="5">
        <v>78.919300000000007</v>
      </c>
      <c r="Z878" s="3">
        <f t="shared" si="124"/>
        <v>84.360130000000012</v>
      </c>
      <c r="AA878" s="1">
        <f t="shared" si="127"/>
        <v>0.26811947543796255</v>
      </c>
      <c r="AD878" s="4">
        <v>250.01535999999999</v>
      </c>
      <c r="AE878" s="1">
        <v>437</v>
      </c>
      <c r="AF878" s="5">
        <v>89.531949999999995</v>
      </c>
      <c r="AG878" s="3">
        <f t="shared" si="125"/>
        <v>89.79343999999999</v>
      </c>
      <c r="AH878" s="1">
        <f t="shared" si="126"/>
        <v>0.17821882942702694</v>
      </c>
    </row>
    <row r="879" spans="23:34" x14ac:dyDescent="0.2">
      <c r="W879" s="4">
        <v>250.00803999999999</v>
      </c>
      <c r="X879" s="1">
        <v>437.5</v>
      </c>
      <c r="Y879" s="3">
        <v>78.930859999999996</v>
      </c>
      <c r="Z879" s="3">
        <f t="shared" si="124"/>
        <v>84.371690000000001</v>
      </c>
      <c r="AA879" s="1">
        <f t="shared" si="127"/>
        <v>0.26792752541705744</v>
      </c>
      <c r="AD879" s="4">
        <v>250.01817</v>
      </c>
      <c r="AE879" s="1">
        <v>437.5</v>
      </c>
      <c r="AF879" s="3">
        <v>89.36936</v>
      </c>
      <c r="AG879" s="3">
        <f t="shared" si="125"/>
        <v>89.630849999999995</v>
      </c>
      <c r="AH879" s="1">
        <f t="shared" si="126"/>
        <v>0.18091800797903734</v>
      </c>
    </row>
    <row r="880" spans="23:34" x14ac:dyDescent="0.2">
      <c r="W880" s="4">
        <v>250.00595999999999</v>
      </c>
      <c r="X880" s="1">
        <v>438</v>
      </c>
      <c r="Y880" s="5">
        <v>78.909869999999998</v>
      </c>
      <c r="Z880" s="3">
        <f t="shared" si="124"/>
        <v>84.350700000000003</v>
      </c>
      <c r="AA880" s="1">
        <f t="shared" si="127"/>
        <v>0.26827605750518912</v>
      </c>
      <c r="AD880" s="4">
        <v>250.02087</v>
      </c>
      <c r="AE880" s="1">
        <v>438</v>
      </c>
      <c r="AF880" s="5">
        <v>89.487939999999995</v>
      </c>
      <c r="AG880" s="3">
        <f t="shared" si="125"/>
        <v>89.74942999999999</v>
      </c>
      <c r="AH880" s="1">
        <f t="shared" si="126"/>
        <v>0.17894944538172269</v>
      </c>
    </row>
    <row r="881" spans="23:34" x14ac:dyDescent="0.2">
      <c r="W881" s="4">
        <v>250.00398999999999</v>
      </c>
      <c r="X881" s="1">
        <v>438.5</v>
      </c>
      <c r="Y881" s="3">
        <v>78.904020000000003</v>
      </c>
      <c r="Z881" s="3">
        <f t="shared" si="124"/>
        <v>84.344850000000008</v>
      </c>
      <c r="AA881" s="1">
        <f t="shared" si="127"/>
        <v>0.2683731948427579</v>
      </c>
      <c r="AD881" s="4">
        <v>250.02</v>
      </c>
      <c r="AE881" s="1">
        <v>438.5</v>
      </c>
      <c r="AF881" s="3">
        <v>89.323220000000006</v>
      </c>
      <c r="AG881" s="3">
        <f t="shared" si="125"/>
        <v>89.584710000000001</v>
      </c>
      <c r="AH881" s="1">
        <f t="shared" si="126"/>
        <v>0.18168398435144492</v>
      </c>
    </row>
    <row r="882" spans="23:34" x14ac:dyDescent="0.2">
      <c r="W882" s="4">
        <v>250.00596999999999</v>
      </c>
      <c r="X882" s="1">
        <v>439</v>
      </c>
      <c r="Y882" s="5">
        <v>78.880889999999994</v>
      </c>
      <c r="Z882" s="3">
        <f t="shared" si="124"/>
        <v>84.321719999999999</v>
      </c>
      <c r="AA882" s="1">
        <f t="shared" si="127"/>
        <v>0.26875726093129954</v>
      </c>
      <c r="AD882" s="4">
        <v>250.01947999999999</v>
      </c>
      <c r="AE882" s="1">
        <v>439</v>
      </c>
      <c r="AF882" s="5">
        <v>89.372590000000002</v>
      </c>
      <c r="AG882" s="3">
        <f t="shared" si="125"/>
        <v>89.634079999999997</v>
      </c>
      <c r="AH882" s="1">
        <f t="shared" si="126"/>
        <v>0.18086438631274177</v>
      </c>
    </row>
    <row r="883" spans="23:34" x14ac:dyDescent="0.2">
      <c r="W883" s="4">
        <v>250.00497999999999</v>
      </c>
      <c r="X883" s="1">
        <v>439.5</v>
      </c>
      <c r="Y883" s="3">
        <v>78.877139999999997</v>
      </c>
      <c r="Z883" s="3">
        <f t="shared" si="124"/>
        <v>84.317970000000003</v>
      </c>
      <c r="AA883" s="1">
        <f t="shared" si="127"/>
        <v>0.2688195284553821</v>
      </c>
      <c r="AD883" s="4">
        <v>250.01748000000001</v>
      </c>
      <c r="AE883" s="1">
        <v>439.5</v>
      </c>
      <c r="AF883" s="3">
        <v>89.300809999999998</v>
      </c>
      <c r="AG883" s="3">
        <f t="shared" si="125"/>
        <v>89.562299999999993</v>
      </c>
      <c r="AH883" s="1">
        <f t="shared" si="126"/>
        <v>0.18205601578849873</v>
      </c>
    </row>
    <row r="884" spans="23:34" x14ac:dyDescent="0.2">
      <c r="W884" s="4">
        <v>249.99602999999999</v>
      </c>
      <c r="X884" s="1">
        <v>440</v>
      </c>
      <c r="Y884" s="5">
        <v>78.858009999999993</v>
      </c>
      <c r="Z884" s="3">
        <f t="shared" si="124"/>
        <v>84.298839999999998</v>
      </c>
      <c r="AA884" s="1">
        <f t="shared" si="127"/>
        <v>0.26913717585156888</v>
      </c>
      <c r="AD884" s="4">
        <v>250.01997</v>
      </c>
      <c r="AE884" s="1">
        <v>440</v>
      </c>
      <c r="AF884" s="5">
        <v>89.391630000000006</v>
      </c>
      <c r="AG884" s="3">
        <f t="shared" si="125"/>
        <v>89.653120000000001</v>
      </c>
      <c r="AH884" s="1">
        <f t="shared" si="126"/>
        <v>0.18054830070089423</v>
      </c>
    </row>
    <row r="885" spans="23:34" x14ac:dyDescent="0.2">
      <c r="W885" s="4">
        <v>249.99901</v>
      </c>
      <c r="X885" s="1">
        <v>440.5</v>
      </c>
      <c r="Y885" s="3">
        <v>78.861990000000006</v>
      </c>
      <c r="Z885" s="3">
        <f t="shared" si="124"/>
        <v>84.302820000000011</v>
      </c>
      <c r="AA885" s="1">
        <f t="shared" si="127"/>
        <v>0.26907108925267564</v>
      </c>
      <c r="AD885" s="4">
        <v>250.02058</v>
      </c>
      <c r="AE885" s="1">
        <v>440.5</v>
      </c>
      <c r="AF885" s="3">
        <v>89.309880000000007</v>
      </c>
      <c r="AG885" s="3">
        <f t="shared" si="125"/>
        <v>89.571370000000002</v>
      </c>
      <c r="AH885" s="1">
        <f t="shared" si="126"/>
        <v>0.18190544349335905</v>
      </c>
    </row>
    <row r="886" spans="23:34" x14ac:dyDescent="0.2">
      <c r="W886" s="4">
        <v>250.00501</v>
      </c>
      <c r="X886" s="1">
        <v>441</v>
      </c>
      <c r="Y886" s="5">
        <v>78.84836</v>
      </c>
      <c r="Z886" s="3">
        <f t="shared" si="124"/>
        <v>84.289190000000005</v>
      </c>
      <c r="AA886" s="1">
        <f t="shared" si="127"/>
        <v>0.2692974109468747</v>
      </c>
      <c r="AD886" s="4">
        <v>250.02255</v>
      </c>
      <c r="AE886" s="1">
        <v>441</v>
      </c>
      <c r="AF886" s="5">
        <v>89.283169999999998</v>
      </c>
      <c r="AG886" s="3">
        <f t="shared" si="125"/>
        <v>89.544659999999993</v>
      </c>
      <c r="AH886" s="1">
        <f t="shared" si="126"/>
        <v>0.18234885981123974</v>
      </c>
    </row>
    <row r="887" spans="23:34" x14ac:dyDescent="0.2">
      <c r="W887" s="4">
        <v>250.00699</v>
      </c>
      <c r="X887" s="1">
        <v>441.5</v>
      </c>
      <c r="Y887" s="3">
        <v>78.831149999999994</v>
      </c>
      <c r="Z887" s="3">
        <f t="shared" si="124"/>
        <v>84.271979999999999</v>
      </c>
      <c r="AA887" s="1">
        <f t="shared" si="127"/>
        <v>0.26958317737073123</v>
      </c>
      <c r="AD887" s="4">
        <v>250.01930999999999</v>
      </c>
      <c r="AE887" s="1">
        <v>441.5</v>
      </c>
      <c r="AF887" s="3">
        <v>89.251940000000005</v>
      </c>
      <c r="AG887" s="3">
        <f t="shared" si="125"/>
        <v>89.51343</v>
      </c>
      <c r="AH887" s="1">
        <f t="shared" si="126"/>
        <v>0.18286731325966382</v>
      </c>
    </row>
    <row r="888" spans="23:34" x14ac:dyDescent="0.2">
      <c r="W888" s="4">
        <v>250.00995</v>
      </c>
      <c r="X888" s="1">
        <v>442</v>
      </c>
      <c r="Y888" s="5">
        <v>78.811989999999994</v>
      </c>
      <c r="Z888" s="3">
        <f t="shared" si="124"/>
        <v>84.25282</v>
      </c>
      <c r="AA888" s="1">
        <f t="shared" si="127"/>
        <v>0.26990132290711061</v>
      </c>
      <c r="AD888" s="4">
        <v>250.01829000000001</v>
      </c>
      <c r="AE888" s="1">
        <v>442</v>
      </c>
      <c r="AF888" s="5">
        <v>89.305139999999994</v>
      </c>
      <c r="AG888" s="3">
        <f t="shared" si="125"/>
        <v>89.566629999999989</v>
      </c>
      <c r="AH888" s="1">
        <f t="shared" si="126"/>
        <v>0.18198413287361961</v>
      </c>
    </row>
    <row r="889" spans="23:34" x14ac:dyDescent="0.2">
      <c r="W889" s="4">
        <v>250.00700000000001</v>
      </c>
      <c r="X889" s="1">
        <v>442.5</v>
      </c>
      <c r="Y889" s="3">
        <v>78.802480000000003</v>
      </c>
      <c r="Z889" s="3">
        <f t="shared" si="124"/>
        <v>84.243310000000008</v>
      </c>
      <c r="AA889" s="1">
        <f t="shared" si="127"/>
        <v>0.27005923334818394</v>
      </c>
      <c r="AD889" s="4">
        <v>250.01922999999999</v>
      </c>
      <c r="AE889" s="1">
        <v>442.5</v>
      </c>
      <c r="AF889" s="3">
        <v>89.36788</v>
      </c>
      <c r="AG889" s="3">
        <f t="shared" si="125"/>
        <v>89.629369999999994</v>
      </c>
      <c r="AH889" s="1">
        <f t="shared" si="126"/>
        <v>0.18094257765894986</v>
      </c>
    </row>
    <row r="890" spans="23:34" x14ac:dyDescent="0.2">
      <c r="W890" s="4">
        <v>250.01302000000001</v>
      </c>
      <c r="X890" s="1">
        <v>443</v>
      </c>
      <c r="Y890" s="5">
        <v>78.786810000000003</v>
      </c>
      <c r="Z890" s="3">
        <f t="shared" si="124"/>
        <v>84.227640000000008</v>
      </c>
      <c r="AA890" s="1">
        <f t="shared" si="127"/>
        <v>0.2703194285754838</v>
      </c>
      <c r="AD890" s="4">
        <v>250.01877999999999</v>
      </c>
      <c r="AE890" s="1">
        <v>443</v>
      </c>
      <c r="AF890" s="5">
        <v>89.467609999999993</v>
      </c>
      <c r="AG890" s="3">
        <f t="shared" si="125"/>
        <v>89.729099999999988</v>
      </c>
      <c r="AH890" s="1">
        <f t="shared" si="126"/>
        <v>0.17928694645781826</v>
      </c>
    </row>
    <row r="891" spans="23:34" x14ac:dyDescent="0.2">
      <c r="W891" s="4">
        <v>250.00595999999999</v>
      </c>
      <c r="X891" s="1">
        <v>443.5</v>
      </c>
      <c r="Y891" s="3">
        <v>78.758420000000001</v>
      </c>
      <c r="Z891" s="3">
        <f t="shared" si="124"/>
        <v>84.199250000000006</v>
      </c>
      <c r="AA891" s="1">
        <f t="shared" si="127"/>
        <v>0.27079083524447184</v>
      </c>
      <c r="AD891" s="4">
        <v>250.01732000000001</v>
      </c>
      <c r="AE891" s="1">
        <v>443.5</v>
      </c>
      <c r="AF891" s="3">
        <v>89.36788</v>
      </c>
      <c r="AG891" s="3">
        <f t="shared" si="125"/>
        <v>89.629369999999994</v>
      </c>
      <c r="AH891" s="1">
        <f t="shared" si="126"/>
        <v>0.18094257765894986</v>
      </c>
    </row>
    <row r="892" spans="23:34" x14ac:dyDescent="0.2">
      <c r="W892" s="4">
        <v>250.00502</v>
      </c>
      <c r="X892" s="1">
        <v>444</v>
      </c>
      <c r="Y892" s="5">
        <v>78.74494</v>
      </c>
      <c r="Z892" s="3">
        <f t="shared" si="124"/>
        <v>84.185770000000005</v>
      </c>
      <c r="AA892" s="1">
        <f t="shared" si="127"/>
        <v>0.27101466623770748</v>
      </c>
      <c r="AD892" s="4">
        <v>250.01600999999999</v>
      </c>
      <c r="AE892" s="1">
        <v>444</v>
      </c>
      <c r="AF892" s="5">
        <v>89.13682</v>
      </c>
      <c r="AG892" s="3">
        <f t="shared" si="125"/>
        <v>89.398309999999995</v>
      </c>
      <c r="AH892" s="1">
        <f t="shared" si="126"/>
        <v>0.1847784359296156</v>
      </c>
    </row>
    <row r="893" spans="23:34" x14ac:dyDescent="0.2">
      <c r="W893" s="4">
        <v>250.00201999999999</v>
      </c>
      <c r="X893" s="1">
        <v>444.5</v>
      </c>
      <c r="Y893" s="3">
        <v>78.744929999999997</v>
      </c>
      <c r="Z893" s="3">
        <f t="shared" si="124"/>
        <v>84.185760000000002</v>
      </c>
      <c r="AA893" s="1">
        <f t="shared" si="127"/>
        <v>0.2710148322844384</v>
      </c>
      <c r="AD893" s="4">
        <v>250.01366999999999</v>
      </c>
      <c r="AE893" s="1">
        <v>444.5</v>
      </c>
      <c r="AF893" s="3">
        <v>89.28125</v>
      </c>
      <c r="AG893" s="3">
        <f t="shared" si="125"/>
        <v>89.542739999999995</v>
      </c>
      <c r="AH893" s="1">
        <f t="shared" si="126"/>
        <v>0.18238073399058569</v>
      </c>
    </row>
    <row r="894" spans="23:34" x14ac:dyDescent="0.2">
      <c r="W894" s="4">
        <v>250.00097</v>
      </c>
      <c r="X894" s="1">
        <v>445</v>
      </c>
      <c r="Y894" s="5">
        <v>78.742850000000004</v>
      </c>
      <c r="Z894" s="3">
        <f t="shared" si="124"/>
        <v>84.18368000000001</v>
      </c>
      <c r="AA894" s="1">
        <f t="shared" si="127"/>
        <v>0.27104937000446278</v>
      </c>
      <c r="AD894" s="4">
        <v>250.01264</v>
      </c>
      <c r="AE894" s="1">
        <v>445</v>
      </c>
      <c r="AF894" s="5">
        <v>89.281639999999996</v>
      </c>
      <c r="AG894" s="3">
        <f t="shared" si="125"/>
        <v>89.543129999999991</v>
      </c>
      <c r="AH894" s="1">
        <f t="shared" si="126"/>
        <v>0.18237425954790612</v>
      </c>
    </row>
    <row r="895" spans="23:34" x14ac:dyDescent="0.2">
      <c r="W895" s="4">
        <v>250.00104999999999</v>
      </c>
      <c r="X895" s="1">
        <v>445.5</v>
      </c>
      <c r="Y895" s="3">
        <v>78.740880000000004</v>
      </c>
      <c r="Z895" s="3">
        <f t="shared" si="124"/>
        <v>84.18171000000001</v>
      </c>
      <c r="AA895" s="1">
        <f t="shared" si="127"/>
        <v>0.27108208121044752</v>
      </c>
      <c r="AD895" s="4">
        <v>250.00985</v>
      </c>
      <c r="AE895" s="1">
        <v>445.5</v>
      </c>
      <c r="AF895" s="3">
        <v>89.208529999999996</v>
      </c>
      <c r="AG895" s="3">
        <f t="shared" si="125"/>
        <v>89.470019999999991</v>
      </c>
      <c r="AH895" s="1">
        <f t="shared" si="126"/>
        <v>0.18358796853331411</v>
      </c>
    </row>
    <row r="896" spans="23:34" x14ac:dyDescent="0.2">
      <c r="W896" s="4">
        <v>250.00399999999999</v>
      </c>
      <c r="X896" s="1">
        <v>446</v>
      </c>
      <c r="Y896" s="5">
        <v>78.729590000000002</v>
      </c>
      <c r="Z896" s="3">
        <f t="shared" si="124"/>
        <v>84.170420000000007</v>
      </c>
      <c r="AA896" s="1">
        <f t="shared" si="127"/>
        <v>0.27126954796961888</v>
      </c>
      <c r="AD896" s="4">
        <v>250.01401000000001</v>
      </c>
      <c r="AE896" s="1">
        <v>446</v>
      </c>
      <c r="AF896" s="5">
        <v>89.296679999999995</v>
      </c>
      <c r="AG896" s="3">
        <f t="shared" si="125"/>
        <v>89.55816999999999</v>
      </c>
      <c r="AH896" s="1">
        <f t="shared" si="126"/>
        <v>0.18212457847636274</v>
      </c>
    </row>
    <row r="897" spans="23:34" x14ac:dyDescent="0.2">
      <c r="W897" s="4">
        <v>250.00801000000001</v>
      </c>
      <c r="X897" s="1">
        <v>446.5</v>
      </c>
      <c r="Y897" s="3">
        <v>78.704639999999998</v>
      </c>
      <c r="Z897" s="3">
        <f t="shared" si="124"/>
        <v>84.145470000000003</v>
      </c>
      <c r="AA897" s="1">
        <f t="shared" si="127"/>
        <v>0.2716838345631819</v>
      </c>
      <c r="AD897" s="4">
        <v>250.01510999999999</v>
      </c>
      <c r="AE897" s="1">
        <v>446.5</v>
      </c>
      <c r="AF897" s="3">
        <v>89.236350000000002</v>
      </c>
      <c r="AG897" s="3">
        <f t="shared" si="125"/>
        <v>89.497839999999997</v>
      </c>
      <c r="AH897" s="1">
        <f t="shared" si="126"/>
        <v>0.18312612495549907</v>
      </c>
    </row>
    <row r="898" spans="23:34" x14ac:dyDescent="0.2">
      <c r="W898" s="4">
        <v>250.00796</v>
      </c>
      <c r="X898" s="1">
        <v>447</v>
      </c>
      <c r="Y898" s="5">
        <v>78.698710000000005</v>
      </c>
      <c r="Z898" s="3">
        <f t="shared" si="124"/>
        <v>84.139540000000011</v>
      </c>
      <c r="AA898" s="1">
        <f t="shared" si="127"/>
        <v>0.27178230027459771</v>
      </c>
      <c r="AD898" s="4">
        <v>250.01048</v>
      </c>
      <c r="AE898" s="1">
        <v>447</v>
      </c>
      <c r="AF898" s="5">
        <v>89.183369999999996</v>
      </c>
      <c r="AG898" s="3">
        <f t="shared" si="125"/>
        <v>89.444859999999991</v>
      </c>
      <c r="AH898" s="1">
        <f t="shared" si="126"/>
        <v>0.18400565309182682</v>
      </c>
    </row>
    <row r="899" spans="23:34" x14ac:dyDescent="0.2">
      <c r="W899" s="4">
        <v>250.00599</v>
      </c>
      <c r="X899" s="1">
        <v>447.5</v>
      </c>
      <c r="Y899" s="3">
        <v>78.691310000000001</v>
      </c>
      <c r="Z899" s="3">
        <f t="shared" si="124"/>
        <v>84.132140000000007</v>
      </c>
      <c r="AA899" s="1">
        <f t="shared" si="127"/>
        <v>0.27190517485545412</v>
      </c>
      <c r="AD899" s="4">
        <v>250.00968</v>
      </c>
      <c r="AE899" s="1">
        <v>447.5</v>
      </c>
      <c r="AF899" s="3">
        <v>89.241020000000006</v>
      </c>
      <c r="AG899" s="3">
        <f t="shared" si="125"/>
        <v>89.502510000000001</v>
      </c>
      <c r="AH899" s="1">
        <f t="shared" si="126"/>
        <v>0.18304859765469397</v>
      </c>
    </row>
    <row r="900" spans="23:34" x14ac:dyDescent="0.2">
      <c r="W900" s="4">
        <v>250.00495000000001</v>
      </c>
      <c r="X900" s="1">
        <v>448</v>
      </c>
      <c r="Y900" s="5">
        <v>78.687269999999998</v>
      </c>
      <c r="Z900" s="3">
        <f t="shared" si="124"/>
        <v>84.128100000000003</v>
      </c>
      <c r="AA900" s="1">
        <f t="shared" si="127"/>
        <v>0.27197225773473255</v>
      </c>
      <c r="AD900" s="4">
        <v>250.01517999999999</v>
      </c>
      <c r="AE900" s="1">
        <v>448</v>
      </c>
      <c r="AF900" s="5">
        <v>89.167720000000003</v>
      </c>
      <c r="AG900" s="3">
        <f t="shared" si="125"/>
        <v>89.429209999999998</v>
      </c>
      <c r="AH900" s="1">
        <f t="shared" si="126"/>
        <v>0.18426546085576648</v>
      </c>
    </row>
    <row r="901" spans="23:34" x14ac:dyDescent="0.2">
      <c r="W901" s="4">
        <v>250.00198</v>
      </c>
      <c r="X901" s="1">
        <v>448.5</v>
      </c>
      <c r="Y901" s="3">
        <v>78.669970000000006</v>
      </c>
      <c r="Z901" s="3">
        <f t="shared" ref="Z901:Z964" si="128">100-($Y$4-Y901)</f>
        <v>84.110800000000012</v>
      </c>
      <c r="AA901" s="1">
        <f t="shared" si="127"/>
        <v>0.2722595185791668</v>
      </c>
      <c r="AD901" s="4">
        <v>250.01764</v>
      </c>
      <c r="AE901" s="1">
        <v>448.5</v>
      </c>
      <c r="AF901" s="3">
        <v>89.162840000000003</v>
      </c>
      <c r="AG901" s="3">
        <f t="shared" ref="AG901:AG964" si="129">100-($AF$4-AF901)</f>
        <v>89.424329999999998</v>
      </c>
      <c r="AH901" s="1">
        <f t="shared" si="126"/>
        <v>0.18434647439493745</v>
      </c>
    </row>
    <row r="902" spans="23:34" x14ac:dyDescent="0.2">
      <c r="W902" s="4">
        <v>250.00497999999999</v>
      </c>
      <c r="X902" s="1">
        <v>449</v>
      </c>
      <c r="Y902" s="5">
        <v>78.652670000000001</v>
      </c>
      <c r="Z902" s="3">
        <f t="shared" si="128"/>
        <v>84.093500000000006</v>
      </c>
      <c r="AA902" s="1">
        <f t="shared" si="127"/>
        <v>0.27254677942360134</v>
      </c>
      <c r="AD902" s="4">
        <v>250.01758000000001</v>
      </c>
      <c r="AE902" s="1">
        <v>449</v>
      </c>
      <c r="AF902" s="5">
        <v>89.148269999999997</v>
      </c>
      <c r="AG902" s="3">
        <f t="shared" si="129"/>
        <v>89.409759999999991</v>
      </c>
      <c r="AH902" s="1">
        <f t="shared" si="126"/>
        <v>0.18458835293299522</v>
      </c>
    </row>
    <row r="903" spans="23:34" x14ac:dyDescent="0.2">
      <c r="W903" s="4">
        <v>250.00703999999999</v>
      </c>
      <c r="X903" s="1">
        <v>449.5</v>
      </c>
      <c r="Y903" s="3">
        <v>78.652919999999995</v>
      </c>
      <c r="Z903" s="3">
        <f t="shared" si="128"/>
        <v>84.09375</v>
      </c>
      <c r="AA903" s="1">
        <f t="shared" si="127"/>
        <v>0.27254262825532927</v>
      </c>
      <c r="AD903" s="4">
        <v>250.01711</v>
      </c>
      <c r="AE903" s="1">
        <v>449.5</v>
      </c>
      <c r="AF903" s="3">
        <v>89.194739999999996</v>
      </c>
      <c r="AG903" s="3">
        <f t="shared" si="129"/>
        <v>89.456229999999991</v>
      </c>
      <c r="AH903" s="1">
        <f t="shared" si="126"/>
        <v>0.18381689818601246</v>
      </c>
    </row>
    <row r="904" spans="23:34" x14ac:dyDescent="0.2">
      <c r="W904" s="4">
        <v>250.00398999999999</v>
      </c>
      <c r="X904" s="1">
        <v>450</v>
      </c>
      <c r="Y904" s="5">
        <v>78.623840000000001</v>
      </c>
      <c r="Z904" s="3">
        <f t="shared" si="128"/>
        <v>84.064670000000007</v>
      </c>
      <c r="AA904" s="1">
        <f t="shared" si="127"/>
        <v>0.27302549214874838</v>
      </c>
      <c r="AD904" s="4">
        <v>250.0181</v>
      </c>
      <c r="AE904" s="1">
        <v>450</v>
      </c>
      <c r="AF904" s="5">
        <v>89.217070000000007</v>
      </c>
      <c r="AG904" s="3">
        <f t="shared" si="129"/>
        <v>89.478560000000002</v>
      </c>
      <c r="AH904" s="1">
        <f t="shared" si="126"/>
        <v>0.18344619483976471</v>
      </c>
    </row>
    <row r="905" spans="23:34" x14ac:dyDescent="0.2">
      <c r="W905" s="4">
        <v>250.00707</v>
      </c>
      <c r="X905" s="1">
        <v>450.5</v>
      </c>
      <c r="Y905" s="3">
        <v>78.629739999999998</v>
      </c>
      <c r="Z905" s="3">
        <f t="shared" si="128"/>
        <v>84.070570000000004</v>
      </c>
      <c r="AA905" s="1">
        <f t="shared" si="127"/>
        <v>0.27292752457752512</v>
      </c>
      <c r="AD905" s="4">
        <v>250.02087</v>
      </c>
      <c r="AE905" s="1">
        <v>450.5</v>
      </c>
      <c r="AF905" s="3">
        <v>89.226070000000007</v>
      </c>
      <c r="AG905" s="3">
        <f t="shared" si="129"/>
        <v>89.487560000000002</v>
      </c>
      <c r="AH905" s="1">
        <f t="shared" si="126"/>
        <v>0.1832967846240805</v>
      </c>
    </row>
    <row r="906" spans="23:34" x14ac:dyDescent="0.2">
      <c r="W906" s="4">
        <v>250.00995</v>
      </c>
      <c r="X906" s="1">
        <v>451</v>
      </c>
      <c r="Y906" s="5">
        <v>78.604749999999996</v>
      </c>
      <c r="Z906" s="3">
        <f t="shared" si="128"/>
        <v>84.045580000000001</v>
      </c>
      <c r="AA906" s="1">
        <f t="shared" si="127"/>
        <v>0.27334247535801165</v>
      </c>
      <c r="AD906" s="4">
        <v>250.02419</v>
      </c>
      <c r="AE906" s="1">
        <v>451</v>
      </c>
      <c r="AF906" s="5">
        <v>89.122649999999993</v>
      </c>
      <c r="AG906" s="3">
        <f t="shared" si="129"/>
        <v>89.384139999999988</v>
      </c>
      <c r="AH906" s="1">
        <f t="shared" ref="AH906:AH969" si="130">($AG$9-AG906)/($AG$9*(1-$N$1))</f>
        <v>0.18501367401364296</v>
      </c>
    </row>
    <row r="907" spans="23:34" x14ac:dyDescent="0.2">
      <c r="W907" s="4">
        <v>250.01097999999999</v>
      </c>
      <c r="X907" s="1">
        <v>451.5</v>
      </c>
      <c r="Y907" s="3">
        <v>78.589420000000004</v>
      </c>
      <c r="Z907" s="3">
        <f t="shared" si="128"/>
        <v>84.030250000000009</v>
      </c>
      <c r="AA907" s="1">
        <f t="shared" si="127"/>
        <v>0.27359702499646121</v>
      </c>
      <c r="AD907" s="4">
        <v>250.02135999999999</v>
      </c>
      <c r="AE907" s="1">
        <v>451.5</v>
      </c>
      <c r="AF907" s="3">
        <v>89.178269999999998</v>
      </c>
      <c r="AG907" s="3">
        <f t="shared" si="129"/>
        <v>89.439759999999993</v>
      </c>
      <c r="AH907" s="1">
        <f t="shared" si="130"/>
        <v>0.1840903188807145</v>
      </c>
    </row>
    <row r="908" spans="23:34" x14ac:dyDescent="0.2">
      <c r="W908" s="4">
        <v>250.00700000000001</v>
      </c>
      <c r="X908" s="1">
        <v>452</v>
      </c>
      <c r="Y908" s="5">
        <v>78.58954</v>
      </c>
      <c r="Z908" s="3">
        <f t="shared" si="128"/>
        <v>84.030370000000005</v>
      </c>
      <c r="AA908" s="1">
        <f t="shared" ref="AA908:AA971" si="131">($Z$11-Z908)/($Z$11*(1-$N$1))</f>
        <v>0.27359503243569061</v>
      </c>
      <c r="AD908" s="4">
        <v>250.01775000000001</v>
      </c>
      <c r="AE908" s="1">
        <v>452</v>
      </c>
      <c r="AF908" s="5">
        <v>89.151330000000002</v>
      </c>
      <c r="AG908" s="3">
        <f t="shared" si="129"/>
        <v>89.412819999999996</v>
      </c>
      <c r="AH908" s="1">
        <f t="shared" si="130"/>
        <v>0.1845375534596625</v>
      </c>
    </row>
    <row r="909" spans="23:34" x14ac:dyDescent="0.2">
      <c r="W909" s="4">
        <v>250.006</v>
      </c>
      <c r="X909" s="1">
        <v>452.5</v>
      </c>
      <c r="Y909" s="3">
        <v>78.587429999999998</v>
      </c>
      <c r="Z909" s="3">
        <f t="shared" si="128"/>
        <v>84.028260000000003</v>
      </c>
      <c r="AA909" s="1">
        <f t="shared" si="131"/>
        <v>0.2736300682959078</v>
      </c>
      <c r="AD909" s="4">
        <v>250.01826</v>
      </c>
      <c r="AE909" s="1">
        <v>452.5</v>
      </c>
      <c r="AF909" s="3">
        <v>89.104500000000002</v>
      </c>
      <c r="AG909" s="3">
        <f t="shared" si="129"/>
        <v>89.365989999999996</v>
      </c>
      <c r="AH909" s="1">
        <f t="shared" si="130"/>
        <v>0.18531498461527263</v>
      </c>
    </row>
    <row r="910" spans="23:34" x14ac:dyDescent="0.2">
      <c r="W910" s="4">
        <v>250.00801999999999</v>
      </c>
      <c r="X910" s="1">
        <v>453</v>
      </c>
      <c r="Y910" s="5">
        <v>78.575990000000004</v>
      </c>
      <c r="Z910" s="3">
        <f t="shared" si="128"/>
        <v>84.01682000000001</v>
      </c>
      <c r="AA910" s="1">
        <f t="shared" si="131"/>
        <v>0.27382002575604236</v>
      </c>
      <c r="AD910" s="4">
        <v>250.01499000000001</v>
      </c>
      <c r="AE910" s="1">
        <v>453</v>
      </c>
      <c r="AF910" s="5">
        <v>89.165400000000005</v>
      </c>
      <c r="AG910" s="3">
        <f t="shared" si="129"/>
        <v>89.42689</v>
      </c>
      <c r="AH910" s="1">
        <f t="shared" si="130"/>
        <v>0.18430397548914279</v>
      </c>
    </row>
    <row r="911" spans="23:34" x14ac:dyDescent="0.2">
      <c r="W911" s="4">
        <v>250.00796</v>
      </c>
      <c r="X911" s="1">
        <v>453.5</v>
      </c>
      <c r="Y911" s="3">
        <v>78.558890000000005</v>
      </c>
      <c r="Z911" s="3">
        <f t="shared" si="128"/>
        <v>83.999720000000011</v>
      </c>
      <c r="AA911" s="1">
        <f t="shared" si="131"/>
        <v>0.27410396566585904</v>
      </c>
      <c r="AD911" s="4">
        <v>250.01329999999999</v>
      </c>
      <c r="AE911" s="1">
        <v>453.5</v>
      </c>
      <c r="AF911" s="3">
        <v>89.066429999999997</v>
      </c>
      <c r="AG911" s="3">
        <f t="shared" si="129"/>
        <v>89.327919999999992</v>
      </c>
      <c r="AH911" s="1">
        <f t="shared" si="130"/>
        <v>0.18594698982761687</v>
      </c>
    </row>
    <row r="912" spans="23:34" x14ac:dyDescent="0.2">
      <c r="W912" s="4">
        <v>250.00397000000001</v>
      </c>
      <c r="X912" s="1">
        <v>454</v>
      </c>
      <c r="Y912" s="5">
        <v>78.547349999999994</v>
      </c>
      <c r="Z912" s="3">
        <f t="shared" si="128"/>
        <v>83.98818</v>
      </c>
      <c r="AA912" s="1">
        <f t="shared" si="131"/>
        <v>0.27429558359330275</v>
      </c>
      <c r="AD912" s="4">
        <v>250.01298</v>
      </c>
      <c r="AE912" s="1">
        <v>454</v>
      </c>
      <c r="AF912" s="5">
        <v>89.053100000000001</v>
      </c>
      <c r="AG912" s="3">
        <f t="shared" si="129"/>
        <v>89.314589999999995</v>
      </c>
      <c r="AH912" s="1">
        <f t="shared" si="130"/>
        <v>0.18616828295818019</v>
      </c>
    </row>
    <row r="913" spans="23:34" x14ac:dyDescent="0.2">
      <c r="W913" s="4">
        <v>250.00702999999999</v>
      </c>
      <c r="X913" s="1">
        <v>454.5</v>
      </c>
      <c r="Y913" s="3">
        <v>78.547319999999999</v>
      </c>
      <c r="Z913" s="3">
        <f t="shared" si="128"/>
        <v>83.988150000000005</v>
      </c>
      <c r="AA913" s="1">
        <f t="shared" si="131"/>
        <v>0.27429608173349534</v>
      </c>
      <c r="AD913" s="4">
        <v>250.01734999999999</v>
      </c>
      <c r="AE913" s="1">
        <v>454.5</v>
      </c>
      <c r="AF913" s="3">
        <v>89.038849999999996</v>
      </c>
      <c r="AG913" s="3">
        <f t="shared" si="129"/>
        <v>89.300339999999991</v>
      </c>
      <c r="AH913" s="1">
        <f t="shared" si="130"/>
        <v>0.18640484913301358</v>
      </c>
    </row>
    <row r="914" spans="23:34" x14ac:dyDescent="0.2">
      <c r="W914" s="4">
        <v>250.00603000000001</v>
      </c>
      <c r="X914" s="1">
        <v>455</v>
      </c>
      <c r="Y914" s="5">
        <v>78.530270000000002</v>
      </c>
      <c r="Z914" s="3">
        <f t="shared" si="128"/>
        <v>83.971100000000007</v>
      </c>
      <c r="AA914" s="1">
        <f t="shared" si="131"/>
        <v>0.27457919140965753</v>
      </c>
      <c r="AD914" s="4">
        <v>250.018</v>
      </c>
      <c r="AE914" s="1">
        <v>455</v>
      </c>
      <c r="AF914" s="5">
        <v>89.095910000000003</v>
      </c>
      <c r="AG914" s="3">
        <f t="shared" si="129"/>
        <v>89.357399999999998</v>
      </c>
      <c r="AH914" s="1">
        <f t="shared" si="130"/>
        <v>0.18545758836557563</v>
      </c>
    </row>
    <row r="915" spans="23:34" x14ac:dyDescent="0.2">
      <c r="W915" s="4">
        <v>250.00595999999999</v>
      </c>
      <c r="X915" s="1">
        <v>455.5</v>
      </c>
      <c r="Y915" s="3">
        <v>78.50694</v>
      </c>
      <c r="Z915" s="3">
        <f t="shared" si="128"/>
        <v>83.947770000000006</v>
      </c>
      <c r="AA915" s="1">
        <f t="shared" si="131"/>
        <v>0.2749665784328168</v>
      </c>
      <c r="AD915" s="4">
        <v>250.01866000000001</v>
      </c>
      <c r="AE915" s="1">
        <v>455.5</v>
      </c>
      <c r="AF915" s="3">
        <v>89.107680000000002</v>
      </c>
      <c r="AG915" s="3">
        <f t="shared" si="129"/>
        <v>89.369169999999997</v>
      </c>
      <c r="AH915" s="1">
        <f t="shared" si="130"/>
        <v>0.18526219300573088</v>
      </c>
    </row>
    <row r="916" spans="23:34" x14ac:dyDescent="0.2">
      <c r="W916" s="4">
        <v>250.00792999999999</v>
      </c>
      <c r="X916" s="1">
        <v>456</v>
      </c>
      <c r="Y916" s="5">
        <v>78.51482</v>
      </c>
      <c r="Z916" s="3">
        <f t="shared" si="128"/>
        <v>83.955650000000006</v>
      </c>
      <c r="AA916" s="1">
        <f t="shared" si="131"/>
        <v>0.27483573360887786</v>
      </c>
      <c r="AD916" s="4">
        <v>250.01794000000001</v>
      </c>
      <c r="AE916" s="1">
        <v>456</v>
      </c>
      <c r="AF916" s="5">
        <v>89.022229999999993</v>
      </c>
      <c r="AG916" s="3">
        <f t="shared" si="129"/>
        <v>89.283719999999988</v>
      </c>
      <c r="AH916" s="1">
        <f t="shared" si="130"/>
        <v>0.18668075999797712</v>
      </c>
    </row>
    <row r="917" spans="23:34" x14ac:dyDescent="0.2">
      <c r="W917" s="4">
        <v>250.00503</v>
      </c>
      <c r="X917" s="1">
        <v>456.5</v>
      </c>
      <c r="Y917" s="3">
        <v>78.493510000000001</v>
      </c>
      <c r="Z917" s="3">
        <f t="shared" si="128"/>
        <v>83.934340000000006</v>
      </c>
      <c r="AA917" s="1">
        <f t="shared" si="131"/>
        <v>0.27518957919239795</v>
      </c>
      <c r="AD917" s="4">
        <v>250.01573999999999</v>
      </c>
      <c r="AE917" s="1">
        <v>456.5</v>
      </c>
      <c r="AF917" s="3">
        <v>89.098519999999994</v>
      </c>
      <c r="AG917" s="3">
        <f t="shared" si="129"/>
        <v>89.360009999999988</v>
      </c>
      <c r="AH917" s="1">
        <f t="shared" si="130"/>
        <v>0.18541425940302739</v>
      </c>
    </row>
    <row r="918" spans="23:34" x14ac:dyDescent="0.2">
      <c r="W918" s="4">
        <v>250.00794999999999</v>
      </c>
      <c r="X918" s="1">
        <v>457</v>
      </c>
      <c r="Y918" s="5">
        <v>78.501239999999996</v>
      </c>
      <c r="Z918" s="3">
        <f t="shared" si="128"/>
        <v>83.942070000000001</v>
      </c>
      <c r="AA918" s="1">
        <f t="shared" si="131"/>
        <v>0.27506122506942243</v>
      </c>
      <c r="AD918" s="4">
        <v>250.01488000000001</v>
      </c>
      <c r="AE918" s="1">
        <v>457</v>
      </c>
      <c r="AF918" s="5">
        <v>89.033600000000007</v>
      </c>
      <c r="AG918" s="3">
        <f t="shared" si="129"/>
        <v>89.295090000000002</v>
      </c>
      <c r="AH918" s="1">
        <f t="shared" si="130"/>
        <v>0.18649200509216254</v>
      </c>
    </row>
    <row r="919" spans="23:34" x14ac:dyDescent="0.2">
      <c r="W919" s="4">
        <v>250.00799000000001</v>
      </c>
      <c r="X919" s="1">
        <v>457.5</v>
      </c>
      <c r="Y919" s="3">
        <v>78.489779999999996</v>
      </c>
      <c r="Z919" s="3">
        <f t="shared" si="128"/>
        <v>83.930610000000001</v>
      </c>
      <c r="AA919" s="1">
        <f t="shared" si="131"/>
        <v>0.27525151462301883</v>
      </c>
      <c r="AD919" s="4">
        <v>250.01387</v>
      </c>
      <c r="AE919" s="1">
        <v>457.5</v>
      </c>
      <c r="AF919" s="3">
        <v>89.07544</v>
      </c>
      <c r="AG919" s="3">
        <f t="shared" si="129"/>
        <v>89.336929999999995</v>
      </c>
      <c r="AH919" s="1">
        <f t="shared" si="130"/>
        <v>0.18579741360058186</v>
      </c>
    </row>
    <row r="920" spans="23:34" x14ac:dyDescent="0.2">
      <c r="W920" s="4">
        <v>250.00306</v>
      </c>
      <c r="X920" s="1">
        <v>458</v>
      </c>
      <c r="Y920" s="5">
        <v>78.470619999999997</v>
      </c>
      <c r="Z920" s="3">
        <f t="shared" si="128"/>
        <v>83.911450000000002</v>
      </c>
      <c r="AA920" s="1">
        <f t="shared" si="131"/>
        <v>0.27556966015939821</v>
      </c>
      <c r="AD920" s="4">
        <v>250.01643000000001</v>
      </c>
      <c r="AE920" s="1">
        <v>458</v>
      </c>
      <c r="AF920" s="5">
        <v>88.926109999999994</v>
      </c>
      <c r="AG920" s="3">
        <f t="shared" si="129"/>
        <v>89.187599999999989</v>
      </c>
      <c r="AH920" s="1">
        <f t="shared" si="130"/>
        <v>0.18827646110148438</v>
      </c>
    </row>
    <row r="921" spans="23:34" x14ac:dyDescent="0.2">
      <c r="W921" s="4">
        <v>250.00700000000001</v>
      </c>
      <c r="X921" s="1">
        <v>458.5</v>
      </c>
      <c r="Y921" s="3">
        <v>78.453590000000005</v>
      </c>
      <c r="Z921" s="3">
        <f t="shared" si="128"/>
        <v>83.894420000000011</v>
      </c>
      <c r="AA921" s="1">
        <f t="shared" si="131"/>
        <v>0.27585243774209856</v>
      </c>
      <c r="AD921" s="4">
        <v>250.02108999999999</v>
      </c>
      <c r="AE921" s="1">
        <v>458.5</v>
      </c>
      <c r="AF921" s="3">
        <v>89.03931</v>
      </c>
      <c r="AG921" s="3">
        <f t="shared" si="129"/>
        <v>89.300799999999995</v>
      </c>
      <c r="AH921" s="1">
        <f t="shared" si="130"/>
        <v>0.18639721261087855</v>
      </c>
    </row>
    <row r="922" spans="23:34" x14ac:dyDescent="0.2">
      <c r="W922" s="4">
        <v>250.00602000000001</v>
      </c>
      <c r="X922" s="1">
        <v>459</v>
      </c>
      <c r="Y922" s="5">
        <v>78.460980000000006</v>
      </c>
      <c r="Z922" s="3">
        <f t="shared" si="128"/>
        <v>83.901810000000012</v>
      </c>
      <c r="AA922" s="1">
        <f t="shared" si="131"/>
        <v>0.27572972920797312</v>
      </c>
      <c r="AD922" s="4">
        <v>250.02253999999999</v>
      </c>
      <c r="AE922" s="1">
        <v>459</v>
      </c>
      <c r="AF922" s="5">
        <v>88.916179999999997</v>
      </c>
      <c r="AG922" s="3">
        <f t="shared" si="129"/>
        <v>89.177669999999992</v>
      </c>
      <c r="AH922" s="1">
        <f t="shared" si="130"/>
        <v>0.18844131037278924</v>
      </c>
    </row>
    <row r="923" spans="23:34" x14ac:dyDescent="0.2">
      <c r="W923" s="4">
        <v>250.00595000000001</v>
      </c>
      <c r="X923" s="1">
        <v>459.5</v>
      </c>
      <c r="Y923" s="3">
        <v>78.430350000000004</v>
      </c>
      <c r="Z923" s="3">
        <f t="shared" si="128"/>
        <v>83.87118000000001</v>
      </c>
      <c r="AA923" s="1">
        <f t="shared" si="131"/>
        <v>0.27623833034467987</v>
      </c>
      <c r="AD923" s="4">
        <v>250.02016</v>
      </c>
      <c r="AE923" s="1">
        <v>459.5</v>
      </c>
      <c r="AF923" s="3">
        <v>89.011750000000006</v>
      </c>
      <c r="AG923" s="3">
        <f t="shared" si="129"/>
        <v>89.273240000000001</v>
      </c>
      <c r="AH923" s="1">
        <f t="shared" si="130"/>
        <v>0.18685473989357362</v>
      </c>
    </row>
    <row r="924" spans="23:34" x14ac:dyDescent="0.2">
      <c r="W924" s="4">
        <v>250.00400999999999</v>
      </c>
      <c r="X924" s="1">
        <v>460</v>
      </c>
      <c r="Y924" s="5">
        <v>78.432100000000005</v>
      </c>
      <c r="Z924" s="3">
        <f t="shared" si="128"/>
        <v>83.872930000000011</v>
      </c>
      <c r="AA924" s="1">
        <f t="shared" si="131"/>
        <v>0.2762092721667746</v>
      </c>
      <c r="AD924" s="4">
        <v>250.01548</v>
      </c>
      <c r="AE924" s="1">
        <v>460</v>
      </c>
      <c r="AF924" s="5">
        <v>89.094660000000005</v>
      </c>
      <c r="AG924" s="3">
        <f t="shared" si="129"/>
        <v>89.35615</v>
      </c>
      <c r="AH924" s="1">
        <f t="shared" si="130"/>
        <v>0.18547833978442063</v>
      </c>
    </row>
    <row r="925" spans="23:34" x14ac:dyDescent="0.2">
      <c r="W925" s="4">
        <v>250.00200000000001</v>
      </c>
      <c r="X925" s="1">
        <v>460.5</v>
      </c>
      <c r="Y925" s="3">
        <v>78.405529999999999</v>
      </c>
      <c r="Z925" s="3">
        <f t="shared" si="128"/>
        <v>83.846360000000004</v>
      </c>
      <c r="AA925" s="1">
        <f t="shared" si="131"/>
        <v>0.27665045833074131</v>
      </c>
      <c r="AD925" s="4">
        <v>250.01603</v>
      </c>
      <c r="AE925" s="1">
        <v>460.5</v>
      </c>
      <c r="AF925" s="3">
        <v>89.044550000000001</v>
      </c>
      <c r="AG925" s="3">
        <f t="shared" si="129"/>
        <v>89.306039999999996</v>
      </c>
      <c r="AH925" s="1">
        <f t="shared" si="130"/>
        <v>0.18631022266308017</v>
      </c>
    </row>
    <row r="926" spans="23:34" x14ac:dyDescent="0.2">
      <c r="W926" s="4">
        <v>250.00396000000001</v>
      </c>
      <c r="X926" s="1">
        <v>461</v>
      </c>
      <c r="Y926" s="5">
        <v>78.403559999999999</v>
      </c>
      <c r="Z926" s="3">
        <f t="shared" si="128"/>
        <v>83.844390000000004</v>
      </c>
      <c r="AA926" s="1">
        <f t="shared" si="131"/>
        <v>0.27668316953672606</v>
      </c>
      <c r="AD926" s="4">
        <v>250.01965999999999</v>
      </c>
      <c r="AE926" s="1">
        <v>461</v>
      </c>
      <c r="AF926" s="5">
        <v>88.862470000000002</v>
      </c>
      <c r="AG926" s="3">
        <f t="shared" si="129"/>
        <v>89.123959999999997</v>
      </c>
      <c r="AH926" s="1">
        <f t="shared" si="130"/>
        <v>0.18933295733772235</v>
      </c>
    </row>
    <row r="927" spans="23:34" x14ac:dyDescent="0.2">
      <c r="W927" s="4">
        <v>250.00399999999999</v>
      </c>
      <c r="X927" s="1">
        <v>461.5</v>
      </c>
      <c r="Y927" s="3">
        <v>78.390119999999996</v>
      </c>
      <c r="Z927" s="3">
        <f t="shared" si="128"/>
        <v>83.830950000000001</v>
      </c>
      <c r="AA927" s="1">
        <f t="shared" si="131"/>
        <v>0.27690633634303818</v>
      </c>
      <c r="AD927" s="4">
        <v>250.01998</v>
      </c>
      <c r="AE927" s="1">
        <v>461.5</v>
      </c>
      <c r="AF927" s="3">
        <v>89.011170000000007</v>
      </c>
      <c r="AG927" s="3">
        <f t="shared" si="129"/>
        <v>89.272660000000002</v>
      </c>
      <c r="AH927" s="1">
        <f t="shared" si="130"/>
        <v>0.18686436855191771</v>
      </c>
    </row>
    <row r="928" spans="23:34" x14ac:dyDescent="0.2">
      <c r="W928" s="4">
        <v>250.00701000000001</v>
      </c>
      <c r="X928" s="1">
        <v>462</v>
      </c>
      <c r="Y928" s="5">
        <v>78.395769999999999</v>
      </c>
      <c r="Z928" s="3">
        <f t="shared" si="128"/>
        <v>83.836600000000004</v>
      </c>
      <c r="AA928" s="1">
        <f t="shared" si="131"/>
        <v>0.27681251994008699</v>
      </c>
      <c r="AD928" s="4">
        <v>250.01971</v>
      </c>
      <c r="AE928" s="1">
        <v>462</v>
      </c>
      <c r="AF928" s="5">
        <v>88.978999999999999</v>
      </c>
      <c r="AG928" s="3">
        <f t="shared" si="129"/>
        <v>89.240489999999994</v>
      </c>
      <c r="AH928" s="1">
        <f t="shared" si="130"/>
        <v>0.18739842706731349</v>
      </c>
    </row>
    <row r="929" spans="23:34" x14ac:dyDescent="0.2">
      <c r="W929" s="4">
        <v>250.00701000000001</v>
      </c>
      <c r="X929" s="1">
        <v>462.5</v>
      </c>
      <c r="Y929" s="3">
        <v>78.390249999999995</v>
      </c>
      <c r="Z929" s="3">
        <f t="shared" si="128"/>
        <v>83.83108</v>
      </c>
      <c r="AA929" s="1">
        <f t="shared" si="131"/>
        <v>0.27690417773553666</v>
      </c>
      <c r="AD929" s="4">
        <v>250.01705000000001</v>
      </c>
      <c r="AE929" s="1">
        <v>462.5</v>
      </c>
      <c r="AF929" s="3">
        <v>89.026600000000002</v>
      </c>
      <c r="AG929" s="3">
        <f t="shared" si="129"/>
        <v>89.288089999999997</v>
      </c>
      <c r="AH929" s="1">
        <f t="shared" si="130"/>
        <v>0.18660821303769476</v>
      </c>
    </row>
    <row r="930" spans="23:34" x14ac:dyDescent="0.2">
      <c r="W930" s="4">
        <v>250.00404</v>
      </c>
      <c r="X930" s="1">
        <v>463</v>
      </c>
      <c r="Y930" s="5">
        <v>78.378489999999999</v>
      </c>
      <c r="Z930" s="3">
        <f t="shared" si="128"/>
        <v>83.819320000000005</v>
      </c>
      <c r="AA930" s="1">
        <f t="shared" si="131"/>
        <v>0.27709944869105962</v>
      </c>
      <c r="AD930" s="4">
        <v>250.01411999999999</v>
      </c>
      <c r="AE930" s="1">
        <v>463</v>
      </c>
      <c r="AF930" s="5">
        <v>88.997079999999997</v>
      </c>
      <c r="AG930" s="3">
        <f t="shared" si="129"/>
        <v>89.258569999999992</v>
      </c>
      <c r="AH930" s="1">
        <f t="shared" si="130"/>
        <v>0.18709827854513905</v>
      </c>
    </row>
    <row r="931" spans="23:34" x14ac:dyDescent="0.2">
      <c r="W931" s="4">
        <v>250.00297</v>
      </c>
      <c r="X931" s="1">
        <v>463.5</v>
      </c>
      <c r="Y931" s="3">
        <v>78.365229999999997</v>
      </c>
      <c r="Z931" s="3">
        <f t="shared" si="128"/>
        <v>83.806060000000002</v>
      </c>
      <c r="AA931" s="1">
        <f t="shared" si="131"/>
        <v>0.27731962665621579</v>
      </c>
      <c r="AD931" s="4">
        <v>250.01361</v>
      </c>
      <c r="AE931" s="1">
        <v>463.5</v>
      </c>
      <c r="AF931" s="3">
        <v>88.900700000000001</v>
      </c>
      <c r="AG931" s="3">
        <f t="shared" si="129"/>
        <v>89.162189999999995</v>
      </c>
      <c r="AH931" s="1">
        <f t="shared" si="130"/>
        <v>0.18869829594376603</v>
      </c>
    </row>
    <row r="932" spans="23:34" x14ac:dyDescent="0.2">
      <c r="W932" s="4">
        <v>250.00594000000001</v>
      </c>
      <c r="X932" s="1">
        <v>464</v>
      </c>
      <c r="Y932" s="5">
        <v>78.357399999999998</v>
      </c>
      <c r="Z932" s="3">
        <f t="shared" si="128"/>
        <v>83.798230000000004</v>
      </c>
      <c r="AA932" s="1">
        <f t="shared" si="131"/>
        <v>0.27744964124650023</v>
      </c>
      <c r="AD932" s="4">
        <v>250.01525000000001</v>
      </c>
      <c r="AE932" s="1">
        <v>464</v>
      </c>
      <c r="AF932" s="5">
        <v>88.959689999999995</v>
      </c>
      <c r="AG932" s="3">
        <f t="shared" si="129"/>
        <v>89.22117999999999</v>
      </c>
      <c r="AH932" s="1">
        <f t="shared" si="130"/>
        <v>0.18771899498563155</v>
      </c>
    </row>
    <row r="933" spans="23:34" x14ac:dyDescent="0.2">
      <c r="W933" s="4">
        <v>250.00699</v>
      </c>
      <c r="X933" s="1">
        <v>464.5</v>
      </c>
      <c r="Y933" s="3">
        <v>78.351699999999994</v>
      </c>
      <c r="Z933" s="3">
        <f t="shared" si="128"/>
        <v>83.792529999999999</v>
      </c>
      <c r="AA933" s="1">
        <f t="shared" si="131"/>
        <v>0.27754428788310587</v>
      </c>
      <c r="AD933" s="4">
        <v>250.01859999999999</v>
      </c>
      <c r="AE933" s="1">
        <v>464.5</v>
      </c>
      <c r="AF933" s="3">
        <v>89.028599999999997</v>
      </c>
      <c r="AG933" s="3">
        <f t="shared" si="129"/>
        <v>89.290089999999992</v>
      </c>
      <c r="AH933" s="1">
        <f t="shared" si="130"/>
        <v>0.18657501076754279</v>
      </c>
    </row>
    <row r="934" spans="23:34" x14ac:dyDescent="0.2">
      <c r="W934" s="4">
        <v>250.00397000000001</v>
      </c>
      <c r="X934" s="1">
        <v>465</v>
      </c>
      <c r="Y934" s="5">
        <v>78.338099999999997</v>
      </c>
      <c r="Z934" s="3">
        <f t="shared" si="128"/>
        <v>83.778930000000003</v>
      </c>
      <c r="AA934" s="1">
        <f t="shared" si="131"/>
        <v>0.27777011143711205</v>
      </c>
      <c r="AD934" s="4">
        <v>250.01765</v>
      </c>
      <c r="AE934" s="1">
        <v>465</v>
      </c>
      <c r="AF934" s="5">
        <v>89.031959999999998</v>
      </c>
      <c r="AG934" s="3">
        <f t="shared" si="129"/>
        <v>89.293449999999993</v>
      </c>
      <c r="AH934" s="1">
        <f t="shared" si="130"/>
        <v>0.18651923095368736</v>
      </c>
    </row>
    <row r="935" spans="23:34" x14ac:dyDescent="0.2">
      <c r="W935" s="4">
        <v>250.00199000000001</v>
      </c>
      <c r="X935" s="1">
        <v>465.5</v>
      </c>
      <c r="Y935" s="3">
        <v>78.322810000000004</v>
      </c>
      <c r="Z935" s="3">
        <f t="shared" si="128"/>
        <v>83.763640000000009</v>
      </c>
      <c r="AA935" s="1">
        <f t="shared" si="131"/>
        <v>0.27802399688863805</v>
      </c>
      <c r="AD935" s="4">
        <v>250.01755</v>
      </c>
      <c r="AE935" s="1">
        <v>465.5</v>
      </c>
      <c r="AF935" s="3">
        <v>88.952280000000002</v>
      </c>
      <c r="AG935" s="3">
        <f t="shared" si="129"/>
        <v>89.213769999999997</v>
      </c>
      <c r="AH935" s="1">
        <f t="shared" si="130"/>
        <v>0.18784200939654477</v>
      </c>
    </row>
    <row r="936" spans="23:34" x14ac:dyDescent="0.2">
      <c r="W936" s="4">
        <v>250.00703999999999</v>
      </c>
      <c r="X936" s="1">
        <v>466</v>
      </c>
      <c r="Y936" s="5">
        <v>78.3095</v>
      </c>
      <c r="Z936" s="3">
        <f t="shared" si="128"/>
        <v>83.750330000000005</v>
      </c>
      <c r="AA936" s="1">
        <f t="shared" si="131"/>
        <v>0.27824500508744865</v>
      </c>
      <c r="AD936" s="4">
        <v>250.01589000000001</v>
      </c>
      <c r="AE936" s="1">
        <v>466</v>
      </c>
      <c r="AF936" s="5">
        <v>88.853189999999998</v>
      </c>
      <c r="AG936" s="3">
        <f t="shared" si="129"/>
        <v>89.114679999999993</v>
      </c>
      <c r="AH936" s="1">
        <f t="shared" si="130"/>
        <v>0.1894870158712279</v>
      </c>
    </row>
    <row r="937" spans="23:34" x14ac:dyDescent="0.2">
      <c r="W937" s="4">
        <v>250.00505000000001</v>
      </c>
      <c r="X937" s="1">
        <v>466.5</v>
      </c>
      <c r="Y937" s="3">
        <v>78.298119999999997</v>
      </c>
      <c r="Z937" s="3">
        <f t="shared" si="128"/>
        <v>83.738950000000003</v>
      </c>
      <c r="AA937" s="1">
        <f t="shared" si="131"/>
        <v>0.27843396626719807</v>
      </c>
      <c r="AD937" s="4">
        <v>250.01624000000001</v>
      </c>
      <c r="AE937" s="1">
        <v>466.5</v>
      </c>
      <c r="AF937" s="3">
        <v>88.898039999999995</v>
      </c>
      <c r="AG937" s="3">
        <f t="shared" si="129"/>
        <v>89.15952999999999</v>
      </c>
      <c r="AH937" s="1">
        <f t="shared" si="130"/>
        <v>0.18874245496306835</v>
      </c>
    </row>
    <row r="938" spans="23:34" x14ac:dyDescent="0.2">
      <c r="W938" s="4">
        <v>250.00601</v>
      </c>
      <c r="X938" s="1">
        <v>467</v>
      </c>
      <c r="Y938" s="5">
        <v>78.282780000000002</v>
      </c>
      <c r="Z938" s="3">
        <f t="shared" si="128"/>
        <v>83.723610000000008</v>
      </c>
      <c r="AA938" s="1">
        <f t="shared" si="131"/>
        <v>0.27868868195237856</v>
      </c>
      <c r="AD938" s="4">
        <v>250.02078</v>
      </c>
      <c r="AE938" s="1">
        <v>467</v>
      </c>
      <c r="AF938" s="5">
        <v>88.787409999999994</v>
      </c>
      <c r="AG938" s="3">
        <f t="shared" si="129"/>
        <v>89.048899999999989</v>
      </c>
      <c r="AH938" s="1">
        <f t="shared" si="130"/>
        <v>0.19057903853652872</v>
      </c>
    </row>
    <row r="939" spans="23:34" x14ac:dyDescent="0.2">
      <c r="W939" s="4">
        <v>250.00595999999999</v>
      </c>
      <c r="X939" s="1">
        <v>467.5</v>
      </c>
      <c r="Y939" s="3">
        <v>78.261499999999998</v>
      </c>
      <c r="Z939" s="3">
        <f t="shared" si="128"/>
        <v>83.702330000000003</v>
      </c>
      <c r="AA939" s="1">
        <f t="shared" si="131"/>
        <v>0.27904202939570605</v>
      </c>
      <c r="AD939" s="4">
        <v>250.01866999999999</v>
      </c>
      <c r="AE939" s="1">
        <v>467.5</v>
      </c>
      <c r="AF939" s="3">
        <v>88.809200000000004</v>
      </c>
      <c r="AG939" s="3">
        <f t="shared" si="129"/>
        <v>89.070689999999999</v>
      </c>
      <c r="AH939" s="1">
        <f t="shared" si="130"/>
        <v>0.19021729980322202</v>
      </c>
    </row>
    <row r="940" spans="23:34" x14ac:dyDescent="0.2">
      <c r="W940" s="4">
        <v>250.00998000000001</v>
      </c>
      <c r="X940" s="1">
        <v>468</v>
      </c>
      <c r="Y940" s="5">
        <v>78.269490000000005</v>
      </c>
      <c r="Z940" s="3">
        <f t="shared" si="128"/>
        <v>83.71032000000001</v>
      </c>
      <c r="AA940" s="1">
        <f t="shared" si="131"/>
        <v>0.27890935805772726</v>
      </c>
      <c r="AD940" s="4">
        <v>250.01884999999999</v>
      </c>
      <c r="AE940" s="1">
        <v>468</v>
      </c>
      <c r="AF940" s="5">
        <v>88.758660000000006</v>
      </c>
      <c r="AG940" s="3">
        <f t="shared" si="129"/>
        <v>89.020150000000001</v>
      </c>
      <c r="AH940" s="1">
        <f t="shared" si="130"/>
        <v>0.19105632116996416</v>
      </c>
    </row>
    <row r="941" spans="23:34" x14ac:dyDescent="0.2">
      <c r="W941" s="4">
        <v>250.00702999999999</v>
      </c>
      <c r="X941" s="1">
        <v>468.5</v>
      </c>
      <c r="Y941" s="3">
        <v>78.24812</v>
      </c>
      <c r="Z941" s="3">
        <f t="shared" si="128"/>
        <v>83.688950000000006</v>
      </c>
      <c r="AA941" s="1">
        <f t="shared" si="131"/>
        <v>0.27926419992163276</v>
      </c>
      <c r="AD941" s="4">
        <v>250.01872</v>
      </c>
      <c r="AE941" s="1">
        <v>468.5</v>
      </c>
      <c r="AF941" s="3">
        <v>88.7714</v>
      </c>
      <c r="AG941" s="3">
        <f t="shared" si="129"/>
        <v>89.032889999999995</v>
      </c>
      <c r="AH941" s="1">
        <f t="shared" si="130"/>
        <v>0.19084482270909572</v>
      </c>
    </row>
    <row r="942" spans="23:34" x14ac:dyDescent="0.2">
      <c r="W942" s="4">
        <v>250.00799000000001</v>
      </c>
      <c r="X942" s="1">
        <v>469</v>
      </c>
      <c r="Y942" s="5">
        <v>78.254159999999999</v>
      </c>
      <c r="Z942" s="3">
        <f t="shared" si="128"/>
        <v>83.694990000000004</v>
      </c>
      <c r="AA942" s="1">
        <f t="shared" si="131"/>
        <v>0.27916390769617705</v>
      </c>
      <c r="AD942" s="4">
        <v>250.01751999999999</v>
      </c>
      <c r="AE942" s="1">
        <v>469</v>
      </c>
      <c r="AF942" s="5">
        <v>88.812730000000002</v>
      </c>
      <c r="AG942" s="3">
        <f t="shared" si="129"/>
        <v>89.074219999999997</v>
      </c>
      <c r="AH942" s="1">
        <f t="shared" si="130"/>
        <v>0.19015869779640368</v>
      </c>
    </row>
    <row r="943" spans="23:34" x14ac:dyDescent="0.2">
      <c r="W943" s="4">
        <v>250.00299000000001</v>
      </c>
      <c r="X943" s="1">
        <v>469.5</v>
      </c>
      <c r="Y943" s="3">
        <v>78.228899999999996</v>
      </c>
      <c r="Z943" s="3">
        <f t="shared" si="128"/>
        <v>83.669730000000001</v>
      </c>
      <c r="AA943" s="1">
        <f t="shared" si="131"/>
        <v>0.2795833417383975</v>
      </c>
      <c r="AD943" s="4">
        <v>250.01646</v>
      </c>
      <c r="AE943" s="1">
        <v>469.5</v>
      </c>
      <c r="AF943" s="3">
        <v>88.686130000000006</v>
      </c>
      <c r="AG943" s="3">
        <f t="shared" si="129"/>
        <v>88.947620000000001</v>
      </c>
      <c r="AH943" s="1">
        <f t="shared" si="130"/>
        <v>0.19226040149702808</v>
      </c>
    </row>
    <row r="944" spans="23:34" x14ac:dyDescent="0.2">
      <c r="W944" s="4">
        <v>250.00199000000001</v>
      </c>
      <c r="X944" s="1">
        <v>470</v>
      </c>
      <c r="Y944" s="5">
        <v>78.225099999999998</v>
      </c>
      <c r="Z944" s="3">
        <f t="shared" si="128"/>
        <v>83.665930000000003</v>
      </c>
      <c r="AA944" s="1">
        <f t="shared" si="131"/>
        <v>0.27964643949613455</v>
      </c>
      <c r="AD944" s="4">
        <v>250.01804000000001</v>
      </c>
      <c r="AE944" s="1">
        <v>470</v>
      </c>
      <c r="AF944" s="5">
        <v>88.829710000000006</v>
      </c>
      <c r="AG944" s="3">
        <f t="shared" si="129"/>
        <v>89.091200000000001</v>
      </c>
      <c r="AH944" s="1">
        <f t="shared" si="130"/>
        <v>0.18987681052281277</v>
      </c>
    </row>
    <row r="945" spans="23:34" x14ac:dyDescent="0.2">
      <c r="W945" s="4">
        <v>250.001</v>
      </c>
      <c r="X945" s="1">
        <v>470.5</v>
      </c>
      <c r="Y945" s="3">
        <v>78.196309999999997</v>
      </c>
      <c r="Z945" s="3">
        <f t="shared" si="128"/>
        <v>83.637140000000002</v>
      </c>
      <c r="AA945" s="1">
        <f t="shared" si="131"/>
        <v>0.28012448803435808</v>
      </c>
      <c r="AD945" s="4">
        <v>250.01773</v>
      </c>
      <c r="AE945" s="1">
        <v>470.5</v>
      </c>
      <c r="AF945" s="3">
        <v>88.737210000000005</v>
      </c>
      <c r="AG945" s="3">
        <f t="shared" si="129"/>
        <v>88.998699999999999</v>
      </c>
      <c r="AH945" s="1">
        <f t="shared" si="130"/>
        <v>0.19141241551734486</v>
      </c>
    </row>
    <row r="946" spans="23:34" x14ac:dyDescent="0.2">
      <c r="W946" s="4">
        <v>250.00394</v>
      </c>
      <c r="X946" s="1">
        <v>471</v>
      </c>
      <c r="Y946" s="5">
        <v>78.175229999999999</v>
      </c>
      <c r="Z946" s="3">
        <f t="shared" si="128"/>
        <v>83.616060000000004</v>
      </c>
      <c r="AA946" s="1">
        <f t="shared" si="131"/>
        <v>0.28047451454306771</v>
      </c>
      <c r="AD946" s="4">
        <v>250.02249</v>
      </c>
      <c r="AE946" s="1">
        <v>471</v>
      </c>
      <c r="AF946" s="5">
        <v>88.791020000000003</v>
      </c>
      <c r="AG946" s="3">
        <f t="shared" si="129"/>
        <v>89.052509999999998</v>
      </c>
      <c r="AH946" s="1">
        <f t="shared" si="130"/>
        <v>0.19051910843890413</v>
      </c>
    </row>
    <row r="947" spans="23:34" x14ac:dyDescent="0.2">
      <c r="W947" s="4">
        <v>250.00399999999999</v>
      </c>
      <c r="X947" s="1">
        <v>471.5</v>
      </c>
      <c r="Y947" s="3">
        <v>78.194460000000007</v>
      </c>
      <c r="Z947" s="3">
        <f t="shared" si="128"/>
        <v>83.635290000000012</v>
      </c>
      <c r="AA947" s="1">
        <f t="shared" si="131"/>
        <v>0.280155206679572</v>
      </c>
      <c r="AD947" s="4">
        <v>250.02253999999999</v>
      </c>
      <c r="AE947" s="1">
        <v>471.5</v>
      </c>
      <c r="AF947" s="3">
        <v>88.8506</v>
      </c>
      <c r="AG947" s="3">
        <f t="shared" si="129"/>
        <v>89.112089999999995</v>
      </c>
      <c r="AH947" s="1">
        <f t="shared" si="130"/>
        <v>0.18953001281107476</v>
      </c>
    </row>
    <row r="948" spans="23:34" x14ac:dyDescent="0.2">
      <c r="W948" s="4">
        <v>250.00599</v>
      </c>
      <c r="X948" s="1">
        <v>472</v>
      </c>
      <c r="Y948" s="5">
        <v>78.205789999999993</v>
      </c>
      <c r="Z948" s="3">
        <f t="shared" si="128"/>
        <v>83.646619999999999</v>
      </c>
      <c r="AA948" s="1">
        <f t="shared" si="131"/>
        <v>0.27996707573347729</v>
      </c>
      <c r="AD948" s="4">
        <v>250.02200999999999</v>
      </c>
      <c r="AE948" s="1">
        <v>472</v>
      </c>
      <c r="AF948" s="5">
        <v>88.758120000000005</v>
      </c>
      <c r="AG948" s="3">
        <f t="shared" si="129"/>
        <v>89.01961</v>
      </c>
      <c r="AH948" s="1">
        <f t="shared" si="130"/>
        <v>0.19106528578290521</v>
      </c>
    </row>
    <row r="949" spans="23:34" x14ac:dyDescent="0.2">
      <c r="W949" s="4">
        <v>250.00597999999999</v>
      </c>
      <c r="X949" s="1">
        <v>472.5</v>
      </c>
      <c r="Y949" s="3">
        <v>78.169600000000003</v>
      </c>
      <c r="Z949" s="3">
        <f t="shared" si="128"/>
        <v>83.610430000000008</v>
      </c>
      <c r="AA949" s="1">
        <f t="shared" si="131"/>
        <v>0.28056799885255701</v>
      </c>
      <c r="AD949" s="4">
        <v>250.02499</v>
      </c>
      <c r="AE949" s="1">
        <v>472.5</v>
      </c>
      <c r="AF949" s="3">
        <v>88.654200000000003</v>
      </c>
      <c r="AG949" s="3">
        <f t="shared" si="129"/>
        <v>88.915689999999998</v>
      </c>
      <c r="AH949" s="1">
        <f t="shared" si="130"/>
        <v>0.19279047574000552</v>
      </c>
    </row>
    <row r="950" spans="23:34" x14ac:dyDescent="0.2">
      <c r="W950" s="4">
        <v>250.00697</v>
      </c>
      <c r="X950" s="1">
        <v>473</v>
      </c>
      <c r="Y950" s="5">
        <v>78.154250000000005</v>
      </c>
      <c r="Z950" s="3">
        <f t="shared" si="128"/>
        <v>83.59508000000001</v>
      </c>
      <c r="AA950" s="1">
        <f t="shared" si="131"/>
        <v>0.28082288058446842</v>
      </c>
      <c r="AD950" s="4">
        <v>250.02447000000001</v>
      </c>
      <c r="AE950" s="1">
        <v>473</v>
      </c>
      <c r="AF950" s="5">
        <v>88.800389999999993</v>
      </c>
      <c r="AG950" s="3">
        <f t="shared" si="129"/>
        <v>89.061879999999988</v>
      </c>
      <c r="AH950" s="1">
        <f t="shared" si="130"/>
        <v>0.19036355580324196</v>
      </c>
    </row>
    <row r="951" spans="23:34" x14ac:dyDescent="0.2">
      <c r="W951" s="4">
        <v>250.00596999999999</v>
      </c>
      <c r="X951" s="1">
        <v>473.5</v>
      </c>
      <c r="Y951" s="3">
        <v>78.159970000000001</v>
      </c>
      <c r="Z951" s="3">
        <f t="shared" si="128"/>
        <v>83.600800000000007</v>
      </c>
      <c r="AA951" s="1">
        <f t="shared" si="131"/>
        <v>0.28072790185440116</v>
      </c>
      <c r="AD951" s="4">
        <v>250.02139</v>
      </c>
      <c r="AE951" s="1">
        <v>473.5</v>
      </c>
      <c r="AF951" s="3">
        <v>88.679280000000006</v>
      </c>
      <c r="AG951" s="3">
        <f t="shared" si="129"/>
        <v>88.940770000000001</v>
      </c>
      <c r="AH951" s="1">
        <f t="shared" si="130"/>
        <v>0.19237411927229883</v>
      </c>
    </row>
    <row r="952" spans="23:34" x14ac:dyDescent="0.2">
      <c r="W952" s="4">
        <v>250.012</v>
      </c>
      <c r="X952" s="1">
        <v>474</v>
      </c>
      <c r="Y952" s="5">
        <v>78.159970000000001</v>
      </c>
      <c r="Z952" s="3">
        <f t="shared" si="128"/>
        <v>83.600800000000007</v>
      </c>
      <c r="AA952" s="1">
        <f t="shared" si="131"/>
        <v>0.28072790185440116</v>
      </c>
      <c r="AD952" s="4">
        <v>250.02080000000001</v>
      </c>
      <c r="AE952" s="1">
        <v>474</v>
      </c>
      <c r="AF952" s="5">
        <v>88.637090000000001</v>
      </c>
      <c r="AG952" s="3">
        <f t="shared" si="129"/>
        <v>88.898579999999995</v>
      </c>
      <c r="AH952" s="1">
        <f t="shared" si="130"/>
        <v>0.19307452116115631</v>
      </c>
    </row>
    <row r="953" spans="23:34" x14ac:dyDescent="0.2">
      <c r="W953" s="4">
        <v>250.00798</v>
      </c>
      <c r="X953" s="1">
        <v>474.5</v>
      </c>
      <c r="Y953" s="3">
        <v>78.158019999999993</v>
      </c>
      <c r="Z953" s="3">
        <f t="shared" si="128"/>
        <v>83.598849999999999</v>
      </c>
      <c r="AA953" s="1">
        <f t="shared" si="131"/>
        <v>0.28076028096692424</v>
      </c>
      <c r="AD953" s="4">
        <v>250.02332999999999</v>
      </c>
      <c r="AE953" s="1">
        <v>474.5</v>
      </c>
      <c r="AF953" s="3">
        <v>88.615790000000004</v>
      </c>
      <c r="AG953" s="3">
        <f t="shared" si="129"/>
        <v>88.877279999999999</v>
      </c>
      <c r="AH953" s="1">
        <f t="shared" si="130"/>
        <v>0.19342812533827553</v>
      </c>
    </row>
    <row r="954" spans="23:34" x14ac:dyDescent="0.2">
      <c r="W954" s="4">
        <v>250.00496999999999</v>
      </c>
      <c r="X954" s="1">
        <v>475</v>
      </c>
      <c r="Y954" s="5">
        <v>78.125360000000001</v>
      </c>
      <c r="Z954" s="3">
        <f t="shared" si="128"/>
        <v>83.566190000000006</v>
      </c>
      <c r="AA954" s="1">
        <f t="shared" si="131"/>
        <v>0.28130258959000087</v>
      </c>
      <c r="AD954" s="4">
        <v>250.02318</v>
      </c>
      <c r="AE954" s="1">
        <v>475</v>
      </c>
      <c r="AF954" s="5">
        <v>88.792689999999993</v>
      </c>
      <c r="AG954" s="3">
        <f t="shared" si="129"/>
        <v>89.054179999999988</v>
      </c>
      <c r="AH954" s="1">
        <f t="shared" si="130"/>
        <v>0.19049138454332731</v>
      </c>
    </row>
    <row r="955" spans="23:34" x14ac:dyDescent="0.2">
      <c r="W955" s="4">
        <v>250.00695999999999</v>
      </c>
      <c r="X955" s="1">
        <v>475.5</v>
      </c>
      <c r="Y955" s="3">
        <v>78.138890000000004</v>
      </c>
      <c r="Z955" s="3">
        <f t="shared" si="128"/>
        <v>83.579720000000009</v>
      </c>
      <c r="AA955" s="1">
        <f t="shared" si="131"/>
        <v>0.2810779283631108</v>
      </c>
      <c r="AD955" s="4">
        <v>250.02369999999999</v>
      </c>
      <c r="AE955" s="1">
        <v>475.5</v>
      </c>
      <c r="AF955" s="3">
        <v>88.661109999999994</v>
      </c>
      <c r="AG955" s="3">
        <f t="shared" si="129"/>
        <v>88.922599999999989</v>
      </c>
      <c r="AH955" s="1">
        <f t="shared" si="130"/>
        <v>0.19267576189663035</v>
      </c>
    </row>
    <row r="956" spans="23:34" x14ac:dyDescent="0.2">
      <c r="W956" s="4">
        <v>250.00706</v>
      </c>
      <c r="X956" s="1">
        <v>476</v>
      </c>
      <c r="Y956" s="5">
        <v>78.140910000000005</v>
      </c>
      <c r="Z956" s="3">
        <f t="shared" si="128"/>
        <v>83.581740000000011</v>
      </c>
      <c r="AA956" s="1">
        <f t="shared" si="131"/>
        <v>0.28104438692347161</v>
      </c>
      <c r="AD956" s="4">
        <v>250.02247</v>
      </c>
      <c r="AE956" s="1">
        <v>476</v>
      </c>
      <c r="AF956" s="5">
        <v>88.682879999999997</v>
      </c>
      <c r="AG956" s="3">
        <f t="shared" si="129"/>
        <v>88.944369999999992</v>
      </c>
      <c r="AH956" s="1">
        <f t="shared" si="130"/>
        <v>0.19231435518602527</v>
      </c>
    </row>
    <row r="957" spans="23:34" x14ac:dyDescent="0.2">
      <c r="W957" s="4">
        <v>250.00299000000001</v>
      </c>
      <c r="X957" s="1">
        <v>476.5</v>
      </c>
      <c r="Y957" s="3">
        <v>78.090980000000002</v>
      </c>
      <c r="Z957" s="3">
        <f t="shared" si="128"/>
        <v>83.531810000000007</v>
      </c>
      <c r="AA957" s="1">
        <f t="shared" si="131"/>
        <v>0.28187345825079019</v>
      </c>
      <c r="AD957" s="4">
        <v>250.01837</v>
      </c>
      <c r="AE957" s="1">
        <v>476.5</v>
      </c>
      <c r="AF957" s="3">
        <v>88.641210000000001</v>
      </c>
      <c r="AG957" s="3">
        <f t="shared" si="129"/>
        <v>88.902699999999996</v>
      </c>
      <c r="AH957" s="1">
        <f t="shared" si="130"/>
        <v>0.19300612448464308</v>
      </c>
    </row>
    <row r="958" spans="23:34" x14ac:dyDescent="0.2">
      <c r="W958" s="4">
        <v>250.00404</v>
      </c>
      <c r="X958" s="1">
        <v>477</v>
      </c>
      <c r="Y958" s="5">
        <v>78.077600000000004</v>
      </c>
      <c r="Z958" s="3">
        <f t="shared" si="128"/>
        <v>83.518430000000009</v>
      </c>
      <c r="AA958" s="1">
        <f t="shared" si="131"/>
        <v>0.2820956287767169</v>
      </c>
      <c r="AD958" s="4">
        <v>250.01706999999999</v>
      </c>
      <c r="AE958" s="1">
        <v>477</v>
      </c>
      <c r="AF958" s="5">
        <v>88.637280000000004</v>
      </c>
      <c r="AG958" s="3">
        <f t="shared" si="129"/>
        <v>88.898769999999999</v>
      </c>
      <c r="AH958" s="1">
        <f t="shared" si="130"/>
        <v>0.19307136694549179</v>
      </c>
    </row>
    <row r="959" spans="23:34" x14ac:dyDescent="0.2">
      <c r="W959" s="4">
        <v>250.001</v>
      </c>
      <c r="X959" s="1">
        <v>477.5</v>
      </c>
      <c r="Y959" s="3">
        <v>78.102490000000003</v>
      </c>
      <c r="Z959" s="3">
        <f t="shared" si="128"/>
        <v>83.543320000000008</v>
      </c>
      <c r="AA959" s="1">
        <f t="shared" si="131"/>
        <v>0.28168233846353929</v>
      </c>
      <c r="AD959" s="4">
        <v>250.01527999999999</v>
      </c>
      <c r="AE959" s="1">
        <v>477.5</v>
      </c>
      <c r="AF959" s="3">
        <v>88.575689999999994</v>
      </c>
      <c r="AG959" s="3">
        <f t="shared" si="129"/>
        <v>88.837179999999989</v>
      </c>
      <c r="AH959" s="1">
        <f t="shared" si="130"/>
        <v>0.19409383085482418</v>
      </c>
    </row>
    <row r="960" spans="23:34" x14ac:dyDescent="0.2">
      <c r="W960" s="4">
        <v>250.00398999999999</v>
      </c>
      <c r="X960" s="1">
        <v>478</v>
      </c>
      <c r="Y960" s="5">
        <v>78.073710000000005</v>
      </c>
      <c r="Z960" s="3">
        <f t="shared" si="128"/>
        <v>83.514540000000011</v>
      </c>
      <c r="AA960" s="1">
        <f t="shared" si="131"/>
        <v>0.2821602209550319</v>
      </c>
      <c r="AD960" s="4">
        <v>250.01515000000001</v>
      </c>
      <c r="AE960" s="1">
        <v>478</v>
      </c>
      <c r="AF960" s="5">
        <v>88.586920000000006</v>
      </c>
      <c r="AG960" s="3">
        <f t="shared" si="129"/>
        <v>88.848410000000001</v>
      </c>
      <c r="AH960" s="1">
        <f t="shared" si="130"/>
        <v>0.19390740010792024</v>
      </c>
    </row>
    <row r="961" spans="23:34" x14ac:dyDescent="0.2">
      <c r="W961" s="4">
        <v>250.00799000000001</v>
      </c>
      <c r="X961" s="1">
        <v>478.5</v>
      </c>
      <c r="Y961" s="3">
        <v>78.066159999999996</v>
      </c>
      <c r="Z961" s="3">
        <f t="shared" si="128"/>
        <v>83.506990000000002</v>
      </c>
      <c r="AA961" s="1">
        <f t="shared" si="131"/>
        <v>0.28228558623685168</v>
      </c>
      <c r="AD961" s="4">
        <v>250.01118</v>
      </c>
      <c r="AE961" s="1">
        <v>478.5</v>
      </c>
      <c r="AF961" s="3">
        <v>88.515280000000004</v>
      </c>
      <c r="AG961" s="3">
        <f t="shared" si="129"/>
        <v>88.776769999999999</v>
      </c>
      <c r="AH961" s="1">
        <f t="shared" si="130"/>
        <v>0.19509670542476654</v>
      </c>
    </row>
    <row r="962" spans="23:34" x14ac:dyDescent="0.2">
      <c r="W962" s="4">
        <v>250.00602000000001</v>
      </c>
      <c r="X962" s="1">
        <v>479</v>
      </c>
      <c r="Y962" s="5">
        <v>78.046800000000005</v>
      </c>
      <c r="Z962" s="3">
        <f t="shared" si="128"/>
        <v>83.48763000000001</v>
      </c>
      <c r="AA962" s="1">
        <f t="shared" si="131"/>
        <v>0.28260705270784864</v>
      </c>
      <c r="AD962" s="4">
        <v>250.01242999999999</v>
      </c>
      <c r="AE962" s="1">
        <v>479</v>
      </c>
      <c r="AF962" s="5">
        <v>88.57132</v>
      </c>
      <c r="AG962" s="3">
        <f t="shared" si="129"/>
        <v>88.832809999999995</v>
      </c>
      <c r="AH962" s="1">
        <f t="shared" si="130"/>
        <v>0.19416637781510629</v>
      </c>
    </row>
    <row r="963" spans="23:34" x14ac:dyDescent="0.2">
      <c r="W963" s="4">
        <v>250.00398999999999</v>
      </c>
      <c r="X963" s="1">
        <v>479.5</v>
      </c>
      <c r="Y963" s="3">
        <v>78.044889999999995</v>
      </c>
      <c r="Z963" s="3">
        <f t="shared" si="128"/>
        <v>83.485720000000001</v>
      </c>
      <c r="AA963" s="1">
        <f t="shared" si="131"/>
        <v>0.28263876763344825</v>
      </c>
      <c r="AD963" s="4">
        <v>250.01698999999999</v>
      </c>
      <c r="AE963" s="1">
        <v>479.5</v>
      </c>
      <c r="AF963" s="3">
        <v>88.680019999999999</v>
      </c>
      <c r="AG963" s="3">
        <f t="shared" si="129"/>
        <v>88.941509999999994</v>
      </c>
      <c r="AH963" s="1">
        <f t="shared" si="130"/>
        <v>0.19236183443234267</v>
      </c>
    </row>
    <row r="964" spans="23:34" x14ac:dyDescent="0.2">
      <c r="W964" s="4">
        <v>250.00397000000001</v>
      </c>
      <c r="X964" s="1">
        <v>480</v>
      </c>
      <c r="Y964" s="5">
        <v>78.039270000000002</v>
      </c>
      <c r="Z964" s="3">
        <f t="shared" si="128"/>
        <v>83.480100000000007</v>
      </c>
      <c r="AA964" s="1">
        <f t="shared" si="131"/>
        <v>0.28273208589620658</v>
      </c>
      <c r="AD964" s="4">
        <v>250.01656</v>
      </c>
      <c r="AE964" s="1">
        <v>480</v>
      </c>
      <c r="AF964" s="5">
        <v>88.651229999999998</v>
      </c>
      <c r="AG964" s="3">
        <f t="shared" si="129"/>
        <v>88.912719999999993</v>
      </c>
      <c r="AH964" s="1">
        <f t="shared" si="130"/>
        <v>0.19283978111118139</v>
      </c>
    </row>
    <row r="965" spans="23:34" x14ac:dyDescent="0.2">
      <c r="W965" s="4">
        <v>250.00504000000001</v>
      </c>
      <c r="X965" s="1">
        <v>480.5</v>
      </c>
      <c r="Y965" s="3">
        <v>78.018299999999996</v>
      </c>
      <c r="Z965" s="3">
        <f t="shared" ref="Z965:Z1028" si="132">100-($Y$4-Y965)</f>
        <v>83.459130000000002</v>
      </c>
      <c r="AA965" s="1">
        <f t="shared" si="131"/>
        <v>0.28308028589087658</v>
      </c>
      <c r="AD965" s="4">
        <v>250.01617999999999</v>
      </c>
      <c r="AE965" s="1">
        <v>480.5</v>
      </c>
      <c r="AF965" s="3">
        <v>88.573859999999996</v>
      </c>
      <c r="AG965" s="3">
        <f t="shared" ref="AG965:AG1028" si="133">100-($AF$4-AF965)</f>
        <v>88.835349999999991</v>
      </c>
      <c r="AH965" s="1">
        <f t="shared" si="130"/>
        <v>0.19412421093201326</v>
      </c>
    </row>
    <row r="966" spans="23:34" x14ac:dyDescent="0.2">
      <c r="W966" s="4">
        <v>250.00693999999999</v>
      </c>
      <c r="X966" s="1">
        <v>481</v>
      </c>
      <c r="Y966" s="5">
        <v>78.006590000000003</v>
      </c>
      <c r="Z966" s="3">
        <f t="shared" si="132"/>
        <v>83.447420000000008</v>
      </c>
      <c r="AA966" s="1">
        <f t="shared" si="131"/>
        <v>0.28327472661274511</v>
      </c>
      <c r="AD966" s="4">
        <v>250.01741000000001</v>
      </c>
      <c r="AE966" s="1">
        <v>481</v>
      </c>
      <c r="AF966" s="5">
        <v>88.570899999999995</v>
      </c>
      <c r="AG966" s="3">
        <f t="shared" si="133"/>
        <v>88.83238999999999</v>
      </c>
      <c r="AH966" s="1">
        <f t="shared" si="130"/>
        <v>0.19417335029183833</v>
      </c>
    </row>
    <row r="967" spans="23:34" x14ac:dyDescent="0.2">
      <c r="W967" s="4">
        <v>250.00597999999999</v>
      </c>
      <c r="X967" s="1">
        <v>481.5</v>
      </c>
      <c r="Y967" s="3">
        <v>78.014089999999996</v>
      </c>
      <c r="Z967" s="3">
        <f t="shared" si="132"/>
        <v>83.454920000000001</v>
      </c>
      <c r="AA967" s="1">
        <f t="shared" si="131"/>
        <v>0.28315019156457999</v>
      </c>
      <c r="AD967" s="4">
        <v>250.01591999999999</v>
      </c>
      <c r="AE967" s="1">
        <v>481.5</v>
      </c>
      <c r="AF967" s="3">
        <v>88.639039999999994</v>
      </c>
      <c r="AG967" s="3">
        <f t="shared" si="133"/>
        <v>88.900529999999989</v>
      </c>
      <c r="AH967" s="1">
        <f t="shared" si="130"/>
        <v>0.19304214894775815</v>
      </c>
    </row>
    <row r="968" spans="23:34" x14ac:dyDescent="0.2">
      <c r="W968" s="4">
        <v>250.012</v>
      </c>
      <c r="X968" s="1">
        <v>482</v>
      </c>
      <c r="Y968" s="5">
        <v>78.000770000000003</v>
      </c>
      <c r="Z968" s="3">
        <f t="shared" si="132"/>
        <v>83.441600000000008</v>
      </c>
      <c r="AA968" s="1">
        <f t="shared" si="131"/>
        <v>0.28337136581012129</v>
      </c>
      <c r="AD968" s="4">
        <v>250.01590999999999</v>
      </c>
      <c r="AE968" s="1">
        <v>482</v>
      </c>
      <c r="AF968" s="5">
        <v>88.581890000000001</v>
      </c>
      <c r="AG968" s="3">
        <f t="shared" si="133"/>
        <v>88.843379999999996</v>
      </c>
      <c r="AH968" s="1">
        <f t="shared" si="130"/>
        <v>0.19399090381735273</v>
      </c>
    </row>
    <row r="969" spans="23:34" x14ac:dyDescent="0.2">
      <c r="W969" s="4">
        <v>250.01002</v>
      </c>
      <c r="X969" s="1">
        <v>482.5</v>
      </c>
      <c r="Y969" s="3">
        <v>77.983620000000002</v>
      </c>
      <c r="Z969" s="3">
        <f t="shared" si="132"/>
        <v>83.424450000000007</v>
      </c>
      <c r="AA969" s="1">
        <f t="shared" si="131"/>
        <v>0.28365613595359246</v>
      </c>
      <c r="AD969" s="4">
        <v>250.01704000000001</v>
      </c>
      <c r="AE969" s="1">
        <v>482.5</v>
      </c>
      <c r="AF969" s="3">
        <v>88.581789999999998</v>
      </c>
      <c r="AG969" s="3">
        <f t="shared" si="133"/>
        <v>88.843279999999993</v>
      </c>
      <c r="AH969" s="1">
        <f t="shared" si="130"/>
        <v>0.19399256393086037</v>
      </c>
    </row>
    <row r="970" spans="23:34" x14ac:dyDescent="0.2">
      <c r="W970" s="4">
        <v>250.01102</v>
      </c>
      <c r="X970" s="1">
        <v>483</v>
      </c>
      <c r="Y970" s="5">
        <v>77.976079999999996</v>
      </c>
      <c r="Z970" s="3">
        <f t="shared" si="132"/>
        <v>83.416910000000001</v>
      </c>
      <c r="AA970" s="1">
        <f t="shared" si="131"/>
        <v>0.28378133518868132</v>
      </c>
      <c r="AD970" s="4">
        <v>250.01429999999999</v>
      </c>
      <c r="AE970" s="1">
        <v>483</v>
      </c>
      <c r="AF970" s="5">
        <v>88.439080000000004</v>
      </c>
      <c r="AG970" s="3">
        <f t="shared" si="133"/>
        <v>88.700569999999999</v>
      </c>
      <c r="AH970" s="1">
        <f t="shared" ref="AH970:AH1033" si="134">($AG$9-AG970)/($AG$9*(1-$N$1))</f>
        <v>0.19636171191755944</v>
      </c>
    </row>
    <row r="971" spans="23:34" x14ac:dyDescent="0.2">
      <c r="W971" s="4">
        <v>250.00797</v>
      </c>
      <c r="X971" s="1">
        <v>483.5</v>
      </c>
      <c r="Y971" s="3">
        <v>77.968199999999996</v>
      </c>
      <c r="Z971" s="3">
        <f t="shared" si="132"/>
        <v>83.409030000000001</v>
      </c>
      <c r="AA971" s="1">
        <f t="shared" si="131"/>
        <v>0.2839121800126202</v>
      </c>
      <c r="AD971" s="4">
        <v>250.01271</v>
      </c>
      <c r="AE971" s="1">
        <v>483.5</v>
      </c>
      <c r="AF971" s="3">
        <v>88.576840000000004</v>
      </c>
      <c r="AG971" s="3">
        <f t="shared" si="133"/>
        <v>88.838329999999999</v>
      </c>
      <c r="AH971" s="1">
        <f t="shared" si="134"/>
        <v>0.19407473954948659</v>
      </c>
    </row>
    <row r="972" spans="23:34" x14ac:dyDescent="0.2">
      <c r="W972" s="4">
        <v>250.00103999999999</v>
      </c>
      <c r="X972" s="1">
        <v>484</v>
      </c>
      <c r="Y972" s="5">
        <v>77.949169999999995</v>
      </c>
      <c r="Z972" s="3">
        <f t="shared" si="132"/>
        <v>83.39</v>
      </c>
      <c r="AA972" s="1">
        <f t="shared" ref="AA972:AA1035" si="135">($Z$11-Z972)/($Z$11*(1-$N$1))</f>
        <v>0.28422816694149811</v>
      </c>
      <c r="AD972" s="4">
        <v>250.01393999999999</v>
      </c>
      <c r="AE972" s="1">
        <v>484</v>
      </c>
      <c r="AF972" s="5">
        <v>88.500259999999997</v>
      </c>
      <c r="AG972" s="3">
        <f t="shared" si="133"/>
        <v>88.761749999999992</v>
      </c>
      <c r="AH972" s="1">
        <f t="shared" si="134"/>
        <v>0.1953460544736085</v>
      </c>
    </row>
    <row r="973" spans="23:34" x14ac:dyDescent="0.2">
      <c r="W973" s="4">
        <v>250</v>
      </c>
      <c r="X973" s="1">
        <v>484.5</v>
      </c>
      <c r="Y973" s="3">
        <v>77.920249999999996</v>
      </c>
      <c r="Z973" s="3">
        <f t="shared" si="132"/>
        <v>83.361080000000001</v>
      </c>
      <c r="AA973" s="1">
        <f t="shared" si="135"/>
        <v>0.2847083740872231</v>
      </c>
      <c r="AD973" s="4">
        <v>250.01383999999999</v>
      </c>
      <c r="AE973" s="1">
        <v>484.5</v>
      </c>
      <c r="AF973" s="3">
        <v>88.529160000000005</v>
      </c>
      <c r="AG973" s="3">
        <f t="shared" si="133"/>
        <v>88.790649999999999</v>
      </c>
      <c r="AH973" s="1">
        <f t="shared" si="134"/>
        <v>0.19486628166991132</v>
      </c>
    </row>
    <row r="974" spans="23:34" x14ac:dyDescent="0.2">
      <c r="W974" s="4">
        <v>250.00201000000001</v>
      </c>
      <c r="X974" s="1">
        <v>485</v>
      </c>
      <c r="Y974" s="5">
        <v>77.926069999999996</v>
      </c>
      <c r="Z974" s="3">
        <f t="shared" si="132"/>
        <v>83.366900000000001</v>
      </c>
      <c r="AA974" s="1">
        <f t="shared" si="135"/>
        <v>0.28461173488984692</v>
      </c>
      <c r="AD974" s="4">
        <v>250.00933000000001</v>
      </c>
      <c r="AE974" s="1">
        <v>485</v>
      </c>
      <c r="AF974" s="5">
        <v>88.508510000000001</v>
      </c>
      <c r="AG974" s="3">
        <f t="shared" si="133"/>
        <v>88.77</v>
      </c>
      <c r="AH974" s="1">
        <f t="shared" si="134"/>
        <v>0.19520909510923126</v>
      </c>
    </row>
    <row r="975" spans="23:34" x14ac:dyDescent="0.2">
      <c r="W975" s="4">
        <v>250.00398999999999</v>
      </c>
      <c r="X975" s="1">
        <v>485.5</v>
      </c>
      <c r="Y975" s="3">
        <v>77.901060000000001</v>
      </c>
      <c r="Z975" s="3">
        <f t="shared" si="132"/>
        <v>83.341890000000006</v>
      </c>
      <c r="AA975" s="1">
        <f t="shared" si="135"/>
        <v>0.28502701776379508</v>
      </c>
      <c r="AD975" s="4">
        <v>250.00881000000001</v>
      </c>
      <c r="AE975" s="1">
        <v>485.5</v>
      </c>
      <c r="AF975" s="3">
        <v>88.482299999999995</v>
      </c>
      <c r="AG975" s="3">
        <f t="shared" si="133"/>
        <v>88.74378999999999</v>
      </c>
      <c r="AH975" s="1">
        <f t="shared" si="134"/>
        <v>0.1956442108595739</v>
      </c>
    </row>
    <row r="976" spans="23:34" x14ac:dyDescent="0.2">
      <c r="W976" s="4">
        <v>250.00595000000001</v>
      </c>
      <c r="X976" s="1">
        <v>486</v>
      </c>
      <c r="Y976" s="5">
        <v>77.902950000000004</v>
      </c>
      <c r="Z976" s="3">
        <f t="shared" si="132"/>
        <v>83.34378000000001</v>
      </c>
      <c r="AA976" s="1">
        <f t="shared" si="135"/>
        <v>0.28499563493165742</v>
      </c>
      <c r="AD976" s="4">
        <v>250.01384999999999</v>
      </c>
      <c r="AE976" s="1">
        <v>486</v>
      </c>
      <c r="AF976" s="5">
        <v>88.483329999999995</v>
      </c>
      <c r="AG976" s="3">
        <f t="shared" si="133"/>
        <v>88.74481999999999</v>
      </c>
      <c r="AH976" s="1">
        <f t="shared" si="134"/>
        <v>0.19562711169044561</v>
      </c>
    </row>
    <row r="977" spans="23:34" x14ac:dyDescent="0.2">
      <c r="W977" s="4">
        <v>250.01000999999999</v>
      </c>
      <c r="X977" s="1">
        <v>486.5</v>
      </c>
      <c r="Y977" s="3">
        <v>77.905060000000006</v>
      </c>
      <c r="Z977" s="3">
        <f t="shared" si="132"/>
        <v>83.345890000000011</v>
      </c>
      <c r="AA977" s="1">
        <f t="shared" si="135"/>
        <v>0.28496059907144022</v>
      </c>
      <c r="AD977" s="4">
        <v>250.01292000000001</v>
      </c>
      <c r="AE977" s="1">
        <v>486.5</v>
      </c>
      <c r="AF977" s="3">
        <v>88.412530000000004</v>
      </c>
      <c r="AG977" s="3">
        <f t="shared" si="133"/>
        <v>88.674019999999999</v>
      </c>
      <c r="AH977" s="1">
        <f t="shared" si="134"/>
        <v>0.19680247205382784</v>
      </c>
    </row>
    <row r="978" spans="23:34" x14ac:dyDescent="0.2">
      <c r="W978" s="4">
        <v>250.00704999999999</v>
      </c>
      <c r="X978" s="1">
        <v>487</v>
      </c>
      <c r="Y978" s="5">
        <v>77.889690000000002</v>
      </c>
      <c r="Z978" s="3">
        <f t="shared" si="132"/>
        <v>83.330520000000007</v>
      </c>
      <c r="AA978" s="1">
        <f t="shared" si="135"/>
        <v>0.28521581289681353</v>
      </c>
      <c r="AD978" s="4">
        <v>250.01482999999999</v>
      </c>
      <c r="AE978" s="1">
        <v>487</v>
      </c>
      <c r="AF978" s="5">
        <v>88.521010000000004</v>
      </c>
      <c r="AG978" s="3">
        <f t="shared" si="133"/>
        <v>88.782499999999999</v>
      </c>
      <c r="AH978" s="1">
        <f t="shared" si="134"/>
        <v>0.19500158092078093</v>
      </c>
    </row>
    <row r="979" spans="23:34" x14ac:dyDescent="0.2">
      <c r="W979" s="4">
        <v>250.006</v>
      </c>
      <c r="X979" s="1">
        <v>487.5</v>
      </c>
      <c r="Y979" s="3">
        <v>77.876090000000005</v>
      </c>
      <c r="Z979" s="3">
        <f t="shared" si="132"/>
        <v>83.31692000000001</v>
      </c>
      <c r="AA979" s="1">
        <f t="shared" si="135"/>
        <v>0.28544163645081971</v>
      </c>
      <c r="AD979" s="4">
        <v>250.01598999999999</v>
      </c>
      <c r="AE979" s="1">
        <v>487.5</v>
      </c>
      <c r="AF979" s="3">
        <v>88.352549999999994</v>
      </c>
      <c r="AG979" s="3">
        <f t="shared" si="133"/>
        <v>88.614039999999989</v>
      </c>
      <c r="AH979" s="1">
        <f t="shared" si="134"/>
        <v>0.19779820813568783</v>
      </c>
    </row>
    <row r="980" spans="23:34" x14ac:dyDescent="0.2">
      <c r="W980" s="4">
        <v>250.00704999999999</v>
      </c>
      <c r="X980" s="1">
        <v>488</v>
      </c>
      <c r="Y980" s="5">
        <v>77.880080000000007</v>
      </c>
      <c r="Z980" s="3">
        <f t="shared" si="132"/>
        <v>83.320910000000012</v>
      </c>
      <c r="AA980" s="1">
        <f t="shared" si="135"/>
        <v>0.28537538380519578</v>
      </c>
      <c r="AD980" s="4">
        <v>250.01824999999999</v>
      </c>
      <c r="AE980" s="1">
        <v>488</v>
      </c>
      <c r="AF980" s="5">
        <v>88.485259999999997</v>
      </c>
      <c r="AG980" s="3">
        <f t="shared" si="133"/>
        <v>88.746749999999992</v>
      </c>
      <c r="AH980" s="1">
        <f t="shared" si="134"/>
        <v>0.19559507149974886</v>
      </c>
    </row>
    <row r="981" spans="23:34" x14ac:dyDescent="0.2">
      <c r="W981" s="4">
        <v>250.00299999999999</v>
      </c>
      <c r="X981" s="1">
        <v>488.5</v>
      </c>
      <c r="Y981" s="3">
        <v>77.853070000000002</v>
      </c>
      <c r="Z981" s="3">
        <f t="shared" si="132"/>
        <v>83.293900000000008</v>
      </c>
      <c r="AA981" s="1">
        <f t="shared" si="135"/>
        <v>0.2858238760253215</v>
      </c>
      <c r="AD981" s="4">
        <v>250.02135999999999</v>
      </c>
      <c r="AE981" s="1">
        <v>488.5</v>
      </c>
      <c r="AF981" s="3">
        <v>88.421319999999994</v>
      </c>
      <c r="AG981" s="3">
        <f t="shared" si="133"/>
        <v>88.682809999999989</v>
      </c>
      <c r="AH981" s="1">
        <f t="shared" si="134"/>
        <v>0.19665654807650976</v>
      </c>
    </row>
    <row r="982" spans="23:34" x14ac:dyDescent="0.2">
      <c r="W982" s="4">
        <v>250.00896</v>
      </c>
      <c r="X982" s="1">
        <v>489</v>
      </c>
      <c r="Y982" s="5">
        <v>77.841759999999994</v>
      </c>
      <c r="Z982" s="3">
        <f t="shared" si="132"/>
        <v>83.282589999999999</v>
      </c>
      <c r="AA982" s="1">
        <f t="shared" si="135"/>
        <v>0.28601167487795481</v>
      </c>
      <c r="AD982" s="4">
        <v>250.01705000000001</v>
      </c>
      <c r="AE982" s="1">
        <v>489</v>
      </c>
      <c r="AF982" s="5">
        <v>88.383269999999996</v>
      </c>
      <c r="AG982" s="3">
        <f t="shared" si="133"/>
        <v>88.644759999999991</v>
      </c>
      <c r="AH982" s="1">
        <f t="shared" si="134"/>
        <v>0.19728822126615239</v>
      </c>
    </row>
    <row r="983" spans="23:34" x14ac:dyDescent="0.2">
      <c r="W983" s="4">
        <v>250.01104000000001</v>
      </c>
      <c r="X983" s="1">
        <v>489.5</v>
      </c>
      <c r="Y983" s="3">
        <v>77.839690000000004</v>
      </c>
      <c r="Z983" s="3">
        <f t="shared" si="132"/>
        <v>83.28052000000001</v>
      </c>
      <c r="AA983" s="1">
        <f t="shared" si="135"/>
        <v>0.28604604655124821</v>
      </c>
      <c r="AD983" s="4">
        <v>250.01564999999999</v>
      </c>
      <c r="AE983" s="1">
        <v>489.5</v>
      </c>
      <c r="AF983" s="3">
        <v>88.319730000000007</v>
      </c>
      <c r="AG983" s="3">
        <f t="shared" si="133"/>
        <v>88.581220000000002</v>
      </c>
      <c r="AH983" s="1">
        <f t="shared" si="134"/>
        <v>0.19834305738888267</v>
      </c>
    </row>
    <row r="984" spans="23:34" x14ac:dyDescent="0.2">
      <c r="W984" s="4">
        <v>250.00996000000001</v>
      </c>
      <c r="X984" s="1">
        <v>490</v>
      </c>
      <c r="Y984" s="5">
        <v>77.83587</v>
      </c>
      <c r="Z984" s="3">
        <f t="shared" si="132"/>
        <v>83.276700000000005</v>
      </c>
      <c r="AA984" s="1">
        <f t="shared" si="135"/>
        <v>0.2861094764024471</v>
      </c>
      <c r="AD984" s="4">
        <v>250.01446000000001</v>
      </c>
      <c r="AE984" s="1">
        <v>490</v>
      </c>
      <c r="AF984" s="5">
        <v>88.344250000000002</v>
      </c>
      <c r="AG984" s="3">
        <f t="shared" si="133"/>
        <v>88.605739999999997</v>
      </c>
      <c r="AH984" s="1">
        <f t="shared" si="134"/>
        <v>0.19793599755681868</v>
      </c>
    </row>
    <row r="985" spans="23:34" x14ac:dyDescent="0.2">
      <c r="W985" s="4">
        <v>250.00299999999999</v>
      </c>
      <c r="X985" s="1">
        <v>490.5</v>
      </c>
      <c r="Y985" s="3">
        <v>77.811049999999994</v>
      </c>
      <c r="Z985" s="3">
        <f t="shared" si="132"/>
        <v>83.25188</v>
      </c>
      <c r="AA985" s="1">
        <f t="shared" si="135"/>
        <v>0.2865216043885086</v>
      </c>
      <c r="AD985" s="4">
        <v>250.01499999999999</v>
      </c>
      <c r="AE985" s="1">
        <v>490.5</v>
      </c>
      <c r="AF985" s="3">
        <v>88.544380000000004</v>
      </c>
      <c r="AG985" s="3">
        <f t="shared" si="133"/>
        <v>88.805869999999999</v>
      </c>
      <c r="AH985" s="1">
        <f t="shared" si="134"/>
        <v>0.19461361239405428</v>
      </c>
    </row>
    <row r="986" spans="23:34" x14ac:dyDescent="0.2">
      <c r="W986" s="4">
        <v>250.00002000000001</v>
      </c>
      <c r="X986" s="1">
        <v>491</v>
      </c>
      <c r="Y986" s="5">
        <v>77.811000000000007</v>
      </c>
      <c r="Z986" s="3">
        <f t="shared" si="132"/>
        <v>83.251830000000012</v>
      </c>
      <c r="AA986" s="1">
        <f t="shared" si="135"/>
        <v>0.28652243462216281</v>
      </c>
      <c r="AD986" s="4">
        <v>250.01517999999999</v>
      </c>
      <c r="AE986" s="1">
        <v>491</v>
      </c>
      <c r="AF986" s="5">
        <v>88.301959999999994</v>
      </c>
      <c r="AG986" s="3">
        <f t="shared" si="133"/>
        <v>88.563449999999989</v>
      </c>
      <c r="AH986" s="1">
        <f t="shared" si="134"/>
        <v>0.19863805955918382</v>
      </c>
    </row>
    <row r="987" spans="23:34" x14ac:dyDescent="0.2">
      <c r="W987" s="4">
        <v>249.99994000000001</v>
      </c>
      <c r="X987" s="1">
        <v>491.5</v>
      </c>
      <c r="Y987" s="3">
        <v>77.799570000000003</v>
      </c>
      <c r="Z987" s="3">
        <f t="shared" si="132"/>
        <v>83.240400000000008</v>
      </c>
      <c r="AA987" s="1">
        <f t="shared" si="135"/>
        <v>0.28671222603556668</v>
      </c>
      <c r="AD987" s="4">
        <v>250.01310000000001</v>
      </c>
      <c r="AE987" s="1">
        <v>491.5</v>
      </c>
      <c r="AF987" s="3">
        <v>88.391559999999998</v>
      </c>
      <c r="AG987" s="3">
        <f t="shared" si="133"/>
        <v>88.653049999999993</v>
      </c>
      <c r="AH987" s="1">
        <f t="shared" si="134"/>
        <v>0.19715059785637212</v>
      </c>
    </row>
    <row r="988" spans="23:34" x14ac:dyDescent="0.2">
      <c r="W988" s="4">
        <v>250.00402</v>
      </c>
      <c r="X988" s="1">
        <v>492</v>
      </c>
      <c r="Y988" s="5">
        <v>77.788060000000002</v>
      </c>
      <c r="Z988" s="3">
        <f t="shared" si="132"/>
        <v>83.228890000000007</v>
      </c>
      <c r="AA988" s="1">
        <f t="shared" si="135"/>
        <v>0.28690334582281757</v>
      </c>
      <c r="AD988" s="4">
        <v>250.01528999999999</v>
      </c>
      <c r="AE988" s="1">
        <v>492</v>
      </c>
      <c r="AF988" s="5">
        <v>88.304450000000003</v>
      </c>
      <c r="AG988" s="3">
        <f t="shared" si="133"/>
        <v>88.565939999999998</v>
      </c>
      <c r="AH988" s="1">
        <f t="shared" si="134"/>
        <v>0.19859672273284437</v>
      </c>
    </row>
    <row r="989" spans="23:34" x14ac:dyDescent="0.2">
      <c r="W989" s="4">
        <v>250.00897000000001</v>
      </c>
      <c r="X989" s="1">
        <v>492.5</v>
      </c>
      <c r="Y989" s="3">
        <v>77.780389999999997</v>
      </c>
      <c r="Z989" s="3">
        <f t="shared" si="132"/>
        <v>83.221220000000002</v>
      </c>
      <c r="AA989" s="1">
        <f t="shared" si="135"/>
        <v>0.28703070366540795</v>
      </c>
      <c r="AD989" s="4">
        <v>250.01546999999999</v>
      </c>
      <c r="AE989" s="1">
        <v>492.5</v>
      </c>
      <c r="AF989" s="3">
        <v>88.323049999999995</v>
      </c>
      <c r="AG989" s="3">
        <f t="shared" si="133"/>
        <v>88.58453999999999</v>
      </c>
      <c r="AH989" s="1">
        <f t="shared" si="134"/>
        <v>0.19828794162043048</v>
      </c>
    </row>
    <row r="990" spans="23:34" x14ac:dyDescent="0.2">
      <c r="W990" s="4">
        <v>250.00701000000001</v>
      </c>
      <c r="X990" s="1">
        <v>493</v>
      </c>
      <c r="Y990" s="5">
        <v>77.768730000000005</v>
      </c>
      <c r="Z990" s="3">
        <f t="shared" si="132"/>
        <v>83.20956000000001</v>
      </c>
      <c r="AA990" s="1">
        <f t="shared" si="135"/>
        <v>0.28722431415362198</v>
      </c>
      <c r="AD990" s="4">
        <v>250.01718</v>
      </c>
      <c r="AE990" s="1">
        <v>493</v>
      </c>
      <c r="AF990" s="5">
        <v>88.376930000000002</v>
      </c>
      <c r="AG990" s="3">
        <f t="shared" si="133"/>
        <v>88.638419999999996</v>
      </c>
      <c r="AH990" s="1">
        <f t="shared" si="134"/>
        <v>0.19739347246253428</v>
      </c>
    </row>
    <row r="991" spans="23:34" x14ac:dyDescent="0.2">
      <c r="W991" s="4">
        <v>250.00599</v>
      </c>
      <c r="X991" s="1">
        <v>493.5</v>
      </c>
      <c r="Y991" s="3">
        <v>77.741919999999993</v>
      </c>
      <c r="Z991" s="3">
        <f t="shared" si="132"/>
        <v>83.182749999999999</v>
      </c>
      <c r="AA991" s="1">
        <f t="shared" si="135"/>
        <v>0.28766948543913007</v>
      </c>
      <c r="AD991" s="4">
        <v>250.01739000000001</v>
      </c>
      <c r="AE991" s="1">
        <v>493.5</v>
      </c>
      <c r="AF991" s="3">
        <v>88.425179999999997</v>
      </c>
      <c r="AG991" s="3">
        <f t="shared" si="133"/>
        <v>88.686669999999992</v>
      </c>
      <c r="AH991" s="1">
        <f t="shared" si="134"/>
        <v>0.19659246769511626</v>
      </c>
    </row>
    <row r="992" spans="23:34" x14ac:dyDescent="0.2">
      <c r="W992" s="4">
        <v>250.00896</v>
      </c>
      <c r="X992" s="1">
        <v>494</v>
      </c>
      <c r="Y992" s="5">
        <v>77.74776</v>
      </c>
      <c r="Z992" s="3">
        <f t="shared" si="132"/>
        <v>83.188590000000005</v>
      </c>
      <c r="AA992" s="1">
        <f t="shared" si="135"/>
        <v>0.28757251414829199</v>
      </c>
      <c r="AD992" s="4">
        <v>250.01918000000001</v>
      </c>
      <c r="AE992" s="1">
        <v>494</v>
      </c>
      <c r="AF992" s="5">
        <v>88.364779999999996</v>
      </c>
      <c r="AG992" s="3">
        <f t="shared" si="133"/>
        <v>88.626269999999991</v>
      </c>
      <c r="AH992" s="1">
        <f t="shared" si="134"/>
        <v>0.19759517625370804</v>
      </c>
    </row>
    <row r="993" spans="23:34" x14ac:dyDescent="0.2">
      <c r="W993" s="4">
        <v>250.00398000000001</v>
      </c>
      <c r="X993" s="1">
        <v>494.5</v>
      </c>
      <c r="Y993" s="3">
        <v>77.736159999999998</v>
      </c>
      <c r="Z993" s="3">
        <f t="shared" si="132"/>
        <v>83.176990000000004</v>
      </c>
      <c r="AA993" s="1">
        <f t="shared" si="135"/>
        <v>0.28776512835612089</v>
      </c>
      <c r="AD993" s="4">
        <v>250.01965000000001</v>
      </c>
      <c r="AE993" s="1">
        <v>494.5</v>
      </c>
      <c r="AF993" s="3">
        <v>88.306020000000004</v>
      </c>
      <c r="AG993" s="3">
        <f t="shared" si="133"/>
        <v>88.567509999999999</v>
      </c>
      <c r="AH993" s="1">
        <f t="shared" si="134"/>
        <v>0.198570658950775</v>
      </c>
    </row>
    <row r="994" spans="23:34" x14ac:dyDescent="0.2">
      <c r="W994" s="4">
        <v>250.00506999999999</v>
      </c>
      <c r="X994" s="1">
        <v>495</v>
      </c>
      <c r="Y994" s="5">
        <v>77.730440000000002</v>
      </c>
      <c r="Z994" s="3">
        <f t="shared" si="132"/>
        <v>83.171270000000007</v>
      </c>
      <c r="AA994" s="1">
        <f t="shared" si="135"/>
        <v>0.28786010708618814</v>
      </c>
      <c r="AD994" s="4">
        <v>250.01546999999999</v>
      </c>
      <c r="AE994" s="1">
        <v>495</v>
      </c>
      <c r="AF994" s="5">
        <v>88.327370000000002</v>
      </c>
      <c r="AG994" s="3">
        <f t="shared" si="133"/>
        <v>88.588859999999997</v>
      </c>
      <c r="AH994" s="1">
        <f t="shared" si="134"/>
        <v>0.19821622471690195</v>
      </c>
    </row>
    <row r="995" spans="23:34" x14ac:dyDescent="0.2">
      <c r="W995" s="4">
        <v>250.00702000000001</v>
      </c>
      <c r="X995" s="1">
        <v>495.5</v>
      </c>
      <c r="Y995" s="3">
        <v>77.719070000000002</v>
      </c>
      <c r="Z995" s="3">
        <f t="shared" si="132"/>
        <v>83.159900000000007</v>
      </c>
      <c r="AA995" s="1">
        <f t="shared" si="135"/>
        <v>0.28804890221920659</v>
      </c>
      <c r="AD995" s="4">
        <v>250.01882000000001</v>
      </c>
      <c r="AE995" s="1">
        <v>495.5</v>
      </c>
      <c r="AF995" s="3">
        <v>88.360669999999999</v>
      </c>
      <c r="AG995" s="3">
        <f t="shared" si="133"/>
        <v>88.622159999999994</v>
      </c>
      <c r="AH995" s="1">
        <f t="shared" si="134"/>
        <v>0.19766340691887044</v>
      </c>
    </row>
    <row r="996" spans="23:34" x14ac:dyDescent="0.2">
      <c r="W996" s="4">
        <v>250.00403</v>
      </c>
      <c r="X996" s="1">
        <v>496</v>
      </c>
      <c r="Y996" s="5">
        <v>77.723020000000005</v>
      </c>
      <c r="Z996" s="3">
        <f t="shared" si="132"/>
        <v>83.163850000000011</v>
      </c>
      <c r="AA996" s="1">
        <f t="shared" si="135"/>
        <v>0.28798331376050618</v>
      </c>
      <c r="AD996" s="4">
        <v>250.01688999999999</v>
      </c>
      <c r="AE996" s="1">
        <v>496</v>
      </c>
      <c r="AF996" s="5">
        <v>88.33681</v>
      </c>
      <c r="AG996" s="3">
        <f t="shared" si="133"/>
        <v>88.598299999999995</v>
      </c>
      <c r="AH996" s="1">
        <f t="shared" si="134"/>
        <v>0.19805951000178432</v>
      </c>
    </row>
    <row r="997" spans="23:34" x14ac:dyDescent="0.2">
      <c r="W997" s="4">
        <v>249.99700000000001</v>
      </c>
      <c r="X997" s="1">
        <v>496.5</v>
      </c>
      <c r="Y997" s="3">
        <v>77.707419999999999</v>
      </c>
      <c r="Z997" s="3">
        <f t="shared" si="132"/>
        <v>83.148250000000004</v>
      </c>
      <c r="AA997" s="1">
        <f t="shared" si="135"/>
        <v>0.28824234666068993</v>
      </c>
      <c r="AD997" s="4">
        <v>250.01401999999999</v>
      </c>
      <c r="AE997" s="1">
        <v>496.5</v>
      </c>
      <c r="AF997" s="3">
        <v>88.313469999999995</v>
      </c>
      <c r="AG997" s="3">
        <f t="shared" si="133"/>
        <v>88.57495999999999</v>
      </c>
      <c r="AH997" s="1">
        <f t="shared" si="134"/>
        <v>0.19844698049445877</v>
      </c>
    </row>
    <row r="998" spans="23:34" x14ac:dyDescent="0.2">
      <c r="W998" s="4">
        <v>250.00101000000001</v>
      </c>
      <c r="X998" s="1">
        <v>497</v>
      </c>
      <c r="Y998" s="5">
        <v>77.707490000000007</v>
      </c>
      <c r="Z998" s="3">
        <f t="shared" si="132"/>
        <v>83.148320000000012</v>
      </c>
      <c r="AA998" s="1">
        <f t="shared" si="135"/>
        <v>0.2882411843335736</v>
      </c>
      <c r="AD998" s="4">
        <v>250.01504</v>
      </c>
      <c r="AE998" s="1">
        <v>497</v>
      </c>
      <c r="AF998" s="5">
        <v>88.246970000000005</v>
      </c>
      <c r="AG998" s="3">
        <f t="shared" si="133"/>
        <v>88.508459999999999</v>
      </c>
      <c r="AH998" s="1">
        <f t="shared" si="134"/>
        <v>0.19955095597701411</v>
      </c>
    </row>
    <row r="999" spans="23:34" x14ac:dyDescent="0.2">
      <c r="W999" s="4">
        <v>250.00003000000001</v>
      </c>
      <c r="X999" s="1">
        <v>497.5</v>
      </c>
      <c r="Y999" s="3">
        <v>77.686359999999993</v>
      </c>
      <c r="Z999" s="3">
        <f t="shared" si="132"/>
        <v>83.127189999999999</v>
      </c>
      <c r="AA999" s="1">
        <f t="shared" si="135"/>
        <v>0.28859204107593794</v>
      </c>
      <c r="AD999" s="4">
        <v>250.01722000000001</v>
      </c>
      <c r="AE999" s="1">
        <v>497.5</v>
      </c>
      <c r="AF999" s="3">
        <v>88.235420000000005</v>
      </c>
      <c r="AG999" s="3">
        <f t="shared" si="133"/>
        <v>88.49691</v>
      </c>
      <c r="AH999" s="1">
        <f t="shared" si="134"/>
        <v>0.19974269908714215</v>
      </c>
    </row>
    <row r="1000" spans="23:34" x14ac:dyDescent="0.2">
      <c r="W1000" s="4">
        <v>250.00603000000001</v>
      </c>
      <c r="X1000" s="1">
        <v>498</v>
      </c>
      <c r="Y1000" s="5">
        <v>77.695930000000004</v>
      </c>
      <c r="Z1000" s="3">
        <f t="shared" si="132"/>
        <v>83.13676000000001</v>
      </c>
      <c r="AA1000" s="1">
        <f t="shared" si="135"/>
        <v>0.28843313435447898</v>
      </c>
      <c r="AD1000" s="4">
        <v>250.01536999999999</v>
      </c>
      <c r="AE1000" s="1">
        <v>498</v>
      </c>
      <c r="AF1000" s="5">
        <v>88.270129999999995</v>
      </c>
      <c r="AG1000" s="3">
        <f t="shared" si="133"/>
        <v>88.53161999999999</v>
      </c>
      <c r="AH1000" s="1">
        <f t="shared" si="134"/>
        <v>0.19916647368865359</v>
      </c>
    </row>
    <row r="1001" spans="23:34" x14ac:dyDescent="0.2">
      <c r="W1001" s="4">
        <v>250.006</v>
      </c>
      <c r="X1001" s="1">
        <v>498.5</v>
      </c>
      <c r="Y1001" s="3">
        <v>77.670969999999997</v>
      </c>
      <c r="Z1001" s="3">
        <f t="shared" si="132"/>
        <v>83.111800000000002</v>
      </c>
      <c r="AA1001" s="1">
        <f t="shared" si="135"/>
        <v>0.28884758699477292</v>
      </c>
      <c r="AD1001" s="4">
        <v>250.01903999999999</v>
      </c>
      <c r="AE1001" s="1">
        <v>498.5</v>
      </c>
      <c r="AF1001" s="3">
        <v>88.227170000000001</v>
      </c>
      <c r="AG1001" s="3">
        <f t="shared" si="133"/>
        <v>88.488659999999996</v>
      </c>
      <c r="AH1001" s="1">
        <f t="shared" si="134"/>
        <v>0.19987965845151942</v>
      </c>
    </row>
    <row r="1002" spans="23:34" x14ac:dyDescent="0.2">
      <c r="W1002" s="4">
        <v>250.00497999999999</v>
      </c>
      <c r="X1002" s="1">
        <v>499</v>
      </c>
      <c r="Y1002" s="5">
        <v>77.651719999999997</v>
      </c>
      <c r="Z1002" s="3">
        <f t="shared" si="132"/>
        <v>83.092550000000003</v>
      </c>
      <c r="AA1002" s="1">
        <f t="shared" si="135"/>
        <v>0.28916722695173025</v>
      </c>
      <c r="AD1002" s="4">
        <v>250.01952</v>
      </c>
      <c r="AE1002" s="1">
        <v>499</v>
      </c>
      <c r="AF1002" s="5">
        <v>88.192620000000005</v>
      </c>
      <c r="AG1002" s="3">
        <f t="shared" si="133"/>
        <v>88.45411</v>
      </c>
      <c r="AH1002" s="1">
        <f t="shared" si="134"/>
        <v>0.20045322766839591</v>
      </c>
    </row>
    <row r="1003" spans="23:34" x14ac:dyDescent="0.2">
      <c r="W1003" s="4">
        <v>250.01101</v>
      </c>
      <c r="X1003" s="1">
        <v>499.5</v>
      </c>
      <c r="Y1003" s="3">
        <v>77.653679999999994</v>
      </c>
      <c r="Z1003" s="3">
        <f t="shared" si="132"/>
        <v>83.09451</v>
      </c>
      <c r="AA1003" s="1">
        <f t="shared" si="135"/>
        <v>0.28913468179247648</v>
      </c>
      <c r="AD1003" s="4">
        <v>250.01723999999999</v>
      </c>
      <c r="AE1003" s="1">
        <v>499.5</v>
      </c>
      <c r="AF1003" s="3">
        <v>88.301259999999999</v>
      </c>
      <c r="AG1003" s="3">
        <f t="shared" si="133"/>
        <v>88.562749999999994</v>
      </c>
      <c r="AH1003" s="1">
        <f t="shared" si="134"/>
        <v>0.19864968035373695</v>
      </c>
    </row>
    <row r="1004" spans="23:34" x14ac:dyDescent="0.2">
      <c r="W1004" s="4">
        <v>250.00300999999999</v>
      </c>
      <c r="X1004" s="1">
        <v>500</v>
      </c>
      <c r="Y1004" s="5">
        <v>77.634450000000001</v>
      </c>
      <c r="Z1004" s="3">
        <f t="shared" si="132"/>
        <v>83.075280000000006</v>
      </c>
      <c r="AA1004" s="1">
        <f t="shared" si="135"/>
        <v>0.28945398965597197</v>
      </c>
      <c r="AD1004" s="4">
        <v>250.01703000000001</v>
      </c>
      <c r="AE1004" s="1">
        <v>500</v>
      </c>
      <c r="AF1004" s="5">
        <v>88.278570000000002</v>
      </c>
      <c r="AG1004" s="3">
        <f t="shared" si="133"/>
        <v>88.540059999999997</v>
      </c>
      <c r="AH1004" s="1">
        <f t="shared" si="134"/>
        <v>0.19902636010861186</v>
      </c>
    </row>
    <row r="1005" spans="23:34" x14ac:dyDescent="0.2">
      <c r="W1005" s="4">
        <v>250.00596999999999</v>
      </c>
      <c r="X1005" s="1">
        <v>500.5</v>
      </c>
      <c r="Y1005" s="3">
        <v>77.630570000000006</v>
      </c>
      <c r="Z1005" s="3">
        <f t="shared" si="132"/>
        <v>83.071400000000011</v>
      </c>
      <c r="AA1005" s="1">
        <f t="shared" si="135"/>
        <v>0.28951841578755599</v>
      </c>
      <c r="AD1005" s="4">
        <v>250.01714999999999</v>
      </c>
      <c r="AE1005" s="1">
        <v>500.5</v>
      </c>
      <c r="AF1005" s="3">
        <v>88.140079999999998</v>
      </c>
      <c r="AG1005" s="3">
        <f t="shared" si="133"/>
        <v>88.401569999999992</v>
      </c>
      <c r="AH1005" s="1">
        <f t="shared" si="134"/>
        <v>0.20132545130529025</v>
      </c>
    </row>
    <row r="1006" spans="23:34" x14ac:dyDescent="0.2">
      <c r="W1006" s="4">
        <v>250.00895</v>
      </c>
      <c r="X1006" s="1">
        <v>501</v>
      </c>
      <c r="Y1006" s="5">
        <v>77.627129999999994</v>
      </c>
      <c r="Z1006" s="3">
        <f t="shared" si="132"/>
        <v>83.067959999999999</v>
      </c>
      <c r="AA1006" s="1">
        <f t="shared" si="135"/>
        <v>0.28957553586298129</v>
      </c>
      <c r="AD1006" s="4">
        <v>250.01808</v>
      </c>
      <c r="AE1006" s="1">
        <v>501</v>
      </c>
      <c r="AF1006" s="5">
        <v>88.239080000000001</v>
      </c>
      <c r="AG1006" s="3">
        <f t="shared" si="133"/>
        <v>88.500569999999996</v>
      </c>
      <c r="AH1006" s="1">
        <f t="shared" si="134"/>
        <v>0.19968193893276398</v>
      </c>
    </row>
    <row r="1007" spans="23:34" x14ac:dyDescent="0.2">
      <c r="W1007" s="4">
        <v>250.00700000000001</v>
      </c>
      <c r="X1007" s="1">
        <v>501.5</v>
      </c>
      <c r="Y1007" s="3">
        <v>77.623050000000006</v>
      </c>
      <c r="Z1007" s="3">
        <f t="shared" si="132"/>
        <v>83.063880000000012</v>
      </c>
      <c r="AA1007" s="1">
        <f t="shared" si="135"/>
        <v>0.28964328292918301</v>
      </c>
      <c r="AD1007" s="4">
        <v>250.02180000000001</v>
      </c>
      <c r="AE1007" s="1">
        <v>501.5</v>
      </c>
      <c r="AF1007" s="3">
        <v>88.099090000000004</v>
      </c>
      <c r="AG1007" s="3">
        <f t="shared" si="133"/>
        <v>88.360579999999999</v>
      </c>
      <c r="AH1007" s="1">
        <f t="shared" si="134"/>
        <v>0.20200593183205631</v>
      </c>
    </row>
    <row r="1008" spans="23:34" x14ac:dyDescent="0.2">
      <c r="W1008" s="4">
        <v>250.00399999999999</v>
      </c>
      <c r="X1008" s="1">
        <v>502</v>
      </c>
      <c r="Y1008" s="5">
        <v>77.611720000000005</v>
      </c>
      <c r="Z1008" s="3">
        <f t="shared" si="132"/>
        <v>83.052550000000011</v>
      </c>
      <c r="AA1008" s="1">
        <f t="shared" si="135"/>
        <v>0.28983141387527789</v>
      </c>
      <c r="AD1008" s="4">
        <v>250.02178000000001</v>
      </c>
      <c r="AE1008" s="1">
        <v>502</v>
      </c>
      <c r="AF1008" s="5">
        <v>88.268960000000007</v>
      </c>
      <c r="AG1008" s="3">
        <f t="shared" si="133"/>
        <v>88.530450000000002</v>
      </c>
      <c r="AH1008" s="1">
        <f t="shared" si="134"/>
        <v>0.19918589701669234</v>
      </c>
    </row>
    <row r="1009" spans="23:34" x14ac:dyDescent="0.2">
      <c r="W1009" s="4">
        <v>250.00801999999999</v>
      </c>
      <c r="X1009" s="1">
        <v>502.5</v>
      </c>
      <c r="Y1009" s="3">
        <v>77.596239999999995</v>
      </c>
      <c r="Z1009" s="3">
        <f t="shared" si="132"/>
        <v>83.03707</v>
      </c>
      <c r="AA1009" s="1">
        <f t="shared" si="135"/>
        <v>0.29008845421469109</v>
      </c>
      <c r="AD1009" s="4">
        <v>250.01467</v>
      </c>
      <c r="AE1009" s="1">
        <v>502.5</v>
      </c>
      <c r="AF1009" s="3">
        <v>88.189409999999995</v>
      </c>
      <c r="AG1009" s="3">
        <f t="shared" si="133"/>
        <v>88.45089999999999</v>
      </c>
      <c r="AH1009" s="1">
        <f t="shared" si="134"/>
        <v>0.20050651731199012</v>
      </c>
    </row>
    <row r="1010" spans="23:34" x14ac:dyDescent="0.2">
      <c r="W1010" s="4">
        <v>250.00403</v>
      </c>
      <c r="X1010" s="1">
        <v>503</v>
      </c>
      <c r="Y1010" s="5">
        <v>77.599869999999996</v>
      </c>
      <c r="Z1010" s="3">
        <f t="shared" si="132"/>
        <v>83.040700000000001</v>
      </c>
      <c r="AA1010" s="1">
        <f t="shared" si="135"/>
        <v>0.29002817925137908</v>
      </c>
      <c r="AD1010" s="4">
        <v>250.01636999999999</v>
      </c>
      <c r="AE1010" s="1">
        <v>503</v>
      </c>
      <c r="AF1010" s="5">
        <v>88.134460000000004</v>
      </c>
      <c r="AG1010" s="3">
        <f t="shared" si="133"/>
        <v>88.395949999999999</v>
      </c>
      <c r="AH1010" s="1">
        <f t="shared" si="134"/>
        <v>0.20141874968441739</v>
      </c>
    </row>
    <row r="1011" spans="23:34" x14ac:dyDescent="0.2">
      <c r="W1011" s="4">
        <v>250.005</v>
      </c>
      <c r="X1011" s="1">
        <v>503.5</v>
      </c>
      <c r="Y1011" s="3">
        <v>77.569339999999997</v>
      </c>
      <c r="Z1011" s="3">
        <f t="shared" si="132"/>
        <v>83.010170000000002</v>
      </c>
      <c r="AA1011" s="1">
        <f t="shared" si="135"/>
        <v>0.29053511992077691</v>
      </c>
      <c r="AD1011" s="4">
        <v>250.01891000000001</v>
      </c>
      <c r="AE1011" s="1">
        <v>503.5</v>
      </c>
      <c r="AF1011" s="3">
        <v>88.119330000000005</v>
      </c>
      <c r="AG1011" s="3">
        <f t="shared" si="133"/>
        <v>88.38082</v>
      </c>
      <c r="AH1011" s="1">
        <f t="shared" si="134"/>
        <v>0.20166992485811761</v>
      </c>
    </row>
    <row r="1012" spans="23:34" x14ac:dyDescent="0.2">
      <c r="W1012" s="4">
        <v>250.00798</v>
      </c>
      <c r="X1012" s="1">
        <v>504</v>
      </c>
      <c r="Y1012" s="5">
        <v>77.567390000000003</v>
      </c>
      <c r="Z1012" s="3">
        <f t="shared" si="132"/>
        <v>83.008220000000009</v>
      </c>
      <c r="AA1012" s="1">
        <f t="shared" si="135"/>
        <v>0.29056749903329976</v>
      </c>
      <c r="AD1012" s="4">
        <v>250.01712000000001</v>
      </c>
      <c r="AE1012" s="1">
        <v>504</v>
      </c>
      <c r="AF1012" s="5">
        <v>88.139380000000003</v>
      </c>
      <c r="AG1012" s="3">
        <f t="shared" si="133"/>
        <v>88.400869999999998</v>
      </c>
      <c r="AH1012" s="1">
        <f t="shared" si="134"/>
        <v>0.20133707209984339</v>
      </c>
    </row>
    <row r="1013" spans="23:34" x14ac:dyDescent="0.2">
      <c r="W1013" s="4">
        <v>250.00901999999999</v>
      </c>
      <c r="X1013" s="1">
        <v>504.5</v>
      </c>
      <c r="Y1013" s="3">
        <v>77.567509999999999</v>
      </c>
      <c r="Z1013" s="3">
        <f t="shared" si="132"/>
        <v>83.008340000000004</v>
      </c>
      <c r="AA1013" s="1">
        <f t="shared" si="135"/>
        <v>0.29056550647252921</v>
      </c>
      <c r="AD1013" s="4">
        <v>250.01826</v>
      </c>
      <c r="AE1013" s="1">
        <v>504.5</v>
      </c>
      <c r="AF1013" s="3">
        <v>88.112970000000004</v>
      </c>
      <c r="AG1013" s="3">
        <f t="shared" si="133"/>
        <v>88.374459999999999</v>
      </c>
      <c r="AH1013" s="1">
        <f t="shared" si="134"/>
        <v>0.20177550807720113</v>
      </c>
    </row>
    <row r="1014" spans="23:34" x14ac:dyDescent="0.2">
      <c r="W1014" s="4">
        <v>250.00805</v>
      </c>
      <c r="X1014" s="1">
        <v>505</v>
      </c>
      <c r="Y1014" s="5">
        <v>77.557950000000005</v>
      </c>
      <c r="Z1014" s="3">
        <f t="shared" si="132"/>
        <v>82.998780000000011</v>
      </c>
      <c r="AA1014" s="1">
        <f t="shared" si="135"/>
        <v>0.29072424714725703</v>
      </c>
      <c r="AD1014" s="4">
        <v>250.01315</v>
      </c>
      <c r="AE1014" s="1">
        <v>505</v>
      </c>
      <c r="AF1014" s="5">
        <v>88.028329999999997</v>
      </c>
      <c r="AG1014" s="3">
        <f t="shared" si="133"/>
        <v>88.289819999999992</v>
      </c>
      <c r="AH1014" s="1">
        <f t="shared" si="134"/>
        <v>0.20318062815003579</v>
      </c>
    </row>
    <row r="1015" spans="23:34" x14ac:dyDescent="0.2">
      <c r="W1015" s="4">
        <v>250.00701000000001</v>
      </c>
      <c r="X1015" s="1">
        <v>505.5</v>
      </c>
      <c r="Y1015" s="3">
        <v>77.533090000000001</v>
      </c>
      <c r="Z1015" s="3">
        <f t="shared" si="132"/>
        <v>82.973920000000007</v>
      </c>
      <c r="AA1015" s="1">
        <f t="shared" si="135"/>
        <v>0.29113703932024204</v>
      </c>
      <c r="AD1015" s="4">
        <v>250.01282</v>
      </c>
      <c r="AE1015" s="1">
        <v>505.5</v>
      </c>
      <c r="AF1015" s="3">
        <v>88.057050000000004</v>
      </c>
      <c r="AG1015" s="3">
        <f t="shared" si="133"/>
        <v>88.318539999999999</v>
      </c>
      <c r="AH1015" s="1">
        <f t="shared" si="134"/>
        <v>0.2027038435506523</v>
      </c>
    </row>
    <row r="1016" spans="23:34" x14ac:dyDescent="0.2">
      <c r="W1016" s="4">
        <v>250.005</v>
      </c>
      <c r="X1016" s="1">
        <v>506</v>
      </c>
      <c r="Y1016" s="5">
        <v>77.527100000000004</v>
      </c>
      <c r="Z1016" s="3">
        <f t="shared" si="132"/>
        <v>82.96793000000001</v>
      </c>
      <c r="AA1016" s="1">
        <f t="shared" si="135"/>
        <v>0.29123650131204326</v>
      </c>
      <c r="AD1016" s="4">
        <v>250.01607000000001</v>
      </c>
      <c r="AE1016" s="1">
        <v>506</v>
      </c>
      <c r="AF1016" s="5">
        <v>88.00309</v>
      </c>
      <c r="AG1016" s="3">
        <f t="shared" si="133"/>
        <v>88.264579999999995</v>
      </c>
      <c r="AH1016" s="1">
        <f t="shared" si="134"/>
        <v>0.20359964079935453</v>
      </c>
    </row>
    <row r="1017" spans="23:34" x14ac:dyDescent="0.2">
      <c r="W1017" s="4">
        <v>250.00704999999999</v>
      </c>
      <c r="X1017" s="1">
        <v>506.5</v>
      </c>
      <c r="Y1017" s="3">
        <v>77.529340000000005</v>
      </c>
      <c r="Z1017" s="3">
        <f t="shared" si="132"/>
        <v>82.97017000000001</v>
      </c>
      <c r="AA1017" s="1">
        <f t="shared" si="135"/>
        <v>0.2911993068443246</v>
      </c>
      <c r="AD1017" s="4">
        <v>250.02176</v>
      </c>
      <c r="AE1017" s="1">
        <v>506.5</v>
      </c>
      <c r="AF1017" s="3">
        <v>88.126300000000001</v>
      </c>
      <c r="AG1017" s="3">
        <f t="shared" si="133"/>
        <v>88.387789999999995</v>
      </c>
      <c r="AH1017" s="1">
        <f t="shared" si="134"/>
        <v>0.20155421494663781</v>
      </c>
    </row>
    <row r="1018" spans="23:34" x14ac:dyDescent="0.2">
      <c r="W1018" s="4">
        <v>250.00596999999999</v>
      </c>
      <c r="X1018" s="1">
        <v>507</v>
      </c>
      <c r="Y1018" s="5">
        <v>77.519589999999994</v>
      </c>
      <c r="Z1018" s="3">
        <f t="shared" si="132"/>
        <v>82.960419999999999</v>
      </c>
      <c r="AA1018" s="1">
        <f t="shared" si="135"/>
        <v>0.29136120240693952</v>
      </c>
      <c r="AD1018" s="4">
        <v>250.02508</v>
      </c>
      <c r="AE1018" s="1">
        <v>507</v>
      </c>
      <c r="AF1018" s="5">
        <v>88.098050000000001</v>
      </c>
      <c r="AG1018" s="3">
        <f t="shared" si="133"/>
        <v>88.359539999999996</v>
      </c>
      <c r="AH1018" s="1">
        <f t="shared" si="134"/>
        <v>0.20202319701253543</v>
      </c>
    </row>
    <row r="1019" spans="23:34" x14ac:dyDescent="0.2">
      <c r="W1019" s="4">
        <v>250</v>
      </c>
      <c r="X1019" s="1">
        <v>507.5</v>
      </c>
      <c r="Y1019" s="3">
        <v>77.506140000000002</v>
      </c>
      <c r="Z1019" s="3">
        <f t="shared" si="132"/>
        <v>82.946970000000007</v>
      </c>
      <c r="AA1019" s="1">
        <f t="shared" si="135"/>
        <v>0.29158453525998235</v>
      </c>
      <c r="AD1019" s="4">
        <v>250.02654000000001</v>
      </c>
      <c r="AE1019" s="1">
        <v>507.5</v>
      </c>
      <c r="AF1019" s="3">
        <v>88.111469999999997</v>
      </c>
      <c r="AG1019" s="3">
        <f t="shared" si="133"/>
        <v>88.372959999999992</v>
      </c>
      <c r="AH1019" s="1">
        <f t="shared" si="134"/>
        <v>0.20180040977981528</v>
      </c>
    </row>
    <row r="1020" spans="23:34" x14ac:dyDescent="0.2">
      <c r="W1020" s="4">
        <v>250.00698</v>
      </c>
      <c r="X1020" s="1">
        <v>508</v>
      </c>
      <c r="Y1020" s="5">
        <v>77.502309999999994</v>
      </c>
      <c r="Z1020" s="3">
        <f t="shared" si="132"/>
        <v>82.94314</v>
      </c>
      <c r="AA1020" s="1">
        <f t="shared" si="135"/>
        <v>0.29164813115791216</v>
      </c>
      <c r="AD1020" s="4">
        <v>250.02336</v>
      </c>
      <c r="AE1020" s="1">
        <v>508</v>
      </c>
      <c r="AF1020" s="5">
        <v>87.988860000000003</v>
      </c>
      <c r="AG1020" s="3">
        <f t="shared" si="133"/>
        <v>88.250349999999997</v>
      </c>
      <c r="AH1020" s="1">
        <f t="shared" si="134"/>
        <v>0.20383587495148631</v>
      </c>
    </row>
    <row r="1021" spans="23:34" x14ac:dyDescent="0.2">
      <c r="W1021" s="4">
        <v>250.00496000000001</v>
      </c>
      <c r="X1021" s="1">
        <v>508.5</v>
      </c>
      <c r="Y1021" s="3">
        <v>77.489000000000004</v>
      </c>
      <c r="Z1021" s="3">
        <f t="shared" si="132"/>
        <v>82.92983000000001</v>
      </c>
      <c r="AA1021" s="1">
        <f t="shared" si="135"/>
        <v>0.29186913935672254</v>
      </c>
      <c r="AD1021" s="4">
        <v>250.01983999999999</v>
      </c>
      <c r="AE1021" s="1">
        <v>508.5</v>
      </c>
      <c r="AF1021" s="3">
        <v>88.107960000000006</v>
      </c>
      <c r="AG1021" s="3">
        <f t="shared" si="133"/>
        <v>88.369450000000001</v>
      </c>
      <c r="AH1021" s="1">
        <f t="shared" si="134"/>
        <v>0.20185867976393196</v>
      </c>
    </row>
    <row r="1022" spans="23:34" x14ac:dyDescent="0.2">
      <c r="W1022" s="4">
        <v>250.00498999999999</v>
      </c>
      <c r="X1022" s="1">
        <v>509</v>
      </c>
      <c r="Y1022" s="5">
        <v>77.486980000000003</v>
      </c>
      <c r="Z1022" s="3">
        <f t="shared" si="132"/>
        <v>82.927810000000008</v>
      </c>
      <c r="AA1022" s="1">
        <f t="shared" si="135"/>
        <v>0.29190268079636172</v>
      </c>
      <c r="AD1022" s="4">
        <v>250.01804999999999</v>
      </c>
      <c r="AE1022" s="1">
        <v>509</v>
      </c>
      <c r="AF1022" s="5">
        <v>87.887960000000007</v>
      </c>
      <c r="AG1022" s="3">
        <f t="shared" si="133"/>
        <v>88.149450000000002</v>
      </c>
      <c r="AH1022" s="1">
        <f t="shared" si="134"/>
        <v>0.20551092948065688</v>
      </c>
    </row>
    <row r="1023" spans="23:34" x14ac:dyDescent="0.2">
      <c r="W1023" s="4">
        <v>250.00404</v>
      </c>
      <c r="X1023" s="1">
        <v>509.5</v>
      </c>
      <c r="Y1023" s="3">
        <v>77.477310000000003</v>
      </c>
      <c r="Z1023" s="3">
        <f t="shared" si="132"/>
        <v>82.918140000000008</v>
      </c>
      <c r="AA1023" s="1">
        <f t="shared" si="135"/>
        <v>0.29206324798512939</v>
      </c>
      <c r="AD1023" s="4">
        <v>250.01582999999999</v>
      </c>
      <c r="AE1023" s="1">
        <v>509.5</v>
      </c>
      <c r="AF1023" s="3">
        <v>87.978440000000006</v>
      </c>
      <c r="AG1023" s="3">
        <f t="shared" si="133"/>
        <v>88.239930000000001</v>
      </c>
      <c r="AH1023" s="1">
        <f t="shared" si="134"/>
        <v>0.2040088587789784</v>
      </c>
    </row>
    <row r="1024" spans="23:34" x14ac:dyDescent="0.2">
      <c r="W1024" s="4">
        <v>250.00398000000001</v>
      </c>
      <c r="X1024" s="1">
        <v>510</v>
      </c>
      <c r="Y1024" s="5">
        <v>77.465789999999998</v>
      </c>
      <c r="Z1024" s="3">
        <f t="shared" si="132"/>
        <v>82.906620000000004</v>
      </c>
      <c r="AA1024" s="1">
        <f t="shared" si="135"/>
        <v>0.29225453381911126</v>
      </c>
      <c r="AD1024" s="4">
        <v>250.01621</v>
      </c>
      <c r="AE1024" s="1">
        <v>510</v>
      </c>
      <c r="AF1024" s="5">
        <v>88.035020000000003</v>
      </c>
      <c r="AG1024" s="3">
        <f t="shared" si="133"/>
        <v>88.296509999999998</v>
      </c>
      <c r="AH1024" s="1">
        <f t="shared" si="134"/>
        <v>0.20306956655637709</v>
      </c>
    </row>
    <row r="1025" spans="23:34" x14ac:dyDescent="0.2">
      <c r="W1025" s="4">
        <v>250.00603000000001</v>
      </c>
      <c r="X1025" s="1">
        <v>510.5</v>
      </c>
      <c r="Y1025" s="3">
        <v>77.458299999999994</v>
      </c>
      <c r="Z1025" s="3">
        <f t="shared" si="132"/>
        <v>82.89913</v>
      </c>
      <c r="AA1025" s="1">
        <f t="shared" si="135"/>
        <v>0.29237890282054563</v>
      </c>
      <c r="AD1025" s="4">
        <v>250.01311000000001</v>
      </c>
      <c r="AE1025" s="1">
        <v>510.5</v>
      </c>
      <c r="AF1025" s="3">
        <v>87.878280000000004</v>
      </c>
      <c r="AG1025" s="3">
        <f t="shared" si="133"/>
        <v>88.139769999999999</v>
      </c>
      <c r="AH1025" s="1">
        <f t="shared" si="134"/>
        <v>0.20567162846819284</v>
      </c>
    </row>
    <row r="1026" spans="23:34" x14ac:dyDescent="0.2">
      <c r="W1026" s="4">
        <v>250.00896</v>
      </c>
      <c r="X1026" s="1">
        <v>511</v>
      </c>
      <c r="Y1026" s="5">
        <v>77.452370000000002</v>
      </c>
      <c r="Z1026" s="3">
        <f t="shared" si="132"/>
        <v>82.893200000000007</v>
      </c>
      <c r="AA1026" s="1">
        <f t="shared" si="135"/>
        <v>0.29247736853196143</v>
      </c>
      <c r="AD1026" s="4">
        <v>250.01541</v>
      </c>
      <c r="AE1026" s="1">
        <v>511</v>
      </c>
      <c r="AF1026" s="5">
        <v>88.05986</v>
      </c>
      <c r="AG1026" s="3">
        <f t="shared" si="133"/>
        <v>88.321349999999995</v>
      </c>
      <c r="AH1026" s="1">
        <f t="shared" si="134"/>
        <v>0.20265719436108873</v>
      </c>
    </row>
    <row r="1027" spans="23:34" x14ac:dyDescent="0.2">
      <c r="W1027" s="4">
        <v>250.00094999999999</v>
      </c>
      <c r="X1027" s="1">
        <v>511.5</v>
      </c>
      <c r="Y1027" s="3">
        <v>77.431179999999998</v>
      </c>
      <c r="Z1027" s="3">
        <f t="shared" si="132"/>
        <v>82.872010000000003</v>
      </c>
      <c r="AA1027" s="1">
        <f t="shared" si="135"/>
        <v>0.29282922155471097</v>
      </c>
      <c r="AD1027" s="4">
        <v>250.01888</v>
      </c>
      <c r="AE1027" s="1">
        <v>511.5</v>
      </c>
      <c r="AF1027" s="3">
        <v>88.040530000000004</v>
      </c>
      <c r="AG1027" s="3">
        <f t="shared" si="133"/>
        <v>88.302019999999999</v>
      </c>
      <c r="AH1027" s="1">
        <f t="shared" si="134"/>
        <v>0.2029780943021082</v>
      </c>
    </row>
    <row r="1028" spans="23:34" x14ac:dyDescent="0.2">
      <c r="W1028" s="4">
        <v>250.00103999999999</v>
      </c>
      <c r="X1028" s="1">
        <v>512</v>
      </c>
      <c r="Y1028" s="5">
        <v>77.429479999999998</v>
      </c>
      <c r="Z1028" s="3">
        <f t="shared" si="132"/>
        <v>82.870310000000003</v>
      </c>
      <c r="AA1028" s="1">
        <f t="shared" si="135"/>
        <v>0.29285744949896175</v>
      </c>
      <c r="AD1028" s="4">
        <v>250.01836</v>
      </c>
      <c r="AE1028" s="1">
        <v>512</v>
      </c>
      <c r="AF1028" s="5">
        <v>88.046840000000003</v>
      </c>
      <c r="AG1028" s="3">
        <f t="shared" si="133"/>
        <v>88.308329999999998</v>
      </c>
      <c r="AH1028" s="1">
        <f t="shared" si="134"/>
        <v>0.20287334113977851</v>
      </c>
    </row>
    <row r="1029" spans="23:34" x14ac:dyDescent="0.2">
      <c r="W1029" s="4">
        <v>250.00397000000001</v>
      </c>
      <c r="X1029" s="1">
        <v>512.5</v>
      </c>
      <c r="Y1029" s="3">
        <v>77.417950000000005</v>
      </c>
      <c r="Z1029" s="3">
        <f t="shared" ref="Z1029:Z1092" si="136">100-($Y$4-Y1029)</f>
        <v>82.85878000000001</v>
      </c>
      <c r="AA1029" s="1">
        <f t="shared" si="135"/>
        <v>0.29304890137967426</v>
      </c>
      <c r="AD1029" s="4">
        <v>250.01846</v>
      </c>
      <c r="AE1029" s="1">
        <v>512.5</v>
      </c>
      <c r="AF1029" s="3">
        <v>87.989310000000003</v>
      </c>
      <c r="AG1029" s="3">
        <f t="shared" ref="AG1029:AG1092" si="137">100-($AF$4-AF1029)</f>
        <v>88.250799999999998</v>
      </c>
      <c r="AH1029" s="1">
        <f t="shared" si="134"/>
        <v>0.20382840444070208</v>
      </c>
    </row>
    <row r="1030" spans="23:34" x14ac:dyDescent="0.2">
      <c r="W1030" s="4">
        <v>250.00398999999999</v>
      </c>
      <c r="X1030" s="1">
        <v>513</v>
      </c>
      <c r="Y1030" s="5">
        <v>77.419899999999998</v>
      </c>
      <c r="Z1030" s="3">
        <f t="shared" si="136"/>
        <v>82.860730000000004</v>
      </c>
      <c r="AA1030" s="1">
        <f t="shared" si="135"/>
        <v>0.29301652226715141</v>
      </c>
      <c r="AD1030" s="4">
        <v>250.01758000000001</v>
      </c>
      <c r="AE1030" s="1">
        <v>513</v>
      </c>
      <c r="AF1030" s="5">
        <v>88.024420000000006</v>
      </c>
      <c r="AG1030" s="3">
        <f t="shared" si="137"/>
        <v>88.285910000000001</v>
      </c>
      <c r="AH1030" s="1">
        <f t="shared" si="134"/>
        <v>0.20324553858818287</v>
      </c>
    </row>
    <row r="1031" spans="23:34" x14ac:dyDescent="0.2">
      <c r="W1031" s="4">
        <v>250.00201999999999</v>
      </c>
      <c r="X1031" s="1">
        <v>513.5</v>
      </c>
      <c r="Y1031" s="3">
        <v>77.406379999999999</v>
      </c>
      <c r="Z1031" s="3">
        <f t="shared" si="136"/>
        <v>82.847210000000004</v>
      </c>
      <c r="AA1031" s="1">
        <f t="shared" si="135"/>
        <v>0.29324101744731057</v>
      </c>
      <c r="AD1031" s="4">
        <v>250.01324</v>
      </c>
      <c r="AE1031" s="1">
        <v>513.5</v>
      </c>
      <c r="AF1031" s="3">
        <v>87.890519999999995</v>
      </c>
      <c r="AG1031" s="3">
        <f t="shared" si="137"/>
        <v>88.15200999999999</v>
      </c>
      <c r="AH1031" s="1">
        <f t="shared" si="134"/>
        <v>0.20546843057486247</v>
      </c>
    </row>
    <row r="1032" spans="23:34" x14ac:dyDescent="0.2">
      <c r="W1032" s="4">
        <v>250.00505000000001</v>
      </c>
      <c r="X1032" s="1">
        <v>514</v>
      </c>
      <c r="Y1032" s="5">
        <v>77.408280000000005</v>
      </c>
      <c r="Z1032" s="3">
        <f t="shared" si="136"/>
        <v>82.84911000000001</v>
      </c>
      <c r="AA1032" s="1">
        <f t="shared" si="135"/>
        <v>0.29320946856844193</v>
      </c>
      <c r="AD1032" s="4">
        <v>250.01106999999999</v>
      </c>
      <c r="AE1032" s="1">
        <v>514</v>
      </c>
      <c r="AF1032" s="5">
        <v>87.950429999999997</v>
      </c>
      <c r="AG1032" s="3">
        <f t="shared" si="137"/>
        <v>88.211919999999992</v>
      </c>
      <c r="AH1032" s="1">
        <f t="shared" si="134"/>
        <v>0.20447385657245792</v>
      </c>
    </row>
    <row r="1033" spans="23:34" x14ac:dyDescent="0.2">
      <c r="W1033" s="4">
        <v>250.00398000000001</v>
      </c>
      <c r="X1033" s="1">
        <v>514.5</v>
      </c>
      <c r="Y1033" s="3">
        <v>77.395020000000002</v>
      </c>
      <c r="Z1033" s="3">
        <f t="shared" si="136"/>
        <v>82.835850000000008</v>
      </c>
      <c r="AA1033" s="1">
        <f t="shared" si="135"/>
        <v>0.2934296465335981</v>
      </c>
      <c r="AD1033" s="4">
        <v>250.01442</v>
      </c>
      <c r="AE1033" s="1">
        <v>514.5</v>
      </c>
      <c r="AF1033" s="3">
        <v>88.026690000000002</v>
      </c>
      <c r="AG1033" s="3">
        <f t="shared" si="137"/>
        <v>88.288179999999997</v>
      </c>
      <c r="AH1033" s="1">
        <f t="shared" si="134"/>
        <v>0.20320785401156038</v>
      </c>
    </row>
    <row r="1034" spans="23:34" x14ac:dyDescent="0.2">
      <c r="W1034" s="4">
        <v>250.00799000000001</v>
      </c>
      <c r="X1034" s="1">
        <v>515</v>
      </c>
      <c r="Y1034" s="5">
        <v>77.372159999999994</v>
      </c>
      <c r="Z1034" s="3">
        <f t="shared" si="136"/>
        <v>82.812989999999999</v>
      </c>
      <c r="AA1034" s="1">
        <f t="shared" si="135"/>
        <v>0.29380922936040577</v>
      </c>
      <c r="AD1034" s="4">
        <v>250.01703000000001</v>
      </c>
      <c r="AE1034" s="1">
        <v>515</v>
      </c>
      <c r="AF1034" s="5">
        <v>87.951409999999996</v>
      </c>
      <c r="AG1034" s="3">
        <f t="shared" si="137"/>
        <v>88.212899999999991</v>
      </c>
      <c r="AH1034" s="1">
        <f t="shared" ref="AH1034:AH1097" si="138">($AG$9-AG1034)/($AG$9*(1-$N$1))</f>
        <v>0.20445758746008344</v>
      </c>
    </row>
    <row r="1035" spans="23:34" x14ac:dyDescent="0.2">
      <c r="W1035" s="4">
        <v>250.00796</v>
      </c>
      <c r="X1035" s="1">
        <v>515.5</v>
      </c>
      <c r="Y1035" s="3">
        <v>77.379509999999996</v>
      </c>
      <c r="Z1035" s="3">
        <f t="shared" si="136"/>
        <v>82.820340000000002</v>
      </c>
      <c r="AA1035" s="1">
        <f t="shared" si="135"/>
        <v>0.29368718501320384</v>
      </c>
      <c r="AD1035" s="4">
        <v>250.01694000000001</v>
      </c>
      <c r="AE1035" s="1">
        <v>515.5</v>
      </c>
      <c r="AF1035" s="3">
        <v>87.896460000000005</v>
      </c>
      <c r="AG1035" s="3">
        <f t="shared" si="137"/>
        <v>88.15795</v>
      </c>
      <c r="AH1035" s="1">
        <f t="shared" si="138"/>
        <v>0.20536981983251074</v>
      </c>
    </row>
    <row r="1036" spans="23:34" x14ac:dyDescent="0.2">
      <c r="W1036" s="4">
        <v>250.00496999999999</v>
      </c>
      <c r="X1036" s="1">
        <v>516</v>
      </c>
      <c r="Y1036" s="5">
        <v>77.370009999999994</v>
      </c>
      <c r="Z1036" s="3">
        <f t="shared" si="136"/>
        <v>82.810839999999999</v>
      </c>
      <c r="AA1036" s="1">
        <f t="shared" ref="AA1036:AA1099" si="139">($Z$11-Z1036)/($Z$11*(1-$N$1))</f>
        <v>0.29384492940754647</v>
      </c>
      <c r="AD1036" s="4">
        <v>250.01557</v>
      </c>
      <c r="AE1036" s="1">
        <v>516</v>
      </c>
      <c r="AF1036" s="5">
        <v>87.888729999999995</v>
      </c>
      <c r="AG1036" s="3">
        <f t="shared" si="137"/>
        <v>88.15021999999999</v>
      </c>
      <c r="AH1036" s="1">
        <f t="shared" si="138"/>
        <v>0.20549814660664853</v>
      </c>
    </row>
    <row r="1037" spans="23:34" x14ac:dyDescent="0.2">
      <c r="W1037" s="4">
        <v>250.00299999999999</v>
      </c>
      <c r="X1037" s="1">
        <v>516.5</v>
      </c>
      <c r="Y1037" s="3">
        <v>77.362219999999994</v>
      </c>
      <c r="Z1037" s="3">
        <f t="shared" si="136"/>
        <v>82.803049999999999</v>
      </c>
      <c r="AA1037" s="1">
        <f t="shared" si="139"/>
        <v>0.2939742798109074</v>
      </c>
      <c r="AD1037" s="4">
        <v>250.01488000000001</v>
      </c>
      <c r="AE1037" s="1">
        <v>516.5</v>
      </c>
      <c r="AF1037" s="3">
        <v>88.001549999999995</v>
      </c>
      <c r="AG1037" s="3">
        <f t="shared" si="137"/>
        <v>88.26303999999999</v>
      </c>
      <c r="AH1037" s="1">
        <f t="shared" si="138"/>
        <v>0.20362520654737171</v>
      </c>
    </row>
    <row r="1038" spans="23:34" x14ac:dyDescent="0.2">
      <c r="W1038" s="4">
        <v>250.005</v>
      </c>
      <c r="X1038" s="1">
        <v>517</v>
      </c>
      <c r="Y1038" s="5">
        <v>77.350899999999996</v>
      </c>
      <c r="Z1038" s="3">
        <f t="shared" si="136"/>
        <v>82.791730000000001</v>
      </c>
      <c r="AA1038" s="1">
        <f t="shared" si="139"/>
        <v>0.29416224471027141</v>
      </c>
      <c r="AD1038" s="4">
        <v>250.01508000000001</v>
      </c>
      <c r="AE1038" s="1">
        <v>517</v>
      </c>
      <c r="AF1038" s="5">
        <v>87.831940000000003</v>
      </c>
      <c r="AG1038" s="3">
        <f t="shared" si="137"/>
        <v>88.093429999999998</v>
      </c>
      <c r="AH1038" s="1">
        <f t="shared" si="138"/>
        <v>0.20644092506761574</v>
      </c>
    </row>
    <row r="1039" spans="23:34" x14ac:dyDescent="0.2">
      <c r="W1039" s="4">
        <v>250.00397000000001</v>
      </c>
      <c r="X1039" s="1">
        <v>517.5</v>
      </c>
      <c r="Y1039" s="3">
        <v>77.337410000000006</v>
      </c>
      <c r="Z1039" s="3">
        <f t="shared" si="136"/>
        <v>82.778240000000011</v>
      </c>
      <c r="AA1039" s="1">
        <f t="shared" si="139"/>
        <v>0.29438624175023775</v>
      </c>
      <c r="AD1039" s="4">
        <v>250.0155</v>
      </c>
      <c r="AE1039" s="1">
        <v>517.5</v>
      </c>
      <c r="AF1039" s="3">
        <v>87.870590000000007</v>
      </c>
      <c r="AG1039" s="3">
        <f t="shared" si="137"/>
        <v>88.132080000000002</v>
      </c>
      <c r="AH1039" s="1">
        <f t="shared" si="138"/>
        <v>0.20579929119692739</v>
      </c>
    </row>
    <row r="1040" spans="23:34" x14ac:dyDescent="0.2">
      <c r="W1040" s="4">
        <v>250.00799000000001</v>
      </c>
      <c r="X1040" s="1">
        <v>518</v>
      </c>
      <c r="Y1040" s="5">
        <v>77.337400000000002</v>
      </c>
      <c r="Z1040" s="3">
        <f t="shared" si="136"/>
        <v>82.778230000000008</v>
      </c>
      <c r="AA1040" s="1">
        <f t="shared" si="139"/>
        <v>0.29438640779696867</v>
      </c>
      <c r="AD1040" s="4">
        <v>250.01409000000001</v>
      </c>
      <c r="AE1040" s="1">
        <v>518</v>
      </c>
      <c r="AF1040" s="5">
        <v>87.843450000000004</v>
      </c>
      <c r="AG1040" s="3">
        <f t="shared" si="137"/>
        <v>88.104939999999999</v>
      </c>
      <c r="AH1040" s="1">
        <f t="shared" si="138"/>
        <v>0.2062498460028907</v>
      </c>
    </row>
    <row r="1041" spans="23:34" x14ac:dyDescent="0.2">
      <c r="W1041" s="4">
        <v>250.00496000000001</v>
      </c>
      <c r="X1041" s="1">
        <v>518.5</v>
      </c>
      <c r="Y1041" s="3">
        <v>77.316190000000006</v>
      </c>
      <c r="Z1041" s="3">
        <f t="shared" si="136"/>
        <v>82.757020000000011</v>
      </c>
      <c r="AA1041" s="1">
        <f t="shared" si="139"/>
        <v>0.29473859291317983</v>
      </c>
      <c r="AD1041" s="4">
        <v>250.01670999999999</v>
      </c>
      <c r="AE1041" s="1">
        <v>518.5</v>
      </c>
      <c r="AF1041" s="3">
        <v>87.776489999999995</v>
      </c>
      <c r="AG1041" s="3">
        <f t="shared" si="137"/>
        <v>88.03797999999999</v>
      </c>
      <c r="AH1041" s="1">
        <f t="shared" si="138"/>
        <v>0.2073614580075813</v>
      </c>
    </row>
    <row r="1042" spans="23:34" x14ac:dyDescent="0.2">
      <c r="W1042" s="4">
        <v>250.01201</v>
      </c>
      <c r="X1042" s="1">
        <v>519</v>
      </c>
      <c r="Y1042" s="5">
        <v>77.30677</v>
      </c>
      <c r="Z1042" s="3">
        <f t="shared" si="136"/>
        <v>82.747600000000006</v>
      </c>
      <c r="AA1042" s="1">
        <f t="shared" si="139"/>
        <v>0.29489500893367543</v>
      </c>
      <c r="AD1042" s="4">
        <v>250.01405</v>
      </c>
      <c r="AE1042" s="1">
        <v>519</v>
      </c>
      <c r="AF1042" s="5">
        <v>87.916110000000003</v>
      </c>
      <c r="AG1042" s="3">
        <f t="shared" si="137"/>
        <v>88.177599999999998</v>
      </c>
      <c r="AH1042" s="1">
        <f t="shared" si="138"/>
        <v>0.20504360752826692</v>
      </c>
    </row>
    <row r="1043" spans="23:34" x14ac:dyDescent="0.2">
      <c r="W1043" s="4">
        <v>250.00596999999999</v>
      </c>
      <c r="X1043" s="1">
        <v>519.5</v>
      </c>
      <c r="Y1043" s="3">
        <v>77.304879999999997</v>
      </c>
      <c r="Z1043" s="3">
        <f t="shared" si="136"/>
        <v>82.745710000000003</v>
      </c>
      <c r="AA1043" s="1">
        <f t="shared" si="139"/>
        <v>0.29492639176581309</v>
      </c>
      <c r="AD1043" s="4">
        <v>250.01158000000001</v>
      </c>
      <c r="AE1043" s="1">
        <v>519.5</v>
      </c>
      <c r="AF1043" s="3">
        <v>87.754900000000006</v>
      </c>
      <c r="AG1043" s="3">
        <f t="shared" si="137"/>
        <v>88.016390000000001</v>
      </c>
      <c r="AH1043" s="1">
        <f t="shared" si="138"/>
        <v>0.20771987651387244</v>
      </c>
    </row>
    <row r="1044" spans="23:34" x14ac:dyDescent="0.2">
      <c r="W1044" s="4">
        <v>250.00402</v>
      </c>
      <c r="X1044" s="1">
        <v>520</v>
      </c>
      <c r="Y1044" s="5">
        <v>77.283850000000001</v>
      </c>
      <c r="Z1044" s="3">
        <f t="shared" si="136"/>
        <v>82.724680000000006</v>
      </c>
      <c r="AA1044" s="1">
        <f t="shared" si="139"/>
        <v>0.29527558804086829</v>
      </c>
      <c r="AD1044" s="4">
        <v>250.01373000000001</v>
      </c>
      <c r="AE1044" s="1">
        <v>520</v>
      </c>
      <c r="AF1044" s="5">
        <v>87.73039</v>
      </c>
      <c r="AG1044" s="3">
        <f t="shared" si="137"/>
        <v>87.991879999999995</v>
      </c>
      <c r="AH1044" s="1">
        <f t="shared" si="138"/>
        <v>0.20812677033458588</v>
      </c>
    </row>
    <row r="1045" spans="23:34" x14ac:dyDescent="0.2">
      <c r="W1045" s="4">
        <v>250.00503</v>
      </c>
      <c r="X1045" s="1">
        <v>520.5</v>
      </c>
      <c r="Y1045" s="3">
        <v>77.281720000000007</v>
      </c>
      <c r="Z1045" s="3">
        <f t="shared" si="136"/>
        <v>82.722550000000012</v>
      </c>
      <c r="AA1045" s="1">
        <f t="shared" si="139"/>
        <v>0.2953109559945471</v>
      </c>
      <c r="AD1045" s="4">
        <v>250.01623000000001</v>
      </c>
      <c r="AE1045" s="1">
        <v>520.5</v>
      </c>
      <c r="AF1045" s="3">
        <v>87.685879999999997</v>
      </c>
      <c r="AG1045" s="3">
        <f t="shared" si="137"/>
        <v>87.947369999999992</v>
      </c>
      <c r="AH1045" s="1">
        <f t="shared" si="138"/>
        <v>0.20886568685681967</v>
      </c>
    </row>
    <row r="1046" spans="23:34" x14ac:dyDescent="0.2">
      <c r="W1046" s="4">
        <v>250.01006000000001</v>
      </c>
      <c r="X1046" s="1">
        <v>521</v>
      </c>
      <c r="Y1046" s="5">
        <v>77.279960000000003</v>
      </c>
      <c r="Z1046" s="3">
        <f t="shared" si="136"/>
        <v>82.720790000000008</v>
      </c>
      <c r="AA1046" s="1">
        <f t="shared" si="139"/>
        <v>0.29534018021918329</v>
      </c>
      <c r="AD1046" s="4">
        <v>250.01573999999999</v>
      </c>
      <c r="AE1046" s="1">
        <v>521</v>
      </c>
      <c r="AF1046" s="5">
        <v>87.841099999999997</v>
      </c>
      <c r="AG1046" s="3">
        <f t="shared" si="137"/>
        <v>88.102589999999992</v>
      </c>
      <c r="AH1046" s="1">
        <f t="shared" si="138"/>
        <v>0.20628885867031946</v>
      </c>
    </row>
    <row r="1047" spans="23:34" x14ac:dyDescent="0.2">
      <c r="W1047" s="4">
        <v>250.00998999999999</v>
      </c>
      <c r="X1047" s="1">
        <v>521.5</v>
      </c>
      <c r="Y1047" s="3">
        <v>77.264679999999998</v>
      </c>
      <c r="Z1047" s="3">
        <f t="shared" si="136"/>
        <v>82.705510000000004</v>
      </c>
      <c r="AA1047" s="1">
        <f t="shared" si="139"/>
        <v>0.29559389962397864</v>
      </c>
      <c r="AD1047" s="4">
        <v>250.01712000000001</v>
      </c>
      <c r="AE1047" s="1">
        <v>521.5</v>
      </c>
      <c r="AF1047" s="3">
        <v>87.836209999999994</v>
      </c>
      <c r="AG1047" s="3">
        <f t="shared" si="137"/>
        <v>88.097699999999989</v>
      </c>
      <c r="AH1047" s="1">
        <f t="shared" si="138"/>
        <v>0.20637003822084127</v>
      </c>
    </row>
    <row r="1048" spans="23:34" x14ac:dyDescent="0.2">
      <c r="W1048" s="4">
        <v>250.00998000000001</v>
      </c>
      <c r="X1048" s="1">
        <v>522</v>
      </c>
      <c r="Y1048" s="5">
        <v>77.276030000000006</v>
      </c>
      <c r="Z1048" s="3">
        <f t="shared" si="136"/>
        <v>82.716860000000011</v>
      </c>
      <c r="AA1048" s="1">
        <f t="shared" si="139"/>
        <v>0.29540543658442181</v>
      </c>
      <c r="AD1048" s="4">
        <v>250.01822000000001</v>
      </c>
      <c r="AE1048" s="1">
        <v>522</v>
      </c>
      <c r="AF1048" s="5">
        <v>87.631060000000005</v>
      </c>
      <c r="AG1048" s="3">
        <f t="shared" si="137"/>
        <v>87.89255</v>
      </c>
      <c r="AH1048" s="1">
        <f t="shared" si="138"/>
        <v>0.20977576108168708</v>
      </c>
    </row>
    <row r="1049" spans="23:34" x14ac:dyDescent="0.2">
      <c r="W1049" s="4">
        <v>250.00998000000001</v>
      </c>
      <c r="X1049" s="1">
        <v>522.5</v>
      </c>
      <c r="Y1049" s="3">
        <v>77.243610000000004</v>
      </c>
      <c r="Z1049" s="3">
        <f t="shared" si="136"/>
        <v>82.684440000000009</v>
      </c>
      <c r="AA1049" s="1">
        <f t="shared" si="139"/>
        <v>0.2959437600859573</v>
      </c>
      <c r="AD1049" s="4">
        <v>250.02234999999999</v>
      </c>
      <c r="AE1049" s="1">
        <v>522.5</v>
      </c>
      <c r="AF1049" s="3">
        <v>87.83493</v>
      </c>
      <c r="AG1049" s="3">
        <f t="shared" si="137"/>
        <v>88.096419999999995</v>
      </c>
      <c r="AH1049" s="1">
        <f t="shared" si="138"/>
        <v>0.20639128767373846</v>
      </c>
    </row>
    <row r="1050" spans="23:34" x14ac:dyDescent="0.2">
      <c r="W1050" s="4">
        <v>250.01</v>
      </c>
      <c r="X1050" s="1">
        <v>523</v>
      </c>
      <c r="Y1050" s="5">
        <v>77.258719999999997</v>
      </c>
      <c r="Z1050" s="3">
        <f t="shared" si="136"/>
        <v>82.699550000000002</v>
      </c>
      <c r="AA1050" s="1">
        <f t="shared" si="139"/>
        <v>0.29569286347558726</v>
      </c>
      <c r="AD1050" s="4">
        <v>250.02077</v>
      </c>
      <c r="AE1050" s="1">
        <v>523</v>
      </c>
      <c r="AF1050" s="5">
        <v>87.762280000000004</v>
      </c>
      <c r="AG1050" s="3">
        <f t="shared" si="137"/>
        <v>88.023769999999999</v>
      </c>
      <c r="AH1050" s="1">
        <f t="shared" si="138"/>
        <v>0.20759736013701144</v>
      </c>
    </row>
    <row r="1051" spans="23:34" x14ac:dyDescent="0.2">
      <c r="W1051" s="4">
        <v>250.00404</v>
      </c>
      <c r="X1051" s="1">
        <v>523.5</v>
      </c>
      <c r="Y1051" s="3">
        <v>77.235699999999994</v>
      </c>
      <c r="Z1051" s="3">
        <f t="shared" si="136"/>
        <v>82.67653</v>
      </c>
      <c r="AA1051" s="1">
        <f t="shared" si="139"/>
        <v>0.29607510305008905</v>
      </c>
      <c r="AD1051" s="4">
        <v>250.01855</v>
      </c>
      <c r="AE1051" s="1">
        <v>523.5</v>
      </c>
      <c r="AF1051" s="3">
        <v>87.791179999999997</v>
      </c>
      <c r="AG1051" s="3">
        <f t="shared" si="137"/>
        <v>88.052669999999992</v>
      </c>
      <c r="AH1051" s="1">
        <f t="shared" si="138"/>
        <v>0.20711758733331451</v>
      </c>
    </row>
    <row r="1052" spans="23:34" x14ac:dyDescent="0.2">
      <c r="W1052" s="4">
        <v>250.00198</v>
      </c>
      <c r="X1052" s="1">
        <v>524</v>
      </c>
      <c r="Y1052" s="5">
        <v>77.222440000000006</v>
      </c>
      <c r="Z1052" s="3">
        <f t="shared" si="136"/>
        <v>82.663270000000011</v>
      </c>
      <c r="AA1052" s="1">
        <f t="shared" si="139"/>
        <v>0.29629528101524494</v>
      </c>
      <c r="AD1052" s="4">
        <v>250.02027000000001</v>
      </c>
      <c r="AE1052" s="1">
        <v>524</v>
      </c>
      <c r="AF1052" s="5">
        <v>87.65428</v>
      </c>
      <c r="AG1052" s="3">
        <f t="shared" si="137"/>
        <v>87.915769999999995</v>
      </c>
      <c r="AH1052" s="1">
        <f t="shared" si="138"/>
        <v>0.20939028272522192</v>
      </c>
    </row>
    <row r="1053" spans="23:34" x14ac:dyDescent="0.2">
      <c r="W1053" s="4">
        <v>250.00602000000001</v>
      </c>
      <c r="X1053" s="1">
        <v>524.5</v>
      </c>
      <c r="Y1053" s="3">
        <v>77.224100000000007</v>
      </c>
      <c r="Z1053" s="3">
        <f t="shared" si="136"/>
        <v>82.664930000000012</v>
      </c>
      <c r="AA1053" s="1">
        <f t="shared" si="139"/>
        <v>0.29626771725791773</v>
      </c>
      <c r="AD1053" s="4">
        <v>250.01813000000001</v>
      </c>
      <c r="AE1053" s="1">
        <v>524.5</v>
      </c>
      <c r="AF1053" s="3">
        <v>87.771820000000005</v>
      </c>
      <c r="AG1053" s="3">
        <f t="shared" si="137"/>
        <v>88.03331</v>
      </c>
      <c r="AH1053" s="1">
        <f t="shared" si="138"/>
        <v>0.20743898530838617</v>
      </c>
    </row>
    <row r="1054" spans="23:34" x14ac:dyDescent="0.2">
      <c r="W1054" s="4">
        <v>249.99993000000001</v>
      </c>
      <c r="X1054" s="1">
        <v>525</v>
      </c>
      <c r="Y1054" s="5">
        <v>77.201210000000003</v>
      </c>
      <c r="Z1054" s="3">
        <f t="shared" si="136"/>
        <v>82.642040000000009</v>
      </c>
      <c r="AA1054" s="1">
        <f t="shared" si="139"/>
        <v>0.29664779822491799</v>
      </c>
      <c r="AD1054" s="4">
        <v>250.01707999999999</v>
      </c>
      <c r="AE1054" s="1">
        <v>525</v>
      </c>
      <c r="AF1054" s="5">
        <v>87.813630000000003</v>
      </c>
      <c r="AG1054" s="3">
        <f t="shared" si="137"/>
        <v>88.075119999999998</v>
      </c>
      <c r="AH1054" s="1">
        <f t="shared" si="138"/>
        <v>0.2067448918508577</v>
      </c>
    </row>
    <row r="1055" spans="23:34" x14ac:dyDescent="0.2">
      <c r="W1055" s="4">
        <v>250.00504000000001</v>
      </c>
      <c r="X1055" s="1">
        <v>525.5</v>
      </c>
      <c r="Y1055" s="3">
        <v>77.21105</v>
      </c>
      <c r="Z1055" s="3">
        <f t="shared" si="136"/>
        <v>82.651880000000006</v>
      </c>
      <c r="AA1055" s="1">
        <f t="shared" si="139"/>
        <v>0.29648440824172528</v>
      </c>
      <c r="AD1055" s="4">
        <v>250.01750999999999</v>
      </c>
      <c r="AE1055" s="1">
        <v>525.5</v>
      </c>
      <c r="AF1055" s="3">
        <v>87.644170000000003</v>
      </c>
      <c r="AG1055" s="3">
        <f t="shared" si="137"/>
        <v>87.905659999999997</v>
      </c>
      <c r="AH1055" s="1">
        <f t="shared" si="138"/>
        <v>0.20955812020084047</v>
      </c>
    </row>
    <row r="1056" spans="23:34" x14ac:dyDescent="0.2">
      <c r="W1056" s="4">
        <v>250.00798</v>
      </c>
      <c r="X1056" s="1">
        <v>526</v>
      </c>
      <c r="Y1056" s="5">
        <v>77.205029999999994</v>
      </c>
      <c r="Z1056" s="3">
        <f t="shared" si="136"/>
        <v>82.645859999999999</v>
      </c>
      <c r="AA1056" s="1">
        <f t="shared" si="139"/>
        <v>0.29658436837371932</v>
      </c>
      <c r="AD1056" s="4">
        <v>250.01913999999999</v>
      </c>
      <c r="AE1056" s="1">
        <v>526</v>
      </c>
      <c r="AF1056" s="5">
        <v>87.629099999999994</v>
      </c>
      <c r="AG1056" s="3">
        <f t="shared" si="137"/>
        <v>87.890589999999989</v>
      </c>
      <c r="AH1056" s="1">
        <f t="shared" si="138"/>
        <v>0.20980829930643627</v>
      </c>
    </row>
    <row r="1057" spans="23:34" x14ac:dyDescent="0.2">
      <c r="W1057" s="4">
        <v>250.00501</v>
      </c>
      <c r="X1057" s="1">
        <v>526.5</v>
      </c>
      <c r="Y1057" s="3">
        <v>77.187939999999998</v>
      </c>
      <c r="Z1057" s="3">
        <f t="shared" si="136"/>
        <v>82.628770000000003</v>
      </c>
      <c r="AA1057" s="1">
        <f t="shared" si="139"/>
        <v>0.29686814223680508</v>
      </c>
      <c r="AD1057" s="4">
        <v>250.01831000000001</v>
      </c>
      <c r="AE1057" s="1">
        <v>526.5</v>
      </c>
      <c r="AF1057" s="3">
        <v>87.618200000000002</v>
      </c>
      <c r="AG1057" s="3">
        <f t="shared" si="137"/>
        <v>87.879689999999997</v>
      </c>
      <c r="AH1057" s="1">
        <f t="shared" si="138"/>
        <v>0.20998925167876478</v>
      </c>
    </row>
    <row r="1058" spans="23:34" x14ac:dyDescent="0.2">
      <c r="W1058" s="4">
        <v>250.00197</v>
      </c>
      <c r="X1058" s="1">
        <v>527</v>
      </c>
      <c r="Y1058" s="5">
        <v>77.158959999999993</v>
      </c>
      <c r="Z1058" s="3">
        <f t="shared" si="136"/>
        <v>82.599789999999999</v>
      </c>
      <c r="AA1058" s="1">
        <f t="shared" si="139"/>
        <v>0.29734934566291549</v>
      </c>
      <c r="AD1058" s="4">
        <v>250.01444000000001</v>
      </c>
      <c r="AE1058" s="1">
        <v>527</v>
      </c>
      <c r="AF1058" s="5">
        <v>87.66292</v>
      </c>
      <c r="AG1058" s="3">
        <f t="shared" si="137"/>
        <v>87.924409999999995</v>
      </c>
      <c r="AH1058" s="1">
        <f t="shared" si="138"/>
        <v>0.20924684891816508</v>
      </c>
    </row>
    <row r="1059" spans="23:34" x14ac:dyDescent="0.2">
      <c r="W1059" s="4">
        <v>250.00497999999999</v>
      </c>
      <c r="X1059" s="1">
        <v>527.5</v>
      </c>
      <c r="Y1059" s="3">
        <v>77.187719999999999</v>
      </c>
      <c r="Z1059" s="3">
        <f t="shared" si="136"/>
        <v>82.628550000000004</v>
      </c>
      <c r="AA1059" s="1">
        <f t="shared" si="139"/>
        <v>0.29687179526488455</v>
      </c>
      <c r="AD1059" s="4">
        <v>250.01588000000001</v>
      </c>
      <c r="AE1059" s="1">
        <v>527.5</v>
      </c>
      <c r="AF1059" s="3">
        <v>87.679220000000001</v>
      </c>
      <c r="AG1059" s="3">
        <f t="shared" si="137"/>
        <v>87.940709999999996</v>
      </c>
      <c r="AH1059" s="1">
        <f t="shared" si="138"/>
        <v>0.20897625041642592</v>
      </c>
    </row>
    <row r="1060" spans="23:34" x14ac:dyDescent="0.2">
      <c r="W1060" s="4">
        <v>250.00307000000001</v>
      </c>
      <c r="X1060" s="1">
        <v>528</v>
      </c>
      <c r="Y1060" s="5">
        <v>77.149540000000002</v>
      </c>
      <c r="Z1060" s="3">
        <f t="shared" si="136"/>
        <v>82.590370000000007</v>
      </c>
      <c r="AA1060" s="1">
        <f t="shared" si="139"/>
        <v>0.29750576168341086</v>
      </c>
      <c r="AD1060" s="4">
        <v>250.01701</v>
      </c>
      <c r="AE1060" s="1">
        <v>528</v>
      </c>
      <c r="AF1060" s="5">
        <v>87.589460000000003</v>
      </c>
      <c r="AG1060" s="3">
        <f t="shared" si="137"/>
        <v>87.850949999999997</v>
      </c>
      <c r="AH1060" s="1">
        <f t="shared" si="138"/>
        <v>0.21046636830084967</v>
      </c>
    </row>
    <row r="1061" spans="23:34" x14ac:dyDescent="0.2">
      <c r="W1061" s="4">
        <v>250.00601</v>
      </c>
      <c r="X1061" s="1">
        <v>528.5</v>
      </c>
      <c r="Y1061" s="3">
        <v>77.141760000000005</v>
      </c>
      <c r="Z1061" s="3">
        <f t="shared" si="136"/>
        <v>82.58259000000001</v>
      </c>
      <c r="AA1061" s="1">
        <f t="shared" si="139"/>
        <v>0.29763494604004087</v>
      </c>
      <c r="AD1061" s="4">
        <v>250.0145</v>
      </c>
      <c r="AE1061" s="1">
        <v>528.5</v>
      </c>
      <c r="AF1061" s="3">
        <v>87.667630000000003</v>
      </c>
      <c r="AG1061" s="3">
        <f t="shared" si="137"/>
        <v>87.929119999999998</v>
      </c>
      <c r="AH1061" s="1">
        <f t="shared" si="138"/>
        <v>0.20916865757195699</v>
      </c>
    </row>
    <row r="1062" spans="23:34" x14ac:dyDescent="0.2">
      <c r="W1062" s="4">
        <v>250.00399999999999</v>
      </c>
      <c r="X1062" s="1">
        <v>529</v>
      </c>
      <c r="Y1062" s="5">
        <v>77.137990000000002</v>
      </c>
      <c r="Z1062" s="3">
        <f t="shared" si="136"/>
        <v>82.578820000000007</v>
      </c>
      <c r="AA1062" s="1">
        <f t="shared" si="139"/>
        <v>0.29769754565758527</v>
      </c>
      <c r="AD1062" s="4">
        <v>250.01453000000001</v>
      </c>
      <c r="AE1062" s="1">
        <v>529</v>
      </c>
      <c r="AF1062" s="5">
        <v>87.700999999999993</v>
      </c>
      <c r="AG1062" s="3">
        <f t="shared" si="137"/>
        <v>87.962489999999988</v>
      </c>
      <c r="AH1062" s="1">
        <f t="shared" si="138"/>
        <v>0.20861467769447026</v>
      </c>
    </row>
    <row r="1063" spans="23:34" x14ac:dyDescent="0.2">
      <c r="W1063" s="4">
        <v>250.00998999999999</v>
      </c>
      <c r="X1063" s="1">
        <v>529.5</v>
      </c>
      <c r="Y1063" s="3">
        <v>77.126509999999996</v>
      </c>
      <c r="Z1063" s="3">
        <f t="shared" si="136"/>
        <v>82.567340000000002</v>
      </c>
      <c r="AA1063" s="1">
        <f t="shared" si="139"/>
        <v>0.29788816730464357</v>
      </c>
      <c r="AD1063" s="4">
        <v>250.01202000000001</v>
      </c>
      <c r="AE1063" s="1">
        <v>529.5</v>
      </c>
      <c r="AF1063" s="3">
        <v>87.60172</v>
      </c>
      <c r="AG1063" s="3">
        <f t="shared" si="137"/>
        <v>87.863209999999995</v>
      </c>
      <c r="AH1063" s="1">
        <f t="shared" si="138"/>
        <v>0.21026283838481766</v>
      </c>
    </row>
    <row r="1064" spans="23:34" x14ac:dyDescent="0.2">
      <c r="W1064" s="4">
        <v>250.00597999999999</v>
      </c>
      <c r="X1064" s="1">
        <v>530</v>
      </c>
      <c r="Y1064" s="5">
        <v>77.114980000000003</v>
      </c>
      <c r="Z1064" s="3">
        <f t="shared" si="136"/>
        <v>82.555810000000008</v>
      </c>
      <c r="AA1064" s="1">
        <f t="shared" si="139"/>
        <v>0.29807961918535614</v>
      </c>
      <c r="AD1064" s="4">
        <v>250.00972999999999</v>
      </c>
      <c r="AE1064" s="1">
        <v>530</v>
      </c>
      <c r="AF1064" s="5">
        <v>87.658540000000002</v>
      </c>
      <c r="AG1064" s="3">
        <f t="shared" si="137"/>
        <v>87.920029999999997</v>
      </c>
      <c r="AH1064" s="1">
        <f t="shared" si="138"/>
        <v>0.20931956188979803</v>
      </c>
    </row>
    <row r="1065" spans="23:34" x14ac:dyDescent="0.2">
      <c r="W1065" s="4">
        <v>249.99798999999999</v>
      </c>
      <c r="X1065" s="1">
        <v>530.5</v>
      </c>
      <c r="Y1065" s="3">
        <v>77.095780000000005</v>
      </c>
      <c r="Z1065" s="3">
        <f t="shared" si="136"/>
        <v>82.53661000000001</v>
      </c>
      <c r="AA1065" s="1">
        <f t="shared" si="139"/>
        <v>0.29839842890865903</v>
      </c>
      <c r="AD1065" s="4">
        <v>250.00897000000001</v>
      </c>
      <c r="AE1065" s="1">
        <v>530.5</v>
      </c>
      <c r="AF1065" s="3">
        <v>87.685599999999994</v>
      </c>
      <c r="AG1065" s="3">
        <f t="shared" si="137"/>
        <v>87.947089999999989</v>
      </c>
      <c r="AH1065" s="1">
        <f t="shared" si="138"/>
        <v>0.20887033517464101</v>
      </c>
    </row>
    <row r="1066" spans="23:34" x14ac:dyDescent="0.2">
      <c r="W1066" s="4">
        <v>250.00700000000001</v>
      </c>
      <c r="X1066" s="1">
        <v>531</v>
      </c>
      <c r="Y1066" s="5">
        <v>77.092140000000001</v>
      </c>
      <c r="Z1066" s="3">
        <f t="shared" si="136"/>
        <v>82.532970000000006</v>
      </c>
      <c r="AA1066" s="1">
        <f t="shared" si="139"/>
        <v>0.29845886991870196</v>
      </c>
      <c r="AD1066" s="4">
        <v>250.00847999999999</v>
      </c>
      <c r="AE1066" s="1">
        <v>531</v>
      </c>
      <c r="AF1066" s="5">
        <v>87.664820000000006</v>
      </c>
      <c r="AG1066" s="3">
        <f t="shared" si="137"/>
        <v>87.926310000000001</v>
      </c>
      <c r="AH1066" s="1">
        <f t="shared" si="138"/>
        <v>0.20921530676152056</v>
      </c>
    </row>
    <row r="1067" spans="23:34" x14ac:dyDescent="0.2">
      <c r="W1067" s="4">
        <v>250.00595000000001</v>
      </c>
      <c r="X1067" s="1">
        <v>531.5</v>
      </c>
      <c r="Y1067" s="3">
        <v>77.074579999999997</v>
      </c>
      <c r="Z1067" s="3">
        <f t="shared" si="136"/>
        <v>82.515410000000003</v>
      </c>
      <c r="AA1067" s="1">
        <f t="shared" si="139"/>
        <v>0.29875044797813949</v>
      </c>
      <c r="AD1067" s="4">
        <v>250.01085</v>
      </c>
      <c r="AE1067" s="1">
        <v>531.5</v>
      </c>
      <c r="AF1067" s="3">
        <v>87.61103</v>
      </c>
      <c r="AG1067" s="3">
        <f t="shared" si="137"/>
        <v>87.872519999999994</v>
      </c>
      <c r="AH1067" s="1">
        <f t="shared" si="138"/>
        <v>0.21010828181725991</v>
      </c>
    </row>
    <row r="1068" spans="23:34" x14ac:dyDescent="0.2">
      <c r="W1068" s="4">
        <v>250.00398999999999</v>
      </c>
      <c r="X1068" s="1">
        <v>532</v>
      </c>
      <c r="Y1068" s="5">
        <v>77.074730000000002</v>
      </c>
      <c r="Z1068" s="3">
        <f t="shared" si="136"/>
        <v>82.515560000000008</v>
      </c>
      <c r="AA1068" s="1">
        <f t="shared" si="139"/>
        <v>0.29874795727717612</v>
      </c>
      <c r="AD1068" s="4">
        <v>250.01079999999999</v>
      </c>
      <c r="AE1068" s="1">
        <v>532</v>
      </c>
      <c r="AF1068" s="5">
        <v>87.436359999999993</v>
      </c>
      <c r="AG1068" s="3">
        <f t="shared" si="137"/>
        <v>87.697849999999988</v>
      </c>
      <c r="AH1068" s="1">
        <f t="shared" si="138"/>
        <v>0.21300800208098886</v>
      </c>
    </row>
    <row r="1069" spans="23:34" x14ac:dyDescent="0.2">
      <c r="W1069" s="4">
        <v>250.00199000000001</v>
      </c>
      <c r="X1069" s="1">
        <v>532.5</v>
      </c>
      <c r="Y1069" s="3">
        <v>77.065119999999993</v>
      </c>
      <c r="Z1069" s="3">
        <f t="shared" si="136"/>
        <v>82.505949999999999</v>
      </c>
      <c r="AA1069" s="1">
        <f t="shared" si="139"/>
        <v>0.2989075281855586</v>
      </c>
      <c r="AD1069" s="4">
        <v>250.01303999999999</v>
      </c>
      <c r="AE1069" s="1">
        <v>532.5</v>
      </c>
      <c r="AF1069" s="3">
        <v>87.623220000000003</v>
      </c>
      <c r="AG1069" s="3">
        <f t="shared" si="137"/>
        <v>87.884709999999998</v>
      </c>
      <c r="AH1069" s="1">
        <f t="shared" si="138"/>
        <v>0.20990591398068312</v>
      </c>
    </row>
    <row r="1070" spans="23:34" x14ac:dyDescent="0.2">
      <c r="W1070" s="4">
        <v>249.99997999999999</v>
      </c>
      <c r="X1070" s="1">
        <v>533</v>
      </c>
      <c r="Y1070" s="5">
        <v>77.070679999999996</v>
      </c>
      <c r="Z1070" s="3">
        <f t="shared" si="136"/>
        <v>82.511510000000001</v>
      </c>
      <c r="AA1070" s="1">
        <f t="shared" si="139"/>
        <v>0.29881520620318541</v>
      </c>
      <c r="AD1070" s="4">
        <v>250.01560000000001</v>
      </c>
      <c r="AE1070" s="1">
        <v>533</v>
      </c>
      <c r="AF1070" s="5">
        <v>87.569400000000002</v>
      </c>
      <c r="AG1070" s="3">
        <f t="shared" si="137"/>
        <v>87.830889999999997</v>
      </c>
      <c r="AH1070" s="1">
        <f t="shared" si="138"/>
        <v>0.21079938707047469</v>
      </c>
    </row>
    <row r="1071" spans="23:34" x14ac:dyDescent="0.2">
      <c r="W1071" s="4">
        <v>250.00905</v>
      </c>
      <c r="X1071" s="1">
        <v>533.5</v>
      </c>
      <c r="Y1071" s="3">
        <v>77.052049999999994</v>
      </c>
      <c r="Z1071" s="3">
        <f t="shared" si="136"/>
        <v>82.49288</v>
      </c>
      <c r="AA1071" s="1">
        <f t="shared" si="139"/>
        <v>0.29912455126282783</v>
      </c>
      <c r="AD1071" s="4">
        <v>250.01491999999999</v>
      </c>
      <c r="AE1071" s="1">
        <v>533.5</v>
      </c>
      <c r="AF1071" s="3">
        <v>87.471890000000002</v>
      </c>
      <c r="AG1071" s="3">
        <f t="shared" si="137"/>
        <v>87.733379999999997</v>
      </c>
      <c r="AH1071" s="1">
        <f t="shared" si="138"/>
        <v>0.21241816375173764</v>
      </c>
    </row>
    <row r="1072" spans="23:34" x14ac:dyDescent="0.2">
      <c r="W1072" s="4">
        <v>250.00798</v>
      </c>
      <c r="X1072" s="1">
        <v>534</v>
      </c>
      <c r="Y1072" s="5">
        <v>77.063100000000006</v>
      </c>
      <c r="Z1072" s="3">
        <f t="shared" si="136"/>
        <v>82.503930000000011</v>
      </c>
      <c r="AA1072" s="1">
        <f t="shared" si="139"/>
        <v>0.29894106962519756</v>
      </c>
      <c r="AD1072" s="4">
        <v>250.01373000000001</v>
      </c>
      <c r="AE1072" s="1">
        <v>534</v>
      </c>
      <c r="AF1072" s="5">
        <v>87.54074</v>
      </c>
      <c r="AG1072" s="3">
        <f t="shared" si="137"/>
        <v>87.802229999999994</v>
      </c>
      <c r="AH1072" s="1">
        <f t="shared" si="138"/>
        <v>0.21127517560175352</v>
      </c>
    </row>
    <row r="1073" spans="23:34" x14ac:dyDescent="0.2">
      <c r="W1073" s="4">
        <v>250.00400999999999</v>
      </c>
      <c r="X1073" s="1">
        <v>534.5</v>
      </c>
      <c r="Y1073" s="3">
        <v>77.036479999999997</v>
      </c>
      <c r="Z1073" s="3">
        <f t="shared" si="136"/>
        <v>82.477310000000003</v>
      </c>
      <c r="AA1073" s="1">
        <f t="shared" si="139"/>
        <v>0.29938308602281877</v>
      </c>
      <c r="AD1073" s="4">
        <v>250.01438999999999</v>
      </c>
      <c r="AE1073" s="1">
        <v>534.5</v>
      </c>
      <c r="AF1073" s="3">
        <v>87.608559999999997</v>
      </c>
      <c r="AG1073" s="3">
        <f t="shared" si="137"/>
        <v>87.870049999999992</v>
      </c>
      <c r="AH1073" s="1">
        <f t="shared" si="138"/>
        <v>0.21014928662089771</v>
      </c>
    </row>
    <row r="1074" spans="23:34" x14ac:dyDescent="0.2">
      <c r="W1074" s="4">
        <v>250.00796</v>
      </c>
      <c r="X1074" s="1">
        <v>535</v>
      </c>
      <c r="Y1074" s="5">
        <v>77.026539999999997</v>
      </c>
      <c r="Z1074" s="3">
        <f t="shared" si="136"/>
        <v>82.467370000000003</v>
      </c>
      <c r="AA1074" s="1">
        <f t="shared" si="139"/>
        <v>0.2995481364733204</v>
      </c>
      <c r="AD1074" s="4">
        <v>250.01595</v>
      </c>
      <c r="AE1074" s="1">
        <v>535</v>
      </c>
      <c r="AF1074" s="5">
        <v>87.481939999999994</v>
      </c>
      <c r="AG1074" s="3">
        <f t="shared" si="137"/>
        <v>87.743429999999989</v>
      </c>
      <c r="AH1074" s="1">
        <f t="shared" si="138"/>
        <v>0.21225132234422373</v>
      </c>
    </row>
    <row r="1075" spans="23:34" x14ac:dyDescent="0.2">
      <c r="W1075" s="4">
        <v>250.00998999999999</v>
      </c>
      <c r="X1075" s="1">
        <v>535.5</v>
      </c>
      <c r="Y1075" s="3">
        <v>77.021060000000006</v>
      </c>
      <c r="Z1075" s="3">
        <f t="shared" si="136"/>
        <v>82.461890000000011</v>
      </c>
      <c r="AA1075" s="1">
        <f t="shared" si="139"/>
        <v>0.29963913008184628</v>
      </c>
      <c r="AD1075" s="4">
        <v>250.01734999999999</v>
      </c>
      <c r="AE1075" s="1">
        <v>535.5</v>
      </c>
      <c r="AF1075" s="3">
        <v>87.463729999999998</v>
      </c>
      <c r="AG1075" s="3">
        <f t="shared" si="137"/>
        <v>87.725219999999993</v>
      </c>
      <c r="AH1075" s="1">
        <f t="shared" si="138"/>
        <v>0.21255362901395802</v>
      </c>
    </row>
    <row r="1076" spans="23:34" x14ac:dyDescent="0.2">
      <c r="W1076" s="4">
        <v>250.001</v>
      </c>
      <c r="X1076" s="1">
        <v>536</v>
      </c>
      <c r="Y1076" s="5">
        <v>77.009469999999993</v>
      </c>
      <c r="Z1076" s="3">
        <f t="shared" si="136"/>
        <v>82.450299999999999</v>
      </c>
      <c r="AA1076" s="1">
        <f t="shared" si="139"/>
        <v>0.29983157824294449</v>
      </c>
      <c r="AD1076" s="4">
        <v>250.02171000000001</v>
      </c>
      <c r="AE1076" s="1">
        <v>536</v>
      </c>
      <c r="AF1076" s="5">
        <v>87.484449999999995</v>
      </c>
      <c r="AG1076" s="3">
        <f t="shared" si="137"/>
        <v>87.74593999999999</v>
      </c>
      <c r="AH1076" s="1">
        <f t="shared" si="138"/>
        <v>0.21220965349518289</v>
      </c>
    </row>
    <row r="1077" spans="23:34" x14ac:dyDescent="0.2">
      <c r="W1077" s="4">
        <v>250.00399999999999</v>
      </c>
      <c r="X1077" s="1">
        <v>536.5</v>
      </c>
      <c r="Y1077" s="3">
        <v>76.992270000000005</v>
      </c>
      <c r="Z1077" s="3">
        <f t="shared" si="136"/>
        <v>82.43310000000001</v>
      </c>
      <c r="AA1077" s="1">
        <f t="shared" si="139"/>
        <v>0.30011717862006981</v>
      </c>
      <c r="AD1077" s="4">
        <v>250.02305999999999</v>
      </c>
      <c r="AE1077" s="1">
        <v>536.5</v>
      </c>
      <c r="AF1077" s="3">
        <v>87.449839999999995</v>
      </c>
      <c r="AG1077" s="3">
        <f t="shared" si="137"/>
        <v>87.71132999999999</v>
      </c>
      <c r="AH1077" s="1">
        <f t="shared" si="138"/>
        <v>0.21278421878016404</v>
      </c>
    </row>
    <row r="1078" spans="23:34" x14ac:dyDescent="0.2">
      <c r="W1078" s="4">
        <v>250.00395</v>
      </c>
      <c r="X1078" s="1">
        <v>537</v>
      </c>
      <c r="Y1078" s="5">
        <v>76.997950000000003</v>
      </c>
      <c r="Z1078" s="3">
        <f t="shared" si="136"/>
        <v>82.438780000000008</v>
      </c>
      <c r="AA1078" s="1">
        <f t="shared" si="139"/>
        <v>0.30002286407692608</v>
      </c>
      <c r="AD1078" s="4">
        <v>250.01725999999999</v>
      </c>
      <c r="AE1078" s="1">
        <v>537</v>
      </c>
      <c r="AF1078" s="5">
        <v>87.482039999999998</v>
      </c>
      <c r="AG1078" s="3">
        <f t="shared" si="137"/>
        <v>87.743529999999993</v>
      </c>
      <c r="AH1078" s="1">
        <f t="shared" si="138"/>
        <v>0.21224966223071606</v>
      </c>
    </row>
    <row r="1079" spans="23:34" x14ac:dyDescent="0.2">
      <c r="W1079" s="4">
        <v>250.00601</v>
      </c>
      <c r="X1079" s="1">
        <v>537.5</v>
      </c>
      <c r="Y1079" s="3">
        <v>76.988630000000001</v>
      </c>
      <c r="Z1079" s="3">
        <f t="shared" si="136"/>
        <v>82.429460000000006</v>
      </c>
      <c r="AA1079" s="1">
        <f t="shared" si="139"/>
        <v>0.30017761963011275</v>
      </c>
      <c r="AD1079" s="4">
        <v>250.01336000000001</v>
      </c>
      <c r="AE1079" s="1">
        <v>537.5</v>
      </c>
      <c r="AF1079" s="3">
        <v>87.527180000000001</v>
      </c>
      <c r="AG1079" s="3">
        <f t="shared" si="137"/>
        <v>87.788669999999996</v>
      </c>
      <c r="AH1079" s="1">
        <f t="shared" si="138"/>
        <v>0.21150028699338436</v>
      </c>
    </row>
    <row r="1080" spans="23:34" x14ac:dyDescent="0.2">
      <c r="W1080" s="4">
        <v>250.005</v>
      </c>
      <c r="X1080" s="1">
        <v>538</v>
      </c>
      <c r="Y1080" s="5">
        <v>76.984660000000005</v>
      </c>
      <c r="Z1080" s="3">
        <f t="shared" si="136"/>
        <v>82.425490000000011</v>
      </c>
      <c r="AA1080" s="1">
        <f t="shared" si="139"/>
        <v>0.30024354018227478</v>
      </c>
      <c r="AD1080" s="4">
        <v>250.01586</v>
      </c>
      <c r="AE1080" s="1">
        <v>538</v>
      </c>
      <c r="AF1080" s="5">
        <v>87.557010000000005</v>
      </c>
      <c r="AG1080" s="3">
        <f t="shared" si="137"/>
        <v>87.8185</v>
      </c>
      <c r="AH1080" s="1">
        <f t="shared" si="138"/>
        <v>0.21100507513406655</v>
      </c>
    </row>
    <row r="1081" spans="23:34" x14ac:dyDescent="0.2">
      <c r="W1081" s="4">
        <v>249.99797000000001</v>
      </c>
      <c r="X1081" s="1">
        <v>538.5</v>
      </c>
      <c r="Y1081" s="3">
        <v>76.967479999999995</v>
      </c>
      <c r="Z1081" s="3">
        <f t="shared" si="136"/>
        <v>82.40831</v>
      </c>
      <c r="AA1081" s="1">
        <f t="shared" si="139"/>
        <v>0.30052880846593871</v>
      </c>
      <c r="AD1081" s="4">
        <v>250.01704000000001</v>
      </c>
      <c r="AE1081" s="1">
        <v>538.5</v>
      </c>
      <c r="AF1081" s="3">
        <v>87.564580000000007</v>
      </c>
      <c r="AG1081" s="3">
        <f t="shared" si="137"/>
        <v>87.826070000000001</v>
      </c>
      <c r="AH1081" s="1">
        <f t="shared" si="138"/>
        <v>0.21087940454154103</v>
      </c>
    </row>
    <row r="1082" spans="23:34" x14ac:dyDescent="0.2">
      <c r="W1082" s="4">
        <v>250.00202999999999</v>
      </c>
      <c r="X1082" s="1">
        <v>539</v>
      </c>
      <c r="Y1082" s="5">
        <v>76.948160000000001</v>
      </c>
      <c r="Z1082" s="3">
        <f t="shared" si="136"/>
        <v>82.388990000000007</v>
      </c>
      <c r="AA1082" s="1">
        <f t="shared" si="139"/>
        <v>0.30084961075001221</v>
      </c>
      <c r="AD1082" s="4">
        <v>250.01677000000001</v>
      </c>
      <c r="AE1082" s="1">
        <v>539</v>
      </c>
      <c r="AF1082" s="5">
        <v>87.440129999999996</v>
      </c>
      <c r="AG1082" s="3">
        <f t="shared" si="137"/>
        <v>87.701619999999991</v>
      </c>
      <c r="AH1082" s="1">
        <f t="shared" si="138"/>
        <v>0.21294541580175219</v>
      </c>
    </row>
    <row r="1083" spans="23:34" x14ac:dyDescent="0.2">
      <c r="W1083" s="4">
        <v>250.00899000000001</v>
      </c>
      <c r="X1083" s="1">
        <v>539.5</v>
      </c>
      <c r="Y1083" s="3">
        <v>76.955730000000003</v>
      </c>
      <c r="Z1083" s="3">
        <f t="shared" si="136"/>
        <v>82.396560000000008</v>
      </c>
      <c r="AA1083" s="1">
        <f t="shared" si="139"/>
        <v>0.30072391337473076</v>
      </c>
      <c r="AD1083" s="4">
        <v>250.01737</v>
      </c>
      <c r="AE1083" s="1">
        <v>539.5</v>
      </c>
      <c r="AF1083" s="3">
        <v>87.362949999999998</v>
      </c>
      <c r="AG1083" s="3">
        <f t="shared" si="137"/>
        <v>87.624439999999993</v>
      </c>
      <c r="AH1083" s="1">
        <f t="shared" si="138"/>
        <v>0.21422669140691958</v>
      </c>
    </row>
    <row r="1084" spans="23:34" x14ac:dyDescent="0.2">
      <c r="W1084" s="4">
        <v>250.00399999999999</v>
      </c>
      <c r="X1084" s="1">
        <v>540</v>
      </c>
      <c r="Y1084" s="5">
        <v>76.938370000000006</v>
      </c>
      <c r="Z1084" s="3">
        <f t="shared" si="136"/>
        <v>82.379200000000012</v>
      </c>
      <c r="AA1084" s="1">
        <f t="shared" si="139"/>
        <v>0.30101217049955042</v>
      </c>
      <c r="AD1084" s="4">
        <v>250.01205999999999</v>
      </c>
      <c r="AE1084" s="1">
        <v>540</v>
      </c>
      <c r="AF1084" s="5">
        <v>87.463880000000003</v>
      </c>
      <c r="AG1084" s="3">
        <f t="shared" si="137"/>
        <v>87.725369999999998</v>
      </c>
      <c r="AH1084" s="1">
        <f t="shared" si="138"/>
        <v>0.21255113884369656</v>
      </c>
    </row>
    <row r="1085" spans="23:34" x14ac:dyDescent="0.2">
      <c r="W1085" s="4">
        <v>250.00102999999999</v>
      </c>
      <c r="X1085" s="1">
        <v>540.5</v>
      </c>
      <c r="Y1085" s="3">
        <v>76.925079999999994</v>
      </c>
      <c r="Z1085" s="3">
        <f t="shared" si="136"/>
        <v>82.36591</v>
      </c>
      <c r="AA1085" s="1">
        <f t="shared" si="139"/>
        <v>0.30123284660489941</v>
      </c>
      <c r="AD1085" s="4">
        <v>250.01500999999999</v>
      </c>
      <c r="AE1085" s="1">
        <v>540.5</v>
      </c>
      <c r="AF1085" s="3">
        <v>87.450010000000006</v>
      </c>
      <c r="AG1085" s="3">
        <f t="shared" si="137"/>
        <v>87.711500000000001</v>
      </c>
      <c r="AH1085" s="1">
        <f t="shared" si="138"/>
        <v>0.21278139658720094</v>
      </c>
    </row>
    <row r="1086" spans="23:34" x14ac:dyDescent="0.2">
      <c r="W1086" s="4">
        <v>250.00004999999999</v>
      </c>
      <c r="X1086" s="1">
        <v>541</v>
      </c>
      <c r="Y1086" s="5">
        <v>76.931049999999999</v>
      </c>
      <c r="Z1086" s="3">
        <f t="shared" si="136"/>
        <v>82.371880000000004</v>
      </c>
      <c r="AA1086" s="1">
        <f t="shared" si="139"/>
        <v>0.30113371670655981</v>
      </c>
      <c r="AD1086" s="4">
        <v>250.01593</v>
      </c>
      <c r="AE1086" s="1">
        <v>541</v>
      </c>
      <c r="AF1086" s="5">
        <v>87.416870000000003</v>
      </c>
      <c r="AG1086" s="3">
        <f t="shared" si="137"/>
        <v>87.678359999999998</v>
      </c>
      <c r="AH1086" s="1">
        <f t="shared" si="138"/>
        <v>0.21333155820362038</v>
      </c>
    </row>
    <row r="1087" spans="23:34" x14ac:dyDescent="0.2">
      <c r="W1087" s="4">
        <v>250.00299999999999</v>
      </c>
      <c r="X1087" s="1">
        <v>541.5</v>
      </c>
      <c r="Y1087" s="3">
        <v>76.930869999999999</v>
      </c>
      <c r="Z1087" s="3">
        <f t="shared" si="136"/>
        <v>82.371700000000004</v>
      </c>
      <c r="AA1087" s="1">
        <f t="shared" si="139"/>
        <v>0.30113670554771577</v>
      </c>
      <c r="AD1087" s="4">
        <v>250.01363000000001</v>
      </c>
      <c r="AE1087" s="1">
        <v>541.5</v>
      </c>
      <c r="AF1087" s="3">
        <v>87.296989999999994</v>
      </c>
      <c r="AG1087" s="3">
        <f t="shared" si="137"/>
        <v>87.558479999999989</v>
      </c>
      <c r="AH1087" s="1">
        <f t="shared" si="138"/>
        <v>0.21532170227653408</v>
      </c>
    </row>
    <row r="1088" spans="23:34" x14ac:dyDescent="0.2">
      <c r="W1088" s="4">
        <v>250.00299000000001</v>
      </c>
      <c r="X1088" s="1">
        <v>542</v>
      </c>
      <c r="Y1088" s="5">
        <v>76.928880000000007</v>
      </c>
      <c r="Z1088" s="3">
        <f t="shared" si="136"/>
        <v>82.369710000000012</v>
      </c>
      <c r="AA1088" s="1">
        <f t="shared" si="139"/>
        <v>0.30116974884716213</v>
      </c>
      <c r="AD1088" s="4">
        <v>250.01435000000001</v>
      </c>
      <c r="AE1088" s="1">
        <v>542</v>
      </c>
      <c r="AF1088" s="5">
        <v>87.420270000000002</v>
      </c>
      <c r="AG1088" s="3">
        <f t="shared" si="137"/>
        <v>87.681759999999997</v>
      </c>
      <c r="AH1088" s="1">
        <f t="shared" si="138"/>
        <v>0.21327511434436192</v>
      </c>
    </row>
    <row r="1089" spans="23:34" x14ac:dyDescent="0.2">
      <c r="W1089" s="4">
        <v>250.00601</v>
      </c>
      <c r="X1089" s="1">
        <v>542.5</v>
      </c>
      <c r="Y1089" s="3">
        <v>76.93074</v>
      </c>
      <c r="Z1089" s="3">
        <f t="shared" si="136"/>
        <v>82.371570000000006</v>
      </c>
      <c r="AA1089" s="1">
        <f t="shared" si="139"/>
        <v>0.30113886415521729</v>
      </c>
      <c r="AD1089" s="4">
        <v>250.01598999999999</v>
      </c>
      <c r="AE1089" s="1">
        <v>542.5</v>
      </c>
      <c r="AF1089" s="3">
        <v>87.473470000000006</v>
      </c>
      <c r="AG1089" s="3">
        <f t="shared" si="137"/>
        <v>87.734960000000001</v>
      </c>
      <c r="AH1089" s="1">
        <f t="shared" si="138"/>
        <v>0.21239193395831746</v>
      </c>
    </row>
    <row r="1090" spans="23:34" x14ac:dyDescent="0.2">
      <c r="W1090" s="4">
        <v>250.00504000000001</v>
      </c>
      <c r="X1090" s="1">
        <v>543</v>
      </c>
      <c r="Y1090" s="5">
        <v>76.904160000000005</v>
      </c>
      <c r="Z1090" s="3">
        <f t="shared" si="136"/>
        <v>82.34499000000001</v>
      </c>
      <c r="AA1090" s="1">
        <f t="shared" si="139"/>
        <v>0.3015802163659147</v>
      </c>
      <c r="AD1090" s="4">
        <v>250.01853</v>
      </c>
      <c r="AE1090" s="1">
        <v>543</v>
      </c>
      <c r="AF1090" s="5">
        <v>87.268339999999995</v>
      </c>
      <c r="AG1090" s="3">
        <f t="shared" si="137"/>
        <v>87.52982999999999</v>
      </c>
      <c r="AH1090" s="1">
        <f t="shared" si="138"/>
        <v>0.2157973247964621</v>
      </c>
    </row>
    <row r="1091" spans="23:34" x14ac:dyDescent="0.2">
      <c r="W1091" s="4">
        <v>250.00703999999999</v>
      </c>
      <c r="X1091" s="1">
        <v>543.5</v>
      </c>
      <c r="Y1091" s="3">
        <v>76.892589999999998</v>
      </c>
      <c r="Z1091" s="3">
        <f t="shared" si="136"/>
        <v>82.333420000000004</v>
      </c>
      <c r="AA1091" s="1">
        <f t="shared" si="139"/>
        <v>0.301772332433551</v>
      </c>
      <c r="AD1091" s="4">
        <v>250.01731000000001</v>
      </c>
      <c r="AE1091" s="1">
        <v>543.5</v>
      </c>
      <c r="AF1091" s="3">
        <v>87.515770000000003</v>
      </c>
      <c r="AG1091" s="3">
        <f t="shared" si="137"/>
        <v>87.777259999999998</v>
      </c>
      <c r="AH1091" s="1">
        <f t="shared" si="138"/>
        <v>0.21168970594460174</v>
      </c>
    </row>
    <row r="1092" spans="23:34" x14ac:dyDescent="0.2">
      <c r="W1092" s="4">
        <v>250.01</v>
      </c>
      <c r="X1092" s="1">
        <v>544</v>
      </c>
      <c r="Y1092" s="5">
        <v>76.89058</v>
      </c>
      <c r="Z1092" s="3">
        <f t="shared" si="136"/>
        <v>82.331410000000005</v>
      </c>
      <c r="AA1092" s="1">
        <f t="shared" si="139"/>
        <v>0.30180570782645927</v>
      </c>
      <c r="AD1092" s="4">
        <v>250.01528999999999</v>
      </c>
      <c r="AE1092" s="1">
        <v>544</v>
      </c>
      <c r="AF1092" s="5">
        <v>87.410899999999998</v>
      </c>
      <c r="AG1092" s="3">
        <f t="shared" si="137"/>
        <v>87.672389999999993</v>
      </c>
      <c r="AH1092" s="1">
        <f t="shared" si="138"/>
        <v>0.2134306669800243</v>
      </c>
    </row>
    <row r="1093" spans="23:34" x14ac:dyDescent="0.2">
      <c r="W1093" s="4">
        <v>250.01102</v>
      </c>
      <c r="X1093" s="1">
        <v>544.5</v>
      </c>
      <c r="Y1093" s="3">
        <v>76.886880000000005</v>
      </c>
      <c r="Z1093" s="3">
        <f t="shared" ref="Z1093:Z1156" si="140">100-($Y$4-Y1093)</f>
        <v>82.32771000000001</v>
      </c>
      <c r="AA1093" s="1">
        <f t="shared" si="139"/>
        <v>0.30186714511688734</v>
      </c>
      <c r="AD1093" s="4">
        <v>250.01541</v>
      </c>
      <c r="AE1093" s="1">
        <v>544.5</v>
      </c>
      <c r="AF1093" s="3">
        <v>87.375860000000003</v>
      </c>
      <c r="AG1093" s="3">
        <f t="shared" ref="AG1093:AG1156" si="141">100-($AF$4-AF1093)</f>
        <v>87.637349999999998</v>
      </c>
      <c r="AH1093" s="1">
        <f t="shared" si="138"/>
        <v>0.21401237075308804</v>
      </c>
    </row>
    <row r="1094" spans="23:34" x14ac:dyDescent="0.2">
      <c r="W1094" s="4">
        <v>250.00501</v>
      </c>
      <c r="X1094" s="1">
        <v>545</v>
      </c>
      <c r="Y1094" s="5">
        <v>76.869579999999999</v>
      </c>
      <c r="Z1094" s="3">
        <f t="shared" si="140"/>
        <v>82.310410000000005</v>
      </c>
      <c r="AA1094" s="1">
        <f t="shared" si="139"/>
        <v>0.30215440596132187</v>
      </c>
      <c r="AD1094" s="4">
        <v>250.018</v>
      </c>
      <c r="AE1094" s="1">
        <v>545</v>
      </c>
      <c r="AF1094" s="5">
        <v>87.411689999999993</v>
      </c>
      <c r="AG1094" s="3">
        <f t="shared" si="141"/>
        <v>87.673179999999988</v>
      </c>
      <c r="AH1094" s="1">
        <f t="shared" si="138"/>
        <v>0.21341755208331434</v>
      </c>
    </row>
    <row r="1095" spans="23:34" x14ac:dyDescent="0.2">
      <c r="W1095" s="4">
        <v>250.00306</v>
      </c>
      <c r="X1095" s="1">
        <v>545.5</v>
      </c>
      <c r="Y1095" s="3">
        <v>76.873459999999994</v>
      </c>
      <c r="Z1095" s="3">
        <f t="shared" si="140"/>
        <v>82.31429</v>
      </c>
      <c r="AA1095" s="1">
        <f t="shared" si="139"/>
        <v>0.30208997982973779</v>
      </c>
      <c r="AD1095" s="4">
        <v>250.01874000000001</v>
      </c>
      <c r="AE1095" s="1">
        <v>545.5</v>
      </c>
      <c r="AF1095" s="3">
        <v>87.378360000000001</v>
      </c>
      <c r="AG1095" s="3">
        <f t="shared" si="141"/>
        <v>87.639849999999996</v>
      </c>
      <c r="AH1095" s="1">
        <f t="shared" si="138"/>
        <v>0.21397086791539802</v>
      </c>
    </row>
    <row r="1096" spans="23:34" x14ac:dyDescent="0.2">
      <c r="W1096" s="4">
        <v>250.00599</v>
      </c>
      <c r="X1096" s="1">
        <v>546</v>
      </c>
      <c r="Y1096" s="5">
        <v>76.869579999999999</v>
      </c>
      <c r="Z1096" s="3">
        <f t="shared" si="140"/>
        <v>82.310410000000005</v>
      </c>
      <c r="AA1096" s="1">
        <f t="shared" si="139"/>
        <v>0.30215440596132187</v>
      </c>
      <c r="AD1096" s="4">
        <v>250.01942</v>
      </c>
      <c r="AE1096" s="1">
        <v>546</v>
      </c>
      <c r="AF1096" s="5">
        <v>87.388850000000005</v>
      </c>
      <c r="AG1096" s="3">
        <f t="shared" si="141"/>
        <v>87.65034</v>
      </c>
      <c r="AH1096" s="1">
        <f t="shared" si="138"/>
        <v>0.21379672200845048</v>
      </c>
    </row>
    <row r="1097" spans="23:34" x14ac:dyDescent="0.2">
      <c r="W1097" s="4">
        <v>250.00303</v>
      </c>
      <c r="X1097" s="1">
        <v>546.5</v>
      </c>
      <c r="Y1097" s="3">
        <v>76.854050000000001</v>
      </c>
      <c r="Z1097" s="3">
        <f t="shared" si="140"/>
        <v>82.294880000000006</v>
      </c>
      <c r="AA1097" s="1">
        <f t="shared" si="139"/>
        <v>0.30241227653438923</v>
      </c>
      <c r="AD1097" s="4">
        <v>250.01906</v>
      </c>
      <c r="AE1097" s="1">
        <v>546.5</v>
      </c>
      <c r="AF1097" s="3">
        <v>87.421120000000002</v>
      </c>
      <c r="AG1097" s="3">
        <f t="shared" si="141"/>
        <v>87.682609999999997</v>
      </c>
      <c r="AH1097" s="1">
        <f t="shared" si="138"/>
        <v>0.21326100337954729</v>
      </c>
    </row>
    <row r="1098" spans="23:34" x14ac:dyDescent="0.2">
      <c r="W1098" s="4">
        <v>250.00299000000001</v>
      </c>
      <c r="X1098" s="1">
        <v>547</v>
      </c>
      <c r="Y1098" s="5">
        <v>76.834940000000003</v>
      </c>
      <c r="Z1098" s="3">
        <f t="shared" si="140"/>
        <v>82.275770000000009</v>
      </c>
      <c r="AA1098" s="1">
        <f t="shared" si="139"/>
        <v>0.30272959183711418</v>
      </c>
      <c r="AD1098" s="4">
        <v>250.01892000000001</v>
      </c>
      <c r="AE1098" s="1">
        <v>547</v>
      </c>
      <c r="AF1098" s="5">
        <v>87.309150000000002</v>
      </c>
      <c r="AG1098" s="3">
        <f t="shared" si="141"/>
        <v>87.570639999999997</v>
      </c>
      <c r="AH1098" s="1">
        <f t="shared" ref="AH1098:AH1161" si="142">($AG$9-AG1098)/($AG$9*(1-$N$1))</f>
        <v>0.21511983247400951</v>
      </c>
    </row>
    <row r="1099" spans="23:34" x14ac:dyDescent="0.2">
      <c r="W1099" s="4">
        <v>250.00102999999999</v>
      </c>
      <c r="X1099" s="1">
        <v>547.5</v>
      </c>
      <c r="Y1099" s="3">
        <v>76.8446</v>
      </c>
      <c r="Z1099" s="3">
        <f t="shared" si="140"/>
        <v>82.285430000000005</v>
      </c>
      <c r="AA1099" s="1">
        <f t="shared" si="139"/>
        <v>0.30256919069507743</v>
      </c>
      <c r="AD1099" s="4">
        <v>250.01903999999999</v>
      </c>
      <c r="AE1099" s="1">
        <v>547.5</v>
      </c>
      <c r="AF1099" s="3">
        <v>87.237579999999994</v>
      </c>
      <c r="AG1099" s="3">
        <f t="shared" si="141"/>
        <v>87.499069999999989</v>
      </c>
      <c r="AH1099" s="1">
        <f t="shared" si="142"/>
        <v>0.21630797571140059</v>
      </c>
    </row>
    <row r="1100" spans="23:34" x14ac:dyDescent="0.2">
      <c r="W1100" s="4">
        <v>249.99897999999999</v>
      </c>
      <c r="X1100" s="1">
        <v>548</v>
      </c>
      <c r="Y1100" s="5">
        <v>76.825469999999996</v>
      </c>
      <c r="Z1100" s="3">
        <f t="shared" si="140"/>
        <v>82.266300000000001</v>
      </c>
      <c r="AA1100" s="1">
        <f t="shared" ref="AA1100:AA1163" si="143">($Z$11-Z1100)/($Z$11*(1-$N$1))</f>
        <v>0.30288683809126421</v>
      </c>
      <c r="AD1100" s="4">
        <v>250.02011999999999</v>
      </c>
      <c r="AE1100" s="1">
        <v>548</v>
      </c>
      <c r="AF1100" s="5">
        <v>87.393929999999997</v>
      </c>
      <c r="AG1100" s="3">
        <f t="shared" si="141"/>
        <v>87.655419999999992</v>
      </c>
      <c r="AH1100" s="1">
        <f t="shared" si="142"/>
        <v>0.21371238824226441</v>
      </c>
    </row>
    <row r="1101" spans="23:34" x14ac:dyDescent="0.2">
      <c r="W1101" s="4">
        <v>250.00303</v>
      </c>
      <c r="X1101" s="1">
        <v>548.5</v>
      </c>
      <c r="Y1101" s="3">
        <v>76.812129999999996</v>
      </c>
      <c r="Z1101" s="3">
        <f t="shared" si="140"/>
        <v>82.252960000000002</v>
      </c>
      <c r="AA1101" s="1">
        <f t="shared" si="143"/>
        <v>0.30310834443026741</v>
      </c>
      <c r="AD1101" s="4">
        <v>250.01937000000001</v>
      </c>
      <c r="AE1101" s="1">
        <v>548.5</v>
      </c>
      <c r="AF1101" s="3">
        <v>87.359470000000002</v>
      </c>
      <c r="AG1101" s="3">
        <f t="shared" si="141"/>
        <v>87.620959999999997</v>
      </c>
      <c r="AH1101" s="1">
        <f t="shared" si="142"/>
        <v>0.21428446335698409</v>
      </c>
    </row>
    <row r="1102" spans="23:34" x14ac:dyDescent="0.2">
      <c r="W1102" s="4">
        <v>250.00397000000001</v>
      </c>
      <c r="X1102" s="1">
        <v>549</v>
      </c>
      <c r="Y1102" s="5">
        <v>76.814040000000006</v>
      </c>
      <c r="Z1102" s="3">
        <f t="shared" si="140"/>
        <v>82.254870000000011</v>
      </c>
      <c r="AA1102" s="1">
        <f t="shared" si="143"/>
        <v>0.30307662950466785</v>
      </c>
      <c r="AD1102" s="4">
        <v>250.02132</v>
      </c>
      <c r="AE1102" s="1">
        <v>549</v>
      </c>
      <c r="AF1102" s="5">
        <v>87.299890000000005</v>
      </c>
      <c r="AG1102" s="3">
        <f t="shared" si="141"/>
        <v>87.56138</v>
      </c>
      <c r="AH1102" s="1">
        <f t="shared" si="142"/>
        <v>0.21527355898481343</v>
      </c>
    </row>
    <row r="1103" spans="23:34" x14ac:dyDescent="0.2">
      <c r="W1103" s="4">
        <v>250.00397000000001</v>
      </c>
      <c r="X1103" s="1">
        <v>549.5</v>
      </c>
      <c r="Y1103" s="3">
        <v>76.813969999999998</v>
      </c>
      <c r="Z1103" s="3">
        <f t="shared" si="140"/>
        <v>82.254800000000003</v>
      </c>
      <c r="AA1103" s="1">
        <f t="shared" si="143"/>
        <v>0.30307779183178418</v>
      </c>
      <c r="AD1103" s="4">
        <v>250.02146999999999</v>
      </c>
      <c r="AE1103" s="1">
        <v>549.5</v>
      </c>
      <c r="AF1103" s="3">
        <v>87.294020000000003</v>
      </c>
      <c r="AG1103" s="3">
        <f t="shared" si="141"/>
        <v>87.555509999999998</v>
      </c>
      <c r="AH1103" s="1">
        <f t="shared" si="142"/>
        <v>0.21537100764770972</v>
      </c>
    </row>
    <row r="1104" spans="23:34" x14ac:dyDescent="0.2">
      <c r="W1104" s="4">
        <v>250.00102999999999</v>
      </c>
      <c r="X1104" s="1">
        <v>550</v>
      </c>
      <c r="Y1104" s="5">
        <v>76.787149999999997</v>
      </c>
      <c r="Z1104" s="3">
        <f t="shared" si="140"/>
        <v>82.227980000000002</v>
      </c>
      <c r="AA1104" s="1">
        <f t="shared" si="143"/>
        <v>0.30352312916402296</v>
      </c>
      <c r="AD1104" s="4">
        <v>250.02280999999999</v>
      </c>
      <c r="AE1104" s="1">
        <v>550</v>
      </c>
      <c r="AF1104" s="5">
        <v>87.29365</v>
      </c>
      <c r="AG1104" s="3">
        <f t="shared" si="141"/>
        <v>87.555139999999994</v>
      </c>
      <c r="AH1104" s="1">
        <f t="shared" si="142"/>
        <v>0.2153771500676879</v>
      </c>
    </row>
    <row r="1105" spans="23:34" x14ac:dyDescent="0.2">
      <c r="W1105" s="4">
        <v>250.00799000000001</v>
      </c>
      <c r="X1105" s="1">
        <v>550.5</v>
      </c>
      <c r="Y1105" s="3">
        <v>76.788970000000006</v>
      </c>
      <c r="Z1105" s="3">
        <f t="shared" si="140"/>
        <v>82.229800000000012</v>
      </c>
      <c r="AA1105" s="1">
        <f t="shared" si="143"/>
        <v>0.30349290865900141</v>
      </c>
      <c r="AD1105" s="4">
        <v>250.01891000000001</v>
      </c>
      <c r="AE1105" s="1">
        <v>550.5</v>
      </c>
      <c r="AF1105" s="3">
        <v>87.161360000000002</v>
      </c>
      <c r="AG1105" s="3">
        <f t="shared" si="141"/>
        <v>87.422849999999997</v>
      </c>
      <c r="AH1105" s="1">
        <f t="shared" si="142"/>
        <v>0.21757331422689488</v>
      </c>
    </row>
    <row r="1106" spans="23:34" x14ac:dyDescent="0.2">
      <c r="W1106" s="4">
        <v>250.00402</v>
      </c>
      <c r="X1106" s="1">
        <v>551</v>
      </c>
      <c r="Y1106" s="5">
        <v>76.775549999999996</v>
      </c>
      <c r="Z1106" s="3">
        <f t="shared" si="140"/>
        <v>82.216380000000001</v>
      </c>
      <c r="AA1106" s="1">
        <f t="shared" si="143"/>
        <v>0.30371574337185187</v>
      </c>
      <c r="AD1106" s="4">
        <v>250.01519999999999</v>
      </c>
      <c r="AE1106" s="1">
        <v>551</v>
      </c>
      <c r="AF1106" s="5">
        <v>87.189660000000003</v>
      </c>
      <c r="AG1106" s="3">
        <f t="shared" si="141"/>
        <v>87.451149999999998</v>
      </c>
      <c r="AH1106" s="1">
        <f t="shared" si="142"/>
        <v>0.21710350210424342</v>
      </c>
    </row>
    <row r="1107" spans="23:34" x14ac:dyDescent="0.2">
      <c r="W1107" s="4">
        <v>250.00695999999999</v>
      </c>
      <c r="X1107" s="1">
        <v>551.5</v>
      </c>
      <c r="Y1107" s="3">
        <v>76.783230000000003</v>
      </c>
      <c r="Z1107" s="3">
        <f t="shared" si="140"/>
        <v>82.224060000000009</v>
      </c>
      <c r="AA1107" s="1">
        <f t="shared" si="143"/>
        <v>0.30358821948253056</v>
      </c>
      <c r="AD1107" s="4">
        <v>250.01678999999999</v>
      </c>
      <c r="AE1107" s="1">
        <v>551.5</v>
      </c>
      <c r="AF1107" s="3">
        <v>87.270520000000005</v>
      </c>
      <c r="AG1107" s="3">
        <f t="shared" si="141"/>
        <v>87.53201</v>
      </c>
      <c r="AH1107" s="1">
        <f t="shared" si="142"/>
        <v>0.21576113432199623</v>
      </c>
    </row>
    <row r="1108" spans="23:34" x14ac:dyDescent="0.2">
      <c r="W1108" s="4">
        <v>250.00603000000001</v>
      </c>
      <c r="X1108" s="1">
        <v>552</v>
      </c>
      <c r="Y1108" s="5">
        <v>76.769729999999996</v>
      </c>
      <c r="Z1108" s="3">
        <f t="shared" si="140"/>
        <v>82.210560000000001</v>
      </c>
      <c r="AA1108" s="1">
        <f t="shared" si="143"/>
        <v>0.30381238256922805</v>
      </c>
      <c r="AD1108" s="4">
        <v>250.01924</v>
      </c>
      <c r="AE1108" s="1">
        <v>552</v>
      </c>
      <c r="AF1108" s="5">
        <v>87.096149999999994</v>
      </c>
      <c r="AG1108" s="3">
        <f t="shared" si="141"/>
        <v>87.357639999999989</v>
      </c>
      <c r="AH1108" s="1">
        <f t="shared" si="142"/>
        <v>0.21865587424520244</v>
      </c>
    </row>
    <row r="1109" spans="23:34" x14ac:dyDescent="0.2">
      <c r="W1109" s="4">
        <v>250.00702999999999</v>
      </c>
      <c r="X1109" s="1">
        <v>552.5</v>
      </c>
      <c r="Y1109" s="3">
        <v>76.773600000000002</v>
      </c>
      <c r="Z1109" s="3">
        <f t="shared" si="140"/>
        <v>82.214430000000007</v>
      </c>
      <c r="AA1109" s="1">
        <f t="shared" si="143"/>
        <v>0.30374812248437472</v>
      </c>
      <c r="AD1109" s="4">
        <v>250.01760999999999</v>
      </c>
      <c r="AE1109" s="1">
        <v>552.5</v>
      </c>
      <c r="AF1109" s="3">
        <v>87.234290000000001</v>
      </c>
      <c r="AG1109" s="3">
        <f t="shared" si="141"/>
        <v>87.495779999999996</v>
      </c>
      <c r="AH1109" s="1">
        <f t="shared" si="142"/>
        <v>0.21636259344580058</v>
      </c>
    </row>
    <row r="1110" spans="23:34" x14ac:dyDescent="0.2">
      <c r="W1110" s="4">
        <v>250.00897000000001</v>
      </c>
      <c r="X1110" s="1">
        <v>553</v>
      </c>
      <c r="Y1110" s="5">
        <v>76.752430000000004</v>
      </c>
      <c r="Z1110" s="3">
        <f t="shared" si="140"/>
        <v>82.193260000000009</v>
      </c>
      <c r="AA1110" s="1">
        <f t="shared" si="143"/>
        <v>0.30409964341366236</v>
      </c>
      <c r="AD1110" s="4">
        <v>250.01434</v>
      </c>
      <c r="AE1110" s="1">
        <v>553</v>
      </c>
      <c r="AF1110" s="5">
        <v>87.172970000000007</v>
      </c>
      <c r="AG1110" s="3">
        <f t="shared" si="141"/>
        <v>87.434460000000001</v>
      </c>
      <c r="AH1110" s="1">
        <f t="shared" si="142"/>
        <v>0.21738057504866218</v>
      </c>
    </row>
    <row r="1111" spans="23:34" x14ac:dyDescent="0.2">
      <c r="W1111" s="4">
        <v>250.00397000000001</v>
      </c>
      <c r="X1111" s="1">
        <v>553.5</v>
      </c>
      <c r="Y1111" s="3">
        <v>76.733440000000002</v>
      </c>
      <c r="Z1111" s="3">
        <f t="shared" si="140"/>
        <v>82.174270000000007</v>
      </c>
      <c r="AA1111" s="1">
        <f t="shared" si="143"/>
        <v>0.3044149661556167</v>
      </c>
      <c r="AD1111" s="4">
        <v>250.01004</v>
      </c>
      <c r="AE1111" s="1">
        <v>553.5</v>
      </c>
      <c r="AF1111" s="3">
        <v>87.304770000000005</v>
      </c>
      <c r="AG1111" s="3">
        <f t="shared" si="141"/>
        <v>87.56626</v>
      </c>
      <c r="AH1111" s="1">
        <f t="shared" si="142"/>
        <v>0.21519254544564245</v>
      </c>
    </row>
    <row r="1112" spans="23:34" x14ac:dyDescent="0.2">
      <c r="W1112" s="4">
        <v>250.00300999999999</v>
      </c>
      <c r="X1112" s="1">
        <v>554</v>
      </c>
      <c r="Y1112" s="5">
        <v>76.739090000000004</v>
      </c>
      <c r="Z1112" s="3">
        <f t="shared" si="140"/>
        <v>82.17992000000001</v>
      </c>
      <c r="AA1112" s="1">
        <f t="shared" si="143"/>
        <v>0.30432114975266555</v>
      </c>
      <c r="AD1112" s="4">
        <v>250.00700000000001</v>
      </c>
      <c r="AE1112" s="1">
        <v>554</v>
      </c>
      <c r="AF1112" s="5">
        <v>87.230469999999997</v>
      </c>
      <c r="AG1112" s="3">
        <f t="shared" si="141"/>
        <v>87.491959999999992</v>
      </c>
      <c r="AH1112" s="1">
        <f t="shared" si="142"/>
        <v>0.21642600978179105</v>
      </c>
    </row>
    <row r="1113" spans="23:34" x14ac:dyDescent="0.2">
      <c r="W1113" s="4">
        <v>250.00601</v>
      </c>
      <c r="X1113" s="1">
        <v>554.5</v>
      </c>
      <c r="Y1113" s="3">
        <v>76.731250000000003</v>
      </c>
      <c r="Z1113" s="3">
        <f t="shared" si="140"/>
        <v>82.172080000000008</v>
      </c>
      <c r="AA1113" s="1">
        <f t="shared" si="143"/>
        <v>0.30445133038968092</v>
      </c>
      <c r="AD1113" s="4">
        <v>250.00480999999999</v>
      </c>
      <c r="AE1113" s="1">
        <v>554.5</v>
      </c>
      <c r="AF1113" s="3">
        <v>87.219830000000002</v>
      </c>
      <c r="AG1113" s="3">
        <f t="shared" si="141"/>
        <v>87.481319999999997</v>
      </c>
      <c r="AH1113" s="1">
        <f t="shared" si="142"/>
        <v>0.21660264585899985</v>
      </c>
    </row>
    <row r="1114" spans="23:34" x14ac:dyDescent="0.2">
      <c r="W1114" s="4">
        <v>250.00299000000001</v>
      </c>
      <c r="X1114" s="1">
        <v>555</v>
      </c>
      <c r="Y1114" s="5">
        <v>76.725629999999995</v>
      </c>
      <c r="Z1114" s="3">
        <f t="shared" si="140"/>
        <v>82.166460000000001</v>
      </c>
      <c r="AA1114" s="1">
        <f t="shared" si="143"/>
        <v>0.30454464865243952</v>
      </c>
      <c r="AD1114" s="4">
        <v>250.00782000000001</v>
      </c>
      <c r="AE1114" s="1">
        <v>555</v>
      </c>
      <c r="AF1114" s="5">
        <v>87.137950000000004</v>
      </c>
      <c r="AG1114" s="3">
        <f t="shared" si="141"/>
        <v>87.399439999999998</v>
      </c>
      <c r="AH1114" s="1">
        <f t="shared" si="142"/>
        <v>0.21796194679902453</v>
      </c>
    </row>
    <row r="1115" spans="23:34" x14ac:dyDescent="0.2">
      <c r="W1115" s="4">
        <v>250.00701000000001</v>
      </c>
      <c r="X1115" s="1">
        <v>555.5</v>
      </c>
      <c r="Y1115" s="3">
        <v>76.704599999999999</v>
      </c>
      <c r="Z1115" s="3">
        <f t="shared" si="140"/>
        <v>82.145430000000005</v>
      </c>
      <c r="AA1115" s="1">
        <f t="shared" si="143"/>
        <v>0.30489384492749472</v>
      </c>
      <c r="AD1115" s="4">
        <v>250.00717</v>
      </c>
      <c r="AE1115" s="1">
        <v>555.5</v>
      </c>
      <c r="AF1115" s="3">
        <v>87.149469999999994</v>
      </c>
      <c r="AG1115" s="3">
        <f t="shared" si="141"/>
        <v>87.410959999999989</v>
      </c>
      <c r="AH1115" s="1">
        <f t="shared" si="142"/>
        <v>0.21777070172294893</v>
      </c>
    </row>
    <row r="1116" spans="23:34" x14ac:dyDescent="0.2">
      <c r="W1116" s="4">
        <v>250.00799000000001</v>
      </c>
      <c r="X1116" s="1">
        <v>556</v>
      </c>
      <c r="Y1116" s="5">
        <v>76.716089999999994</v>
      </c>
      <c r="Z1116" s="3">
        <f t="shared" si="140"/>
        <v>82.15692</v>
      </c>
      <c r="AA1116" s="1">
        <f t="shared" si="143"/>
        <v>0.30470305723370567</v>
      </c>
      <c r="AD1116" s="4">
        <v>250.00987000000001</v>
      </c>
      <c r="AE1116" s="1">
        <v>556</v>
      </c>
      <c r="AF1116" s="5">
        <v>87.158119999999997</v>
      </c>
      <c r="AG1116" s="3">
        <f t="shared" si="141"/>
        <v>87.419609999999992</v>
      </c>
      <c r="AH1116" s="1">
        <f t="shared" si="142"/>
        <v>0.21762710190454129</v>
      </c>
    </row>
    <row r="1117" spans="23:34" x14ac:dyDescent="0.2">
      <c r="W1117" s="4">
        <v>250.00597999999999</v>
      </c>
      <c r="X1117" s="1">
        <v>556.5</v>
      </c>
      <c r="Y1117" s="3">
        <v>76.69511</v>
      </c>
      <c r="Z1117" s="3">
        <f t="shared" si="140"/>
        <v>82.135940000000005</v>
      </c>
      <c r="AA1117" s="1">
        <f t="shared" si="143"/>
        <v>0.30505142327510643</v>
      </c>
      <c r="AD1117" s="4">
        <v>250.01052000000001</v>
      </c>
      <c r="AE1117" s="1">
        <v>556.5</v>
      </c>
      <c r="AF1117" s="3">
        <v>87.159869999999998</v>
      </c>
      <c r="AG1117" s="3">
        <f t="shared" si="141"/>
        <v>87.421359999999993</v>
      </c>
      <c r="AH1117" s="1">
        <f t="shared" si="142"/>
        <v>0.21759804991815823</v>
      </c>
    </row>
    <row r="1118" spans="23:34" x14ac:dyDescent="0.2">
      <c r="W1118" s="4">
        <v>250.00597999999999</v>
      </c>
      <c r="X1118" s="1">
        <v>557</v>
      </c>
      <c r="Y1118" s="5">
        <v>76.685450000000003</v>
      </c>
      <c r="Z1118" s="3">
        <f t="shared" si="140"/>
        <v>82.126280000000008</v>
      </c>
      <c r="AA1118" s="1">
        <f t="shared" si="143"/>
        <v>0.30521182441714312</v>
      </c>
      <c r="AD1118" s="4">
        <v>250.01073</v>
      </c>
      <c r="AE1118" s="1">
        <v>557</v>
      </c>
      <c r="AF1118" s="5">
        <v>87.138599999999997</v>
      </c>
      <c r="AG1118" s="3">
        <f t="shared" si="141"/>
        <v>87.400089999999992</v>
      </c>
      <c r="AH1118" s="1">
        <f t="shared" si="142"/>
        <v>0.21795115606122523</v>
      </c>
    </row>
    <row r="1119" spans="23:34" x14ac:dyDescent="0.2">
      <c r="W1119" s="4">
        <v>250.00899999999999</v>
      </c>
      <c r="X1119" s="1">
        <v>557.5</v>
      </c>
      <c r="Y1119" s="3">
        <v>76.694980000000001</v>
      </c>
      <c r="Z1119" s="3">
        <f t="shared" si="140"/>
        <v>82.135810000000006</v>
      </c>
      <c r="AA1119" s="1">
        <f t="shared" si="143"/>
        <v>0.30505358188260789</v>
      </c>
      <c r="AD1119" s="4">
        <v>250.01354000000001</v>
      </c>
      <c r="AE1119" s="1">
        <v>557.5</v>
      </c>
      <c r="AF1119" s="3">
        <v>87.153170000000003</v>
      </c>
      <c r="AG1119" s="3">
        <f t="shared" si="141"/>
        <v>87.414659999999998</v>
      </c>
      <c r="AH1119" s="1">
        <f t="shared" si="142"/>
        <v>0.21770927752316749</v>
      </c>
    </row>
    <row r="1120" spans="23:34" x14ac:dyDescent="0.2">
      <c r="W1120" s="4">
        <v>250.00899000000001</v>
      </c>
      <c r="X1120" s="1">
        <v>558</v>
      </c>
      <c r="Y1120" s="5">
        <v>76.697010000000006</v>
      </c>
      <c r="Z1120" s="3">
        <f t="shared" si="140"/>
        <v>82.137840000000011</v>
      </c>
      <c r="AA1120" s="1">
        <f t="shared" si="143"/>
        <v>0.30501987439623779</v>
      </c>
      <c r="AD1120" s="4">
        <v>250.01607000000001</v>
      </c>
      <c r="AE1120" s="1">
        <v>558</v>
      </c>
      <c r="AF1120" s="5">
        <v>87.191410000000005</v>
      </c>
      <c r="AG1120" s="3">
        <f t="shared" si="141"/>
        <v>87.4529</v>
      </c>
      <c r="AH1120" s="1">
        <f t="shared" si="142"/>
        <v>0.21707445011786036</v>
      </c>
    </row>
    <row r="1121" spans="23:34" x14ac:dyDescent="0.2">
      <c r="W1121" s="4">
        <v>250.00398999999999</v>
      </c>
      <c r="X1121" s="1">
        <v>558.5</v>
      </c>
      <c r="Y1121" s="3">
        <v>76.675659999999993</v>
      </c>
      <c r="Z1121" s="3">
        <f t="shared" si="140"/>
        <v>82.116489999999999</v>
      </c>
      <c r="AA1121" s="1">
        <f t="shared" si="143"/>
        <v>0.30537438416668161</v>
      </c>
      <c r="AD1121" s="4">
        <v>250.01881</v>
      </c>
      <c r="AE1121" s="1">
        <v>558.5</v>
      </c>
      <c r="AF1121" s="3">
        <v>87.060029999999998</v>
      </c>
      <c r="AG1121" s="3">
        <f t="shared" si="141"/>
        <v>87.321519999999992</v>
      </c>
      <c r="AH1121" s="1">
        <f t="shared" si="142"/>
        <v>0.2192555072441483</v>
      </c>
    </row>
    <row r="1122" spans="23:34" x14ac:dyDescent="0.2">
      <c r="W1122" s="4">
        <v>250.00402</v>
      </c>
      <c r="X1122" s="1">
        <v>559</v>
      </c>
      <c r="Y1122" s="5">
        <v>76.666259999999994</v>
      </c>
      <c r="Z1122" s="3">
        <f t="shared" si="140"/>
        <v>82.107089999999999</v>
      </c>
      <c r="AA1122" s="1">
        <f t="shared" si="143"/>
        <v>0.30553046809371531</v>
      </c>
      <c r="AD1122" s="4">
        <v>250.02233000000001</v>
      </c>
      <c r="AE1122" s="1">
        <v>559</v>
      </c>
      <c r="AF1122" s="5">
        <v>87.053449999999998</v>
      </c>
      <c r="AG1122" s="3">
        <f t="shared" si="141"/>
        <v>87.314939999999993</v>
      </c>
      <c r="AH1122" s="1">
        <f t="shared" si="142"/>
        <v>0.21936474271294853</v>
      </c>
    </row>
    <row r="1123" spans="23:34" x14ac:dyDescent="0.2">
      <c r="W1123" s="4">
        <v>250.00501</v>
      </c>
      <c r="X1123" s="1">
        <v>559.5</v>
      </c>
      <c r="Y1123" s="3">
        <v>76.683509999999998</v>
      </c>
      <c r="Z1123" s="3">
        <f t="shared" si="140"/>
        <v>82.124340000000004</v>
      </c>
      <c r="AA1123" s="1">
        <f t="shared" si="143"/>
        <v>0.30524403748293527</v>
      </c>
      <c r="AD1123" s="4">
        <v>250.02440999999999</v>
      </c>
      <c r="AE1123" s="1">
        <v>559.5</v>
      </c>
      <c r="AF1123" s="3">
        <v>87.065420000000003</v>
      </c>
      <c r="AG1123" s="3">
        <f t="shared" si="141"/>
        <v>87.326909999999998</v>
      </c>
      <c r="AH1123" s="1">
        <f t="shared" si="142"/>
        <v>0.21916602712608846</v>
      </c>
    </row>
    <row r="1124" spans="23:34" x14ac:dyDescent="0.2">
      <c r="W1124" s="4">
        <v>250.006</v>
      </c>
      <c r="X1124" s="1">
        <v>560</v>
      </c>
      <c r="Y1124" s="5">
        <v>76.67577</v>
      </c>
      <c r="Z1124" s="3">
        <f t="shared" si="140"/>
        <v>82.116600000000005</v>
      </c>
      <c r="AA1124" s="1">
        <f t="shared" si="143"/>
        <v>0.30537255765264176</v>
      </c>
      <c r="AD1124" s="4">
        <v>250.02199999999999</v>
      </c>
      <c r="AE1124" s="1">
        <v>560</v>
      </c>
      <c r="AF1124" s="5">
        <v>87.044330000000002</v>
      </c>
      <c r="AG1124" s="3">
        <f t="shared" si="141"/>
        <v>87.305819999999997</v>
      </c>
      <c r="AH1124" s="1">
        <f t="shared" si="142"/>
        <v>0.21951614506484179</v>
      </c>
    </row>
    <row r="1125" spans="23:34" x14ac:dyDescent="0.2">
      <c r="W1125" s="4">
        <v>250.00504000000001</v>
      </c>
      <c r="X1125" s="1">
        <v>560.5</v>
      </c>
      <c r="Y1125" s="3">
        <v>76.67962</v>
      </c>
      <c r="Z1125" s="3">
        <f t="shared" si="140"/>
        <v>82.120450000000005</v>
      </c>
      <c r="AA1125" s="1">
        <f t="shared" si="143"/>
        <v>0.30530862966125027</v>
      </c>
      <c r="AD1125" s="4">
        <v>250.02164999999999</v>
      </c>
      <c r="AE1125" s="1">
        <v>560.5</v>
      </c>
      <c r="AF1125" s="3">
        <v>87.079040000000006</v>
      </c>
      <c r="AG1125" s="3">
        <f t="shared" si="141"/>
        <v>87.340530000000001</v>
      </c>
      <c r="AH1125" s="1">
        <f t="shared" si="142"/>
        <v>0.21893991966635298</v>
      </c>
    </row>
    <row r="1126" spans="23:34" x14ac:dyDescent="0.2">
      <c r="W1126" s="4">
        <v>250.00206</v>
      </c>
      <c r="X1126" s="1">
        <v>561</v>
      </c>
      <c r="Y1126" s="5">
        <v>76.654820000000001</v>
      </c>
      <c r="Z1126" s="3">
        <f t="shared" si="140"/>
        <v>82.095650000000006</v>
      </c>
      <c r="AA1126" s="1">
        <f t="shared" si="143"/>
        <v>0.30572042555384987</v>
      </c>
      <c r="AD1126" s="4">
        <v>250.02116000000001</v>
      </c>
      <c r="AE1126" s="1">
        <v>561</v>
      </c>
      <c r="AF1126" s="5">
        <v>87.056200000000004</v>
      </c>
      <c r="AG1126" s="3">
        <f t="shared" si="141"/>
        <v>87.317689999999999</v>
      </c>
      <c r="AH1126" s="1">
        <f t="shared" si="142"/>
        <v>0.21931908959148938</v>
      </c>
    </row>
    <row r="1127" spans="23:34" x14ac:dyDescent="0.2">
      <c r="W1127" s="4">
        <v>250.006</v>
      </c>
      <c r="X1127" s="1">
        <v>561.5</v>
      </c>
      <c r="Y1127" s="3">
        <v>76.63194</v>
      </c>
      <c r="Z1127" s="3">
        <f t="shared" si="140"/>
        <v>82.072770000000006</v>
      </c>
      <c r="AA1127" s="1">
        <f t="shared" si="143"/>
        <v>0.30610034047411921</v>
      </c>
      <c r="AD1127" s="4">
        <v>250.01872</v>
      </c>
      <c r="AE1127" s="1">
        <v>561.5</v>
      </c>
      <c r="AF1127" s="3">
        <v>87.009780000000006</v>
      </c>
      <c r="AG1127" s="3">
        <f t="shared" si="141"/>
        <v>87.271270000000001</v>
      </c>
      <c r="AH1127" s="1">
        <f t="shared" si="142"/>
        <v>0.22008971428171828</v>
      </c>
    </row>
    <row r="1128" spans="23:34" x14ac:dyDescent="0.2">
      <c r="W1128" s="4">
        <v>250.00299000000001</v>
      </c>
      <c r="X1128" s="1">
        <v>562</v>
      </c>
      <c r="Y1128" s="5">
        <v>76.626109999999997</v>
      </c>
      <c r="Z1128" s="3">
        <f t="shared" si="140"/>
        <v>82.066940000000002</v>
      </c>
      <c r="AA1128" s="1">
        <f t="shared" si="143"/>
        <v>0.30619714571822637</v>
      </c>
      <c r="AD1128" s="4">
        <v>250.01734999999999</v>
      </c>
      <c r="AE1128" s="1">
        <v>562</v>
      </c>
      <c r="AF1128" s="5">
        <v>87.017480000000006</v>
      </c>
      <c r="AG1128" s="3">
        <f t="shared" si="141"/>
        <v>87.278970000000001</v>
      </c>
      <c r="AH1128" s="1">
        <f t="shared" si="142"/>
        <v>0.21996188554163293</v>
      </c>
    </row>
    <row r="1129" spans="23:34" x14ac:dyDescent="0.2">
      <c r="W1129" s="4">
        <v>250.00398000000001</v>
      </c>
      <c r="X1129" s="1">
        <v>562.5</v>
      </c>
      <c r="Y1129" s="3">
        <v>76.643230000000003</v>
      </c>
      <c r="Z1129" s="3">
        <f t="shared" si="140"/>
        <v>82.084060000000008</v>
      </c>
      <c r="AA1129" s="1">
        <f t="shared" si="143"/>
        <v>0.30591287371494785</v>
      </c>
      <c r="AD1129" s="4">
        <v>250.01658</v>
      </c>
      <c r="AE1129" s="1">
        <v>562.5</v>
      </c>
      <c r="AF1129" s="3">
        <v>87.149739999999994</v>
      </c>
      <c r="AG1129" s="3">
        <f t="shared" si="141"/>
        <v>87.411229999999989</v>
      </c>
      <c r="AH1129" s="1">
        <f t="shared" si="142"/>
        <v>0.21776621941647839</v>
      </c>
    </row>
    <row r="1130" spans="23:34" x14ac:dyDescent="0.2">
      <c r="W1130" s="4">
        <v>250.00104999999999</v>
      </c>
      <c r="X1130" s="1">
        <v>563</v>
      </c>
      <c r="Y1130" s="5">
        <v>76.616609999999994</v>
      </c>
      <c r="Z1130" s="3">
        <f t="shared" si="140"/>
        <v>82.05744</v>
      </c>
      <c r="AA1130" s="1">
        <f t="shared" si="143"/>
        <v>0.306354890112569</v>
      </c>
      <c r="AD1130" s="4">
        <v>250.01378</v>
      </c>
      <c r="AE1130" s="1">
        <v>563</v>
      </c>
      <c r="AF1130" s="5">
        <v>87.016040000000004</v>
      </c>
      <c r="AG1130" s="3">
        <f t="shared" si="141"/>
        <v>87.277529999999999</v>
      </c>
      <c r="AH1130" s="1">
        <f t="shared" si="142"/>
        <v>0.21998579117614242</v>
      </c>
    </row>
    <row r="1131" spans="23:34" x14ac:dyDescent="0.2">
      <c r="W1131" s="4">
        <v>250.00301999999999</v>
      </c>
      <c r="X1131" s="1">
        <v>563.5</v>
      </c>
      <c r="Y1131" s="3">
        <v>76.622190000000003</v>
      </c>
      <c r="Z1131" s="3">
        <f t="shared" si="140"/>
        <v>82.063020000000009</v>
      </c>
      <c r="AA1131" s="1">
        <f t="shared" si="143"/>
        <v>0.30626223603673397</v>
      </c>
      <c r="AD1131" s="4">
        <v>250.01346000000001</v>
      </c>
      <c r="AE1131" s="1">
        <v>563.5</v>
      </c>
      <c r="AF1131" s="3">
        <v>87.078710000000001</v>
      </c>
      <c r="AG1131" s="3">
        <f t="shared" si="141"/>
        <v>87.340199999999996</v>
      </c>
      <c r="AH1131" s="1">
        <f t="shared" si="142"/>
        <v>0.21894539804092816</v>
      </c>
    </row>
    <row r="1132" spans="23:34" x14ac:dyDescent="0.2">
      <c r="W1132" s="4">
        <v>250.00703999999999</v>
      </c>
      <c r="X1132" s="1">
        <v>564</v>
      </c>
      <c r="Y1132" s="5">
        <v>76.627949999999998</v>
      </c>
      <c r="Z1132" s="3">
        <f t="shared" si="140"/>
        <v>82.068780000000004</v>
      </c>
      <c r="AA1132" s="1">
        <f t="shared" si="143"/>
        <v>0.30616659311974315</v>
      </c>
      <c r="AD1132" s="4">
        <v>250.01284999999999</v>
      </c>
      <c r="AE1132" s="1">
        <v>564</v>
      </c>
      <c r="AF1132" s="5">
        <v>86.932090000000002</v>
      </c>
      <c r="AG1132" s="3">
        <f t="shared" si="141"/>
        <v>87.193579999999997</v>
      </c>
      <c r="AH1132" s="1">
        <f t="shared" si="142"/>
        <v>0.22137945646577453</v>
      </c>
    </row>
    <row r="1133" spans="23:34" x14ac:dyDescent="0.2">
      <c r="W1133" s="4">
        <v>250.00898000000001</v>
      </c>
      <c r="X1133" s="1">
        <v>564.5</v>
      </c>
      <c r="Y1133" s="3">
        <v>76.610680000000002</v>
      </c>
      <c r="Z1133" s="3">
        <f t="shared" si="140"/>
        <v>82.051510000000007</v>
      </c>
      <c r="AA1133" s="1">
        <f t="shared" si="143"/>
        <v>0.30645335582398486</v>
      </c>
      <c r="AD1133" s="4">
        <v>250.01383000000001</v>
      </c>
      <c r="AE1133" s="1">
        <v>564.5</v>
      </c>
      <c r="AF1133" s="3">
        <v>87.009910000000005</v>
      </c>
      <c r="AG1133" s="3">
        <f t="shared" si="141"/>
        <v>87.2714</v>
      </c>
      <c r="AH1133" s="1">
        <f t="shared" si="142"/>
        <v>0.22008755613415842</v>
      </c>
    </row>
    <row r="1134" spans="23:34" x14ac:dyDescent="0.2">
      <c r="W1134" s="4">
        <v>250.00399999999999</v>
      </c>
      <c r="X1134" s="1">
        <v>565</v>
      </c>
      <c r="Y1134" s="5">
        <v>76.610609999999994</v>
      </c>
      <c r="Z1134" s="3">
        <f t="shared" si="140"/>
        <v>82.051439999999999</v>
      </c>
      <c r="AA1134" s="1">
        <f t="shared" si="143"/>
        <v>0.3064545181511012</v>
      </c>
      <c r="AD1134" s="4">
        <v>250.01642000000001</v>
      </c>
      <c r="AE1134" s="1">
        <v>565</v>
      </c>
      <c r="AF1134" s="5">
        <v>87.038480000000007</v>
      </c>
      <c r="AG1134" s="3">
        <f t="shared" si="141"/>
        <v>87.299970000000002</v>
      </c>
      <c r="AH1134" s="1">
        <f t="shared" si="142"/>
        <v>0.21961326170503642</v>
      </c>
    </row>
    <row r="1135" spans="23:34" x14ac:dyDescent="0.2">
      <c r="W1135" s="4">
        <v>250.006</v>
      </c>
      <c r="X1135" s="1">
        <v>565.5</v>
      </c>
      <c r="Y1135" s="3">
        <v>76.602850000000004</v>
      </c>
      <c r="Z1135" s="3">
        <f t="shared" si="140"/>
        <v>82.043680000000009</v>
      </c>
      <c r="AA1135" s="1">
        <f t="shared" si="143"/>
        <v>0.30658337041426931</v>
      </c>
      <c r="AD1135" s="4">
        <v>250.01747</v>
      </c>
      <c r="AE1135" s="1">
        <v>565.5</v>
      </c>
      <c r="AF1135" s="3">
        <v>86.910219999999995</v>
      </c>
      <c r="AG1135" s="3">
        <f t="shared" si="141"/>
        <v>87.17170999999999</v>
      </c>
      <c r="AH1135" s="1">
        <f t="shared" si="142"/>
        <v>0.22174252328988728</v>
      </c>
    </row>
    <row r="1136" spans="23:34" x14ac:dyDescent="0.2">
      <c r="W1136" s="4">
        <v>250.00899999999999</v>
      </c>
      <c r="X1136" s="1">
        <v>566</v>
      </c>
      <c r="Y1136" s="5">
        <v>76.593170000000001</v>
      </c>
      <c r="Z1136" s="3">
        <f t="shared" si="140"/>
        <v>82.034000000000006</v>
      </c>
      <c r="AA1136" s="1">
        <f t="shared" si="143"/>
        <v>0.3067441036497679</v>
      </c>
      <c r="AD1136" s="4">
        <v>250.01791</v>
      </c>
      <c r="AE1136" s="1">
        <v>566</v>
      </c>
      <c r="AF1136" s="5">
        <v>87.007729999999995</v>
      </c>
      <c r="AG1136" s="3">
        <f t="shared" si="141"/>
        <v>87.26921999999999</v>
      </c>
      <c r="AH1136" s="1">
        <f t="shared" si="142"/>
        <v>0.22012374660862433</v>
      </c>
    </row>
    <row r="1137" spans="23:34" x14ac:dyDescent="0.2">
      <c r="W1137" s="4">
        <v>250.00103999999999</v>
      </c>
      <c r="X1137" s="1">
        <v>566.5</v>
      </c>
      <c r="Y1137" s="3">
        <v>76.58587</v>
      </c>
      <c r="Z1137" s="3">
        <f t="shared" si="140"/>
        <v>82.026700000000005</v>
      </c>
      <c r="AA1137" s="1">
        <f t="shared" si="143"/>
        <v>0.30686531776331538</v>
      </c>
      <c r="AD1137" s="4">
        <v>250.01754</v>
      </c>
      <c r="AE1137" s="1">
        <v>566.5</v>
      </c>
      <c r="AF1137" s="3">
        <v>87.044200000000004</v>
      </c>
      <c r="AG1137" s="3">
        <f t="shared" si="141"/>
        <v>87.305689999999998</v>
      </c>
      <c r="AH1137" s="1">
        <f t="shared" si="142"/>
        <v>0.21951830321240165</v>
      </c>
    </row>
    <row r="1138" spans="23:34" x14ac:dyDescent="0.2">
      <c r="W1138" s="4">
        <v>250.00594000000001</v>
      </c>
      <c r="X1138" s="1">
        <v>567</v>
      </c>
      <c r="Y1138" s="5">
        <v>76.570490000000007</v>
      </c>
      <c r="Z1138" s="3">
        <f t="shared" si="140"/>
        <v>82.011320000000012</v>
      </c>
      <c r="AA1138" s="1">
        <f t="shared" si="143"/>
        <v>0.30712069763541938</v>
      </c>
      <c r="AD1138" s="4">
        <v>250.01883000000001</v>
      </c>
      <c r="AE1138" s="1">
        <v>567</v>
      </c>
      <c r="AF1138" s="5">
        <v>86.930800000000005</v>
      </c>
      <c r="AG1138" s="3">
        <f t="shared" si="141"/>
        <v>87.19229</v>
      </c>
      <c r="AH1138" s="1">
        <f t="shared" si="142"/>
        <v>0.22140087193002256</v>
      </c>
    </row>
    <row r="1139" spans="23:34" x14ac:dyDescent="0.2">
      <c r="W1139" s="4">
        <v>250.00398999999999</v>
      </c>
      <c r="X1139" s="1">
        <v>567.5</v>
      </c>
      <c r="Y1139" s="3">
        <v>76.55874</v>
      </c>
      <c r="Z1139" s="3">
        <f t="shared" si="140"/>
        <v>81.999570000000006</v>
      </c>
      <c r="AA1139" s="1">
        <f t="shared" si="143"/>
        <v>0.3073158025442117</v>
      </c>
      <c r="AD1139" s="4">
        <v>250.01662999999999</v>
      </c>
      <c r="AE1139" s="1">
        <v>567.5</v>
      </c>
      <c r="AF1139" s="3">
        <v>86.933059999999998</v>
      </c>
      <c r="AG1139" s="3">
        <f t="shared" si="141"/>
        <v>87.194549999999992</v>
      </c>
      <c r="AH1139" s="1">
        <f t="shared" si="142"/>
        <v>0.22136335336475088</v>
      </c>
    </row>
    <row r="1140" spans="23:34" x14ac:dyDescent="0.2">
      <c r="W1140" s="4">
        <v>250.00702000000001</v>
      </c>
      <c r="X1140" s="1">
        <v>568</v>
      </c>
      <c r="Y1140" s="5">
        <v>76.553299999999993</v>
      </c>
      <c r="Z1140" s="3">
        <f t="shared" si="140"/>
        <v>81.994129999999998</v>
      </c>
      <c r="AA1140" s="1">
        <f t="shared" si="143"/>
        <v>0.30740613196581429</v>
      </c>
      <c r="AD1140" s="4">
        <v>250.01303999999999</v>
      </c>
      <c r="AE1140" s="1">
        <v>568</v>
      </c>
      <c r="AF1140" s="5">
        <v>86.911580000000001</v>
      </c>
      <c r="AG1140" s="3">
        <f t="shared" si="141"/>
        <v>87.173069999999996</v>
      </c>
      <c r="AH1140" s="1">
        <f t="shared" si="142"/>
        <v>0.22171994574618378</v>
      </c>
    </row>
    <row r="1141" spans="23:34" x14ac:dyDescent="0.2">
      <c r="W1141" s="4">
        <v>250.00901999999999</v>
      </c>
      <c r="X1141" s="1">
        <v>568.5</v>
      </c>
      <c r="Y1141" s="3">
        <v>76.566400000000002</v>
      </c>
      <c r="Z1141" s="3">
        <f t="shared" si="140"/>
        <v>82.007230000000007</v>
      </c>
      <c r="AA1141" s="1">
        <f t="shared" si="143"/>
        <v>0.30718861074835224</v>
      </c>
      <c r="AD1141" s="4">
        <v>250.01352</v>
      </c>
      <c r="AE1141" s="1">
        <v>568.5</v>
      </c>
      <c r="AF1141" s="3">
        <v>87.044719999999998</v>
      </c>
      <c r="AG1141" s="3">
        <f t="shared" si="141"/>
        <v>87.306209999999993</v>
      </c>
      <c r="AH1141" s="1">
        <f t="shared" si="142"/>
        <v>0.2195096706221622</v>
      </c>
    </row>
    <row r="1142" spans="23:34" x14ac:dyDescent="0.2">
      <c r="W1142" s="4">
        <v>250.00597999999999</v>
      </c>
      <c r="X1142" s="1">
        <v>569</v>
      </c>
      <c r="Y1142" s="5">
        <v>76.535910000000001</v>
      </c>
      <c r="Z1142" s="3">
        <f t="shared" si="140"/>
        <v>81.976740000000007</v>
      </c>
      <c r="AA1142" s="1">
        <f t="shared" si="143"/>
        <v>0.30769488723082655</v>
      </c>
      <c r="AD1142" s="4">
        <v>250.01682</v>
      </c>
      <c r="AE1142" s="1">
        <v>569</v>
      </c>
      <c r="AF1142" s="5">
        <v>86.85145</v>
      </c>
      <c r="AG1142" s="3">
        <f t="shared" si="141"/>
        <v>87.112939999999995</v>
      </c>
      <c r="AH1142" s="1">
        <f t="shared" si="142"/>
        <v>0.22271817199830504</v>
      </c>
    </row>
    <row r="1143" spans="23:34" x14ac:dyDescent="0.2">
      <c r="W1143" s="4">
        <v>250.00396000000001</v>
      </c>
      <c r="X1143" s="1">
        <v>569.5</v>
      </c>
      <c r="Y1143" s="3">
        <v>76.537760000000006</v>
      </c>
      <c r="Z1143" s="3">
        <f t="shared" si="140"/>
        <v>81.978590000000011</v>
      </c>
      <c r="AA1143" s="1">
        <f t="shared" si="143"/>
        <v>0.30766416858561241</v>
      </c>
      <c r="AD1143" s="4">
        <v>250.02264</v>
      </c>
      <c r="AE1143" s="1">
        <v>569.5</v>
      </c>
      <c r="AF1143" s="3">
        <v>87.041700000000006</v>
      </c>
      <c r="AG1143" s="3">
        <f t="shared" si="141"/>
        <v>87.303190000000001</v>
      </c>
      <c r="AH1143" s="1">
        <f t="shared" si="142"/>
        <v>0.21955980605009165</v>
      </c>
    </row>
    <row r="1144" spans="23:34" x14ac:dyDescent="0.2">
      <c r="W1144" s="4">
        <v>250.00397000000001</v>
      </c>
      <c r="X1144" s="1">
        <v>570</v>
      </c>
      <c r="Y1144" s="5">
        <v>76.545500000000004</v>
      </c>
      <c r="Z1144" s="3">
        <f t="shared" si="140"/>
        <v>81.986330000000009</v>
      </c>
      <c r="AA1144" s="1">
        <f t="shared" si="143"/>
        <v>0.30753564841590592</v>
      </c>
      <c r="AD1144" s="4">
        <v>250.02113</v>
      </c>
      <c r="AE1144" s="1">
        <v>570</v>
      </c>
      <c r="AF1144" s="5">
        <v>86.906210000000002</v>
      </c>
      <c r="AG1144" s="3">
        <f t="shared" si="141"/>
        <v>87.167699999999996</v>
      </c>
      <c r="AH1144" s="1">
        <f t="shared" si="142"/>
        <v>0.22180909384154202</v>
      </c>
    </row>
    <row r="1145" spans="23:34" x14ac:dyDescent="0.2">
      <c r="W1145" s="4">
        <v>249.999</v>
      </c>
      <c r="X1145" s="1">
        <v>570.5</v>
      </c>
      <c r="Y1145" s="3">
        <v>76.532020000000003</v>
      </c>
      <c r="Z1145" s="3">
        <f t="shared" si="140"/>
        <v>81.972850000000008</v>
      </c>
      <c r="AA1145" s="1">
        <f t="shared" si="143"/>
        <v>0.30775947940914156</v>
      </c>
      <c r="AD1145" s="4">
        <v>250.01704000000001</v>
      </c>
      <c r="AE1145" s="1">
        <v>570.5</v>
      </c>
      <c r="AF1145" s="3">
        <v>86.80359</v>
      </c>
      <c r="AG1145" s="3">
        <f t="shared" si="141"/>
        <v>87.065079999999995</v>
      </c>
      <c r="AH1145" s="1">
        <f t="shared" si="142"/>
        <v>0.22351270232304346</v>
      </c>
    </row>
    <row r="1146" spans="23:34" x14ac:dyDescent="0.2">
      <c r="W1146" s="4">
        <v>250.00702000000001</v>
      </c>
      <c r="X1146" s="1">
        <v>571</v>
      </c>
      <c r="Y1146" s="5">
        <v>76.518839999999997</v>
      </c>
      <c r="Z1146" s="3">
        <f t="shared" si="140"/>
        <v>81.959670000000003</v>
      </c>
      <c r="AA1146" s="1">
        <f t="shared" si="143"/>
        <v>0.30797832900045063</v>
      </c>
      <c r="AD1146" s="4">
        <v>250.01118</v>
      </c>
      <c r="AE1146" s="1">
        <v>571</v>
      </c>
      <c r="AF1146" s="5">
        <v>86.878200000000007</v>
      </c>
      <c r="AG1146" s="3">
        <f t="shared" si="141"/>
        <v>87.139690000000002</v>
      </c>
      <c r="AH1146" s="1">
        <f t="shared" si="142"/>
        <v>0.22227409163502132</v>
      </c>
    </row>
    <row r="1147" spans="23:34" x14ac:dyDescent="0.2">
      <c r="W1147" s="4">
        <v>250.00701000000001</v>
      </c>
      <c r="X1147" s="1">
        <v>571.5</v>
      </c>
      <c r="Y1147" s="3">
        <v>76.518550000000005</v>
      </c>
      <c r="Z1147" s="3">
        <f t="shared" si="140"/>
        <v>81.95938000000001</v>
      </c>
      <c r="AA1147" s="1">
        <f t="shared" si="143"/>
        <v>0.30798314435564622</v>
      </c>
      <c r="AD1147" s="4">
        <v>250.00704999999999</v>
      </c>
      <c r="AE1147" s="1">
        <v>571.5</v>
      </c>
      <c r="AF1147" s="3">
        <v>86.900769999999994</v>
      </c>
      <c r="AG1147" s="3">
        <f t="shared" si="141"/>
        <v>87.162259999999989</v>
      </c>
      <c r="AH1147" s="1">
        <f t="shared" si="142"/>
        <v>0.22189940401635569</v>
      </c>
    </row>
    <row r="1148" spans="23:34" x14ac:dyDescent="0.2">
      <c r="W1148" s="4">
        <v>250.01202000000001</v>
      </c>
      <c r="X1148" s="1">
        <v>572</v>
      </c>
      <c r="Y1148" s="5">
        <v>76.50703</v>
      </c>
      <c r="Z1148" s="3">
        <f t="shared" si="140"/>
        <v>81.947860000000006</v>
      </c>
      <c r="AA1148" s="1">
        <f t="shared" si="143"/>
        <v>0.30817443018962809</v>
      </c>
      <c r="AD1148" s="4">
        <v>250.00790000000001</v>
      </c>
      <c r="AE1148" s="1">
        <v>572</v>
      </c>
      <c r="AF1148" s="5">
        <v>86.811539999999994</v>
      </c>
      <c r="AG1148" s="3">
        <f t="shared" si="141"/>
        <v>87.073029999999989</v>
      </c>
      <c r="AH1148" s="1">
        <f t="shared" si="142"/>
        <v>0.22338072329918918</v>
      </c>
    </row>
    <row r="1149" spans="23:34" x14ac:dyDescent="0.2">
      <c r="W1149" s="4">
        <v>250.01295999999999</v>
      </c>
      <c r="X1149" s="1">
        <v>572.5</v>
      </c>
      <c r="Y1149" s="3">
        <v>76.509029999999996</v>
      </c>
      <c r="Z1149" s="3">
        <f t="shared" si="140"/>
        <v>81.949860000000001</v>
      </c>
      <c r="AA1149" s="1">
        <f t="shared" si="143"/>
        <v>0.30814122084345075</v>
      </c>
      <c r="AD1149" s="4">
        <v>250.00747999999999</v>
      </c>
      <c r="AE1149" s="1">
        <v>572.5</v>
      </c>
      <c r="AF1149" s="3">
        <v>86.806479999999993</v>
      </c>
      <c r="AG1149" s="3">
        <f t="shared" si="141"/>
        <v>87.067969999999988</v>
      </c>
      <c r="AH1149" s="1">
        <f t="shared" si="142"/>
        <v>0.22346472504267387</v>
      </c>
    </row>
    <row r="1150" spans="23:34" x14ac:dyDescent="0.2">
      <c r="W1150" s="4">
        <v>250.00698</v>
      </c>
      <c r="X1150" s="1">
        <v>573</v>
      </c>
      <c r="Y1150" s="5">
        <v>76.499600000000001</v>
      </c>
      <c r="Z1150" s="3">
        <f t="shared" si="140"/>
        <v>81.940430000000006</v>
      </c>
      <c r="AA1150" s="1">
        <f t="shared" si="143"/>
        <v>0.30829780291067704</v>
      </c>
      <c r="AD1150" s="4">
        <v>250.00951000000001</v>
      </c>
      <c r="AE1150" s="1">
        <v>573</v>
      </c>
      <c r="AF1150" s="5">
        <v>86.792410000000004</v>
      </c>
      <c r="AG1150" s="3">
        <f t="shared" si="141"/>
        <v>87.053899999999999</v>
      </c>
      <c r="AH1150" s="1">
        <f t="shared" si="142"/>
        <v>0.22369830301319332</v>
      </c>
    </row>
    <row r="1151" spans="23:34" x14ac:dyDescent="0.2">
      <c r="W1151" s="4">
        <v>250.00098</v>
      </c>
      <c r="X1151" s="1">
        <v>573.5</v>
      </c>
      <c r="Y1151" s="3">
        <v>76.486050000000006</v>
      </c>
      <c r="Z1151" s="3">
        <f t="shared" si="140"/>
        <v>81.926880000000011</v>
      </c>
      <c r="AA1151" s="1">
        <f t="shared" si="143"/>
        <v>0.3085227962310288</v>
      </c>
      <c r="AD1151" s="4">
        <v>250.01320000000001</v>
      </c>
      <c r="AE1151" s="1">
        <v>573.5</v>
      </c>
      <c r="AF1151" s="3">
        <v>86.748729999999995</v>
      </c>
      <c r="AG1151" s="3">
        <f t="shared" si="141"/>
        <v>87.01021999999999</v>
      </c>
      <c r="AH1151" s="1">
        <f t="shared" si="142"/>
        <v>0.22442344059331415</v>
      </c>
    </row>
    <row r="1152" spans="23:34" x14ac:dyDescent="0.2">
      <c r="W1152" s="4">
        <v>250.00206</v>
      </c>
      <c r="X1152" s="1">
        <v>574</v>
      </c>
      <c r="Y1152" s="5">
        <v>76.490009999999998</v>
      </c>
      <c r="Z1152" s="3">
        <f t="shared" si="140"/>
        <v>81.930840000000003</v>
      </c>
      <c r="AA1152" s="1">
        <f t="shared" si="143"/>
        <v>0.30845704172559768</v>
      </c>
      <c r="AD1152" s="4">
        <v>250.01245</v>
      </c>
      <c r="AE1152" s="1">
        <v>574</v>
      </c>
      <c r="AF1152" s="5">
        <v>86.801379999999995</v>
      </c>
      <c r="AG1152" s="3">
        <f t="shared" si="141"/>
        <v>87.06286999999999</v>
      </c>
      <c r="AH1152" s="1">
        <f t="shared" si="142"/>
        <v>0.22354939083156156</v>
      </c>
    </row>
    <row r="1153" spans="23:34" x14ac:dyDescent="0.2">
      <c r="W1153" s="4">
        <v>250.00697</v>
      </c>
      <c r="X1153" s="1">
        <v>574.5</v>
      </c>
      <c r="Y1153" s="3">
        <v>76.459149999999994</v>
      </c>
      <c r="Z1153" s="3">
        <f t="shared" si="140"/>
        <v>81.899979999999999</v>
      </c>
      <c r="AA1153" s="1">
        <f t="shared" si="143"/>
        <v>0.30896946193711489</v>
      </c>
      <c r="AD1153" s="4">
        <v>250.01326</v>
      </c>
      <c r="AE1153" s="1">
        <v>574.5</v>
      </c>
      <c r="AF1153" s="3">
        <v>86.82441</v>
      </c>
      <c r="AG1153" s="3">
        <f t="shared" si="141"/>
        <v>87.085899999999995</v>
      </c>
      <c r="AH1153" s="1">
        <f t="shared" si="142"/>
        <v>0.22316706669076067</v>
      </c>
    </row>
    <row r="1154" spans="23:34" x14ac:dyDescent="0.2">
      <c r="W1154" s="4">
        <v>250.00604999999999</v>
      </c>
      <c r="X1154" s="1">
        <v>575</v>
      </c>
      <c r="Y1154" s="5">
        <v>76.487909999999999</v>
      </c>
      <c r="Z1154" s="3">
        <f t="shared" si="140"/>
        <v>81.928740000000005</v>
      </c>
      <c r="AA1154" s="1">
        <f t="shared" si="143"/>
        <v>0.30849191153908395</v>
      </c>
      <c r="AD1154" s="4">
        <v>250.01109</v>
      </c>
      <c r="AE1154" s="1">
        <v>575</v>
      </c>
      <c r="AF1154" s="5">
        <v>86.711160000000007</v>
      </c>
      <c r="AG1154" s="3">
        <f t="shared" si="141"/>
        <v>86.972650000000002</v>
      </c>
      <c r="AH1154" s="1">
        <f t="shared" si="142"/>
        <v>0.22504714523812011</v>
      </c>
    </row>
    <row r="1155" spans="23:34" x14ac:dyDescent="0.2">
      <c r="W1155" s="4">
        <v>250.00700000000001</v>
      </c>
      <c r="X1155" s="1">
        <v>575.5</v>
      </c>
      <c r="Y1155" s="3">
        <v>76.445750000000004</v>
      </c>
      <c r="Z1155" s="3">
        <f t="shared" si="140"/>
        <v>81.886580000000009</v>
      </c>
      <c r="AA1155" s="1">
        <f t="shared" si="143"/>
        <v>0.30919196455650322</v>
      </c>
      <c r="AD1155" s="4">
        <v>250.00890999999999</v>
      </c>
      <c r="AE1155" s="1">
        <v>575.5</v>
      </c>
      <c r="AF1155" s="3">
        <v>86.695220000000006</v>
      </c>
      <c r="AG1155" s="3">
        <f t="shared" si="141"/>
        <v>86.956710000000001</v>
      </c>
      <c r="AH1155" s="1">
        <f t="shared" si="142"/>
        <v>0.22531176733123193</v>
      </c>
    </row>
    <row r="1156" spans="23:34" x14ac:dyDescent="0.2">
      <c r="W1156" s="4">
        <v>250.00597999999999</v>
      </c>
      <c r="X1156" s="1">
        <v>576</v>
      </c>
      <c r="Y1156" s="5">
        <v>76.449640000000002</v>
      </c>
      <c r="Z1156" s="3">
        <f t="shared" si="140"/>
        <v>81.890470000000008</v>
      </c>
      <c r="AA1156" s="1">
        <f t="shared" si="143"/>
        <v>0.30912737237818821</v>
      </c>
      <c r="AD1156" s="4">
        <v>250.0104</v>
      </c>
      <c r="AE1156" s="1">
        <v>576</v>
      </c>
      <c r="AF1156" s="5">
        <v>86.732420000000005</v>
      </c>
      <c r="AG1156" s="3">
        <f t="shared" si="141"/>
        <v>86.99391</v>
      </c>
      <c r="AH1156" s="1">
        <f t="shared" si="142"/>
        <v>0.22469420510640389</v>
      </c>
    </row>
    <row r="1157" spans="23:34" x14ac:dyDescent="0.2">
      <c r="W1157" s="4">
        <v>250.00402</v>
      </c>
      <c r="X1157" s="1">
        <v>576.5</v>
      </c>
      <c r="Y1157" s="3">
        <v>76.447919999999996</v>
      </c>
      <c r="Z1157" s="3">
        <f t="shared" ref="Z1157:Z1203" si="144">100-($Y$4-Y1157)</f>
        <v>81.888750000000002</v>
      </c>
      <c r="AA1157" s="1">
        <f t="shared" si="143"/>
        <v>0.30915593241590089</v>
      </c>
      <c r="AD1157" s="4">
        <v>250.01077000000001</v>
      </c>
      <c r="AE1157" s="1">
        <v>576.5</v>
      </c>
      <c r="AF1157" s="3">
        <v>86.820610000000002</v>
      </c>
      <c r="AG1157" s="3">
        <f t="shared" ref="AG1157:AG1203" si="145">100-($AF$4-AF1157)</f>
        <v>87.082099999999997</v>
      </c>
      <c r="AH1157" s="1">
        <f t="shared" si="142"/>
        <v>0.22323015100404953</v>
      </c>
    </row>
    <row r="1158" spans="23:34" x14ac:dyDescent="0.2">
      <c r="W1158" s="4">
        <v>249.99898999999999</v>
      </c>
      <c r="X1158" s="1">
        <v>577</v>
      </c>
      <c r="Y1158" s="5">
        <v>76.417019999999994</v>
      </c>
      <c r="Z1158" s="3">
        <f t="shared" si="144"/>
        <v>81.857849999999999</v>
      </c>
      <c r="AA1158" s="1">
        <f t="shared" si="143"/>
        <v>0.30966901681434161</v>
      </c>
      <c r="AD1158" s="4">
        <v>250.0138</v>
      </c>
      <c r="AE1158" s="1">
        <v>577</v>
      </c>
      <c r="AF1158" s="5">
        <v>86.781700000000001</v>
      </c>
      <c r="AG1158" s="3">
        <f t="shared" si="145"/>
        <v>87.043189999999996</v>
      </c>
      <c r="AH1158" s="1">
        <f t="shared" si="142"/>
        <v>0.22387610116985759</v>
      </c>
    </row>
    <row r="1159" spans="23:34" x14ac:dyDescent="0.2">
      <c r="W1159" s="4">
        <v>250.00406000000001</v>
      </c>
      <c r="X1159" s="1">
        <v>577.5</v>
      </c>
      <c r="Y1159" s="3">
        <v>76.422569999999993</v>
      </c>
      <c r="Z1159" s="3">
        <f t="shared" si="144"/>
        <v>81.863399999999999</v>
      </c>
      <c r="AA1159" s="1">
        <f t="shared" si="143"/>
        <v>0.30957686087869934</v>
      </c>
      <c r="AD1159" s="4">
        <v>250.01050000000001</v>
      </c>
      <c r="AE1159" s="1">
        <v>577.5</v>
      </c>
      <c r="AF1159" s="3">
        <v>86.742750000000001</v>
      </c>
      <c r="AG1159" s="3">
        <f t="shared" si="145"/>
        <v>87.004239999999996</v>
      </c>
      <c r="AH1159" s="1">
        <f t="shared" si="142"/>
        <v>0.22452271538106866</v>
      </c>
    </row>
    <row r="1160" spans="23:34" x14ac:dyDescent="0.2">
      <c r="W1160" s="4">
        <v>250.00701000000001</v>
      </c>
      <c r="X1160" s="1">
        <v>578</v>
      </c>
      <c r="Y1160" s="5">
        <v>76.430520000000001</v>
      </c>
      <c r="Z1160" s="3">
        <f t="shared" si="144"/>
        <v>81.871350000000007</v>
      </c>
      <c r="AA1160" s="1">
        <f t="shared" si="143"/>
        <v>0.30944485372764408</v>
      </c>
      <c r="AD1160" s="4">
        <v>250.00998999999999</v>
      </c>
      <c r="AE1160" s="1">
        <v>578</v>
      </c>
      <c r="AF1160" s="5">
        <v>86.799599999999998</v>
      </c>
      <c r="AG1160" s="3">
        <f t="shared" si="145"/>
        <v>87.061089999999993</v>
      </c>
      <c r="AH1160" s="1">
        <f t="shared" si="142"/>
        <v>0.22357894085199684</v>
      </c>
    </row>
    <row r="1161" spans="23:34" x14ac:dyDescent="0.2">
      <c r="W1161" s="4">
        <v>250.00003000000001</v>
      </c>
      <c r="X1161" s="1">
        <v>578.5</v>
      </c>
      <c r="Y1161" s="3">
        <v>76.407449999999997</v>
      </c>
      <c r="Z1161" s="3">
        <f t="shared" si="144"/>
        <v>81.848280000000003</v>
      </c>
      <c r="AA1161" s="1">
        <f t="shared" si="143"/>
        <v>0.30982792353580035</v>
      </c>
      <c r="AD1161" s="4">
        <v>250.01129</v>
      </c>
      <c r="AE1161" s="1">
        <v>578.5</v>
      </c>
      <c r="AF1161" s="3">
        <v>86.682850000000002</v>
      </c>
      <c r="AG1161" s="3">
        <f t="shared" si="145"/>
        <v>86.944339999999997</v>
      </c>
      <c r="AH1161" s="1">
        <f t="shared" si="142"/>
        <v>0.22551712337212237</v>
      </c>
    </row>
    <row r="1162" spans="23:34" x14ac:dyDescent="0.2">
      <c r="W1162" s="4">
        <v>250.00202999999999</v>
      </c>
      <c r="X1162" s="1">
        <v>579</v>
      </c>
      <c r="Y1162" s="5">
        <v>76.43047</v>
      </c>
      <c r="Z1162" s="3">
        <f t="shared" si="144"/>
        <v>81.871300000000005</v>
      </c>
      <c r="AA1162" s="1">
        <f t="shared" si="143"/>
        <v>0.30944568396129857</v>
      </c>
      <c r="AD1162" s="4">
        <v>250.01428999999999</v>
      </c>
      <c r="AE1162" s="1">
        <v>579</v>
      </c>
      <c r="AF1162" s="5">
        <v>86.864660000000001</v>
      </c>
      <c r="AG1162" s="3">
        <f t="shared" si="145"/>
        <v>87.126149999999996</v>
      </c>
      <c r="AH1162" s="1">
        <f t="shared" ref="AH1162:AH1203" si="146">($AG$9-AG1162)/($AG$9*(1-$N$1))</f>
        <v>0.22249887100395077</v>
      </c>
    </row>
    <row r="1163" spans="23:34" x14ac:dyDescent="0.2">
      <c r="W1163" s="4">
        <v>250.00299999999999</v>
      </c>
      <c r="X1163" s="1">
        <v>579.5</v>
      </c>
      <c r="Y1163" s="3">
        <v>76.426599999999993</v>
      </c>
      <c r="Z1163" s="3">
        <f t="shared" si="144"/>
        <v>81.867429999999999</v>
      </c>
      <c r="AA1163" s="1">
        <f t="shared" si="143"/>
        <v>0.3095099440461519</v>
      </c>
      <c r="AD1163" s="4">
        <v>250.01231999999999</v>
      </c>
      <c r="AE1163" s="1">
        <v>579.5</v>
      </c>
      <c r="AF1163" s="3">
        <v>86.700090000000003</v>
      </c>
      <c r="AG1163" s="3">
        <f t="shared" si="145"/>
        <v>86.961579999999998</v>
      </c>
      <c r="AH1163" s="1">
        <f t="shared" si="146"/>
        <v>0.22523091980341173</v>
      </c>
    </row>
    <row r="1164" spans="23:34" x14ac:dyDescent="0.2">
      <c r="W1164" s="4">
        <v>250.00797</v>
      </c>
      <c r="X1164" s="1">
        <v>580</v>
      </c>
      <c r="Y1164" s="5">
        <v>76.409360000000007</v>
      </c>
      <c r="Z1164" s="3">
        <f t="shared" si="144"/>
        <v>81.850190000000012</v>
      </c>
      <c r="AA1164" s="1">
        <f t="shared" ref="AA1164:AA1203" si="147">($Z$11-Z1164)/($Z$11*(1-$N$1))</f>
        <v>0.3097962086102008</v>
      </c>
      <c r="AD1164" s="4">
        <v>250.01338999999999</v>
      </c>
      <c r="AE1164" s="1">
        <v>580</v>
      </c>
      <c r="AF1164" s="5">
        <v>86.624120000000005</v>
      </c>
      <c r="AG1164" s="3">
        <f t="shared" si="145"/>
        <v>86.88561</v>
      </c>
      <c r="AH1164" s="1">
        <f t="shared" si="146"/>
        <v>0.22649210803513714</v>
      </c>
    </row>
    <row r="1165" spans="23:34" x14ac:dyDescent="0.2">
      <c r="W1165" s="4">
        <v>249.99997999999999</v>
      </c>
      <c r="X1165" s="1">
        <v>580.5</v>
      </c>
      <c r="Y1165" s="3">
        <v>76.399609999999996</v>
      </c>
      <c r="Z1165" s="3">
        <f t="shared" si="144"/>
        <v>81.840440000000001</v>
      </c>
      <c r="AA1165" s="1">
        <f t="shared" si="147"/>
        <v>0.30995810417281572</v>
      </c>
      <c r="AD1165" s="4">
        <v>250.01635999999999</v>
      </c>
      <c r="AE1165" s="1">
        <v>580.5</v>
      </c>
      <c r="AF1165" s="3">
        <v>86.645070000000004</v>
      </c>
      <c r="AG1165" s="3">
        <f t="shared" si="145"/>
        <v>86.906559999999999</v>
      </c>
      <c r="AH1165" s="1">
        <f t="shared" si="146"/>
        <v>0.22614431425529447</v>
      </c>
    </row>
    <row r="1166" spans="23:34" x14ac:dyDescent="0.2">
      <c r="W1166" s="4">
        <v>250.00201999999999</v>
      </c>
      <c r="X1166" s="1">
        <v>581</v>
      </c>
      <c r="Y1166" s="5">
        <v>76.411370000000005</v>
      </c>
      <c r="Z1166" s="3">
        <f t="shared" si="144"/>
        <v>81.852200000000011</v>
      </c>
      <c r="AA1166" s="1">
        <f t="shared" si="147"/>
        <v>0.30976283321729253</v>
      </c>
      <c r="AD1166" s="4">
        <v>250.01682</v>
      </c>
      <c r="AE1166" s="1">
        <v>581</v>
      </c>
      <c r="AF1166" s="5">
        <v>86.665629999999993</v>
      </c>
      <c r="AG1166" s="3">
        <f t="shared" si="145"/>
        <v>86.927119999999988</v>
      </c>
      <c r="AH1166" s="1">
        <f t="shared" si="146"/>
        <v>0.22580299491813163</v>
      </c>
    </row>
    <row r="1167" spans="23:34" x14ac:dyDescent="0.2">
      <c r="W1167" s="4">
        <v>250.01000999999999</v>
      </c>
      <c r="X1167" s="1">
        <v>581.5</v>
      </c>
      <c r="Y1167" s="3">
        <v>76.382559999999998</v>
      </c>
      <c r="Z1167" s="3">
        <f t="shared" si="144"/>
        <v>81.823390000000003</v>
      </c>
      <c r="AA1167" s="1">
        <f t="shared" si="147"/>
        <v>0.31024121384897796</v>
      </c>
      <c r="AD1167" s="4">
        <v>250.01524000000001</v>
      </c>
      <c r="AE1167" s="1">
        <v>581.5</v>
      </c>
      <c r="AF1167" s="3">
        <v>86.590159999999997</v>
      </c>
      <c r="AG1167" s="3">
        <f t="shared" si="145"/>
        <v>86.851649999999992</v>
      </c>
      <c r="AH1167" s="1">
        <f t="shared" si="146"/>
        <v>0.22705588258231899</v>
      </c>
    </row>
    <row r="1168" spans="23:34" x14ac:dyDescent="0.2">
      <c r="W1168" s="4">
        <v>250.00599</v>
      </c>
      <c r="X1168" s="1">
        <v>582</v>
      </c>
      <c r="Y1168" s="5">
        <v>76.384450000000001</v>
      </c>
      <c r="Z1168" s="3">
        <f t="shared" si="144"/>
        <v>81.825280000000006</v>
      </c>
      <c r="AA1168" s="1">
        <f t="shared" si="147"/>
        <v>0.31020983101684024</v>
      </c>
      <c r="AD1168" s="4">
        <v>250.01581999999999</v>
      </c>
      <c r="AE1168" s="1">
        <v>582</v>
      </c>
      <c r="AF1168" s="5">
        <v>86.635509999999996</v>
      </c>
      <c r="AG1168" s="3">
        <f t="shared" si="145"/>
        <v>86.896999999999991</v>
      </c>
      <c r="AH1168" s="1">
        <f t="shared" si="146"/>
        <v>0.22630302110662137</v>
      </c>
    </row>
    <row r="1169" spans="23:34" x14ac:dyDescent="0.2">
      <c r="W1169" s="4">
        <v>250.00497999999999</v>
      </c>
      <c r="X1169" s="1">
        <v>582.5</v>
      </c>
      <c r="Y1169" s="3">
        <v>76.376760000000004</v>
      </c>
      <c r="Z1169" s="3">
        <f t="shared" si="144"/>
        <v>81.81759000000001</v>
      </c>
      <c r="AA1169" s="1">
        <f t="shared" si="147"/>
        <v>0.31033752095289224</v>
      </c>
      <c r="AD1169" s="4">
        <v>250.01555999999999</v>
      </c>
      <c r="AE1169" s="1">
        <v>582.5</v>
      </c>
      <c r="AF1169" s="3">
        <v>86.655019999999993</v>
      </c>
      <c r="AG1169" s="3">
        <f t="shared" si="145"/>
        <v>86.916509999999988</v>
      </c>
      <c r="AH1169" s="1">
        <f t="shared" si="146"/>
        <v>0.22597913296128824</v>
      </c>
    </row>
    <row r="1170" spans="23:34" x14ac:dyDescent="0.2">
      <c r="W1170" s="4">
        <v>250.00801000000001</v>
      </c>
      <c r="X1170" s="1">
        <v>583</v>
      </c>
      <c r="Y1170" s="5">
        <v>76.365319999999997</v>
      </c>
      <c r="Z1170" s="3">
        <f t="shared" si="144"/>
        <v>81.806150000000002</v>
      </c>
      <c r="AA1170" s="1">
        <f t="shared" si="147"/>
        <v>0.31052747841302702</v>
      </c>
      <c r="AD1170" s="4">
        <v>250.01811000000001</v>
      </c>
      <c r="AE1170" s="1">
        <v>583</v>
      </c>
      <c r="AF1170" s="5">
        <v>86.703919999999997</v>
      </c>
      <c r="AG1170" s="3">
        <f t="shared" si="145"/>
        <v>86.965409999999991</v>
      </c>
      <c r="AH1170" s="1">
        <f t="shared" si="146"/>
        <v>0.22516733745607068</v>
      </c>
    </row>
    <row r="1171" spans="23:34" x14ac:dyDescent="0.2">
      <c r="W1171" s="4">
        <v>250.00792000000001</v>
      </c>
      <c r="X1171" s="1">
        <v>583.5</v>
      </c>
      <c r="Y1171" s="3">
        <v>76.361350000000002</v>
      </c>
      <c r="Z1171" s="3">
        <f t="shared" si="144"/>
        <v>81.802180000000007</v>
      </c>
      <c r="AA1171" s="1">
        <f t="shared" si="147"/>
        <v>0.31059339896518906</v>
      </c>
      <c r="AD1171" s="4">
        <v>250.01981000000001</v>
      </c>
      <c r="AE1171" s="1">
        <v>583.5</v>
      </c>
      <c r="AF1171" s="3">
        <v>86.598039999999997</v>
      </c>
      <c r="AG1171" s="3">
        <f t="shared" si="145"/>
        <v>86.859529999999992</v>
      </c>
      <c r="AH1171" s="1">
        <f t="shared" si="146"/>
        <v>0.22692506563791992</v>
      </c>
    </row>
    <row r="1172" spans="23:34" x14ac:dyDescent="0.2">
      <c r="W1172" s="4">
        <v>250.00399999999999</v>
      </c>
      <c r="X1172" s="1">
        <v>584</v>
      </c>
      <c r="Y1172" s="5">
        <v>76.35942</v>
      </c>
      <c r="Z1172" s="3">
        <f t="shared" si="144"/>
        <v>81.800250000000005</v>
      </c>
      <c r="AA1172" s="1">
        <f t="shared" si="147"/>
        <v>0.31062544598425029</v>
      </c>
      <c r="AD1172" s="4">
        <v>250.02208999999999</v>
      </c>
      <c r="AE1172" s="1">
        <v>584</v>
      </c>
      <c r="AF1172" s="5">
        <v>86.696510000000004</v>
      </c>
      <c r="AG1172" s="3">
        <f t="shared" si="145"/>
        <v>86.957999999999998</v>
      </c>
      <c r="AH1172" s="1">
        <f t="shared" si="146"/>
        <v>0.2252903518669839</v>
      </c>
    </row>
    <row r="1173" spans="23:34" x14ac:dyDescent="0.2">
      <c r="W1173" s="4">
        <v>249.99893</v>
      </c>
      <c r="X1173" s="1">
        <v>584.5</v>
      </c>
      <c r="Y1173" s="3">
        <v>76.330680000000001</v>
      </c>
      <c r="Z1173" s="3">
        <f t="shared" si="144"/>
        <v>81.771510000000006</v>
      </c>
      <c r="AA1173" s="1">
        <f t="shared" si="147"/>
        <v>0.31110266428881939</v>
      </c>
      <c r="AD1173" s="4">
        <v>250.02565000000001</v>
      </c>
      <c r="AE1173" s="1">
        <v>584.5</v>
      </c>
      <c r="AF1173" s="3">
        <v>86.598950000000002</v>
      </c>
      <c r="AG1173" s="3">
        <f t="shared" si="145"/>
        <v>86.860439999999997</v>
      </c>
      <c r="AH1173" s="1">
        <f t="shared" si="146"/>
        <v>0.22690995860500066</v>
      </c>
    </row>
    <row r="1174" spans="23:34" x14ac:dyDescent="0.2">
      <c r="W1174" s="4">
        <v>250.00095999999999</v>
      </c>
      <c r="X1174" s="1">
        <v>585</v>
      </c>
      <c r="Y1174" s="5">
        <v>76.351900000000001</v>
      </c>
      <c r="Z1174" s="3">
        <f t="shared" si="144"/>
        <v>81.792730000000006</v>
      </c>
      <c r="AA1174" s="1">
        <f t="shared" si="147"/>
        <v>0.31075031312587725</v>
      </c>
      <c r="AD1174" s="4">
        <v>250.02128999999999</v>
      </c>
      <c r="AE1174" s="1">
        <v>585</v>
      </c>
      <c r="AF1174" s="5">
        <v>86.685919999999996</v>
      </c>
      <c r="AG1174" s="3">
        <f t="shared" si="145"/>
        <v>86.947409999999991</v>
      </c>
      <c r="AH1174" s="1">
        <f t="shared" si="146"/>
        <v>0.22546615788743909</v>
      </c>
    </row>
    <row r="1175" spans="23:34" x14ac:dyDescent="0.2">
      <c r="W1175" s="4">
        <v>250.00308999999999</v>
      </c>
      <c r="X1175" s="1">
        <v>585.5</v>
      </c>
      <c r="Y1175" s="3">
        <v>76.326759999999993</v>
      </c>
      <c r="Z1175" s="3">
        <f t="shared" si="144"/>
        <v>81.767589999999998</v>
      </c>
      <c r="AA1175" s="1">
        <f t="shared" si="147"/>
        <v>0.31116775460732715</v>
      </c>
      <c r="AD1175" s="4">
        <v>250.01946000000001</v>
      </c>
      <c r="AE1175" s="1">
        <v>585.5</v>
      </c>
      <c r="AF1175" s="3">
        <v>86.677880000000002</v>
      </c>
      <c r="AG1175" s="3">
        <f t="shared" si="145"/>
        <v>86.939369999999997</v>
      </c>
      <c r="AH1175" s="1">
        <f t="shared" si="146"/>
        <v>0.22559963101345021</v>
      </c>
    </row>
    <row r="1176" spans="23:34" x14ac:dyDescent="0.2">
      <c r="W1176" s="4">
        <v>250.00297</v>
      </c>
      <c r="X1176" s="1">
        <v>586</v>
      </c>
      <c r="Y1176" s="5">
        <v>76.323030000000003</v>
      </c>
      <c r="Z1176" s="3">
        <f t="shared" si="144"/>
        <v>81.763860000000008</v>
      </c>
      <c r="AA1176" s="1">
        <f t="shared" si="147"/>
        <v>0.31122969003794787</v>
      </c>
      <c r="AD1176" s="4">
        <v>250.02133000000001</v>
      </c>
      <c r="AE1176" s="1">
        <v>586</v>
      </c>
      <c r="AF1176" s="5">
        <v>86.642319999999998</v>
      </c>
      <c r="AG1176" s="3">
        <f t="shared" si="145"/>
        <v>86.903809999999993</v>
      </c>
      <c r="AH1176" s="1">
        <f t="shared" si="146"/>
        <v>0.22618996737675365</v>
      </c>
    </row>
    <row r="1177" spans="23:34" x14ac:dyDescent="0.2">
      <c r="W1177" s="4">
        <v>250.00702999999999</v>
      </c>
      <c r="X1177" s="1">
        <v>586.5</v>
      </c>
      <c r="Y1177" s="3">
        <v>76.326819999999998</v>
      </c>
      <c r="Z1177" s="3">
        <f t="shared" si="144"/>
        <v>81.767650000000003</v>
      </c>
      <c r="AA1177" s="1">
        <f t="shared" si="147"/>
        <v>0.31116675832694179</v>
      </c>
      <c r="AD1177" s="4">
        <v>250.02091999999999</v>
      </c>
      <c r="AE1177" s="1">
        <v>586.5</v>
      </c>
      <c r="AF1177" s="3">
        <v>86.589330000000004</v>
      </c>
      <c r="AG1177" s="3">
        <f t="shared" si="145"/>
        <v>86.850819999999999</v>
      </c>
      <c r="AH1177" s="1">
        <f t="shared" si="146"/>
        <v>0.22706966152443198</v>
      </c>
    </row>
    <row r="1178" spans="23:34" x14ac:dyDescent="0.2">
      <c r="W1178" s="4">
        <v>250.00800000000001</v>
      </c>
      <c r="X1178" s="1">
        <v>587</v>
      </c>
      <c r="Y1178" s="5">
        <v>76.319239999999994</v>
      </c>
      <c r="Z1178" s="3">
        <f t="shared" si="144"/>
        <v>81.760069999999999</v>
      </c>
      <c r="AA1178" s="1">
        <f t="shared" si="147"/>
        <v>0.31129262174895417</v>
      </c>
      <c r="AD1178" s="4">
        <v>250.01975999999999</v>
      </c>
      <c r="AE1178" s="1">
        <v>587</v>
      </c>
      <c r="AF1178" s="5">
        <v>86.487549999999999</v>
      </c>
      <c r="AG1178" s="3">
        <f t="shared" si="145"/>
        <v>86.749039999999994</v>
      </c>
      <c r="AH1178" s="1">
        <f t="shared" si="146"/>
        <v>0.22875932505246963</v>
      </c>
    </row>
    <row r="1179" spans="23:34" x14ac:dyDescent="0.2">
      <c r="W1179" s="4">
        <v>250.01002</v>
      </c>
      <c r="X1179" s="1">
        <v>587.5</v>
      </c>
      <c r="Y1179" s="3">
        <v>76.319220000000001</v>
      </c>
      <c r="Z1179" s="3">
        <f t="shared" si="144"/>
        <v>81.760050000000007</v>
      </c>
      <c r="AA1179" s="1">
        <f t="shared" si="147"/>
        <v>0.31129295384241579</v>
      </c>
      <c r="AD1179" s="4">
        <v>250.02153000000001</v>
      </c>
      <c r="AE1179" s="1">
        <v>587.5</v>
      </c>
      <c r="AF1179" s="3">
        <v>86.531899999999993</v>
      </c>
      <c r="AG1179" s="3">
        <f t="shared" si="145"/>
        <v>86.793389999999988</v>
      </c>
      <c r="AH1179" s="1">
        <f t="shared" si="146"/>
        <v>0.22802306471184811</v>
      </c>
    </row>
    <row r="1180" spans="23:34" x14ac:dyDescent="0.2">
      <c r="W1180" s="4">
        <v>250.011</v>
      </c>
      <c r="X1180" s="1">
        <v>588</v>
      </c>
      <c r="Y1180" s="5">
        <v>76.303870000000003</v>
      </c>
      <c r="Z1180" s="3">
        <f t="shared" si="144"/>
        <v>81.744700000000009</v>
      </c>
      <c r="AA1180" s="1">
        <f t="shared" si="147"/>
        <v>0.31154783557432725</v>
      </c>
      <c r="AD1180" s="4">
        <v>250.02108000000001</v>
      </c>
      <c r="AE1180" s="1">
        <v>588</v>
      </c>
      <c r="AF1180" s="5">
        <v>86.40849</v>
      </c>
      <c r="AG1180" s="3">
        <f t="shared" si="145"/>
        <v>86.669979999999995</v>
      </c>
      <c r="AH1180" s="1">
        <f t="shared" si="146"/>
        <v>0.23007181079157993</v>
      </c>
    </row>
    <row r="1181" spans="23:34" x14ac:dyDescent="0.2">
      <c r="W1181" s="4">
        <v>250.00996000000001</v>
      </c>
      <c r="X1181" s="1">
        <v>588.5</v>
      </c>
      <c r="Y1181" s="3">
        <v>76.303970000000007</v>
      </c>
      <c r="Z1181" s="3">
        <f t="shared" si="144"/>
        <v>81.744800000000012</v>
      </c>
      <c r="AA1181" s="1">
        <f t="shared" si="147"/>
        <v>0.31154617510701832</v>
      </c>
      <c r="AD1181" s="4">
        <v>250.01940999999999</v>
      </c>
      <c r="AE1181" s="1">
        <v>588.5</v>
      </c>
      <c r="AF1181" s="3">
        <v>86.536600000000007</v>
      </c>
      <c r="AG1181" s="3">
        <f t="shared" si="145"/>
        <v>86.798090000000002</v>
      </c>
      <c r="AH1181" s="1">
        <f t="shared" si="146"/>
        <v>0.22794503937699057</v>
      </c>
    </row>
    <row r="1182" spans="23:34" x14ac:dyDescent="0.2">
      <c r="W1182" s="4">
        <v>250.00502</v>
      </c>
      <c r="X1182" s="1">
        <v>589</v>
      </c>
      <c r="Y1182" s="5">
        <v>76.286730000000006</v>
      </c>
      <c r="Z1182" s="3">
        <f t="shared" si="144"/>
        <v>81.727560000000011</v>
      </c>
      <c r="AA1182" s="1">
        <f t="shared" si="147"/>
        <v>0.31183243967106744</v>
      </c>
      <c r="AD1182" s="4">
        <v>250.01823999999999</v>
      </c>
      <c r="AE1182" s="1">
        <v>589</v>
      </c>
      <c r="AF1182" s="5">
        <v>86.432990000000004</v>
      </c>
      <c r="AG1182" s="3">
        <f t="shared" si="145"/>
        <v>86.694479999999999</v>
      </c>
      <c r="AH1182" s="1">
        <f t="shared" si="146"/>
        <v>0.22966508298221733</v>
      </c>
    </row>
    <row r="1183" spans="23:34" x14ac:dyDescent="0.2">
      <c r="W1183" s="4">
        <v>250.00801000000001</v>
      </c>
      <c r="X1183" s="1">
        <v>589.5</v>
      </c>
      <c r="Y1183" s="3">
        <v>76.307630000000003</v>
      </c>
      <c r="Z1183" s="3">
        <f t="shared" si="144"/>
        <v>81.748460000000009</v>
      </c>
      <c r="AA1183" s="1">
        <f t="shared" si="147"/>
        <v>0.31148540200351371</v>
      </c>
      <c r="AD1183" s="4">
        <v>250.01938999999999</v>
      </c>
      <c r="AE1183" s="1">
        <v>589.5</v>
      </c>
      <c r="AF1183" s="3">
        <v>86.521739999999994</v>
      </c>
      <c r="AG1183" s="3">
        <f t="shared" si="145"/>
        <v>86.783229999999989</v>
      </c>
      <c r="AH1183" s="1">
        <f t="shared" si="146"/>
        <v>0.22819173224422049</v>
      </c>
    </row>
    <row r="1184" spans="23:34" x14ac:dyDescent="0.2">
      <c r="W1184" s="4">
        <v>250.00502</v>
      </c>
      <c r="X1184" s="1">
        <v>590</v>
      </c>
      <c r="Y1184" s="5">
        <v>76.284800000000004</v>
      </c>
      <c r="Z1184" s="3">
        <f t="shared" si="144"/>
        <v>81.72563000000001</v>
      </c>
      <c r="AA1184" s="1">
        <f t="shared" si="147"/>
        <v>0.31186448669012862</v>
      </c>
      <c r="AD1184" s="4">
        <v>250.02186</v>
      </c>
      <c r="AE1184" s="1">
        <v>590</v>
      </c>
      <c r="AF1184" s="5">
        <v>86.568209999999993</v>
      </c>
      <c r="AG1184" s="3">
        <f t="shared" si="145"/>
        <v>86.829699999999988</v>
      </c>
      <c r="AH1184" s="1">
        <f t="shared" si="146"/>
        <v>0.22742027749723773</v>
      </c>
    </row>
    <row r="1185" spans="23:34" x14ac:dyDescent="0.2">
      <c r="W1185" s="4">
        <v>250.00698</v>
      </c>
      <c r="X1185" s="1">
        <v>590.5</v>
      </c>
      <c r="Y1185" s="3">
        <v>76.275009999999995</v>
      </c>
      <c r="Z1185" s="3">
        <f t="shared" si="144"/>
        <v>81.71584</v>
      </c>
      <c r="AA1185" s="1">
        <f t="shared" si="147"/>
        <v>0.31202704643966711</v>
      </c>
      <c r="AD1185" s="4">
        <v>250.02032</v>
      </c>
      <c r="AE1185" s="1">
        <v>590.5</v>
      </c>
      <c r="AF1185" s="3">
        <v>86.571870000000004</v>
      </c>
      <c r="AG1185" s="3">
        <f t="shared" si="145"/>
        <v>86.833359999999999</v>
      </c>
      <c r="AH1185" s="1">
        <f t="shared" si="146"/>
        <v>0.22735951734285931</v>
      </c>
    </row>
    <row r="1186" spans="23:34" x14ac:dyDescent="0.2">
      <c r="W1186" s="4">
        <v>250.00798</v>
      </c>
      <c r="X1186" s="1">
        <v>591</v>
      </c>
      <c r="Y1186" s="5">
        <v>76.286569999999998</v>
      </c>
      <c r="Z1186" s="3">
        <f t="shared" si="144"/>
        <v>81.727400000000003</v>
      </c>
      <c r="AA1186" s="1">
        <f t="shared" si="147"/>
        <v>0.31183509641876173</v>
      </c>
      <c r="AD1186" s="4">
        <v>250.01912999999999</v>
      </c>
      <c r="AE1186" s="1">
        <v>591</v>
      </c>
      <c r="AF1186" s="5">
        <v>86.54477</v>
      </c>
      <c r="AG1186" s="3">
        <f t="shared" si="145"/>
        <v>86.806259999999995</v>
      </c>
      <c r="AH1186" s="1">
        <f t="shared" si="146"/>
        <v>0.2278094081034196</v>
      </c>
    </row>
    <row r="1187" spans="23:34" x14ac:dyDescent="0.2">
      <c r="W1187" s="4">
        <v>250.00597999999999</v>
      </c>
      <c r="X1187" s="1">
        <v>591.5</v>
      </c>
      <c r="Y1187" s="3">
        <v>76.273060000000001</v>
      </c>
      <c r="Z1187" s="3">
        <f t="shared" si="144"/>
        <v>81.713890000000006</v>
      </c>
      <c r="AA1187" s="1">
        <f t="shared" si="147"/>
        <v>0.31205942555218996</v>
      </c>
      <c r="AD1187" s="4">
        <v>250.02017000000001</v>
      </c>
      <c r="AE1187" s="1">
        <v>591.5</v>
      </c>
      <c r="AF1187" s="3">
        <v>86.526390000000006</v>
      </c>
      <c r="AG1187" s="3">
        <f t="shared" si="145"/>
        <v>86.787880000000001</v>
      </c>
      <c r="AH1187" s="1">
        <f t="shared" si="146"/>
        <v>0.22811453696611678</v>
      </c>
    </row>
    <row r="1188" spans="23:34" x14ac:dyDescent="0.2">
      <c r="W1188" s="4">
        <v>250.00299000000001</v>
      </c>
      <c r="X1188" s="1">
        <v>592</v>
      </c>
      <c r="Y1188" s="5">
        <v>76.261510000000001</v>
      </c>
      <c r="Z1188" s="3">
        <f t="shared" si="144"/>
        <v>81.702340000000007</v>
      </c>
      <c r="AA1188" s="1">
        <f t="shared" si="147"/>
        <v>0.31225120952636437</v>
      </c>
      <c r="AD1188" s="4">
        <v>250.02477999999999</v>
      </c>
      <c r="AE1188" s="1">
        <v>592</v>
      </c>
      <c r="AF1188" s="5">
        <v>86.446470000000005</v>
      </c>
      <c r="AG1188" s="3">
        <f t="shared" si="145"/>
        <v>86.70796</v>
      </c>
      <c r="AH1188" s="1">
        <f t="shared" si="146"/>
        <v>0.22944129968139251</v>
      </c>
    </row>
    <row r="1189" spans="23:34" x14ac:dyDescent="0.2">
      <c r="W1189" s="4">
        <v>249.99898999999999</v>
      </c>
      <c r="X1189" s="1">
        <v>592.5</v>
      </c>
      <c r="Y1189" s="3">
        <v>76.250259999999997</v>
      </c>
      <c r="Z1189" s="3">
        <f t="shared" si="144"/>
        <v>81.691090000000003</v>
      </c>
      <c r="AA1189" s="1">
        <f t="shared" si="147"/>
        <v>0.31243801209861227</v>
      </c>
      <c r="AD1189" s="4">
        <v>250.02167</v>
      </c>
      <c r="AE1189" s="1">
        <v>592.5</v>
      </c>
      <c r="AF1189" s="3">
        <v>86.406170000000003</v>
      </c>
      <c r="AG1189" s="3">
        <f t="shared" si="145"/>
        <v>86.667659999999998</v>
      </c>
      <c r="AH1189" s="1">
        <f t="shared" si="146"/>
        <v>0.23011032542495624</v>
      </c>
    </row>
    <row r="1190" spans="23:34" x14ac:dyDescent="0.2">
      <c r="W1190" s="4">
        <v>249.99697</v>
      </c>
      <c r="X1190" s="1">
        <v>593</v>
      </c>
      <c r="Y1190" s="5">
        <v>76.221729999999994</v>
      </c>
      <c r="Z1190" s="3">
        <f t="shared" si="144"/>
        <v>81.662559999999999</v>
      </c>
      <c r="AA1190" s="1">
        <f t="shared" si="147"/>
        <v>0.31291174342183276</v>
      </c>
      <c r="AD1190" s="4">
        <v>250.01714000000001</v>
      </c>
      <c r="AE1190" s="1">
        <v>593</v>
      </c>
      <c r="AF1190" s="5">
        <v>86.502409999999998</v>
      </c>
      <c r="AG1190" s="3">
        <f t="shared" si="145"/>
        <v>86.763899999999992</v>
      </c>
      <c r="AH1190" s="1">
        <f t="shared" si="146"/>
        <v>0.22851263218523996</v>
      </c>
    </row>
    <row r="1191" spans="23:34" x14ac:dyDescent="0.2">
      <c r="W1191" s="4">
        <v>249.99997999999999</v>
      </c>
      <c r="X1191" s="1">
        <v>593.5</v>
      </c>
      <c r="Y1191" s="3">
        <v>76.248329999999996</v>
      </c>
      <c r="Z1191" s="3">
        <f t="shared" si="144"/>
        <v>81.689160000000001</v>
      </c>
      <c r="AA1191" s="1">
        <f t="shared" si="147"/>
        <v>0.31247005911767345</v>
      </c>
      <c r="AD1191" s="4">
        <v>250.01763</v>
      </c>
      <c r="AE1191" s="1">
        <v>593.5</v>
      </c>
      <c r="AF1191" s="3">
        <v>86.379360000000005</v>
      </c>
      <c r="AG1191" s="3">
        <f t="shared" si="145"/>
        <v>86.64085</v>
      </c>
      <c r="AH1191" s="1">
        <f t="shared" si="146"/>
        <v>0.23055540185634438</v>
      </c>
    </row>
    <row r="1192" spans="23:34" x14ac:dyDescent="0.2">
      <c r="W1192" s="4">
        <v>250.00502</v>
      </c>
      <c r="X1192" s="1">
        <v>594</v>
      </c>
      <c r="Y1192" s="5">
        <v>76.219480000000004</v>
      </c>
      <c r="Z1192" s="3">
        <f t="shared" si="144"/>
        <v>81.66031000000001</v>
      </c>
      <c r="AA1192" s="1">
        <f t="shared" si="147"/>
        <v>0.31294910393628217</v>
      </c>
      <c r="AD1192" s="4">
        <v>250.01806999999999</v>
      </c>
      <c r="AE1192" s="1">
        <v>594</v>
      </c>
      <c r="AF1192" s="5">
        <v>86.417069999999995</v>
      </c>
      <c r="AG1192" s="3">
        <f t="shared" si="145"/>
        <v>86.67855999999999</v>
      </c>
      <c r="AH1192" s="1">
        <f t="shared" si="146"/>
        <v>0.22992937305262773</v>
      </c>
    </row>
    <row r="1193" spans="23:34" x14ac:dyDescent="0.2">
      <c r="W1193" s="4">
        <v>250.00594000000001</v>
      </c>
      <c r="X1193" s="1">
        <v>594.5</v>
      </c>
      <c r="Y1193" s="3">
        <v>76.22148</v>
      </c>
      <c r="Z1193" s="3">
        <f t="shared" si="144"/>
        <v>81.662310000000005</v>
      </c>
      <c r="AA1193" s="1">
        <f t="shared" si="147"/>
        <v>0.31291589459010483</v>
      </c>
      <c r="AD1193" s="4">
        <v>250.01609999999999</v>
      </c>
      <c r="AE1193" s="1">
        <v>594.5</v>
      </c>
      <c r="AF1193" s="3">
        <v>86.435820000000007</v>
      </c>
      <c r="AG1193" s="3">
        <f t="shared" si="145"/>
        <v>86.697310000000002</v>
      </c>
      <c r="AH1193" s="1">
        <f t="shared" si="146"/>
        <v>0.22961810176995212</v>
      </c>
    </row>
    <row r="1194" spans="23:34" x14ac:dyDescent="0.2">
      <c r="W1194" s="4">
        <v>250.00199000000001</v>
      </c>
      <c r="X1194" s="1">
        <v>595</v>
      </c>
      <c r="Y1194" s="5">
        <v>76.200400000000002</v>
      </c>
      <c r="Z1194" s="3">
        <f t="shared" si="144"/>
        <v>81.641230000000007</v>
      </c>
      <c r="AA1194" s="1">
        <f t="shared" si="147"/>
        <v>0.31326592109881446</v>
      </c>
      <c r="AD1194" s="4">
        <v>250.01228</v>
      </c>
      <c r="AE1194" s="1">
        <v>595</v>
      </c>
      <c r="AF1194" s="5">
        <v>86.328850000000003</v>
      </c>
      <c r="AG1194" s="3">
        <f t="shared" si="145"/>
        <v>86.590339999999998</v>
      </c>
      <c r="AH1194" s="1">
        <f t="shared" si="146"/>
        <v>0.23139392518903432</v>
      </c>
    </row>
    <row r="1195" spans="23:34" x14ac:dyDescent="0.2">
      <c r="W1195" s="4">
        <v>250.00003000000001</v>
      </c>
      <c r="X1195" s="1">
        <v>595.5</v>
      </c>
      <c r="Y1195" s="3">
        <v>76.202259999999995</v>
      </c>
      <c r="Z1195" s="3">
        <f t="shared" si="144"/>
        <v>81.643090000000001</v>
      </c>
      <c r="AA1195" s="1">
        <f t="shared" si="147"/>
        <v>0.31323503640686962</v>
      </c>
      <c r="AD1195" s="4">
        <v>250.01163</v>
      </c>
      <c r="AE1195" s="1">
        <v>595.5</v>
      </c>
      <c r="AF1195" s="3">
        <v>86.408770000000004</v>
      </c>
      <c r="AG1195" s="3">
        <f t="shared" si="145"/>
        <v>86.670259999999999</v>
      </c>
      <c r="AH1195" s="1">
        <f t="shared" si="146"/>
        <v>0.23006716247375858</v>
      </c>
    </row>
    <row r="1196" spans="23:34" x14ac:dyDescent="0.2">
      <c r="W1196" s="4">
        <v>249.99895000000001</v>
      </c>
      <c r="X1196" s="1">
        <v>596</v>
      </c>
      <c r="Y1196" s="5">
        <v>76.190659999999994</v>
      </c>
      <c r="Z1196" s="3">
        <f t="shared" si="144"/>
        <v>81.631489999999999</v>
      </c>
      <c r="AA1196" s="1">
        <f t="shared" si="147"/>
        <v>0.31342765061469852</v>
      </c>
      <c r="AD1196" s="4">
        <v>250.01313999999999</v>
      </c>
      <c r="AE1196" s="1">
        <v>596</v>
      </c>
      <c r="AF1196" s="5">
        <v>86.375919999999994</v>
      </c>
      <c r="AG1196" s="3">
        <f t="shared" si="145"/>
        <v>86.637409999999988</v>
      </c>
      <c r="AH1196" s="1">
        <f t="shared" si="146"/>
        <v>0.23061250976100608</v>
      </c>
    </row>
    <row r="1197" spans="23:34" x14ac:dyDescent="0.2">
      <c r="W1197" s="4">
        <v>249.99897000000001</v>
      </c>
      <c r="X1197" s="1">
        <v>596.5</v>
      </c>
      <c r="Y1197" s="3">
        <v>76.194509999999994</v>
      </c>
      <c r="Z1197" s="3">
        <f t="shared" si="144"/>
        <v>81.635339999999999</v>
      </c>
      <c r="AA1197" s="1">
        <f t="shared" si="147"/>
        <v>0.31336372262330703</v>
      </c>
      <c r="AD1197" s="4">
        <v>250.01355000000001</v>
      </c>
      <c r="AE1197" s="1">
        <v>596.5</v>
      </c>
      <c r="AF1197" s="3">
        <v>86.377430000000004</v>
      </c>
      <c r="AG1197" s="3">
        <f t="shared" si="145"/>
        <v>86.638919999999999</v>
      </c>
      <c r="AH1197" s="1">
        <f t="shared" si="146"/>
        <v>0.23058744204704112</v>
      </c>
    </row>
    <row r="1198" spans="23:34" x14ac:dyDescent="0.2">
      <c r="W1198" s="4">
        <v>250.00104999999999</v>
      </c>
      <c r="X1198" s="1">
        <v>597</v>
      </c>
      <c r="Y1198" s="5">
        <v>76.171729999999997</v>
      </c>
      <c r="Z1198" s="3">
        <f t="shared" si="144"/>
        <v>81.612560000000002</v>
      </c>
      <c r="AA1198" s="1">
        <f t="shared" si="147"/>
        <v>0.31374197707626744</v>
      </c>
      <c r="AD1198" s="4">
        <v>250.01840000000001</v>
      </c>
      <c r="AE1198" s="1">
        <v>597</v>
      </c>
      <c r="AF1198" s="5">
        <v>86.367599999999996</v>
      </c>
      <c r="AG1198" s="3">
        <f t="shared" si="145"/>
        <v>86.629089999999991</v>
      </c>
      <c r="AH1198" s="1">
        <f t="shared" si="146"/>
        <v>0.23075063120483855</v>
      </c>
    </row>
    <row r="1199" spans="23:34" x14ac:dyDescent="0.2">
      <c r="W1199" s="4">
        <v>250.00398000000001</v>
      </c>
      <c r="X1199" s="1">
        <v>597.5</v>
      </c>
      <c r="Y1199" s="3">
        <v>76.177300000000002</v>
      </c>
      <c r="Z1199" s="3">
        <f t="shared" si="144"/>
        <v>81.618130000000008</v>
      </c>
      <c r="AA1199" s="1">
        <f t="shared" si="147"/>
        <v>0.31364948904716333</v>
      </c>
      <c r="AD1199" s="4">
        <v>250.01876999999999</v>
      </c>
      <c r="AE1199" s="1">
        <v>597.5</v>
      </c>
      <c r="AF1199" s="3">
        <v>86.330680000000001</v>
      </c>
      <c r="AG1199" s="3">
        <f t="shared" si="145"/>
        <v>86.592169999999996</v>
      </c>
      <c r="AH1199" s="1">
        <f t="shared" si="146"/>
        <v>0.23136354511184523</v>
      </c>
    </row>
    <row r="1200" spans="23:34" x14ac:dyDescent="0.2">
      <c r="W1200" s="4">
        <v>250.00496000000001</v>
      </c>
      <c r="X1200" s="1">
        <v>598</v>
      </c>
      <c r="Y1200" s="5">
        <v>76.152559999999994</v>
      </c>
      <c r="Z1200" s="3">
        <f t="shared" si="144"/>
        <v>81.593389999999999</v>
      </c>
      <c r="AA1200" s="1">
        <f t="shared" si="147"/>
        <v>0.31406028865937774</v>
      </c>
      <c r="AD1200" s="4">
        <v>250.02081000000001</v>
      </c>
      <c r="AE1200" s="1">
        <v>598</v>
      </c>
      <c r="AF1200" s="5">
        <v>86.362880000000004</v>
      </c>
      <c r="AG1200" s="3">
        <f t="shared" si="145"/>
        <v>86.624369999999999</v>
      </c>
      <c r="AH1200" s="1">
        <f t="shared" si="146"/>
        <v>0.23082898856239725</v>
      </c>
    </row>
    <row r="1201" spans="23:34" x14ac:dyDescent="0.2">
      <c r="W1201" s="4">
        <v>250.00701000000001</v>
      </c>
      <c r="X1201" s="1">
        <v>598.5</v>
      </c>
      <c r="Y1201" s="3">
        <v>76.160079999999994</v>
      </c>
      <c r="Z1201" s="3">
        <f t="shared" si="144"/>
        <v>81.600909999999999</v>
      </c>
      <c r="AA1201" s="1">
        <f t="shared" si="147"/>
        <v>0.31393542151775078</v>
      </c>
      <c r="AD1201" s="4">
        <v>250.01589000000001</v>
      </c>
      <c r="AE1201" s="1">
        <v>598.5</v>
      </c>
      <c r="AF1201" s="3">
        <v>86.314070000000001</v>
      </c>
      <c r="AG1201" s="3">
        <f t="shared" si="145"/>
        <v>86.575559999999996</v>
      </c>
      <c r="AH1201" s="1">
        <f t="shared" si="146"/>
        <v>0.23163928996545796</v>
      </c>
    </row>
    <row r="1202" spans="23:34" x14ac:dyDescent="0.2">
      <c r="W1202" s="4">
        <v>250.00704999999999</v>
      </c>
      <c r="X1202" s="1">
        <v>599</v>
      </c>
      <c r="Y1202" s="5">
        <v>76.152460000000005</v>
      </c>
      <c r="Z1202" s="3">
        <f t="shared" si="144"/>
        <v>81.59329000000001</v>
      </c>
      <c r="AA1202" s="1">
        <f t="shared" si="147"/>
        <v>0.31406194912668645</v>
      </c>
      <c r="AD1202" s="4">
        <v>250.01197999999999</v>
      </c>
      <c r="AE1202" s="1">
        <v>599</v>
      </c>
      <c r="AF1202" s="5">
        <v>86.313140000000004</v>
      </c>
      <c r="AG1202" s="3">
        <f t="shared" si="145"/>
        <v>86.574629999999999</v>
      </c>
      <c r="AH1202" s="1">
        <f t="shared" si="146"/>
        <v>0.23165472902107861</v>
      </c>
    </row>
    <row r="1203" spans="23:34" x14ac:dyDescent="0.2">
      <c r="W1203" s="4">
        <v>250.00702000000001</v>
      </c>
      <c r="X1203" s="1">
        <v>599.5</v>
      </c>
      <c r="Y1203" s="3">
        <v>76.144620000000003</v>
      </c>
      <c r="Z1203" s="3">
        <f t="shared" si="144"/>
        <v>81.585450000000009</v>
      </c>
      <c r="AA1203" s="1">
        <f t="shared" si="147"/>
        <v>0.31419212976370187</v>
      </c>
      <c r="AD1203" s="4">
        <v>250.01147</v>
      </c>
      <c r="AE1203" s="1">
        <v>599.5</v>
      </c>
      <c r="AF1203" s="3">
        <v>86.362300000000005</v>
      </c>
      <c r="AG1203" s="3">
        <f t="shared" si="145"/>
        <v>86.62379</v>
      </c>
      <c r="AH1203" s="1">
        <f t="shared" si="146"/>
        <v>0.23083861722074134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F0CA-2915-734F-BFAC-706F4F4787F1}">
  <dimension ref="B1:AU1205"/>
  <sheetViews>
    <sheetView tabSelected="1" topLeftCell="AK312" workbookViewId="0">
      <selection activeCell="AU6" sqref="AU6"/>
    </sheetView>
  </sheetViews>
  <sheetFormatPr baseColWidth="10" defaultRowHeight="13" x14ac:dyDescent="0.2"/>
  <cols>
    <col min="1" max="16384" width="10.83203125" style="1"/>
  </cols>
  <sheetData>
    <row r="1" spans="2:47" x14ac:dyDescent="0.2">
      <c r="L1" s="1" t="s">
        <v>39</v>
      </c>
      <c r="M1" s="1">
        <f>17.28/100</f>
        <v>0.17280000000000001</v>
      </c>
    </row>
    <row r="3" spans="2:47" x14ac:dyDescent="0.2">
      <c r="C3" s="1" t="s">
        <v>0</v>
      </c>
      <c r="I3" s="1" t="s">
        <v>1</v>
      </c>
      <c r="O3" s="1" t="s">
        <v>2</v>
      </c>
      <c r="U3" s="1" t="s">
        <v>3</v>
      </c>
      <c r="AA3" s="1" t="s">
        <v>4</v>
      </c>
      <c r="AF3" s="1" t="s">
        <v>44</v>
      </c>
      <c r="AL3" s="1" t="s">
        <v>45</v>
      </c>
      <c r="AR3" s="1" t="s">
        <v>49</v>
      </c>
    </row>
    <row r="5" spans="2:47" x14ac:dyDescent="0.2"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N5" s="1" t="s">
        <v>5</v>
      </c>
      <c r="O5" s="1" t="s">
        <v>6</v>
      </c>
      <c r="P5" s="1" t="s">
        <v>7</v>
      </c>
      <c r="Q5" s="1" t="s">
        <v>8</v>
      </c>
      <c r="R5" s="1" t="s">
        <v>9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Z5" s="1" t="s">
        <v>5</v>
      </c>
      <c r="AA5" s="1" t="s">
        <v>6</v>
      </c>
      <c r="AB5" s="1" t="s">
        <v>7</v>
      </c>
      <c r="AC5" s="1" t="s">
        <v>8</v>
      </c>
      <c r="AD5" s="1" t="s">
        <v>9</v>
      </c>
      <c r="AF5" s="1" t="s">
        <v>12</v>
      </c>
      <c r="AG5" s="1" t="s">
        <v>25</v>
      </c>
      <c r="AH5" s="1" t="s">
        <v>7</v>
      </c>
      <c r="AI5" s="1" t="s">
        <v>8</v>
      </c>
      <c r="AJ5" s="1" t="s">
        <v>9</v>
      </c>
      <c r="AL5" s="1" t="s">
        <v>12</v>
      </c>
      <c r="AM5" s="1" t="s">
        <v>25</v>
      </c>
      <c r="AN5" s="1" t="s">
        <v>7</v>
      </c>
      <c r="AO5" s="1" t="s">
        <v>8</v>
      </c>
      <c r="AP5" s="1" t="s">
        <v>9</v>
      </c>
      <c r="AR5" s="1" t="s">
        <v>12</v>
      </c>
      <c r="AS5" s="1" t="s">
        <v>43</v>
      </c>
      <c r="AT5" s="1" t="s">
        <v>14</v>
      </c>
      <c r="AU5" s="1" t="s">
        <v>50</v>
      </c>
    </row>
    <row r="6" spans="2:47" ht="16" x14ac:dyDescent="0.2">
      <c r="B6" s="2">
        <v>200.13754</v>
      </c>
      <c r="C6" s="1">
        <v>0</v>
      </c>
      <c r="D6" s="3">
        <v>99.286699999999996</v>
      </c>
      <c r="E6" s="3">
        <f>100-($D$6-D6)</f>
        <v>100</v>
      </c>
      <c r="F6" s="3"/>
      <c r="H6" s="4">
        <v>225.00219999999999</v>
      </c>
      <c r="I6" s="1">
        <v>0</v>
      </c>
      <c r="J6" s="3">
        <v>95.892420000000001</v>
      </c>
      <c r="K6" s="3">
        <f>100-($J$6-J6)</f>
        <v>100</v>
      </c>
      <c r="L6" s="3"/>
      <c r="N6" s="4">
        <v>225.01424</v>
      </c>
      <c r="O6" s="1">
        <v>0</v>
      </c>
      <c r="P6" s="3">
        <v>99.864419999999996</v>
      </c>
      <c r="Q6" s="3">
        <f>100-($P$6-P6)</f>
        <v>100</v>
      </c>
      <c r="R6" s="3"/>
      <c r="T6" s="4">
        <v>250.00404</v>
      </c>
      <c r="U6" s="1">
        <v>0</v>
      </c>
      <c r="V6" s="5">
        <v>95.842600000000004</v>
      </c>
      <c r="W6" s="3">
        <f>100-($V$6-V6)</f>
        <v>100</v>
      </c>
      <c r="X6" s="3"/>
      <c r="Z6" s="4">
        <v>250.03059999999999</v>
      </c>
      <c r="AA6" s="1">
        <v>0</v>
      </c>
      <c r="AB6" s="5">
        <v>100.07674</v>
      </c>
      <c r="AC6" s="3">
        <f>100-($AB$6-AB6)</f>
        <v>100</v>
      </c>
      <c r="AD6" s="3"/>
      <c r="AF6" s="11">
        <v>105.24614</v>
      </c>
      <c r="AG6" s="1">
        <v>0</v>
      </c>
      <c r="AH6" s="12">
        <v>96.992310000000003</v>
      </c>
      <c r="AI6" s="3">
        <f>100-($AH$6-AH6)</f>
        <v>100</v>
      </c>
      <c r="AL6" s="11">
        <v>105.24296</v>
      </c>
      <c r="AM6" s="1">
        <v>0</v>
      </c>
      <c r="AN6" s="12">
        <v>96.906499999999994</v>
      </c>
      <c r="AO6" s="3">
        <f>100-($AN$6-AN6)</f>
        <v>100</v>
      </c>
      <c r="AR6" s="11">
        <v>88.562449999999998</v>
      </c>
      <c r="AS6" s="1">
        <v>0</v>
      </c>
      <c r="AT6" s="12">
        <v>99.345510000000004</v>
      </c>
      <c r="AU6" s="3">
        <f>100-($AT$6-AT6)</f>
        <v>100</v>
      </c>
    </row>
    <row r="7" spans="2:47" ht="16" x14ac:dyDescent="0.2">
      <c r="B7" s="2">
        <v>202.32400999999999</v>
      </c>
      <c r="C7" s="1">
        <v>0.5</v>
      </c>
      <c r="D7" s="5">
        <v>99.318420000000003</v>
      </c>
      <c r="E7" s="3">
        <f t="shared" ref="E7:E70" si="0">100-($D$6-D7)</f>
        <v>100.03172000000001</v>
      </c>
      <c r="H7" s="4">
        <v>225.19023999999999</v>
      </c>
      <c r="I7" s="1">
        <v>0.5</v>
      </c>
      <c r="J7" s="5">
        <v>95.966999999999999</v>
      </c>
      <c r="K7" s="3">
        <f t="shared" ref="K7:K70" si="1">100-($J$6-J7)</f>
        <v>100.07458</v>
      </c>
      <c r="N7" s="4">
        <v>227.13638</v>
      </c>
      <c r="O7" s="1">
        <v>0.5</v>
      </c>
      <c r="P7" s="5">
        <v>99.882710000000003</v>
      </c>
      <c r="Q7" s="3">
        <f t="shared" ref="Q7:Q70" si="2">100-($P$6-P7)</f>
        <v>100.01829000000001</v>
      </c>
      <c r="T7" s="4">
        <v>250.33170000000001</v>
      </c>
      <c r="U7" s="1">
        <v>0.5</v>
      </c>
      <c r="V7" s="3">
        <v>95.977930000000001</v>
      </c>
      <c r="W7" s="3">
        <f t="shared" ref="W7:W70" si="3">100-($V$6-V7)</f>
        <v>100.13533</v>
      </c>
      <c r="Z7" s="4">
        <v>250.10087999999999</v>
      </c>
      <c r="AA7" s="1">
        <v>0.5</v>
      </c>
      <c r="AB7" s="3">
        <v>100.2651</v>
      </c>
      <c r="AC7" s="3">
        <f t="shared" ref="AC7:AC70" si="4">100-($AB$6-AB7)</f>
        <v>100.18836</v>
      </c>
      <c r="AF7" s="11">
        <v>106.53964999999999</v>
      </c>
      <c r="AG7" s="1">
        <v>0.5</v>
      </c>
      <c r="AH7" s="13">
        <v>97.016940000000005</v>
      </c>
      <c r="AI7" s="3">
        <f t="shared" ref="AI7:AI70" si="5">100-($AH$6-AH7)</f>
        <v>100.02463</v>
      </c>
      <c r="AJ7" s="1">
        <f>($AI$7-AI7)/($AI$7*(1-$M$1))</f>
        <v>0</v>
      </c>
      <c r="AL7" s="11">
        <v>106.52567999999999</v>
      </c>
      <c r="AM7" s="1">
        <v>0.5</v>
      </c>
      <c r="AN7" s="13">
        <v>96.963089999999994</v>
      </c>
      <c r="AO7" s="3">
        <f t="shared" ref="AO7:AO70" si="6">100-($AN$6-AN7)</f>
        <v>100.05659</v>
      </c>
      <c r="AR7" s="11">
        <v>91.037170000000003</v>
      </c>
      <c r="AS7" s="1">
        <v>0.5</v>
      </c>
      <c r="AT7" s="13">
        <v>99.356740000000002</v>
      </c>
      <c r="AU7" s="3">
        <f t="shared" ref="AU7:AU70" si="7">100-($AT$6-AT7)</f>
        <v>100.01123</v>
      </c>
    </row>
    <row r="8" spans="2:47" ht="16" x14ac:dyDescent="0.2">
      <c r="B8" s="2">
        <v>204.02187000000001</v>
      </c>
      <c r="C8" s="1">
        <v>1</v>
      </c>
      <c r="D8" s="3">
        <v>99.328540000000004</v>
      </c>
      <c r="E8" s="3">
        <f t="shared" si="0"/>
        <v>100.04184000000001</v>
      </c>
      <c r="H8" s="4">
        <v>225.29404</v>
      </c>
      <c r="I8" s="1">
        <v>1</v>
      </c>
      <c r="J8" s="3">
        <v>96.084909999999994</v>
      </c>
      <c r="K8" s="3">
        <f t="shared" si="1"/>
        <v>100.19248999999999</v>
      </c>
      <c r="N8" s="4">
        <v>228.74259000000001</v>
      </c>
      <c r="O8" s="1">
        <v>1</v>
      </c>
      <c r="P8" s="3">
        <v>100.04307</v>
      </c>
      <c r="Q8" s="3">
        <f t="shared" si="2"/>
        <v>100.17865</v>
      </c>
      <c r="T8" s="4">
        <v>250.50291999999999</v>
      </c>
      <c r="U8" s="1">
        <v>1</v>
      </c>
      <c r="V8" s="5">
        <v>96.130070000000003</v>
      </c>
      <c r="W8" s="3">
        <f t="shared" si="3"/>
        <v>100.28747</v>
      </c>
      <c r="Z8" s="4">
        <v>250.20708999999999</v>
      </c>
      <c r="AA8" s="1">
        <v>1</v>
      </c>
      <c r="AB8" s="5">
        <v>100.48717000000001</v>
      </c>
      <c r="AC8" s="3">
        <f t="shared" si="4"/>
        <v>100.41043000000001</v>
      </c>
      <c r="AF8" s="11">
        <v>108.39060000000001</v>
      </c>
      <c r="AG8" s="1">
        <v>1</v>
      </c>
      <c r="AH8" s="12">
        <v>96.989900000000006</v>
      </c>
      <c r="AI8" s="3">
        <f t="shared" si="5"/>
        <v>99.997590000000002</v>
      </c>
      <c r="AJ8" s="1">
        <f t="shared" ref="AJ8:AJ71" si="8">($AI$7-AI8)/($AI$7*(1-$M$1))</f>
        <v>3.2680538791032121E-4</v>
      </c>
      <c r="AL8" s="11">
        <v>108.3897</v>
      </c>
      <c r="AM8" s="1">
        <v>1</v>
      </c>
      <c r="AN8" s="12">
        <v>96.977800000000002</v>
      </c>
      <c r="AO8" s="3">
        <f t="shared" si="6"/>
        <v>100.07130000000001</v>
      </c>
      <c r="AR8" s="11">
        <v>94.694990000000004</v>
      </c>
      <c r="AS8" s="1">
        <v>1</v>
      </c>
      <c r="AT8" s="12">
        <v>99.344899999999996</v>
      </c>
      <c r="AU8" s="3">
        <f t="shared" si="7"/>
        <v>99.999389999999991</v>
      </c>
    </row>
    <row r="9" spans="2:47" ht="16" x14ac:dyDescent="0.2">
      <c r="B9" s="2">
        <v>205.10720000000001</v>
      </c>
      <c r="C9" s="1">
        <v>1.5</v>
      </c>
      <c r="D9" s="5">
        <v>99.485849999999999</v>
      </c>
      <c r="E9" s="3">
        <f t="shared" si="0"/>
        <v>100.19915</v>
      </c>
      <c r="H9" s="4">
        <v>225.24969999999999</v>
      </c>
      <c r="I9" s="1">
        <v>1.5</v>
      </c>
      <c r="J9" s="5">
        <v>96.120919999999998</v>
      </c>
      <c r="K9" s="3">
        <f t="shared" si="1"/>
        <v>100.2285</v>
      </c>
      <c r="N9" s="4">
        <v>229.70961</v>
      </c>
      <c r="O9" s="1">
        <v>1.5</v>
      </c>
      <c r="P9" s="5">
        <v>100.01631999999999</v>
      </c>
      <c r="Q9" s="3">
        <f t="shared" si="2"/>
        <v>100.1519</v>
      </c>
      <c r="T9" s="4">
        <v>250.40885</v>
      </c>
      <c r="U9" s="1">
        <v>1.5</v>
      </c>
      <c r="V9" s="3">
        <v>96.214489999999998</v>
      </c>
      <c r="W9" s="3">
        <f t="shared" si="3"/>
        <v>100.37188999999999</v>
      </c>
      <c r="Z9" s="4">
        <v>250.23090999999999</v>
      </c>
      <c r="AA9" s="1">
        <v>1.5</v>
      </c>
      <c r="AB9" s="3">
        <v>100.63858</v>
      </c>
      <c r="AC9" s="3">
        <f t="shared" si="4"/>
        <v>100.56184</v>
      </c>
      <c r="AF9" s="11">
        <v>110.66410999999999</v>
      </c>
      <c r="AG9" s="1">
        <v>1.5</v>
      </c>
      <c r="AH9" s="13">
        <v>97.005039999999994</v>
      </c>
      <c r="AI9" s="3">
        <f t="shared" si="5"/>
        <v>100.01272999999999</v>
      </c>
      <c r="AJ9" s="1">
        <f t="shared" si="8"/>
        <v>1.4382337707605772E-4</v>
      </c>
      <c r="AL9" s="11">
        <v>110.66279</v>
      </c>
      <c r="AM9" s="1">
        <v>1.5</v>
      </c>
      <c r="AN9" s="13">
        <v>96.976740000000007</v>
      </c>
      <c r="AO9" s="3">
        <f t="shared" si="6"/>
        <v>100.07024000000001</v>
      </c>
      <c r="AR9" s="11">
        <v>98.784220000000005</v>
      </c>
      <c r="AS9" s="1">
        <v>1.5</v>
      </c>
      <c r="AT9" s="13">
        <v>99.335030000000003</v>
      </c>
      <c r="AU9" s="3">
        <f t="shared" si="7"/>
        <v>99.989519999999999</v>
      </c>
    </row>
    <row r="10" spans="2:47" ht="16" x14ac:dyDescent="0.2">
      <c r="B10" s="2">
        <v>205.68173999999999</v>
      </c>
      <c r="C10" s="1">
        <v>2</v>
      </c>
      <c r="D10" s="3">
        <v>99.381370000000004</v>
      </c>
      <c r="E10" s="3">
        <f t="shared" si="0"/>
        <v>100.09467000000001</v>
      </c>
      <c r="H10" s="4">
        <v>225.1747</v>
      </c>
      <c r="I10" s="1">
        <v>2</v>
      </c>
      <c r="J10" s="3">
        <v>96.17595</v>
      </c>
      <c r="K10" s="3">
        <f t="shared" si="1"/>
        <v>100.28353</v>
      </c>
      <c r="N10" s="4">
        <v>230.15885</v>
      </c>
      <c r="O10" s="1">
        <v>2</v>
      </c>
      <c r="P10" s="3">
        <v>100.07545</v>
      </c>
      <c r="Q10" s="3">
        <f t="shared" si="2"/>
        <v>100.21103000000001</v>
      </c>
      <c r="T10" s="4">
        <v>250.26178999999999</v>
      </c>
      <c r="U10" s="1">
        <v>2</v>
      </c>
      <c r="V10" s="5">
        <v>96.262420000000006</v>
      </c>
      <c r="W10" s="3">
        <f t="shared" si="3"/>
        <v>100.41982</v>
      </c>
      <c r="Z10" s="4">
        <v>250.19853000000001</v>
      </c>
      <c r="AA10" s="1">
        <v>2</v>
      </c>
      <c r="AB10" s="5">
        <v>100.62768</v>
      </c>
      <c r="AC10" s="3">
        <f t="shared" si="4"/>
        <v>100.55094</v>
      </c>
      <c r="AF10" s="11">
        <v>113.18210999999999</v>
      </c>
      <c r="AG10" s="1">
        <v>2</v>
      </c>
      <c r="AH10" s="12">
        <v>96.988569999999996</v>
      </c>
      <c r="AI10" s="3">
        <f t="shared" si="5"/>
        <v>99.996259999999992</v>
      </c>
      <c r="AJ10" s="1">
        <f t="shared" si="8"/>
        <v>3.4287976534833959E-4</v>
      </c>
      <c r="AL10" s="11">
        <v>113.19429</v>
      </c>
      <c r="AM10" s="1">
        <v>2</v>
      </c>
      <c r="AN10" s="12">
        <v>96.991339999999994</v>
      </c>
      <c r="AO10" s="3">
        <f t="shared" si="6"/>
        <v>100.08484</v>
      </c>
      <c r="AP10" s="1">
        <f>($AO$10-AO10)/($AO$10*(1-$M$1))</f>
        <v>0</v>
      </c>
      <c r="AR10" s="11">
        <v>102.84047</v>
      </c>
      <c r="AS10" s="1">
        <v>2</v>
      </c>
      <c r="AT10" s="12">
        <v>99.325100000000006</v>
      </c>
      <c r="AU10" s="3">
        <f t="shared" si="7"/>
        <v>99.979590000000002</v>
      </c>
    </row>
    <row r="11" spans="2:47" ht="16" x14ac:dyDescent="0.2">
      <c r="B11" s="2">
        <v>205.92954</v>
      </c>
      <c r="C11" s="1">
        <v>2.5</v>
      </c>
      <c r="D11" s="5">
        <v>99.407359999999997</v>
      </c>
      <c r="E11" s="3">
        <f t="shared" si="0"/>
        <v>100.12066</v>
      </c>
      <c r="H11" s="4">
        <v>225.10865000000001</v>
      </c>
      <c r="I11" s="1">
        <v>2.5</v>
      </c>
      <c r="J11" s="5">
        <v>96.194190000000006</v>
      </c>
      <c r="K11" s="3">
        <f t="shared" si="1"/>
        <v>100.30177</v>
      </c>
      <c r="N11" s="4">
        <v>230.31050999999999</v>
      </c>
      <c r="O11" s="1">
        <v>2.5</v>
      </c>
      <c r="P11" s="5">
        <v>100.15618000000001</v>
      </c>
      <c r="Q11" s="3">
        <f t="shared" si="2"/>
        <v>100.29176000000001</v>
      </c>
      <c r="T11" s="4">
        <v>250.14185000000001</v>
      </c>
      <c r="U11" s="1">
        <v>2.5</v>
      </c>
      <c r="V11" s="3">
        <v>96.304559999999995</v>
      </c>
      <c r="W11" s="3">
        <f t="shared" si="3"/>
        <v>100.46195999999999</v>
      </c>
      <c r="Z11" s="4">
        <v>250.15042</v>
      </c>
      <c r="AA11" s="1">
        <v>2.5</v>
      </c>
      <c r="AB11" s="3">
        <v>100.78744</v>
      </c>
      <c r="AC11" s="3">
        <f t="shared" si="4"/>
        <v>100.7107</v>
      </c>
      <c r="AF11" s="11">
        <v>115.86236</v>
      </c>
      <c r="AG11" s="1">
        <v>2.5</v>
      </c>
      <c r="AH11" s="13">
        <v>96.999300000000005</v>
      </c>
      <c r="AI11" s="3">
        <f t="shared" si="5"/>
        <v>100.00699</v>
      </c>
      <c r="AJ11" s="1">
        <f t="shared" si="8"/>
        <v>2.1319700601842468E-4</v>
      </c>
      <c r="AL11" s="11">
        <v>115.86378999999999</v>
      </c>
      <c r="AM11" s="1">
        <v>2.5</v>
      </c>
      <c r="AN11" s="13">
        <v>96.959289999999996</v>
      </c>
      <c r="AO11" s="3">
        <f t="shared" si="6"/>
        <v>100.05279</v>
      </c>
      <c r="AP11" s="1">
        <f t="shared" ref="AP11:AP74" si="9">($AO$10-AO11)/($AO$10*(1-$M$1))</f>
        <v>3.8712320877023711E-4</v>
      </c>
      <c r="AR11" s="11">
        <v>106.59144999999999</v>
      </c>
      <c r="AS11" s="1">
        <v>2.5</v>
      </c>
      <c r="AT11" s="13">
        <v>99.350080000000005</v>
      </c>
      <c r="AU11" s="3">
        <f t="shared" si="7"/>
        <v>100.00457</v>
      </c>
    </row>
    <row r="12" spans="2:47" ht="16" x14ac:dyDescent="0.2">
      <c r="B12" s="2">
        <v>205.99668</v>
      </c>
      <c r="C12" s="1">
        <v>3</v>
      </c>
      <c r="D12" s="3">
        <v>99.521640000000005</v>
      </c>
      <c r="E12" s="3">
        <f t="shared" si="0"/>
        <v>100.23494000000001</v>
      </c>
      <c r="H12" s="4">
        <v>225.0498</v>
      </c>
      <c r="I12" s="1">
        <v>3</v>
      </c>
      <c r="J12" s="3">
        <v>96.194209999999998</v>
      </c>
      <c r="K12" s="3">
        <f t="shared" si="1"/>
        <v>100.30179</v>
      </c>
      <c r="N12" s="4">
        <v>230.32631000000001</v>
      </c>
      <c r="O12" s="1">
        <v>3</v>
      </c>
      <c r="P12" s="3">
        <v>100.24469000000001</v>
      </c>
      <c r="Q12" s="3">
        <f t="shared" si="2"/>
        <v>100.38027000000001</v>
      </c>
      <c r="T12" s="4">
        <v>250.05887000000001</v>
      </c>
      <c r="U12" s="1">
        <v>3</v>
      </c>
      <c r="V12" s="5">
        <v>96.350679999999997</v>
      </c>
      <c r="W12" s="3">
        <f t="shared" si="3"/>
        <v>100.50807999999999</v>
      </c>
      <c r="Z12" s="4">
        <v>250.11347000000001</v>
      </c>
      <c r="AA12" s="1">
        <v>3</v>
      </c>
      <c r="AB12" s="5">
        <v>100.69459999999999</v>
      </c>
      <c r="AC12" s="3">
        <f t="shared" si="4"/>
        <v>100.61785999999999</v>
      </c>
      <c r="AF12" s="11">
        <v>118.60193</v>
      </c>
      <c r="AG12" s="1">
        <v>3</v>
      </c>
      <c r="AH12" s="12">
        <v>96.964579999999998</v>
      </c>
      <c r="AI12" s="3">
        <f t="shared" si="5"/>
        <v>99.972269999999995</v>
      </c>
      <c r="AJ12" s="1">
        <f t="shared" si="8"/>
        <v>6.3282285913413873E-4</v>
      </c>
      <c r="AL12" s="11">
        <v>118.61694</v>
      </c>
      <c r="AM12" s="1">
        <v>3</v>
      </c>
      <c r="AN12" s="12">
        <v>96.934209999999993</v>
      </c>
      <c r="AO12" s="3">
        <f t="shared" si="6"/>
        <v>100.02771</v>
      </c>
      <c r="AP12" s="1">
        <f t="shared" si="9"/>
        <v>6.9005768851935221E-4</v>
      </c>
      <c r="AR12" s="11">
        <v>109.94798</v>
      </c>
      <c r="AS12" s="1">
        <v>3</v>
      </c>
      <c r="AT12" s="12">
        <v>99.335440000000006</v>
      </c>
      <c r="AU12" s="3">
        <f t="shared" si="7"/>
        <v>99.989930000000001</v>
      </c>
    </row>
    <row r="13" spans="2:47" ht="16" x14ac:dyDescent="0.2">
      <c r="B13" s="2">
        <v>205.97029000000001</v>
      </c>
      <c r="C13" s="1">
        <v>3.5</v>
      </c>
      <c r="D13" s="5">
        <v>99.565799999999996</v>
      </c>
      <c r="E13" s="3">
        <f t="shared" si="0"/>
        <v>100.2791</v>
      </c>
      <c r="H13" s="4">
        <v>225.01489000000001</v>
      </c>
      <c r="I13" s="1">
        <v>3.5</v>
      </c>
      <c r="J13" s="5">
        <v>96.23912</v>
      </c>
      <c r="K13" s="3">
        <f t="shared" si="1"/>
        <v>100.3467</v>
      </c>
      <c r="N13" s="4">
        <v>230.28739999999999</v>
      </c>
      <c r="O13" s="1">
        <v>3.5</v>
      </c>
      <c r="P13" s="5">
        <v>100.23308</v>
      </c>
      <c r="Q13" s="3">
        <f t="shared" si="2"/>
        <v>100.36866000000001</v>
      </c>
      <c r="T13" s="4">
        <v>249.99691999999999</v>
      </c>
      <c r="U13" s="1">
        <v>3.5</v>
      </c>
      <c r="V13" s="3">
        <v>96.372810000000001</v>
      </c>
      <c r="W13" s="3">
        <f t="shared" si="3"/>
        <v>100.53021</v>
      </c>
      <c r="Z13" s="4">
        <v>250.08651</v>
      </c>
      <c r="AA13" s="1">
        <v>3.5</v>
      </c>
      <c r="AB13" s="3">
        <v>100.85159</v>
      </c>
      <c r="AC13" s="3">
        <f t="shared" si="4"/>
        <v>100.77485</v>
      </c>
      <c r="AF13" s="11">
        <v>121.36984</v>
      </c>
      <c r="AG13" s="1">
        <v>3.5</v>
      </c>
      <c r="AH13" s="13">
        <v>96.941739999999996</v>
      </c>
      <c r="AI13" s="3">
        <f t="shared" si="5"/>
        <v>99.949429999999992</v>
      </c>
      <c r="AJ13" s="1">
        <f t="shared" si="8"/>
        <v>9.0886705513534393E-4</v>
      </c>
      <c r="AL13" s="11">
        <v>121.38763</v>
      </c>
      <c r="AM13" s="1">
        <v>3.5</v>
      </c>
      <c r="AN13" s="13">
        <v>96.931659999999994</v>
      </c>
      <c r="AO13" s="3">
        <f t="shared" si="6"/>
        <v>100.02516</v>
      </c>
      <c r="AP13" s="1">
        <f t="shared" si="9"/>
        <v>7.2085844303928744E-4</v>
      </c>
      <c r="AR13" s="11">
        <v>112.88424999999999</v>
      </c>
      <c r="AS13" s="1">
        <v>3.5</v>
      </c>
      <c r="AT13" s="13">
        <v>99.311430000000001</v>
      </c>
      <c r="AU13" s="3">
        <f t="shared" si="7"/>
        <v>99.965919999999997</v>
      </c>
    </row>
    <row r="14" spans="2:47" ht="16" x14ac:dyDescent="0.2">
      <c r="B14" s="2">
        <v>205.87992</v>
      </c>
      <c r="C14" s="1">
        <v>4</v>
      </c>
      <c r="D14" s="3">
        <v>99.526989999999998</v>
      </c>
      <c r="E14" s="3">
        <f t="shared" si="0"/>
        <v>100.24029</v>
      </c>
      <c r="H14" s="4">
        <v>224.99080000000001</v>
      </c>
      <c r="I14" s="1">
        <v>4</v>
      </c>
      <c r="J14" s="3">
        <v>96.251660000000001</v>
      </c>
      <c r="K14" s="3">
        <f t="shared" si="1"/>
        <v>100.35924</v>
      </c>
      <c r="N14" s="4">
        <v>230.20675</v>
      </c>
      <c r="O14" s="1">
        <v>4</v>
      </c>
      <c r="P14" s="3">
        <v>100.22795000000001</v>
      </c>
      <c r="Q14" s="3">
        <f t="shared" si="2"/>
        <v>100.36353000000001</v>
      </c>
      <c r="T14" s="4">
        <v>249.95792</v>
      </c>
      <c r="U14" s="1">
        <v>4</v>
      </c>
      <c r="V14" s="5">
        <v>96.386650000000003</v>
      </c>
      <c r="W14" s="3">
        <f t="shared" si="3"/>
        <v>100.54405</v>
      </c>
      <c r="Z14" s="4">
        <v>250.06790000000001</v>
      </c>
      <c r="AA14" s="1">
        <v>4</v>
      </c>
      <c r="AB14" s="5">
        <v>100.84871</v>
      </c>
      <c r="AC14" s="3">
        <f t="shared" si="4"/>
        <v>100.77197</v>
      </c>
      <c r="AF14" s="11">
        <v>124.13326000000001</v>
      </c>
      <c r="AG14" s="1">
        <v>4</v>
      </c>
      <c r="AH14" s="12">
        <v>96.925380000000004</v>
      </c>
      <c r="AI14" s="3">
        <f t="shared" si="5"/>
        <v>99.933070000000001</v>
      </c>
      <c r="AJ14" s="1">
        <f t="shared" si="8"/>
        <v>1.1065939836194505E-3</v>
      </c>
      <c r="AL14" s="11">
        <v>124.13639999999999</v>
      </c>
      <c r="AM14" s="1">
        <v>4</v>
      </c>
      <c r="AN14" s="12">
        <v>96.892889999999994</v>
      </c>
      <c r="AO14" s="3">
        <f t="shared" si="6"/>
        <v>99.98639</v>
      </c>
      <c r="AP14" s="1">
        <f t="shared" si="9"/>
        <v>1.1891506990150372E-3</v>
      </c>
      <c r="AR14" s="11">
        <v>115.42524</v>
      </c>
      <c r="AS14" s="1">
        <v>4</v>
      </c>
      <c r="AT14" s="12">
        <v>99.317949999999996</v>
      </c>
      <c r="AU14" s="3">
        <f t="shared" si="7"/>
        <v>99.972439999999992</v>
      </c>
    </row>
    <row r="15" spans="2:47" ht="16" x14ac:dyDescent="0.2">
      <c r="B15" s="2">
        <v>205.72739000000001</v>
      </c>
      <c r="C15" s="1">
        <v>4.5</v>
      </c>
      <c r="D15" s="5">
        <v>99.49221</v>
      </c>
      <c r="E15" s="3">
        <f t="shared" si="0"/>
        <v>100.20551</v>
      </c>
      <c r="H15" s="4">
        <v>224.97685000000001</v>
      </c>
      <c r="I15" s="1">
        <v>4.5</v>
      </c>
      <c r="J15" s="5">
        <v>96.246430000000004</v>
      </c>
      <c r="K15" s="3">
        <f t="shared" si="1"/>
        <v>100.35401</v>
      </c>
      <c r="N15" s="4">
        <v>230.06838999999999</v>
      </c>
      <c r="O15" s="1">
        <v>4.5</v>
      </c>
      <c r="P15" s="5">
        <v>100.39991000000001</v>
      </c>
      <c r="Q15" s="3">
        <f t="shared" si="2"/>
        <v>100.53549000000001</v>
      </c>
      <c r="T15" s="4">
        <v>249.94596999999999</v>
      </c>
      <c r="U15" s="1">
        <v>4.5</v>
      </c>
      <c r="V15" s="3">
        <v>96.402550000000005</v>
      </c>
      <c r="W15" s="3">
        <f t="shared" si="3"/>
        <v>100.55995</v>
      </c>
      <c r="Z15" s="4">
        <v>250.05476999999999</v>
      </c>
      <c r="AA15" s="1">
        <v>4.5</v>
      </c>
      <c r="AB15" s="3">
        <v>100.79655</v>
      </c>
      <c r="AC15" s="3">
        <f t="shared" si="4"/>
        <v>100.71981</v>
      </c>
      <c r="AF15" s="11">
        <v>126.84022</v>
      </c>
      <c r="AG15" s="1">
        <v>4.5</v>
      </c>
      <c r="AH15" s="13">
        <v>96.915019999999998</v>
      </c>
      <c r="AI15" s="3">
        <f t="shared" si="5"/>
        <v>99.922709999999995</v>
      </c>
      <c r="AJ15" s="1">
        <f t="shared" si="8"/>
        <v>1.2318049236620856E-3</v>
      </c>
      <c r="AL15" s="11">
        <v>126.84249</v>
      </c>
      <c r="AM15" s="1">
        <v>4.5</v>
      </c>
      <c r="AN15" s="13">
        <v>96.877740000000003</v>
      </c>
      <c r="AO15" s="3">
        <f t="shared" si="6"/>
        <v>99.971240000000009</v>
      </c>
      <c r="AP15" s="1">
        <f t="shared" si="9"/>
        <v>1.3721434170451802E-3</v>
      </c>
      <c r="AR15" s="11">
        <v>117.64344</v>
      </c>
      <c r="AS15" s="1">
        <v>4.5</v>
      </c>
      <c r="AT15" s="13">
        <v>99.306200000000004</v>
      </c>
      <c r="AU15" s="3">
        <f t="shared" si="7"/>
        <v>99.96069</v>
      </c>
    </row>
    <row r="16" spans="2:47" ht="16" x14ac:dyDescent="0.2">
      <c r="B16" s="2">
        <v>205.50273999999999</v>
      </c>
      <c r="C16" s="1">
        <v>5</v>
      </c>
      <c r="D16" s="3">
        <v>99.555779999999999</v>
      </c>
      <c r="E16" s="3">
        <f t="shared" si="0"/>
        <v>100.26908</v>
      </c>
      <c r="H16" s="4">
        <v>224.96697</v>
      </c>
      <c r="I16" s="1">
        <v>5</v>
      </c>
      <c r="J16" s="3">
        <v>96.255439999999993</v>
      </c>
      <c r="K16" s="3">
        <f t="shared" si="1"/>
        <v>100.36301999999999</v>
      </c>
      <c r="N16" s="4">
        <v>229.85205999999999</v>
      </c>
      <c r="O16" s="1">
        <v>5</v>
      </c>
      <c r="P16" s="3">
        <v>100.21492000000001</v>
      </c>
      <c r="Q16" s="3">
        <f t="shared" si="2"/>
        <v>100.35050000000001</v>
      </c>
      <c r="T16" s="4">
        <v>249.94298000000001</v>
      </c>
      <c r="U16" s="1">
        <v>5</v>
      </c>
      <c r="V16" s="5">
        <v>96.426810000000003</v>
      </c>
      <c r="W16" s="3">
        <f t="shared" si="3"/>
        <v>100.58421</v>
      </c>
      <c r="Z16" s="4">
        <v>250.04676000000001</v>
      </c>
      <c r="AA16" s="1">
        <v>5</v>
      </c>
      <c r="AB16" s="5">
        <v>100.89208000000001</v>
      </c>
      <c r="AC16" s="3">
        <f t="shared" si="4"/>
        <v>100.81534000000001</v>
      </c>
      <c r="AF16" s="11">
        <v>129.50185999999999</v>
      </c>
      <c r="AG16" s="1">
        <v>5</v>
      </c>
      <c r="AH16" s="12">
        <v>96.879509999999996</v>
      </c>
      <c r="AI16" s="3">
        <f t="shared" si="5"/>
        <v>99.887199999999993</v>
      </c>
      <c r="AJ16" s="1">
        <f t="shared" si="8"/>
        <v>1.6609787152558882E-3</v>
      </c>
      <c r="AL16" s="11">
        <v>129.49874</v>
      </c>
      <c r="AM16" s="1">
        <v>5</v>
      </c>
      <c r="AN16" s="12">
        <v>96.859920000000002</v>
      </c>
      <c r="AO16" s="3">
        <f t="shared" si="6"/>
        <v>99.953420000000008</v>
      </c>
      <c r="AP16" s="1">
        <f t="shared" si="9"/>
        <v>1.5873863368669019E-3</v>
      </c>
      <c r="AR16" s="11">
        <v>119.60632</v>
      </c>
      <c r="AS16" s="1">
        <v>5</v>
      </c>
      <c r="AT16" s="12">
        <v>99.309079999999994</v>
      </c>
      <c r="AU16" s="3">
        <f t="shared" si="7"/>
        <v>99.96356999999999</v>
      </c>
    </row>
    <row r="17" spans="2:47" ht="16" x14ac:dyDescent="0.2">
      <c r="B17" s="2">
        <v>205.20155</v>
      </c>
      <c r="C17" s="1">
        <v>5.5</v>
      </c>
      <c r="D17" s="5">
        <v>99.599170000000001</v>
      </c>
      <c r="E17" s="3">
        <f t="shared" si="0"/>
        <v>100.31247</v>
      </c>
      <c r="H17" s="4">
        <v>224.96799999999999</v>
      </c>
      <c r="I17" s="1">
        <v>5.5</v>
      </c>
      <c r="J17" s="5">
        <v>96.281909999999996</v>
      </c>
      <c r="K17" s="3">
        <f t="shared" si="1"/>
        <v>100.38949</v>
      </c>
      <c r="N17" s="4">
        <v>229.57033000000001</v>
      </c>
      <c r="O17" s="1">
        <v>5.5</v>
      </c>
      <c r="P17" s="5">
        <v>100.21313000000001</v>
      </c>
      <c r="Q17" s="3">
        <f t="shared" si="2"/>
        <v>100.34871000000001</v>
      </c>
      <c r="T17" s="4">
        <v>249.94199</v>
      </c>
      <c r="U17" s="1">
        <v>5.5</v>
      </c>
      <c r="V17" s="3">
        <v>96.439149999999998</v>
      </c>
      <c r="W17" s="3">
        <f t="shared" si="3"/>
        <v>100.59654999999999</v>
      </c>
      <c r="Z17" s="4">
        <v>250.03738000000001</v>
      </c>
      <c r="AA17" s="1">
        <v>5.5</v>
      </c>
      <c r="AB17" s="3">
        <v>100.87633</v>
      </c>
      <c r="AC17" s="3">
        <f t="shared" si="4"/>
        <v>100.79958999999999</v>
      </c>
      <c r="AF17" s="11">
        <v>132.14313999999999</v>
      </c>
      <c r="AG17" s="1">
        <v>5.5</v>
      </c>
      <c r="AH17" s="13">
        <v>96.863950000000003</v>
      </c>
      <c r="AI17" s="3">
        <f t="shared" si="5"/>
        <v>99.871639999999999</v>
      </c>
      <c r="AJ17" s="1">
        <f t="shared" si="8"/>
        <v>1.8490368452811318E-3</v>
      </c>
      <c r="AL17" s="11">
        <v>132.14377999999999</v>
      </c>
      <c r="AM17" s="1">
        <v>5.5</v>
      </c>
      <c r="AN17" s="13">
        <v>96.849649999999997</v>
      </c>
      <c r="AO17" s="3">
        <f t="shared" si="6"/>
        <v>99.943150000000003</v>
      </c>
      <c r="AP17" s="1">
        <f t="shared" si="9"/>
        <v>1.7114348658551302E-3</v>
      </c>
      <c r="AR17" s="11">
        <v>121.38794</v>
      </c>
      <c r="AS17" s="1">
        <v>5.5</v>
      </c>
      <c r="AT17" s="13">
        <v>99.289929999999998</v>
      </c>
      <c r="AU17" s="3">
        <f t="shared" si="7"/>
        <v>99.944419999999994</v>
      </c>
    </row>
    <row r="18" spans="2:47" ht="16" x14ac:dyDescent="0.2">
      <c r="B18" s="2">
        <v>204.84555</v>
      </c>
      <c r="C18" s="1">
        <v>6</v>
      </c>
      <c r="D18" s="3">
        <v>99.480909999999994</v>
      </c>
      <c r="E18" s="3">
        <f t="shared" si="0"/>
        <v>100.19421</v>
      </c>
      <c r="H18" s="4">
        <v>224.97083000000001</v>
      </c>
      <c r="I18" s="1">
        <v>6</v>
      </c>
      <c r="J18" s="3">
        <v>96.266300000000001</v>
      </c>
      <c r="K18" s="3">
        <f t="shared" si="1"/>
        <v>100.37388</v>
      </c>
      <c r="N18" s="4">
        <v>229.23921999999999</v>
      </c>
      <c r="O18" s="1">
        <v>6</v>
      </c>
      <c r="P18" s="3">
        <v>100.36311000000001</v>
      </c>
      <c r="Q18" s="3">
        <f t="shared" si="2"/>
        <v>100.49869000000001</v>
      </c>
      <c r="T18" s="4">
        <v>249.95197999999999</v>
      </c>
      <c r="U18" s="1">
        <v>6</v>
      </c>
      <c r="V18" s="5">
        <v>96.445009999999996</v>
      </c>
      <c r="W18" s="3">
        <f t="shared" si="3"/>
        <v>100.60240999999999</v>
      </c>
      <c r="Z18" s="4">
        <v>250.02669</v>
      </c>
      <c r="AA18" s="1">
        <v>6</v>
      </c>
      <c r="AB18" s="5">
        <v>100.7816</v>
      </c>
      <c r="AC18" s="3">
        <f t="shared" si="4"/>
        <v>100.70486</v>
      </c>
      <c r="AF18" s="11">
        <v>134.76501999999999</v>
      </c>
      <c r="AG18" s="1">
        <v>6</v>
      </c>
      <c r="AH18" s="12">
        <v>96.836659999999995</v>
      </c>
      <c r="AI18" s="3">
        <f t="shared" si="5"/>
        <v>99.844349999999991</v>
      </c>
      <c r="AJ18" s="1">
        <f t="shared" si="8"/>
        <v>2.1788637327099553E-3</v>
      </c>
      <c r="AL18" s="11">
        <v>134.76534000000001</v>
      </c>
      <c r="AM18" s="1">
        <v>6</v>
      </c>
      <c r="AN18" s="12">
        <v>96.812929999999994</v>
      </c>
      <c r="AO18" s="3">
        <f t="shared" si="6"/>
        <v>99.90643</v>
      </c>
      <c r="AP18" s="1">
        <f t="shared" si="9"/>
        <v>2.1549657309423349E-3</v>
      </c>
      <c r="AR18" s="11">
        <v>123.04156999999999</v>
      </c>
      <c r="AS18" s="1">
        <v>6</v>
      </c>
      <c r="AT18" s="12">
        <v>99.291920000000005</v>
      </c>
      <c r="AU18" s="3">
        <f t="shared" si="7"/>
        <v>99.94641</v>
      </c>
    </row>
    <row r="19" spans="2:47" ht="16" x14ac:dyDescent="0.2">
      <c r="B19" s="2">
        <v>204.45732000000001</v>
      </c>
      <c r="C19" s="1">
        <v>6.5</v>
      </c>
      <c r="D19" s="5">
        <v>99.572940000000003</v>
      </c>
      <c r="E19" s="3">
        <f t="shared" si="0"/>
        <v>100.28624000000001</v>
      </c>
      <c r="H19" s="4">
        <v>224.97685999999999</v>
      </c>
      <c r="I19" s="1">
        <v>6.5</v>
      </c>
      <c r="J19" s="5">
        <v>96.252830000000003</v>
      </c>
      <c r="K19" s="3">
        <f t="shared" si="1"/>
        <v>100.36041</v>
      </c>
      <c r="N19" s="4">
        <v>228.87646000000001</v>
      </c>
      <c r="O19" s="1">
        <v>6.5</v>
      </c>
      <c r="P19" s="5">
        <v>100.22019</v>
      </c>
      <c r="Q19" s="3">
        <f t="shared" si="2"/>
        <v>100.35577000000001</v>
      </c>
      <c r="T19" s="4">
        <v>249.95400000000001</v>
      </c>
      <c r="U19" s="1">
        <v>6.5</v>
      </c>
      <c r="V19" s="3">
        <v>96.450919999999996</v>
      </c>
      <c r="W19" s="3">
        <f t="shared" si="3"/>
        <v>100.60831999999999</v>
      </c>
      <c r="Z19" s="4">
        <v>250.01678000000001</v>
      </c>
      <c r="AA19" s="1">
        <v>6.5</v>
      </c>
      <c r="AB19" s="3">
        <v>100.90948</v>
      </c>
      <c r="AC19" s="3">
        <f t="shared" si="4"/>
        <v>100.83274</v>
      </c>
      <c r="AF19" s="11">
        <v>137.35039</v>
      </c>
      <c r="AG19" s="1">
        <v>6.5</v>
      </c>
      <c r="AH19" s="13">
        <v>96.797169999999994</v>
      </c>
      <c r="AI19" s="3">
        <f t="shared" si="5"/>
        <v>99.804859999999991</v>
      </c>
      <c r="AJ19" s="1">
        <f t="shared" si="8"/>
        <v>2.656139796636695E-3</v>
      </c>
      <c r="AL19" s="11">
        <v>137.34816000000001</v>
      </c>
      <c r="AM19" s="1">
        <v>6.5</v>
      </c>
      <c r="AN19" s="13">
        <v>96.768159999999995</v>
      </c>
      <c r="AO19" s="3">
        <f t="shared" si="6"/>
        <v>99.861660000000001</v>
      </c>
      <c r="AP19" s="1">
        <f t="shared" si="9"/>
        <v>2.6957303504944229E-3</v>
      </c>
      <c r="AR19" s="11">
        <v>124.59524999999999</v>
      </c>
      <c r="AS19" s="1">
        <v>6.5</v>
      </c>
      <c r="AT19" s="13">
        <v>99.266710000000003</v>
      </c>
      <c r="AU19" s="3">
        <f t="shared" si="7"/>
        <v>99.921199999999999</v>
      </c>
    </row>
    <row r="20" spans="2:47" ht="16" x14ac:dyDescent="0.2">
      <c r="B20" s="2">
        <v>204.04987</v>
      </c>
      <c r="C20" s="1">
        <v>7</v>
      </c>
      <c r="D20" s="3">
        <v>99.511269999999996</v>
      </c>
      <c r="E20" s="3">
        <f t="shared" si="0"/>
        <v>100.22457</v>
      </c>
      <c r="H20" s="4">
        <v>224.97709</v>
      </c>
      <c r="I20" s="1">
        <v>7</v>
      </c>
      <c r="J20" s="3">
        <v>96.28792</v>
      </c>
      <c r="K20" s="7">
        <f t="shared" si="1"/>
        <v>100.3955</v>
      </c>
      <c r="L20" s="1">
        <f>($K$20-K20)/($K$20*(1-$M$1))</f>
        <v>0</v>
      </c>
      <c r="N20" s="4">
        <v>228.50919999999999</v>
      </c>
      <c r="O20" s="1">
        <v>7</v>
      </c>
      <c r="P20" s="3">
        <v>100.32958000000001</v>
      </c>
      <c r="Q20" s="3">
        <f t="shared" si="2"/>
        <v>100.46516000000001</v>
      </c>
      <c r="T20" s="4">
        <v>249.959</v>
      </c>
      <c r="U20" s="1">
        <v>7</v>
      </c>
      <c r="V20" s="5">
        <v>96.469009999999997</v>
      </c>
      <c r="W20" s="3">
        <f t="shared" si="3"/>
        <v>100.62640999999999</v>
      </c>
      <c r="Z20" s="4">
        <v>250.00823</v>
      </c>
      <c r="AA20" s="1">
        <v>7</v>
      </c>
      <c r="AB20" s="5">
        <v>100.81735999999999</v>
      </c>
      <c r="AC20" s="3">
        <f t="shared" si="4"/>
        <v>100.74061999999999</v>
      </c>
      <c r="AF20" s="11">
        <v>139.89643000000001</v>
      </c>
      <c r="AG20" s="1">
        <v>7</v>
      </c>
      <c r="AH20" s="12">
        <v>96.788610000000006</v>
      </c>
      <c r="AI20" s="3">
        <f t="shared" si="5"/>
        <v>99.796300000000002</v>
      </c>
      <c r="AJ20" s="1">
        <f t="shared" si="8"/>
        <v>2.7595959401466308E-3</v>
      </c>
      <c r="AL20" s="11">
        <v>139.89721</v>
      </c>
      <c r="AM20" s="1">
        <v>7</v>
      </c>
      <c r="AN20" s="12">
        <v>96.756299999999996</v>
      </c>
      <c r="AO20" s="3">
        <f t="shared" si="6"/>
        <v>99.849800000000002</v>
      </c>
      <c r="AP20" s="1">
        <f t="shared" si="9"/>
        <v>2.8389840558302967E-3</v>
      </c>
      <c r="AR20" s="11">
        <v>126.11534</v>
      </c>
      <c r="AS20" s="1">
        <v>7</v>
      </c>
      <c r="AT20" s="12">
        <v>99.25506</v>
      </c>
      <c r="AU20" s="3">
        <f t="shared" si="7"/>
        <v>99.909549999999996</v>
      </c>
    </row>
    <row r="21" spans="2:47" ht="16" x14ac:dyDescent="0.2">
      <c r="B21" s="2">
        <v>203.64995999999999</v>
      </c>
      <c r="C21" s="1">
        <v>7.5</v>
      </c>
      <c r="D21" s="5">
        <v>99.620779999999996</v>
      </c>
      <c r="E21" s="3">
        <f t="shared" si="0"/>
        <v>100.33408</v>
      </c>
      <c r="H21" s="4">
        <v>224.98104000000001</v>
      </c>
      <c r="I21" s="1">
        <v>7.5</v>
      </c>
      <c r="J21" s="5">
        <v>96.276740000000004</v>
      </c>
      <c r="K21" s="3">
        <f t="shared" si="1"/>
        <v>100.38432</v>
      </c>
      <c r="L21" s="1">
        <f t="shared" ref="L21:L84" si="10">($K$20-K21)/($K$20*(1-$M$1))</f>
        <v>1.346223076513334E-4</v>
      </c>
      <c r="N21" s="4">
        <v>228.15946</v>
      </c>
      <c r="O21" s="1">
        <v>7.5</v>
      </c>
      <c r="P21" s="5">
        <v>100.4316</v>
      </c>
      <c r="Q21" s="3">
        <f t="shared" si="2"/>
        <v>100.56718000000001</v>
      </c>
      <c r="T21" s="4">
        <v>249.96100000000001</v>
      </c>
      <c r="U21" s="1">
        <v>7.5</v>
      </c>
      <c r="V21" s="3">
        <v>96.475080000000005</v>
      </c>
      <c r="W21" s="7">
        <f t="shared" si="3"/>
        <v>100.63248</v>
      </c>
      <c r="X21" s="1">
        <f>($W$21-W21)/($W$21*(1-$M$1))</f>
        <v>0</v>
      </c>
      <c r="Z21" s="4">
        <v>249.99992</v>
      </c>
      <c r="AA21" s="1">
        <v>7.5</v>
      </c>
      <c r="AB21" s="3">
        <v>100.93646</v>
      </c>
      <c r="AC21" s="3">
        <f t="shared" si="4"/>
        <v>100.85972</v>
      </c>
      <c r="AF21" s="11">
        <v>142.44809000000001</v>
      </c>
      <c r="AG21" s="1">
        <v>7.5</v>
      </c>
      <c r="AH21" s="13">
        <v>96.746629999999996</v>
      </c>
      <c r="AI21" s="3">
        <f t="shared" si="5"/>
        <v>99.754319999999993</v>
      </c>
      <c r="AJ21" s="1">
        <f t="shared" si="8"/>
        <v>3.2669661392767573E-3</v>
      </c>
      <c r="AL21" s="11">
        <v>142.45516000000001</v>
      </c>
      <c r="AM21" s="1">
        <v>7.5</v>
      </c>
      <c r="AN21" s="13">
        <v>96.757729999999995</v>
      </c>
      <c r="AO21" s="3">
        <f t="shared" si="6"/>
        <v>99.851230000000001</v>
      </c>
      <c r="AP21" s="1">
        <f t="shared" si="9"/>
        <v>2.8217114758446139E-3</v>
      </c>
      <c r="AR21" s="11">
        <v>127.59842</v>
      </c>
      <c r="AS21" s="1">
        <v>7.5</v>
      </c>
      <c r="AT21" s="13">
        <v>99.280839999999998</v>
      </c>
      <c r="AU21" s="3">
        <f t="shared" si="7"/>
        <v>99.935329999999993</v>
      </c>
    </row>
    <row r="22" spans="2:47" ht="16" x14ac:dyDescent="0.2">
      <c r="B22" s="2">
        <v>203.27369999999999</v>
      </c>
      <c r="C22" s="1">
        <v>8</v>
      </c>
      <c r="D22" s="3">
        <v>99.627489999999995</v>
      </c>
      <c r="E22" s="3">
        <f t="shared" si="0"/>
        <v>100.34079</v>
      </c>
      <c r="H22" s="4">
        <v>224.98303000000001</v>
      </c>
      <c r="I22" s="1">
        <v>8</v>
      </c>
      <c r="J22" s="3">
        <v>96.274959999999993</v>
      </c>
      <c r="K22" s="3">
        <f t="shared" si="1"/>
        <v>100.38253999999999</v>
      </c>
      <c r="L22" s="1">
        <f t="shared" si="10"/>
        <v>1.5605591298415184E-4</v>
      </c>
      <c r="N22" s="4">
        <v>227.83213000000001</v>
      </c>
      <c r="O22" s="1">
        <v>8</v>
      </c>
      <c r="P22" s="3">
        <v>100.3665</v>
      </c>
      <c r="Q22" s="3">
        <f t="shared" si="2"/>
        <v>100.50208000000001</v>
      </c>
      <c r="T22" s="4">
        <v>249.97201999999999</v>
      </c>
      <c r="U22" s="1">
        <v>8</v>
      </c>
      <c r="V22" s="5">
        <v>96.464749999999995</v>
      </c>
      <c r="W22" s="3">
        <f t="shared" si="3"/>
        <v>100.62214999999999</v>
      </c>
      <c r="X22" s="1">
        <f t="shared" ref="X22:X85" si="11">($W$21-W22)/($W$21*(1-$M$1))</f>
        <v>1.2409423900869404E-4</v>
      </c>
      <c r="Z22" s="4">
        <v>249.99879000000001</v>
      </c>
      <c r="AA22" s="1">
        <v>8</v>
      </c>
      <c r="AB22" s="5">
        <v>100.89754000000001</v>
      </c>
      <c r="AC22" s="3">
        <f t="shared" si="4"/>
        <v>100.82080000000001</v>
      </c>
      <c r="AF22" s="11">
        <v>145.01177999999999</v>
      </c>
      <c r="AG22" s="1">
        <v>8</v>
      </c>
      <c r="AH22" s="12">
        <v>96.732169999999996</v>
      </c>
      <c r="AI22" s="3">
        <f t="shared" si="5"/>
        <v>99.739859999999993</v>
      </c>
      <c r="AJ22" s="1">
        <f t="shared" si="8"/>
        <v>3.4417296714211077E-3</v>
      </c>
      <c r="AL22" s="11">
        <v>145.01204999999999</v>
      </c>
      <c r="AM22" s="1">
        <v>8</v>
      </c>
      <c r="AN22" s="12">
        <v>96.715249999999997</v>
      </c>
      <c r="AO22" s="3">
        <f t="shared" si="6"/>
        <v>99.808750000000003</v>
      </c>
      <c r="AP22" s="1">
        <f t="shared" si="9"/>
        <v>3.3348158099650417E-3</v>
      </c>
      <c r="AR22" s="11">
        <v>129.07237000000001</v>
      </c>
      <c r="AS22" s="1">
        <v>8</v>
      </c>
      <c r="AT22" s="12">
        <v>99.275580000000005</v>
      </c>
      <c r="AU22" s="3">
        <f t="shared" si="7"/>
        <v>99.930070000000001</v>
      </c>
    </row>
    <row r="23" spans="2:47" ht="16" x14ac:dyDescent="0.2">
      <c r="B23" s="2">
        <v>202.92230000000001</v>
      </c>
      <c r="C23" s="1">
        <v>8.5</v>
      </c>
      <c r="D23" s="5">
        <v>99.624250000000004</v>
      </c>
      <c r="E23" s="3">
        <f t="shared" si="0"/>
        <v>100.33755000000001</v>
      </c>
      <c r="H23" s="4">
        <v>224.98508000000001</v>
      </c>
      <c r="I23" s="1">
        <v>8.5</v>
      </c>
      <c r="J23" s="5">
        <v>96.260480000000001</v>
      </c>
      <c r="K23" s="3">
        <f t="shared" si="1"/>
        <v>100.36806</v>
      </c>
      <c r="L23" s="1">
        <f t="shared" si="10"/>
        <v>3.3041467996008304E-4</v>
      </c>
      <c r="N23" s="4">
        <v>227.53048999999999</v>
      </c>
      <c r="O23" s="1">
        <v>8.5</v>
      </c>
      <c r="P23" s="5">
        <v>100.29575</v>
      </c>
      <c r="Q23" s="3">
        <f t="shared" si="2"/>
        <v>100.43133</v>
      </c>
      <c r="T23" s="4">
        <v>249.97604000000001</v>
      </c>
      <c r="U23" s="1">
        <v>8.5</v>
      </c>
      <c r="V23" s="3">
        <v>96.446960000000004</v>
      </c>
      <c r="W23" s="3">
        <f t="shared" si="3"/>
        <v>100.60436</v>
      </c>
      <c r="X23" s="1">
        <f t="shared" si="11"/>
        <v>3.3780542119275157E-4</v>
      </c>
      <c r="Z23" s="4">
        <v>249.99601999999999</v>
      </c>
      <c r="AA23" s="1">
        <v>8.5</v>
      </c>
      <c r="AB23" s="3">
        <v>100.89046999999999</v>
      </c>
      <c r="AC23" s="3">
        <f t="shared" si="4"/>
        <v>100.81372999999999</v>
      </c>
      <c r="AF23" s="11">
        <v>147.53725</v>
      </c>
      <c r="AG23" s="1">
        <v>8.5</v>
      </c>
      <c r="AH23" s="13">
        <v>96.71772</v>
      </c>
      <c r="AI23" s="3">
        <f t="shared" si="5"/>
        <v>99.725409999999997</v>
      </c>
      <c r="AJ23" s="1">
        <f t="shared" si="8"/>
        <v>3.6163723435846833E-3</v>
      </c>
      <c r="AL23" s="11">
        <v>147.51711</v>
      </c>
      <c r="AM23" s="1">
        <v>8.5</v>
      </c>
      <c r="AN23" s="13">
        <v>96.695419999999999</v>
      </c>
      <c r="AO23" s="3">
        <f t="shared" si="6"/>
        <v>99.788920000000005</v>
      </c>
      <c r="AP23" s="1">
        <f t="shared" si="9"/>
        <v>3.5743369715848178E-3</v>
      </c>
      <c r="AR23" s="11">
        <v>130.52288999999999</v>
      </c>
      <c r="AS23" s="1">
        <v>8.5</v>
      </c>
      <c r="AT23" s="13">
        <v>99.262749999999997</v>
      </c>
      <c r="AU23" s="3">
        <f t="shared" si="7"/>
        <v>99.917239999999993</v>
      </c>
    </row>
    <row r="24" spans="2:47" ht="16" x14ac:dyDescent="0.2">
      <c r="B24" s="2">
        <v>202.59182000000001</v>
      </c>
      <c r="C24" s="1">
        <v>9</v>
      </c>
      <c r="D24" s="3">
        <v>99.613630000000001</v>
      </c>
      <c r="E24" s="3">
        <f t="shared" si="0"/>
        <v>100.32693</v>
      </c>
      <c r="H24" s="4">
        <v>224.98994999999999</v>
      </c>
      <c r="I24" s="1">
        <v>9</v>
      </c>
      <c r="J24" s="3">
        <v>96.258030000000005</v>
      </c>
      <c r="K24" s="3">
        <f t="shared" si="1"/>
        <v>100.36561</v>
      </c>
      <c r="L24" s="1">
        <f t="shared" si="10"/>
        <v>3.599159906707589E-4</v>
      </c>
      <c r="N24" s="4">
        <v>227.24494000000001</v>
      </c>
      <c r="O24" s="1">
        <v>9</v>
      </c>
      <c r="P24" s="3">
        <v>100.32734000000001</v>
      </c>
      <c r="Q24" s="3">
        <f t="shared" si="2"/>
        <v>100.46292000000001</v>
      </c>
      <c r="T24" s="4">
        <v>249.97503</v>
      </c>
      <c r="U24" s="1">
        <v>9</v>
      </c>
      <c r="V24" s="5">
        <v>96.473020000000005</v>
      </c>
      <c r="W24" s="3">
        <f t="shared" si="3"/>
        <v>100.63042</v>
      </c>
      <c r="X24" s="1">
        <f t="shared" si="11"/>
        <v>2.4746769831333412E-5</v>
      </c>
      <c r="Z24" s="4">
        <v>249.99668</v>
      </c>
      <c r="AA24" s="1">
        <v>9</v>
      </c>
      <c r="AB24" s="5">
        <v>100.87936999999999</v>
      </c>
      <c r="AC24" s="3">
        <f t="shared" si="4"/>
        <v>100.80262999999999</v>
      </c>
      <c r="AF24" s="11">
        <v>150.05991</v>
      </c>
      <c r="AG24" s="1">
        <v>9</v>
      </c>
      <c r="AH24" s="12">
        <v>96.708470000000005</v>
      </c>
      <c r="AI24" s="3">
        <f t="shared" si="5"/>
        <v>99.716160000000002</v>
      </c>
      <c r="AJ24" s="1">
        <f t="shared" si="8"/>
        <v>3.7281678257654787E-3</v>
      </c>
      <c r="AL24" s="11">
        <v>150.05204000000001</v>
      </c>
      <c r="AM24" s="1">
        <v>9</v>
      </c>
      <c r="AN24" s="12">
        <v>96.692480000000003</v>
      </c>
      <c r="AO24" s="3">
        <f t="shared" si="6"/>
        <v>99.785980000000009</v>
      </c>
      <c r="AP24" s="1">
        <f t="shared" si="9"/>
        <v>3.6098484297371653E-3</v>
      </c>
      <c r="AR24" s="11">
        <v>131.98257000000001</v>
      </c>
      <c r="AS24" s="1">
        <v>9</v>
      </c>
      <c r="AT24" s="12">
        <v>99.288240000000002</v>
      </c>
      <c r="AU24" s="3">
        <f t="shared" si="7"/>
        <v>99.942729999999997</v>
      </c>
    </row>
    <row r="25" spans="2:47" ht="16" x14ac:dyDescent="0.2">
      <c r="B25" s="2">
        <v>202.28306000000001</v>
      </c>
      <c r="C25" s="1">
        <v>9.5</v>
      </c>
      <c r="D25" s="5">
        <v>99.624319999999997</v>
      </c>
      <c r="E25" s="3">
        <f t="shared" si="0"/>
        <v>100.33762</v>
      </c>
      <c r="H25" s="4">
        <v>224.99402000000001</v>
      </c>
      <c r="I25" s="1">
        <v>9.5</v>
      </c>
      <c r="J25" s="5">
        <v>96.245019999999997</v>
      </c>
      <c r="K25" s="3">
        <f t="shared" si="1"/>
        <v>100.3526</v>
      </c>
      <c r="L25" s="1">
        <f t="shared" si="10"/>
        <v>5.1657397122045572E-4</v>
      </c>
      <c r="N25" s="4">
        <v>226.98560000000001</v>
      </c>
      <c r="O25" s="1">
        <v>9.5</v>
      </c>
      <c r="P25" s="5">
        <v>100.28355999999999</v>
      </c>
      <c r="Q25" s="3">
        <f t="shared" si="2"/>
        <v>100.41914</v>
      </c>
      <c r="T25" s="4">
        <v>249.97390999999999</v>
      </c>
      <c r="U25" s="1">
        <v>9.5</v>
      </c>
      <c r="V25" s="3">
        <v>96.475009999999997</v>
      </c>
      <c r="W25" s="3">
        <f t="shared" si="3"/>
        <v>100.63240999999999</v>
      </c>
      <c r="X25" s="1">
        <f t="shared" si="11"/>
        <v>8.4090965455891664E-7</v>
      </c>
      <c r="Z25" s="4">
        <v>249.99771000000001</v>
      </c>
      <c r="AA25" s="1">
        <v>9.5</v>
      </c>
      <c r="AB25" s="3">
        <v>100.91562</v>
      </c>
      <c r="AC25" s="3">
        <f t="shared" si="4"/>
        <v>100.83888</v>
      </c>
      <c r="AF25" s="11">
        <v>152.60746</v>
      </c>
      <c r="AG25" s="1">
        <v>9.5</v>
      </c>
      <c r="AH25" s="13">
        <v>96.678780000000003</v>
      </c>
      <c r="AI25" s="3">
        <f t="shared" si="5"/>
        <v>99.68647</v>
      </c>
      <c r="AJ25" s="1">
        <f t="shared" si="8"/>
        <v>4.0870011085708908E-3</v>
      </c>
      <c r="AL25" s="11">
        <v>152.61124000000001</v>
      </c>
      <c r="AM25" s="1">
        <v>9.5</v>
      </c>
      <c r="AN25" s="13">
        <v>96.653080000000003</v>
      </c>
      <c r="AO25" s="3">
        <f t="shared" si="6"/>
        <v>99.746580000000009</v>
      </c>
      <c r="AP25" s="1">
        <f t="shared" si="9"/>
        <v>4.0857502838884422E-3</v>
      </c>
      <c r="AR25" s="11">
        <v>133.45018999999999</v>
      </c>
      <c r="AS25" s="1">
        <v>9.5</v>
      </c>
      <c r="AT25" s="13">
        <v>99.252610000000004</v>
      </c>
      <c r="AU25" s="3">
        <f t="shared" si="7"/>
        <v>99.9071</v>
      </c>
    </row>
    <row r="26" spans="2:47" ht="16" x14ac:dyDescent="0.2">
      <c r="B26" s="2">
        <v>201.99963</v>
      </c>
      <c r="C26" s="1">
        <v>10</v>
      </c>
      <c r="D26" s="3">
        <v>99.618510000000001</v>
      </c>
      <c r="E26" s="3">
        <f t="shared" si="0"/>
        <v>100.33181</v>
      </c>
      <c r="H26" s="4">
        <v>224.99209999999999</v>
      </c>
      <c r="I26" s="1">
        <v>10</v>
      </c>
      <c r="J26" s="3">
        <v>96.240819999999999</v>
      </c>
      <c r="K26" s="3">
        <f t="shared" si="1"/>
        <v>100.3484</v>
      </c>
      <c r="L26" s="1">
        <f t="shared" si="10"/>
        <v>5.6714764672452034E-4</v>
      </c>
      <c r="N26" s="4">
        <v>226.74378999999999</v>
      </c>
      <c r="O26" s="1">
        <v>10</v>
      </c>
      <c r="P26" s="3">
        <v>100.49606</v>
      </c>
      <c r="Q26" s="3">
        <f t="shared" si="2"/>
        <v>100.63164</v>
      </c>
      <c r="T26" s="4">
        <v>249.98199</v>
      </c>
      <c r="U26" s="1">
        <v>10</v>
      </c>
      <c r="V26" s="5">
        <v>96.434950000000001</v>
      </c>
      <c r="W26" s="3">
        <f t="shared" si="3"/>
        <v>100.59235</v>
      </c>
      <c r="X26" s="1">
        <f t="shared" si="11"/>
        <v>4.8208149190846961E-4</v>
      </c>
      <c r="Z26" s="4">
        <v>249.99483000000001</v>
      </c>
      <c r="AA26" s="1">
        <v>10</v>
      </c>
      <c r="AB26" s="5">
        <v>100.96595000000001</v>
      </c>
      <c r="AC26" s="3">
        <f t="shared" si="4"/>
        <v>100.88921000000001</v>
      </c>
      <c r="AF26" s="11">
        <v>155.13622000000001</v>
      </c>
      <c r="AG26" s="1">
        <v>10</v>
      </c>
      <c r="AH26" s="12">
        <v>96.669870000000003</v>
      </c>
      <c r="AI26" s="3">
        <f t="shared" si="5"/>
        <v>99.67756</v>
      </c>
      <c r="AJ26" s="1">
        <f t="shared" si="8"/>
        <v>4.1946873514067291E-3</v>
      </c>
      <c r="AL26" s="11">
        <v>155.11712</v>
      </c>
      <c r="AM26" s="1">
        <v>10</v>
      </c>
      <c r="AN26" s="12">
        <v>96.652780000000007</v>
      </c>
      <c r="AO26" s="3">
        <f t="shared" si="6"/>
        <v>99.746280000000013</v>
      </c>
      <c r="AP26" s="1">
        <f t="shared" si="9"/>
        <v>4.0893739020672077E-3</v>
      </c>
      <c r="AR26" s="11">
        <v>134.94415000000001</v>
      </c>
      <c r="AS26" s="1">
        <v>10</v>
      </c>
      <c r="AT26" s="12">
        <v>99.253500000000003</v>
      </c>
      <c r="AU26" s="3">
        <f t="shared" si="7"/>
        <v>99.907989999999998</v>
      </c>
    </row>
    <row r="27" spans="2:47" ht="16" x14ac:dyDescent="0.2">
      <c r="B27" s="2">
        <v>201.74115</v>
      </c>
      <c r="C27" s="1">
        <v>10.5</v>
      </c>
      <c r="D27" s="5">
        <v>99.689369999999997</v>
      </c>
      <c r="E27" s="3">
        <f t="shared" si="0"/>
        <v>100.40267</v>
      </c>
      <c r="H27" s="4">
        <v>224.99204</v>
      </c>
      <c r="I27" s="1">
        <v>10.5</v>
      </c>
      <c r="J27" s="5">
        <v>96.240729999999999</v>
      </c>
      <c r="K27" s="3">
        <f t="shared" si="1"/>
        <v>100.34831</v>
      </c>
      <c r="L27" s="1">
        <f t="shared" si="10"/>
        <v>5.6823136834246708E-4</v>
      </c>
      <c r="N27" s="4">
        <v>226.51859999999999</v>
      </c>
      <c r="O27" s="1">
        <v>10.5</v>
      </c>
      <c r="P27" s="5">
        <v>100.40046</v>
      </c>
      <c r="Q27" s="3">
        <f t="shared" si="2"/>
        <v>100.53604</v>
      </c>
      <c r="T27" s="4">
        <v>249.97601</v>
      </c>
      <c r="U27" s="1">
        <v>10.5</v>
      </c>
      <c r="V27" s="3">
        <v>96.452910000000003</v>
      </c>
      <c r="W27" s="3">
        <f t="shared" si="3"/>
        <v>100.61031</v>
      </c>
      <c r="X27" s="1">
        <f t="shared" si="11"/>
        <v>2.6632810056343798E-4</v>
      </c>
      <c r="Z27" s="4">
        <v>249.99270000000001</v>
      </c>
      <c r="AA27" s="1">
        <v>10.5</v>
      </c>
      <c r="AB27" s="3">
        <v>100.90622999999999</v>
      </c>
      <c r="AC27" s="3">
        <f t="shared" si="4"/>
        <v>100.82948999999999</v>
      </c>
      <c r="AF27" s="11">
        <v>157.64490000000001</v>
      </c>
      <c r="AG27" s="1">
        <v>10.5</v>
      </c>
      <c r="AH27" s="13">
        <v>96.620900000000006</v>
      </c>
      <c r="AI27" s="3">
        <f t="shared" si="5"/>
        <v>99.628590000000003</v>
      </c>
      <c r="AJ27" s="1">
        <f t="shared" si="8"/>
        <v>4.7865386770712176E-3</v>
      </c>
      <c r="AL27" s="11">
        <v>157.64430999999999</v>
      </c>
      <c r="AM27" s="1">
        <v>10.5</v>
      </c>
      <c r="AN27" s="13">
        <v>96.591530000000006</v>
      </c>
      <c r="AO27" s="3">
        <f t="shared" si="6"/>
        <v>99.685030000000012</v>
      </c>
      <c r="AP27" s="1">
        <f t="shared" si="9"/>
        <v>4.8291959469089814E-3</v>
      </c>
      <c r="AR27" s="11">
        <v>136.44254000000001</v>
      </c>
      <c r="AS27" s="1">
        <v>10.5</v>
      </c>
      <c r="AT27" s="13">
        <v>99.233500000000006</v>
      </c>
      <c r="AU27" s="3">
        <f t="shared" si="7"/>
        <v>99.887990000000002</v>
      </c>
    </row>
    <row r="28" spans="2:47" ht="16" x14ac:dyDescent="0.2">
      <c r="B28" s="2">
        <v>201.50387000000001</v>
      </c>
      <c r="C28" s="1">
        <v>11</v>
      </c>
      <c r="D28" s="3">
        <v>99.550399999999996</v>
      </c>
      <c r="E28" s="3">
        <f t="shared" si="0"/>
        <v>100.2637</v>
      </c>
      <c r="H28" s="4">
        <v>224.99203</v>
      </c>
      <c r="I28" s="1">
        <v>11</v>
      </c>
      <c r="J28" s="3">
        <v>96.22842</v>
      </c>
      <c r="K28" s="3">
        <f t="shared" si="1"/>
        <v>100.336</v>
      </c>
      <c r="L28" s="1">
        <f t="shared" si="10"/>
        <v>7.1646040297470572E-4</v>
      </c>
      <c r="N28" s="4">
        <v>226.31841</v>
      </c>
      <c r="O28" s="1">
        <v>11</v>
      </c>
      <c r="P28" s="3">
        <v>100.31780999999999</v>
      </c>
      <c r="Q28" s="3">
        <f t="shared" si="2"/>
        <v>100.45339</v>
      </c>
      <c r="T28" s="4">
        <v>249.98201</v>
      </c>
      <c r="U28" s="1">
        <v>11</v>
      </c>
      <c r="V28" s="5">
        <v>96.453050000000005</v>
      </c>
      <c r="W28" s="3">
        <f t="shared" si="3"/>
        <v>100.61045</v>
      </c>
      <c r="X28" s="1">
        <f t="shared" si="11"/>
        <v>2.6464628125449089E-4</v>
      </c>
      <c r="Z28" s="4">
        <v>249.99522999999999</v>
      </c>
      <c r="AA28" s="1">
        <v>11</v>
      </c>
      <c r="AB28" s="5">
        <v>100.9675</v>
      </c>
      <c r="AC28" s="3">
        <f t="shared" si="4"/>
        <v>100.89076</v>
      </c>
      <c r="AF28" s="11">
        <v>160.19764000000001</v>
      </c>
      <c r="AG28" s="1">
        <v>11</v>
      </c>
      <c r="AH28" s="12">
        <v>96.633120000000005</v>
      </c>
      <c r="AI28" s="3">
        <f t="shared" si="5"/>
        <v>99.640810000000002</v>
      </c>
      <c r="AJ28" s="1">
        <f t="shared" si="8"/>
        <v>4.6388477806117521E-3</v>
      </c>
      <c r="AL28" s="11">
        <v>160.19083000000001</v>
      </c>
      <c r="AM28" s="1">
        <v>11</v>
      </c>
      <c r="AN28" s="12">
        <v>96.621219999999994</v>
      </c>
      <c r="AO28" s="3">
        <f t="shared" si="6"/>
        <v>99.71472</v>
      </c>
      <c r="AP28" s="1">
        <f t="shared" si="9"/>
        <v>4.4705785344788919E-3</v>
      </c>
      <c r="AR28" s="11">
        <v>137.93097</v>
      </c>
      <c r="AS28" s="1">
        <v>11</v>
      </c>
      <c r="AT28" s="12">
        <v>99.240830000000003</v>
      </c>
      <c r="AU28" s="3">
        <f t="shared" si="7"/>
        <v>99.895319999999998</v>
      </c>
    </row>
    <row r="29" spans="2:47" ht="16" x14ac:dyDescent="0.2">
      <c r="B29" s="2">
        <v>201.28749999999999</v>
      </c>
      <c r="C29" s="1">
        <v>11.5</v>
      </c>
      <c r="D29" s="5">
        <v>99.730739999999997</v>
      </c>
      <c r="E29" s="3">
        <f t="shared" si="0"/>
        <v>100.44404</v>
      </c>
      <c r="H29" s="4">
        <v>224.99395999999999</v>
      </c>
      <c r="I29" s="1">
        <v>11.5</v>
      </c>
      <c r="J29" s="5">
        <v>96.249039999999994</v>
      </c>
      <c r="K29" s="3">
        <f t="shared" si="1"/>
        <v>100.35661999999999</v>
      </c>
      <c r="L29" s="1">
        <f t="shared" si="10"/>
        <v>4.6816773895228442E-4</v>
      </c>
      <c r="N29" s="4">
        <v>226.13981999999999</v>
      </c>
      <c r="O29" s="1">
        <v>11.5</v>
      </c>
      <c r="P29" s="5">
        <v>100.54062999999999</v>
      </c>
      <c r="Q29" s="3">
        <f t="shared" si="2"/>
        <v>100.67621</v>
      </c>
      <c r="T29" s="4">
        <v>249.98399000000001</v>
      </c>
      <c r="U29" s="1">
        <v>11.5</v>
      </c>
      <c r="V29" s="3">
        <v>96.432730000000006</v>
      </c>
      <c r="W29" s="3">
        <f t="shared" si="3"/>
        <v>100.59013</v>
      </c>
      <c r="X29" s="1">
        <f t="shared" si="11"/>
        <v>5.087503409499307E-4</v>
      </c>
      <c r="Z29" s="4">
        <v>249.99524</v>
      </c>
      <c r="AA29" s="1">
        <v>11.5</v>
      </c>
      <c r="AB29" s="3">
        <v>101.01947</v>
      </c>
      <c r="AC29" s="3">
        <f t="shared" si="4"/>
        <v>100.94273</v>
      </c>
      <c r="AF29" s="11">
        <v>162.70511999999999</v>
      </c>
      <c r="AG29" s="1">
        <v>11.5</v>
      </c>
      <c r="AH29" s="13">
        <v>96.591499999999996</v>
      </c>
      <c r="AI29" s="3">
        <f t="shared" si="5"/>
        <v>99.599189999999993</v>
      </c>
      <c r="AJ29" s="1">
        <f t="shared" si="8"/>
        <v>5.1418670204353735E-3</v>
      </c>
      <c r="AL29" s="11">
        <v>162.69316000000001</v>
      </c>
      <c r="AM29" s="1">
        <v>11.5</v>
      </c>
      <c r="AN29" s="13">
        <v>96.568719999999999</v>
      </c>
      <c r="AO29" s="3">
        <f t="shared" si="6"/>
        <v>99.662220000000005</v>
      </c>
      <c r="AP29" s="1">
        <f t="shared" si="9"/>
        <v>5.104711715771767E-3</v>
      </c>
      <c r="AR29" s="11">
        <v>139.42189999999999</v>
      </c>
      <c r="AS29" s="1">
        <v>11.5</v>
      </c>
      <c r="AT29" s="13">
        <v>99.237930000000006</v>
      </c>
      <c r="AU29" s="3">
        <f t="shared" si="7"/>
        <v>99.892420000000001</v>
      </c>
    </row>
    <row r="30" spans="2:47" ht="16" x14ac:dyDescent="0.2">
      <c r="B30" s="2">
        <v>201.09435999999999</v>
      </c>
      <c r="C30" s="1">
        <v>12</v>
      </c>
      <c r="D30" s="3">
        <v>99.46951</v>
      </c>
      <c r="E30" s="3">
        <f t="shared" si="0"/>
        <v>100.18281</v>
      </c>
      <c r="H30" s="4">
        <v>224.99200999999999</v>
      </c>
      <c r="I30" s="1">
        <v>12</v>
      </c>
      <c r="J30" s="3">
        <v>96.226259999999996</v>
      </c>
      <c r="K30" s="3">
        <f t="shared" si="1"/>
        <v>100.33384</v>
      </c>
      <c r="L30" s="1">
        <f t="shared" si="10"/>
        <v>7.4246972180542613E-4</v>
      </c>
      <c r="N30" s="4">
        <v>225.98372000000001</v>
      </c>
      <c r="O30" s="1">
        <v>12</v>
      </c>
      <c r="P30" s="3">
        <v>100.49329</v>
      </c>
      <c r="Q30" s="3">
        <f t="shared" si="2"/>
        <v>100.62887000000001</v>
      </c>
      <c r="T30" s="4">
        <v>249.98898</v>
      </c>
      <c r="U30" s="1">
        <v>12</v>
      </c>
      <c r="V30" s="5">
        <v>96.424700000000001</v>
      </c>
      <c r="W30" s="3">
        <f t="shared" si="3"/>
        <v>100.5821</v>
      </c>
      <c r="X30" s="1">
        <f t="shared" si="11"/>
        <v>6.0521469131192911E-4</v>
      </c>
      <c r="Z30" s="4">
        <v>249.99323000000001</v>
      </c>
      <c r="AA30" s="1">
        <v>12</v>
      </c>
      <c r="AB30" s="5">
        <v>101.02343999999999</v>
      </c>
      <c r="AC30" s="3">
        <f t="shared" si="4"/>
        <v>100.94669999999999</v>
      </c>
      <c r="AF30" s="11">
        <v>165.20858999999999</v>
      </c>
      <c r="AG30" s="1">
        <v>12</v>
      </c>
      <c r="AH30" s="12">
        <v>96.579539999999994</v>
      </c>
      <c r="AI30" s="3">
        <f t="shared" si="5"/>
        <v>99.587229999999991</v>
      </c>
      <c r="AJ30" s="1">
        <f t="shared" si="8"/>
        <v>5.2864155573957338E-3</v>
      </c>
      <c r="AL30" s="11">
        <v>165.21582000000001</v>
      </c>
      <c r="AM30" s="1">
        <v>12</v>
      </c>
      <c r="AN30" s="12">
        <v>96.585549999999998</v>
      </c>
      <c r="AO30" s="3">
        <f t="shared" si="6"/>
        <v>99.679050000000004</v>
      </c>
      <c r="AP30" s="1">
        <f t="shared" si="9"/>
        <v>4.9014267359401608E-3</v>
      </c>
      <c r="AR30" s="11">
        <v>140.92148</v>
      </c>
      <c r="AS30" s="1">
        <v>12</v>
      </c>
      <c r="AT30" s="12">
        <v>99.228880000000004</v>
      </c>
      <c r="AU30" s="3">
        <f t="shared" si="7"/>
        <v>99.883369999999999</v>
      </c>
    </row>
    <row r="31" spans="2:47" ht="16" x14ac:dyDescent="0.2">
      <c r="B31" s="2">
        <v>200.92884000000001</v>
      </c>
      <c r="C31" s="1">
        <v>12.5</v>
      </c>
      <c r="D31" s="5">
        <v>99.585070000000002</v>
      </c>
      <c r="E31" s="3">
        <f t="shared" si="0"/>
        <v>100.29837000000001</v>
      </c>
      <c r="H31" s="4">
        <v>224.99486999999999</v>
      </c>
      <c r="I31" s="1">
        <v>12.5</v>
      </c>
      <c r="J31" s="5">
        <v>96.236900000000006</v>
      </c>
      <c r="K31" s="3">
        <f t="shared" si="1"/>
        <v>100.34448</v>
      </c>
      <c r="L31" s="1">
        <f t="shared" si="10"/>
        <v>6.143497438616018E-4</v>
      </c>
      <c r="N31" s="4">
        <v>225.84763000000001</v>
      </c>
      <c r="O31" s="1">
        <v>12.5</v>
      </c>
      <c r="P31" s="5">
        <v>100.36519</v>
      </c>
      <c r="Q31" s="3">
        <f t="shared" si="2"/>
        <v>100.50077</v>
      </c>
      <c r="T31" s="4">
        <v>249.989</v>
      </c>
      <c r="U31" s="1">
        <v>12.5</v>
      </c>
      <c r="V31" s="3">
        <v>96.432910000000007</v>
      </c>
      <c r="W31" s="3">
        <f t="shared" si="3"/>
        <v>100.59031</v>
      </c>
      <c r="X31" s="1">
        <f t="shared" si="11"/>
        <v>5.0658800183845168E-4</v>
      </c>
      <c r="Z31" s="4">
        <v>249.98999000000001</v>
      </c>
      <c r="AA31" s="1">
        <v>12.5</v>
      </c>
      <c r="AB31" s="3">
        <v>100.97095</v>
      </c>
      <c r="AC31" s="3">
        <f t="shared" si="4"/>
        <v>100.89421</v>
      </c>
      <c r="AF31" s="11">
        <v>167.72855999999999</v>
      </c>
      <c r="AG31" s="1">
        <v>12.5</v>
      </c>
      <c r="AH31" s="13">
        <v>96.56514</v>
      </c>
      <c r="AI31" s="3">
        <f t="shared" si="5"/>
        <v>99.572829999999996</v>
      </c>
      <c r="AJ31" s="1">
        <f t="shared" si="8"/>
        <v>5.4604539296556091E-3</v>
      </c>
      <c r="AL31" s="11">
        <v>167.72122999999999</v>
      </c>
      <c r="AM31" s="1">
        <v>12.5</v>
      </c>
      <c r="AN31" s="13">
        <v>96.547079999999994</v>
      </c>
      <c r="AO31" s="3">
        <f t="shared" si="6"/>
        <v>99.64058</v>
      </c>
      <c r="AP31" s="1">
        <f t="shared" si="9"/>
        <v>5.3660953737371449E-3</v>
      </c>
      <c r="AR31" s="11">
        <v>142.44891999999999</v>
      </c>
      <c r="AS31" s="1">
        <v>12.5</v>
      </c>
      <c r="AT31" s="13">
        <v>99.244460000000004</v>
      </c>
      <c r="AU31" s="3">
        <f t="shared" si="7"/>
        <v>99.898949999999999</v>
      </c>
    </row>
    <row r="32" spans="2:47" ht="16" x14ac:dyDescent="0.2">
      <c r="B32" s="2">
        <v>200.7818</v>
      </c>
      <c r="C32" s="1">
        <v>13</v>
      </c>
      <c r="D32" s="3">
        <v>99.625979999999998</v>
      </c>
      <c r="E32" s="3">
        <f t="shared" si="0"/>
        <v>100.33928</v>
      </c>
      <c r="H32" s="4">
        <v>224.99999</v>
      </c>
      <c r="I32" s="1">
        <v>13</v>
      </c>
      <c r="J32" s="3">
        <v>96.209389999999999</v>
      </c>
      <c r="K32" s="3">
        <f t="shared" si="1"/>
        <v>100.31697</v>
      </c>
      <c r="L32" s="1">
        <f t="shared" si="10"/>
        <v>9.4560731841351626E-4</v>
      </c>
      <c r="N32" s="4">
        <v>225.72015999999999</v>
      </c>
      <c r="O32" s="1">
        <v>13</v>
      </c>
      <c r="P32" s="3">
        <v>100.33695</v>
      </c>
      <c r="Q32" s="3">
        <f t="shared" si="2"/>
        <v>100.47253000000001</v>
      </c>
      <c r="T32" s="4">
        <v>249.98996</v>
      </c>
      <c r="U32" s="1">
        <v>13</v>
      </c>
      <c r="V32" s="5">
        <v>96.420879999999997</v>
      </c>
      <c r="W32" s="3">
        <f t="shared" si="3"/>
        <v>100.57827999999999</v>
      </c>
      <c r="X32" s="1">
        <f t="shared" si="11"/>
        <v>6.5110433245552102E-4</v>
      </c>
      <c r="Z32" s="4">
        <v>249.99064999999999</v>
      </c>
      <c r="AA32" s="1">
        <v>13</v>
      </c>
      <c r="AB32" s="5">
        <v>100.98748999999999</v>
      </c>
      <c r="AC32" s="3">
        <f t="shared" si="4"/>
        <v>100.91074999999999</v>
      </c>
      <c r="AF32" s="11">
        <v>170.23697999999999</v>
      </c>
      <c r="AG32" s="1">
        <v>13</v>
      </c>
      <c r="AH32" s="12">
        <v>96.55095</v>
      </c>
      <c r="AI32" s="3">
        <f t="shared" si="5"/>
        <v>99.558639999999997</v>
      </c>
      <c r="AJ32" s="1">
        <f t="shared" si="8"/>
        <v>5.6319542423200804E-3</v>
      </c>
      <c r="AL32" s="11">
        <v>170.23276999999999</v>
      </c>
      <c r="AM32" s="1">
        <v>13</v>
      </c>
      <c r="AN32" s="12">
        <v>96.519450000000006</v>
      </c>
      <c r="AO32" s="3">
        <f t="shared" si="6"/>
        <v>99.612950000000012</v>
      </c>
      <c r="AP32" s="1">
        <f t="shared" si="9"/>
        <v>5.6998306080060235E-3</v>
      </c>
      <c r="AR32" s="11">
        <v>143.97150999999999</v>
      </c>
      <c r="AS32" s="1">
        <v>13</v>
      </c>
      <c r="AT32" s="12">
        <v>99.221680000000006</v>
      </c>
      <c r="AU32" s="3">
        <f t="shared" si="7"/>
        <v>99.876170000000002</v>
      </c>
    </row>
    <row r="33" spans="2:47" ht="16" x14ac:dyDescent="0.2">
      <c r="B33" s="2">
        <v>200.65170000000001</v>
      </c>
      <c r="C33" s="1">
        <v>13.5</v>
      </c>
      <c r="D33" s="5">
        <v>99.543170000000003</v>
      </c>
      <c r="E33" s="3">
        <f t="shared" si="0"/>
        <v>100.25647000000001</v>
      </c>
      <c r="H33" s="4">
        <v>225.00185999999999</v>
      </c>
      <c r="I33" s="1">
        <v>13.5</v>
      </c>
      <c r="J33" s="5">
        <v>96.219430000000003</v>
      </c>
      <c r="K33" s="3">
        <f t="shared" si="1"/>
        <v>100.32701</v>
      </c>
      <c r="L33" s="1">
        <f t="shared" si="10"/>
        <v>8.247121512560601E-4</v>
      </c>
      <c r="N33" s="4">
        <v>225.60883999999999</v>
      </c>
      <c r="O33" s="1">
        <v>13.5</v>
      </c>
      <c r="P33" s="5">
        <v>100.54286999999999</v>
      </c>
      <c r="Q33" s="3">
        <f t="shared" si="2"/>
        <v>100.67845</v>
      </c>
      <c r="T33" s="4">
        <v>249.98804000000001</v>
      </c>
      <c r="U33" s="1">
        <v>13.5</v>
      </c>
      <c r="V33" s="3">
        <v>96.420739999999995</v>
      </c>
      <c r="W33" s="3">
        <f t="shared" si="3"/>
        <v>100.57813999999999</v>
      </c>
      <c r="X33" s="1">
        <f t="shared" si="11"/>
        <v>6.5278615176446821E-4</v>
      </c>
      <c r="Z33" s="4">
        <v>249.99169000000001</v>
      </c>
      <c r="AA33" s="1">
        <v>13.5</v>
      </c>
      <c r="AB33" s="3">
        <v>100.99494</v>
      </c>
      <c r="AC33" s="3">
        <f t="shared" si="4"/>
        <v>100.9182</v>
      </c>
      <c r="AF33" s="11">
        <v>172.73863</v>
      </c>
      <c r="AG33" s="1">
        <v>13.5</v>
      </c>
      <c r="AH33" s="13">
        <v>96.538390000000007</v>
      </c>
      <c r="AI33" s="3">
        <f t="shared" si="5"/>
        <v>99.546080000000003</v>
      </c>
      <c r="AJ33" s="1">
        <f t="shared" si="8"/>
        <v>5.7837543781245025E-3</v>
      </c>
      <c r="AL33" s="11">
        <v>172.73571999999999</v>
      </c>
      <c r="AM33" s="1">
        <v>13.5</v>
      </c>
      <c r="AN33" s="13">
        <v>96.481380000000001</v>
      </c>
      <c r="AO33" s="3">
        <f t="shared" si="6"/>
        <v>99.574880000000007</v>
      </c>
      <c r="AP33" s="1">
        <f t="shared" si="9"/>
        <v>6.1596677548979304E-3</v>
      </c>
      <c r="AR33" s="11">
        <v>145.47210000000001</v>
      </c>
      <c r="AS33" s="1">
        <v>13.5</v>
      </c>
      <c r="AT33" s="13">
        <v>99.232479999999995</v>
      </c>
      <c r="AU33" s="3">
        <f t="shared" si="7"/>
        <v>99.886969999999991</v>
      </c>
    </row>
    <row r="34" spans="2:47" ht="16" x14ac:dyDescent="0.2">
      <c r="B34" s="2">
        <v>200.54</v>
      </c>
      <c r="C34" s="1">
        <v>14</v>
      </c>
      <c r="D34" s="3">
        <v>99.69538</v>
      </c>
      <c r="E34" s="3">
        <f t="shared" si="0"/>
        <v>100.40868</v>
      </c>
      <c r="H34" s="4">
        <v>224.99897999999999</v>
      </c>
      <c r="I34" s="1">
        <v>14</v>
      </c>
      <c r="J34" s="3">
        <v>96.221680000000006</v>
      </c>
      <c r="K34" s="3">
        <f t="shared" si="1"/>
        <v>100.32926</v>
      </c>
      <c r="L34" s="1">
        <f t="shared" si="10"/>
        <v>7.9761911080739295E-4</v>
      </c>
      <c r="N34" s="4">
        <v>225.50953999999999</v>
      </c>
      <c r="O34" s="1">
        <v>14</v>
      </c>
      <c r="P34" s="3">
        <v>100.51536</v>
      </c>
      <c r="Q34" s="3">
        <f t="shared" si="2"/>
        <v>100.65094000000001</v>
      </c>
      <c r="T34" s="4">
        <v>249.99102999999999</v>
      </c>
      <c r="U34" s="1">
        <v>14</v>
      </c>
      <c r="V34" s="5">
        <v>96.417090000000002</v>
      </c>
      <c r="W34" s="3">
        <f t="shared" si="3"/>
        <v>100.57449</v>
      </c>
      <c r="X34" s="1">
        <f t="shared" si="11"/>
        <v>6.9663358374708604E-4</v>
      </c>
      <c r="Z34" s="4">
        <v>249.99637999999999</v>
      </c>
      <c r="AA34" s="1">
        <v>14</v>
      </c>
      <c r="AB34" s="5">
        <v>100.94119000000001</v>
      </c>
      <c r="AC34" s="3">
        <f t="shared" si="4"/>
        <v>100.86445000000001</v>
      </c>
      <c r="AF34" s="11">
        <v>175.24188000000001</v>
      </c>
      <c r="AG34" s="1">
        <v>14</v>
      </c>
      <c r="AH34" s="12">
        <v>96.517250000000004</v>
      </c>
      <c r="AI34" s="3">
        <f t="shared" si="5"/>
        <v>99.524940000000001</v>
      </c>
      <c r="AJ34" s="1">
        <f t="shared" si="8"/>
        <v>6.0392523774005814E-3</v>
      </c>
      <c r="AL34" s="11">
        <v>175.23633000000001</v>
      </c>
      <c r="AM34" s="1">
        <v>14</v>
      </c>
      <c r="AN34" s="12">
        <v>96.506730000000005</v>
      </c>
      <c r="AO34" s="3">
        <f t="shared" si="6"/>
        <v>99.60023000000001</v>
      </c>
      <c r="AP34" s="1">
        <f t="shared" si="9"/>
        <v>5.8534720187878751E-3</v>
      </c>
      <c r="AR34" s="11">
        <v>146.96963</v>
      </c>
      <c r="AS34" s="1">
        <v>14</v>
      </c>
      <c r="AT34" s="12">
        <v>99.247579999999999</v>
      </c>
      <c r="AU34" s="3">
        <f t="shared" si="7"/>
        <v>99.902069999999995</v>
      </c>
    </row>
    <row r="35" spans="2:47" ht="16" x14ac:dyDescent="0.2">
      <c r="B35" s="2">
        <v>200.44569000000001</v>
      </c>
      <c r="C35" s="1">
        <v>14.5</v>
      </c>
      <c r="D35" s="5">
        <v>99.692909999999998</v>
      </c>
      <c r="E35" s="3">
        <f t="shared" si="0"/>
        <v>100.40621</v>
      </c>
      <c r="H35" s="4">
        <v>224.99394000000001</v>
      </c>
      <c r="I35" s="1">
        <v>14.5</v>
      </c>
      <c r="J35" s="5">
        <v>96.198319999999995</v>
      </c>
      <c r="K35" s="3">
        <f t="shared" si="1"/>
        <v>100.30589999999999</v>
      </c>
      <c r="L35" s="1">
        <f t="shared" si="10"/>
        <v>1.0789050774207877E-3</v>
      </c>
      <c r="N35" s="4">
        <v>225.42597000000001</v>
      </c>
      <c r="O35" s="1">
        <v>14.5</v>
      </c>
      <c r="P35" s="5">
        <v>100.26889</v>
      </c>
      <c r="Q35" s="3">
        <f t="shared" si="2"/>
        <v>100.40447</v>
      </c>
      <c r="T35" s="4">
        <v>250.00202999999999</v>
      </c>
      <c r="U35" s="1">
        <v>14.5</v>
      </c>
      <c r="V35" s="3">
        <v>96.427040000000005</v>
      </c>
      <c r="W35" s="3">
        <f t="shared" si="3"/>
        <v>100.58444</v>
      </c>
      <c r="X35" s="1">
        <f t="shared" si="11"/>
        <v>5.7710428286270141E-4</v>
      </c>
      <c r="Z35" s="4">
        <v>250.00185999999999</v>
      </c>
      <c r="AA35" s="1">
        <v>14.5</v>
      </c>
      <c r="AB35" s="3">
        <v>101.00968</v>
      </c>
      <c r="AC35" s="3">
        <f t="shared" si="4"/>
        <v>100.93294</v>
      </c>
      <c r="AF35" s="11">
        <v>177.74074999999999</v>
      </c>
      <c r="AG35" s="1">
        <v>14.5</v>
      </c>
      <c r="AH35" s="13">
        <v>96.500910000000005</v>
      </c>
      <c r="AI35" s="3">
        <f t="shared" si="5"/>
        <v>99.508600000000001</v>
      </c>
      <c r="AJ35" s="1">
        <f t="shared" si="8"/>
        <v>6.2367375859233107E-3</v>
      </c>
      <c r="AL35" s="11">
        <v>177.73889</v>
      </c>
      <c r="AM35" s="1">
        <v>14.5</v>
      </c>
      <c r="AN35" s="13">
        <v>96.482659999999996</v>
      </c>
      <c r="AO35" s="3">
        <f t="shared" si="6"/>
        <v>99.576160000000002</v>
      </c>
      <c r="AP35" s="1">
        <f t="shared" si="9"/>
        <v>6.1442069840017153E-3</v>
      </c>
      <c r="AR35" s="11">
        <v>148.48427000000001</v>
      </c>
      <c r="AS35" s="1">
        <v>14.5</v>
      </c>
      <c r="AT35" s="13">
        <v>99.223050000000001</v>
      </c>
      <c r="AU35" s="3">
        <f t="shared" si="7"/>
        <v>99.877539999999996</v>
      </c>
    </row>
    <row r="36" spans="2:47" ht="16" x14ac:dyDescent="0.2">
      <c r="B36" s="2">
        <v>200.36237</v>
      </c>
      <c r="C36" s="1">
        <v>15</v>
      </c>
      <c r="D36" s="3">
        <v>99.620289999999997</v>
      </c>
      <c r="E36" s="3">
        <f t="shared" si="0"/>
        <v>100.33359</v>
      </c>
      <c r="H36" s="4">
        <v>224.99414999999999</v>
      </c>
      <c r="I36" s="1">
        <v>15</v>
      </c>
      <c r="J36" s="3">
        <v>96.207220000000007</v>
      </c>
      <c r="K36" s="3">
        <f t="shared" si="1"/>
        <v>100.31480000000001</v>
      </c>
      <c r="L36" s="1">
        <f t="shared" si="10"/>
        <v>9.7173705075720884E-4</v>
      </c>
      <c r="N36" s="4">
        <v>225.35485</v>
      </c>
      <c r="O36" s="1">
        <v>15</v>
      </c>
      <c r="P36" s="3">
        <v>100.33387999999999</v>
      </c>
      <c r="Q36" s="3">
        <f t="shared" si="2"/>
        <v>100.46946</v>
      </c>
      <c r="T36" s="4">
        <v>250.00297</v>
      </c>
      <c r="U36" s="1">
        <v>15</v>
      </c>
      <c r="V36" s="5">
        <v>96.422820000000002</v>
      </c>
      <c r="W36" s="3">
        <f t="shared" si="3"/>
        <v>100.58022</v>
      </c>
      <c r="X36" s="1">
        <f t="shared" si="11"/>
        <v>6.277991220317834E-4</v>
      </c>
      <c r="Z36" s="4">
        <v>250.00398999999999</v>
      </c>
      <c r="AA36" s="1">
        <v>15</v>
      </c>
      <c r="AB36" s="5">
        <v>100.99351</v>
      </c>
      <c r="AC36" s="3">
        <f t="shared" si="4"/>
        <v>100.91677</v>
      </c>
      <c r="AF36" s="11">
        <v>180.24347</v>
      </c>
      <c r="AG36" s="1">
        <v>15</v>
      </c>
      <c r="AH36" s="12">
        <v>96.476979999999998</v>
      </c>
      <c r="AI36" s="3">
        <f t="shared" si="5"/>
        <v>99.484669999999994</v>
      </c>
      <c r="AJ36" s="1">
        <f t="shared" si="8"/>
        <v>6.5259555198248073E-3</v>
      </c>
      <c r="AL36" s="11">
        <v>180.25</v>
      </c>
      <c r="AM36" s="1">
        <v>15</v>
      </c>
      <c r="AN36" s="12">
        <v>96.472250000000003</v>
      </c>
      <c r="AO36" s="3">
        <f t="shared" si="6"/>
        <v>99.565750000000008</v>
      </c>
      <c r="AP36" s="1">
        <f t="shared" si="9"/>
        <v>6.2699465348065751E-3</v>
      </c>
      <c r="AR36" s="11">
        <v>150.01533000000001</v>
      </c>
      <c r="AS36" s="1">
        <v>15</v>
      </c>
      <c r="AT36" s="12">
        <v>99.238190000000003</v>
      </c>
      <c r="AU36" s="3">
        <f t="shared" si="7"/>
        <v>99.892679999999999</v>
      </c>
    </row>
    <row r="37" spans="2:47" ht="16" x14ac:dyDescent="0.2">
      <c r="B37" s="2">
        <v>200.28980999999999</v>
      </c>
      <c r="C37" s="1">
        <v>15.5</v>
      </c>
      <c r="D37" s="5">
        <v>99.666709999999995</v>
      </c>
      <c r="E37" s="3">
        <f t="shared" si="0"/>
        <v>100.38001</v>
      </c>
      <c r="H37" s="4">
        <v>224.99703</v>
      </c>
      <c r="I37" s="1">
        <v>15.5</v>
      </c>
      <c r="J37" s="5">
        <v>96.173320000000004</v>
      </c>
      <c r="K37" s="3">
        <f t="shared" si="1"/>
        <v>100.2809</v>
      </c>
      <c r="L37" s="1">
        <f t="shared" si="10"/>
        <v>1.3799388601831669E-3</v>
      </c>
      <c r="N37" s="4">
        <v>225.29467</v>
      </c>
      <c r="O37" s="1">
        <v>15.5</v>
      </c>
      <c r="P37" s="5">
        <v>100.54938</v>
      </c>
      <c r="Q37" s="3">
        <f t="shared" si="2"/>
        <v>100.68496</v>
      </c>
      <c r="T37" s="4">
        <v>250.00003000000001</v>
      </c>
      <c r="U37" s="1">
        <v>15.5</v>
      </c>
      <c r="V37" s="3">
        <v>96.428780000000003</v>
      </c>
      <c r="W37" s="3">
        <f t="shared" si="3"/>
        <v>100.58618</v>
      </c>
      <c r="X37" s="1">
        <f t="shared" si="11"/>
        <v>5.5620167145179421E-4</v>
      </c>
      <c r="Z37" s="4">
        <v>250.00385</v>
      </c>
      <c r="AA37" s="1">
        <v>15.5</v>
      </c>
      <c r="AB37" s="3">
        <v>100.9735</v>
      </c>
      <c r="AC37" s="3">
        <f t="shared" si="4"/>
        <v>100.89676</v>
      </c>
      <c r="AF37" s="11">
        <v>182.75576000000001</v>
      </c>
      <c r="AG37" s="1">
        <v>15.5</v>
      </c>
      <c r="AH37" s="13">
        <v>96.48818</v>
      </c>
      <c r="AI37" s="3">
        <f t="shared" si="5"/>
        <v>99.495869999999996</v>
      </c>
      <c r="AJ37" s="1">
        <f t="shared" si="8"/>
        <v>6.3905923414003833E-3</v>
      </c>
      <c r="AL37" s="11">
        <v>182.75116</v>
      </c>
      <c r="AM37" s="1">
        <v>15.5</v>
      </c>
      <c r="AN37" s="13">
        <v>96.465850000000003</v>
      </c>
      <c r="AO37" s="3">
        <f t="shared" si="6"/>
        <v>99.559350000000009</v>
      </c>
      <c r="AP37" s="1">
        <f t="shared" si="9"/>
        <v>6.3472503892879912E-3</v>
      </c>
      <c r="AR37" s="11">
        <v>151.50674000000001</v>
      </c>
      <c r="AS37" s="1">
        <v>15.5</v>
      </c>
      <c r="AT37" s="13">
        <v>99.221339999999998</v>
      </c>
      <c r="AU37" s="3">
        <f t="shared" si="7"/>
        <v>99.875829999999993</v>
      </c>
    </row>
    <row r="38" spans="2:47" ht="16" x14ac:dyDescent="0.2">
      <c r="B38" s="2">
        <v>200.23068000000001</v>
      </c>
      <c r="C38" s="1">
        <v>16</v>
      </c>
      <c r="D38" s="3">
        <v>99.613500000000002</v>
      </c>
      <c r="E38" s="3">
        <f t="shared" si="0"/>
        <v>100.32680000000001</v>
      </c>
      <c r="H38" s="4">
        <v>224.99696</v>
      </c>
      <c r="I38" s="1">
        <v>16</v>
      </c>
      <c r="J38" s="3">
        <v>96.185879999999997</v>
      </c>
      <c r="K38" s="3">
        <f t="shared" si="1"/>
        <v>100.29346</v>
      </c>
      <c r="L38" s="1">
        <f t="shared" si="10"/>
        <v>1.2286994877233747E-3</v>
      </c>
      <c r="N38" s="4">
        <v>225.24657999999999</v>
      </c>
      <c r="O38" s="1">
        <v>16</v>
      </c>
      <c r="P38" s="3">
        <v>100.50655999999999</v>
      </c>
      <c r="Q38" s="3">
        <f t="shared" si="2"/>
        <v>100.64214</v>
      </c>
      <c r="T38" s="4">
        <v>249.99897999999999</v>
      </c>
      <c r="U38" s="1">
        <v>16</v>
      </c>
      <c r="V38" s="5">
        <v>96.39864</v>
      </c>
      <c r="W38" s="3">
        <f t="shared" si="3"/>
        <v>100.55604</v>
      </c>
      <c r="X38" s="1">
        <f t="shared" si="11"/>
        <v>9.1827334267334721E-4</v>
      </c>
      <c r="Z38" s="4">
        <v>250.00549000000001</v>
      </c>
      <c r="AA38" s="1">
        <v>16</v>
      </c>
      <c r="AB38" s="5">
        <v>101.01356</v>
      </c>
      <c r="AC38" s="3">
        <f t="shared" si="4"/>
        <v>100.93682</v>
      </c>
      <c r="AF38" s="11">
        <v>185.26237</v>
      </c>
      <c r="AG38" s="1">
        <v>16</v>
      </c>
      <c r="AH38" s="12">
        <v>96.518569999999997</v>
      </c>
      <c r="AI38" s="3">
        <f t="shared" si="5"/>
        <v>99.526259999999994</v>
      </c>
      <c r="AJ38" s="1">
        <f t="shared" si="8"/>
        <v>6.0232988599435095E-3</v>
      </c>
      <c r="AL38" s="11">
        <v>185.25110000000001</v>
      </c>
      <c r="AM38" s="1">
        <v>16</v>
      </c>
      <c r="AN38" s="12">
        <v>96.472269999999995</v>
      </c>
      <c r="AO38" s="3">
        <f t="shared" si="6"/>
        <v>99.565770000000001</v>
      </c>
      <c r="AP38" s="1">
        <f t="shared" si="9"/>
        <v>6.2697049602614156E-3</v>
      </c>
      <c r="AR38" s="11">
        <v>153.00828000000001</v>
      </c>
      <c r="AS38" s="1">
        <v>16</v>
      </c>
      <c r="AT38" s="12">
        <v>99.230109999999996</v>
      </c>
      <c r="AU38" s="3">
        <f t="shared" si="7"/>
        <v>99.884599999999992</v>
      </c>
    </row>
    <row r="39" spans="2:47" ht="16" x14ac:dyDescent="0.2">
      <c r="B39" s="2">
        <v>200.17984000000001</v>
      </c>
      <c r="C39" s="1">
        <v>16.5</v>
      </c>
      <c r="D39" s="5">
        <v>99.679630000000003</v>
      </c>
      <c r="E39" s="3">
        <f t="shared" si="0"/>
        <v>100.39293000000001</v>
      </c>
      <c r="H39" s="4">
        <v>224.9999</v>
      </c>
      <c r="I39" s="1">
        <v>16.5</v>
      </c>
      <c r="J39" s="5">
        <v>96.1678</v>
      </c>
      <c r="K39" s="3">
        <f t="shared" si="1"/>
        <v>100.27538</v>
      </c>
      <c r="L39" s="1">
        <f t="shared" si="10"/>
        <v>1.4464071194171734E-3</v>
      </c>
      <c r="N39" s="4">
        <v>225.20371</v>
      </c>
      <c r="O39" s="1">
        <v>16.5</v>
      </c>
      <c r="P39" s="5">
        <v>100.51174</v>
      </c>
      <c r="Q39" s="3">
        <f t="shared" si="2"/>
        <v>100.64732000000001</v>
      </c>
      <c r="T39" s="4">
        <v>249.99602999999999</v>
      </c>
      <c r="U39" s="1">
        <v>16.5</v>
      </c>
      <c r="V39" s="3">
        <v>96.394769999999994</v>
      </c>
      <c r="W39" s="3">
        <f t="shared" si="3"/>
        <v>100.55216999999999</v>
      </c>
      <c r="X39" s="1">
        <f t="shared" si="11"/>
        <v>9.6476363357014686E-4</v>
      </c>
      <c r="Z39" s="4">
        <v>250.00626</v>
      </c>
      <c r="AA39" s="1">
        <v>16.5</v>
      </c>
      <c r="AB39" s="3">
        <v>100.99128</v>
      </c>
      <c r="AC39" s="3">
        <f t="shared" si="4"/>
        <v>100.91454</v>
      </c>
      <c r="AF39" s="11">
        <v>187.76062999999999</v>
      </c>
      <c r="AG39" s="1">
        <v>16.5</v>
      </c>
      <c r="AH39" s="13">
        <v>96.490470000000002</v>
      </c>
      <c r="AI39" s="3">
        <f t="shared" si="5"/>
        <v>99.498159999999999</v>
      </c>
      <c r="AJ39" s="1">
        <f t="shared" si="8"/>
        <v>6.3629154058117976E-3</v>
      </c>
      <c r="AL39" s="11">
        <v>187.74498</v>
      </c>
      <c r="AM39" s="1">
        <v>16.5</v>
      </c>
      <c r="AN39" s="13">
        <v>96.443680000000001</v>
      </c>
      <c r="AO39" s="3">
        <f t="shared" si="6"/>
        <v>99.537180000000006</v>
      </c>
      <c r="AP39" s="1">
        <f t="shared" si="9"/>
        <v>6.6150357727025842E-3</v>
      </c>
      <c r="AR39" s="11">
        <v>154.53349</v>
      </c>
      <c r="AS39" s="1">
        <v>16.5</v>
      </c>
      <c r="AT39" s="13">
        <v>99.215490000000003</v>
      </c>
      <c r="AU39" s="3">
        <f t="shared" si="7"/>
        <v>99.869979999999998</v>
      </c>
    </row>
    <row r="40" spans="2:47" ht="16" x14ac:dyDescent="0.2">
      <c r="B40" s="2">
        <v>200.14093</v>
      </c>
      <c r="C40" s="1">
        <v>17</v>
      </c>
      <c r="D40" s="3">
        <v>99.746049999999997</v>
      </c>
      <c r="E40" s="3">
        <f t="shared" si="0"/>
        <v>100.45935</v>
      </c>
      <c r="H40" s="4">
        <v>225.00411</v>
      </c>
      <c r="I40" s="1">
        <v>17</v>
      </c>
      <c r="J40" s="3">
        <v>96.185730000000007</v>
      </c>
      <c r="K40" s="3">
        <f t="shared" si="1"/>
        <v>100.29331000000001</v>
      </c>
      <c r="L40" s="1">
        <f t="shared" si="10"/>
        <v>1.2305056904198385E-3</v>
      </c>
      <c r="N40" s="4">
        <v>225.16713999999999</v>
      </c>
      <c r="O40" s="1">
        <v>17</v>
      </c>
      <c r="P40" s="3">
        <v>100.64036</v>
      </c>
      <c r="Q40" s="3">
        <f t="shared" si="2"/>
        <v>100.77594000000001</v>
      </c>
      <c r="T40" s="4">
        <v>249.99997999999999</v>
      </c>
      <c r="U40" s="1">
        <v>17</v>
      </c>
      <c r="V40" s="5">
        <v>96.392579999999995</v>
      </c>
      <c r="W40" s="3">
        <f t="shared" si="3"/>
        <v>100.54997999999999</v>
      </c>
      <c r="X40" s="1">
        <f t="shared" si="11"/>
        <v>9.9107209275975166E-4</v>
      </c>
      <c r="Z40" s="4">
        <v>250.00582</v>
      </c>
      <c r="AA40" s="1">
        <v>17</v>
      </c>
      <c r="AB40" s="5">
        <v>101.01242999999999</v>
      </c>
      <c r="AC40" s="3">
        <f t="shared" si="4"/>
        <v>100.93568999999999</v>
      </c>
      <c r="AF40" s="11">
        <v>190.26140000000001</v>
      </c>
      <c r="AG40" s="1">
        <v>17</v>
      </c>
      <c r="AH40" s="12">
        <v>96.44</v>
      </c>
      <c r="AI40" s="3">
        <f t="shared" si="5"/>
        <v>99.447689999999994</v>
      </c>
      <c r="AJ40" s="1">
        <f t="shared" si="8"/>
        <v>6.9728957285867827E-3</v>
      </c>
      <c r="AL40" s="11">
        <v>190.25953999999999</v>
      </c>
      <c r="AM40" s="1">
        <v>17</v>
      </c>
      <c r="AN40" s="12">
        <v>96.418599999999998</v>
      </c>
      <c r="AO40" s="3">
        <f t="shared" si="6"/>
        <v>99.512100000000004</v>
      </c>
      <c r="AP40" s="1">
        <f t="shared" si="9"/>
        <v>6.9179702524516992E-3</v>
      </c>
      <c r="AR40" s="11">
        <v>156.05886000000001</v>
      </c>
      <c r="AS40" s="1">
        <v>17</v>
      </c>
      <c r="AT40" s="12">
        <v>99.220359999999999</v>
      </c>
      <c r="AU40" s="3">
        <f t="shared" si="7"/>
        <v>99.874849999999995</v>
      </c>
    </row>
    <row r="41" spans="2:47" ht="16" x14ac:dyDescent="0.2">
      <c r="B41" s="2">
        <v>200.10885999999999</v>
      </c>
      <c r="C41" s="1">
        <v>17.5</v>
      </c>
      <c r="D41" s="5">
        <v>99.547169999999994</v>
      </c>
      <c r="E41" s="3">
        <f t="shared" si="0"/>
        <v>100.26047</v>
      </c>
      <c r="H41" s="4">
        <v>224.99996999999999</v>
      </c>
      <c r="I41" s="1">
        <v>17.5</v>
      </c>
      <c r="J41" s="5">
        <v>96.176959999999994</v>
      </c>
      <c r="K41" s="3">
        <f t="shared" si="1"/>
        <v>100.28453999999999</v>
      </c>
      <c r="L41" s="1">
        <f t="shared" si="10"/>
        <v>1.3361083414130687E-3</v>
      </c>
      <c r="N41" s="4">
        <v>225.13454999999999</v>
      </c>
      <c r="O41" s="1">
        <v>17.5</v>
      </c>
      <c r="P41" s="5">
        <v>100.44647999999999</v>
      </c>
      <c r="Q41" s="3">
        <f t="shared" si="2"/>
        <v>100.58206</v>
      </c>
      <c r="T41" s="4">
        <v>249.99896000000001</v>
      </c>
      <c r="U41" s="1">
        <v>17.5</v>
      </c>
      <c r="V41" s="3">
        <v>96.368709999999993</v>
      </c>
      <c r="W41" s="3">
        <f t="shared" si="3"/>
        <v>100.52610999999999</v>
      </c>
      <c r="X41" s="1">
        <f t="shared" si="11"/>
        <v>1.277822284931565E-3</v>
      </c>
      <c r="Z41" s="4">
        <v>250.00488000000001</v>
      </c>
      <c r="AA41" s="1">
        <v>17.5</v>
      </c>
      <c r="AB41" s="3">
        <v>101.01945000000001</v>
      </c>
      <c r="AC41" s="3">
        <f t="shared" si="4"/>
        <v>100.94271000000001</v>
      </c>
      <c r="AF41" s="11">
        <v>192.76671999999999</v>
      </c>
      <c r="AG41" s="1">
        <v>17.5</v>
      </c>
      <c r="AH41" s="13">
        <v>96.476759999999999</v>
      </c>
      <c r="AI41" s="3">
        <f t="shared" si="5"/>
        <v>99.484449999999995</v>
      </c>
      <c r="AJ41" s="1">
        <f t="shared" si="8"/>
        <v>6.5286144394009855E-3</v>
      </c>
      <c r="AL41" s="11">
        <v>192.76048</v>
      </c>
      <c r="AM41" s="1">
        <v>17.5</v>
      </c>
      <c r="AN41" s="13">
        <v>96.454390000000004</v>
      </c>
      <c r="AO41" s="3">
        <f t="shared" si="6"/>
        <v>99.54789000000001</v>
      </c>
      <c r="AP41" s="1">
        <f t="shared" si="9"/>
        <v>6.4856726037187873E-3</v>
      </c>
      <c r="AR41" s="11">
        <v>157.54432</v>
      </c>
      <c r="AS41" s="1">
        <v>17.5</v>
      </c>
      <c r="AT41" s="13">
        <v>99.217160000000007</v>
      </c>
      <c r="AU41" s="3">
        <f t="shared" si="7"/>
        <v>99.871650000000002</v>
      </c>
    </row>
    <row r="42" spans="2:47" ht="16" x14ac:dyDescent="0.2">
      <c r="B42" s="2">
        <v>200.08251000000001</v>
      </c>
      <c r="C42" s="1">
        <v>18</v>
      </c>
      <c r="D42" s="3">
        <v>99.738730000000004</v>
      </c>
      <c r="E42" s="3">
        <f t="shared" si="0"/>
        <v>100.45203000000001</v>
      </c>
      <c r="H42" s="4">
        <v>224.99894</v>
      </c>
      <c r="I42" s="1">
        <v>18</v>
      </c>
      <c r="J42" s="3">
        <v>96.146109999999993</v>
      </c>
      <c r="K42" s="3">
        <f t="shared" si="1"/>
        <v>100.25368999999999</v>
      </c>
      <c r="L42" s="1">
        <f t="shared" si="10"/>
        <v>1.7075840293419827E-3</v>
      </c>
      <c r="N42" s="4">
        <v>225.10617999999999</v>
      </c>
      <c r="O42" s="1">
        <v>18</v>
      </c>
      <c r="P42" s="3">
        <v>100.63758</v>
      </c>
      <c r="Q42" s="3">
        <f t="shared" si="2"/>
        <v>100.77316</v>
      </c>
      <c r="T42" s="4">
        <v>249.99501000000001</v>
      </c>
      <c r="U42" s="1">
        <v>18</v>
      </c>
      <c r="V42" s="5">
        <v>96.364509999999996</v>
      </c>
      <c r="W42" s="3">
        <f t="shared" si="3"/>
        <v>100.52190999999999</v>
      </c>
      <c r="X42" s="1">
        <f t="shared" si="11"/>
        <v>1.3282768641992957E-3</v>
      </c>
      <c r="Z42" s="4">
        <v>250.00684999999999</v>
      </c>
      <c r="AA42" s="1">
        <v>18</v>
      </c>
      <c r="AB42" s="5">
        <v>101.0175</v>
      </c>
      <c r="AC42" s="3">
        <f t="shared" si="4"/>
        <v>100.94076</v>
      </c>
      <c r="AF42" s="11">
        <v>195.26211000000001</v>
      </c>
      <c r="AG42" s="1">
        <v>18</v>
      </c>
      <c r="AH42" s="12">
        <v>96.448560000000001</v>
      </c>
      <c r="AI42" s="3">
        <f t="shared" si="5"/>
        <v>99.456249999999997</v>
      </c>
      <c r="AJ42" s="1">
        <f t="shared" si="8"/>
        <v>6.8694395850766752E-3</v>
      </c>
      <c r="AL42" s="11">
        <v>195.26517999999999</v>
      </c>
      <c r="AM42" s="1">
        <v>18</v>
      </c>
      <c r="AN42" s="12">
        <v>96.431520000000006</v>
      </c>
      <c r="AO42" s="3">
        <f t="shared" si="6"/>
        <v>99.525020000000012</v>
      </c>
      <c r="AP42" s="1">
        <f t="shared" si="9"/>
        <v>6.761913096217223E-3</v>
      </c>
      <c r="AR42" s="11">
        <v>159.04836</v>
      </c>
      <c r="AS42" s="1">
        <v>18</v>
      </c>
      <c r="AT42" s="12">
        <v>99.209339999999997</v>
      </c>
      <c r="AU42" s="3">
        <f t="shared" si="7"/>
        <v>99.863829999999993</v>
      </c>
    </row>
    <row r="43" spans="2:47" ht="16" x14ac:dyDescent="0.2">
      <c r="B43" s="2">
        <v>200.06016</v>
      </c>
      <c r="C43" s="1">
        <v>18.5</v>
      </c>
      <c r="D43" s="5">
        <v>99.705179999999999</v>
      </c>
      <c r="E43" s="3">
        <f t="shared" si="0"/>
        <v>100.41848</v>
      </c>
      <c r="H43" s="4">
        <v>225.00398999999999</v>
      </c>
      <c r="I43" s="1">
        <v>18.5</v>
      </c>
      <c r="J43" s="5">
        <v>96.149959999999993</v>
      </c>
      <c r="K43" s="3">
        <f t="shared" si="1"/>
        <v>100.25753999999999</v>
      </c>
      <c r="L43" s="1">
        <f t="shared" si="10"/>
        <v>1.6612248267965615E-3</v>
      </c>
      <c r="N43" s="4">
        <v>225.08448000000001</v>
      </c>
      <c r="O43" s="1">
        <v>18.5</v>
      </c>
      <c r="P43" s="5">
        <v>100.53945</v>
      </c>
      <c r="Q43" s="3">
        <f t="shared" si="2"/>
        <v>100.67503000000001</v>
      </c>
      <c r="T43" s="4">
        <v>249.99405999999999</v>
      </c>
      <c r="U43" s="1">
        <v>18.5</v>
      </c>
      <c r="V43" s="3">
        <v>96.352490000000003</v>
      </c>
      <c r="W43" s="3">
        <f t="shared" si="3"/>
        <v>100.50989</v>
      </c>
      <c r="X43" s="1">
        <f t="shared" si="11"/>
        <v>1.4726730648655186E-3</v>
      </c>
      <c r="Z43" s="4">
        <v>250.00892999999999</v>
      </c>
      <c r="AA43" s="1">
        <v>18.5</v>
      </c>
      <c r="AB43" s="3">
        <v>101.0026</v>
      </c>
      <c r="AC43" s="3">
        <f t="shared" si="4"/>
        <v>100.92586</v>
      </c>
      <c r="AF43" s="11">
        <v>197.76844</v>
      </c>
      <c r="AG43" s="1">
        <v>18.5</v>
      </c>
      <c r="AH43" s="13">
        <v>96.463430000000002</v>
      </c>
      <c r="AI43" s="3">
        <f t="shared" si="5"/>
        <v>99.471119999999999</v>
      </c>
      <c r="AJ43" s="1">
        <f t="shared" si="8"/>
        <v>6.689720793722119E-3</v>
      </c>
      <c r="AL43" s="11">
        <v>197.76363000000001</v>
      </c>
      <c r="AM43" s="1">
        <v>18.5</v>
      </c>
      <c r="AN43" s="13">
        <v>96.426109999999994</v>
      </c>
      <c r="AO43" s="3">
        <f t="shared" si="6"/>
        <v>99.51961</v>
      </c>
      <c r="AP43" s="1">
        <f t="shared" si="9"/>
        <v>6.8272590107086965E-3</v>
      </c>
      <c r="AR43" s="11">
        <v>160.56706</v>
      </c>
      <c r="AS43" s="1">
        <v>18.5</v>
      </c>
      <c r="AT43" s="13">
        <v>99.217269999999999</v>
      </c>
      <c r="AU43" s="3">
        <f t="shared" si="7"/>
        <v>99.871759999999995</v>
      </c>
    </row>
    <row r="44" spans="2:47" ht="16" x14ac:dyDescent="0.2">
      <c r="B44" s="2">
        <v>200.04346000000001</v>
      </c>
      <c r="C44" s="1">
        <v>19</v>
      </c>
      <c r="D44" s="3">
        <v>99.773809999999997</v>
      </c>
      <c r="E44" s="3">
        <f t="shared" si="0"/>
        <v>100.48711</v>
      </c>
      <c r="H44" s="4">
        <v>224.99994000000001</v>
      </c>
      <c r="I44" s="1">
        <v>19</v>
      </c>
      <c r="J44" s="3">
        <v>96.143879999999996</v>
      </c>
      <c r="K44" s="3">
        <f t="shared" si="1"/>
        <v>100.25145999999999</v>
      </c>
      <c r="L44" s="1">
        <f t="shared" si="10"/>
        <v>1.7344362427643635E-3</v>
      </c>
      <c r="N44" s="4">
        <v>225.06753</v>
      </c>
      <c r="O44" s="1">
        <v>19</v>
      </c>
      <c r="P44" s="3">
        <v>100.55051</v>
      </c>
      <c r="Q44" s="3">
        <f t="shared" si="2"/>
        <v>100.68609000000001</v>
      </c>
      <c r="T44" s="4">
        <v>249.99501000000001</v>
      </c>
      <c r="U44" s="1">
        <v>19</v>
      </c>
      <c r="V44" s="5">
        <v>96.350459999999998</v>
      </c>
      <c r="W44" s="3">
        <f t="shared" si="3"/>
        <v>100.50785999999999</v>
      </c>
      <c r="X44" s="1">
        <f t="shared" si="11"/>
        <v>1.4970594448449957E-3</v>
      </c>
      <c r="Z44" s="4">
        <v>250.01389</v>
      </c>
      <c r="AA44" s="1">
        <v>19</v>
      </c>
      <c r="AB44" s="5">
        <v>101.02587</v>
      </c>
      <c r="AC44" s="3">
        <f t="shared" si="4"/>
        <v>100.94913</v>
      </c>
      <c r="AF44" s="11">
        <v>200.27064999999999</v>
      </c>
      <c r="AG44" s="1">
        <v>19</v>
      </c>
      <c r="AH44" s="12">
        <v>96.428849999999997</v>
      </c>
      <c r="AI44" s="3">
        <f t="shared" si="5"/>
        <v>99.436539999999994</v>
      </c>
      <c r="AJ44" s="1">
        <f t="shared" si="8"/>
        <v>7.1076546071075063E-3</v>
      </c>
      <c r="AL44" s="11">
        <v>200.26795000000001</v>
      </c>
      <c r="AM44" s="1">
        <v>19</v>
      </c>
      <c r="AN44" s="12">
        <v>96.397409999999994</v>
      </c>
      <c r="AO44" s="3">
        <f t="shared" si="6"/>
        <v>99.49091</v>
      </c>
      <c r="AP44" s="1">
        <f t="shared" si="9"/>
        <v>7.1739184831488426E-3</v>
      </c>
      <c r="AR44" s="11">
        <v>162.05510000000001</v>
      </c>
      <c r="AS44" s="1">
        <v>19</v>
      </c>
      <c r="AT44" s="12">
        <v>99.248140000000006</v>
      </c>
      <c r="AU44" s="3">
        <f t="shared" si="7"/>
        <v>99.902630000000002</v>
      </c>
    </row>
    <row r="45" spans="2:47" ht="16" x14ac:dyDescent="0.2">
      <c r="B45" s="2">
        <v>200.03387000000001</v>
      </c>
      <c r="C45" s="1">
        <v>19.5</v>
      </c>
      <c r="D45" s="5">
        <v>99.573560000000001</v>
      </c>
      <c r="E45" s="3">
        <f t="shared" si="0"/>
        <v>100.28686</v>
      </c>
      <c r="H45" s="4">
        <v>225.00407999999999</v>
      </c>
      <c r="I45" s="1">
        <v>19.5</v>
      </c>
      <c r="J45" s="5">
        <v>96.118409999999997</v>
      </c>
      <c r="K45" s="3">
        <f t="shared" si="1"/>
        <v>100.22599</v>
      </c>
      <c r="L45" s="1">
        <f t="shared" si="10"/>
        <v>2.0411294606427627E-3</v>
      </c>
      <c r="N45" s="4">
        <v>225.05334999999999</v>
      </c>
      <c r="O45" s="1">
        <v>19.5</v>
      </c>
      <c r="P45" s="5">
        <v>100.46328</v>
      </c>
      <c r="Q45" s="3">
        <f t="shared" si="2"/>
        <v>100.59886</v>
      </c>
      <c r="T45" s="4">
        <v>249.99502000000001</v>
      </c>
      <c r="U45" s="1">
        <v>19.5</v>
      </c>
      <c r="V45" s="3">
        <v>96.314499999999995</v>
      </c>
      <c r="W45" s="3">
        <f t="shared" si="3"/>
        <v>100.47189999999999</v>
      </c>
      <c r="X45" s="1">
        <f t="shared" si="11"/>
        <v>1.9290467473375909E-3</v>
      </c>
      <c r="Z45" s="4">
        <v>250.01617999999999</v>
      </c>
      <c r="AA45" s="1">
        <v>19.5</v>
      </c>
      <c r="AB45" s="3">
        <v>101.06715</v>
      </c>
      <c r="AC45" s="3">
        <f t="shared" si="4"/>
        <v>100.99041</v>
      </c>
      <c r="AF45" s="11">
        <v>202.77016</v>
      </c>
      <c r="AG45" s="1">
        <v>19.5</v>
      </c>
      <c r="AH45" s="13">
        <v>96.422070000000005</v>
      </c>
      <c r="AI45" s="3">
        <f t="shared" si="5"/>
        <v>99.429760000000002</v>
      </c>
      <c r="AJ45" s="1">
        <f t="shared" si="8"/>
        <v>7.1895976740464634E-3</v>
      </c>
      <c r="AL45" s="11">
        <v>202.76657</v>
      </c>
      <c r="AM45" s="1">
        <v>19.5</v>
      </c>
      <c r="AN45" s="13">
        <v>96.400999999999996</v>
      </c>
      <c r="AO45" s="3">
        <f t="shared" si="6"/>
        <v>99.494500000000002</v>
      </c>
      <c r="AP45" s="1">
        <f t="shared" si="9"/>
        <v>7.1305558522756366E-3</v>
      </c>
      <c r="AR45" s="11">
        <v>163.55533</v>
      </c>
      <c r="AS45" s="1">
        <v>19.5</v>
      </c>
      <c r="AT45" s="13">
        <v>99.212180000000004</v>
      </c>
      <c r="AU45" s="3">
        <f t="shared" si="7"/>
        <v>99.866669999999999</v>
      </c>
    </row>
    <row r="46" spans="2:47" ht="16" x14ac:dyDescent="0.2">
      <c r="B46" s="2">
        <v>200.02366000000001</v>
      </c>
      <c r="C46" s="1">
        <v>20</v>
      </c>
      <c r="D46" s="3">
        <v>99.642420000000001</v>
      </c>
      <c r="E46" s="3">
        <f t="shared" si="0"/>
        <v>100.35572000000001</v>
      </c>
      <c r="H46" s="4">
        <v>224.99806000000001</v>
      </c>
      <c r="I46" s="1">
        <v>20</v>
      </c>
      <c r="J46" s="3">
        <v>96.131259999999997</v>
      </c>
      <c r="K46" s="3">
        <f t="shared" si="1"/>
        <v>100.23884</v>
      </c>
      <c r="L46" s="1">
        <f t="shared" si="10"/>
        <v>1.886398096302844E-3</v>
      </c>
      <c r="N46" s="4">
        <v>225.04525000000001</v>
      </c>
      <c r="O46" s="1">
        <v>20</v>
      </c>
      <c r="P46" s="3">
        <v>100.47512999999999</v>
      </c>
      <c r="Q46" s="3">
        <f t="shared" si="2"/>
        <v>100.61071</v>
      </c>
      <c r="T46" s="4">
        <v>249.99800999999999</v>
      </c>
      <c r="U46" s="1">
        <v>20</v>
      </c>
      <c r="V46" s="5">
        <v>96.326660000000004</v>
      </c>
      <c r="W46" s="3">
        <f t="shared" si="3"/>
        <v>100.48406</v>
      </c>
      <c r="X46" s="1">
        <f t="shared" si="11"/>
        <v>1.7829687273622501E-3</v>
      </c>
      <c r="Z46" s="4">
        <v>250.01275999999999</v>
      </c>
      <c r="AA46" s="1">
        <v>20</v>
      </c>
      <c r="AB46" s="5">
        <v>101.01286</v>
      </c>
      <c r="AC46" s="3">
        <f t="shared" si="4"/>
        <v>100.93612</v>
      </c>
      <c r="AF46" s="11">
        <v>205.27349000000001</v>
      </c>
      <c r="AG46" s="1">
        <v>20</v>
      </c>
      <c r="AH46" s="12">
        <v>96.414339999999996</v>
      </c>
      <c r="AI46" s="3">
        <f t="shared" si="5"/>
        <v>99.422029999999992</v>
      </c>
      <c r="AJ46" s="1">
        <f t="shared" si="8"/>
        <v>7.2830224391555566E-3</v>
      </c>
      <c r="AL46" s="11">
        <v>205.26716999999999</v>
      </c>
      <c r="AM46" s="1">
        <v>20</v>
      </c>
      <c r="AN46" s="12">
        <v>96.403769999999994</v>
      </c>
      <c r="AO46" s="3">
        <f t="shared" si="6"/>
        <v>99.49727</v>
      </c>
      <c r="AP46" s="1">
        <f t="shared" si="9"/>
        <v>7.0970977777579172E-3</v>
      </c>
      <c r="AR46" s="11">
        <v>165.08215999999999</v>
      </c>
      <c r="AS46" s="1">
        <v>20</v>
      </c>
      <c r="AT46" s="12">
        <v>99.209029999999998</v>
      </c>
      <c r="AU46" s="3">
        <f t="shared" si="7"/>
        <v>99.863519999999994</v>
      </c>
    </row>
    <row r="47" spans="2:47" ht="16" x14ac:dyDescent="0.2">
      <c r="B47" s="2">
        <v>200.01293000000001</v>
      </c>
      <c r="C47" s="1">
        <v>20.5</v>
      </c>
      <c r="D47" s="5">
        <v>99.736440000000002</v>
      </c>
      <c r="E47" s="3">
        <f t="shared" si="0"/>
        <v>100.44974000000001</v>
      </c>
      <c r="H47" s="4">
        <v>224.99687</v>
      </c>
      <c r="I47" s="1">
        <v>20.5</v>
      </c>
      <c r="J47" s="5">
        <v>96.105189999999993</v>
      </c>
      <c r="K47" s="3">
        <f t="shared" si="1"/>
        <v>100.21276999999999</v>
      </c>
      <c r="L47" s="1">
        <f t="shared" si="10"/>
        <v>2.2003161249676112E-3</v>
      </c>
      <c r="N47" s="4">
        <v>225.03679</v>
      </c>
      <c r="O47" s="1">
        <v>20.5</v>
      </c>
      <c r="P47" s="5">
        <v>100.56791</v>
      </c>
      <c r="Q47" s="3">
        <f t="shared" si="2"/>
        <v>100.70349</v>
      </c>
      <c r="T47" s="4">
        <v>249.99800999999999</v>
      </c>
      <c r="U47" s="1">
        <v>20.5</v>
      </c>
      <c r="V47" s="3">
        <v>96.326560000000001</v>
      </c>
      <c r="W47" s="3">
        <f t="shared" si="3"/>
        <v>100.48396</v>
      </c>
      <c r="X47" s="1">
        <f t="shared" si="11"/>
        <v>1.7841700268686653E-3</v>
      </c>
      <c r="Z47" s="4">
        <v>250.00899999999999</v>
      </c>
      <c r="AA47" s="1">
        <v>20.5</v>
      </c>
      <c r="AB47" s="3">
        <v>101.04601</v>
      </c>
      <c r="AC47" s="3">
        <f t="shared" si="4"/>
        <v>100.96926999999999</v>
      </c>
      <c r="AF47" s="11">
        <v>207.77278999999999</v>
      </c>
      <c r="AG47" s="1">
        <v>20.5</v>
      </c>
      <c r="AH47" s="13">
        <v>96.438569999999999</v>
      </c>
      <c r="AI47" s="3">
        <f t="shared" si="5"/>
        <v>99.446259999999995</v>
      </c>
      <c r="AJ47" s="1">
        <f t="shared" si="8"/>
        <v>6.9901787058320305E-3</v>
      </c>
      <c r="AL47" s="11">
        <v>207.77417</v>
      </c>
      <c r="AM47" s="1">
        <v>20.5</v>
      </c>
      <c r="AN47" s="13">
        <v>96.419309999999996</v>
      </c>
      <c r="AO47" s="3">
        <f t="shared" si="6"/>
        <v>99.512810000000002</v>
      </c>
      <c r="AP47" s="1">
        <f t="shared" si="9"/>
        <v>6.9093943560951908E-3</v>
      </c>
      <c r="AR47" s="11">
        <v>166.58798999999999</v>
      </c>
      <c r="AS47" s="1">
        <v>20.5</v>
      </c>
      <c r="AT47" s="13">
        <v>99.206090000000003</v>
      </c>
      <c r="AU47" s="3">
        <f t="shared" si="7"/>
        <v>99.860579999999999</v>
      </c>
    </row>
    <row r="48" spans="2:47" ht="16" x14ac:dyDescent="0.2">
      <c r="B48" s="2">
        <v>200.00398999999999</v>
      </c>
      <c r="C48" s="1">
        <v>21</v>
      </c>
      <c r="D48" s="3">
        <v>99.764579999999995</v>
      </c>
      <c r="E48" s="3">
        <f t="shared" si="0"/>
        <v>100.47788</v>
      </c>
      <c r="H48" s="4">
        <v>225.00497999999999</v>
      </c>
      <c r="I48" s="1">
        <v>21</v>
      </c>
      <c r="J48" s="3">
        <v>96.116870000000006</v>
      </c>
      <c r="K48" s="3">
        <f t="shared" si="1"/>
        <v>100.22445</v>
      </c>
      <c r="L48" s="1">
        <f t="shared" si="10"/>
        <v>2.0596731416608286E-3</v>
      </c>
      <c r="N48" s="4">
        <v>225.02755999999999</v>
      </c>
      <c r="O48" s="1">
        <v>21</v>
      </c>
      <c r="P48" s="3">
        <v>100.40912</v>
      </c>
      <c r="Q48" s="3">
        <f t="shared" si="2"/>
        <v>100.54470000000001</v>
      </c>
      <c r="T48" s="4">
        <v>250.00099</v>
      </c>
      <c r="U48" s="1">
        <v>21</v>
      </c>
      <c r="V48" s="5">
        <v>96.332440000000005</v>
      </c>
      <c r="W48" s="3">
        <f t="shared" si="3"/>
        <v>100.48984</v>
      </c>
      <c r="X48" s="1">
        <f t="shared" si="11"/>
        <v>1.71353361589374E-3</v>
      </c>
      <c r="Z48" s="4">
        <v>250.0093</v>
      </c>
      <c r="AA48" s="1">
        <v>21</v>
      </c>
      <c r="AB48" s="5">
        <v>101.02554000000001</v>
      </c>
      <c r="AC48" s="3">
        <f t="shared" si="4"/>
        <v>100.94880000000001</v>
      </c>
      <c r="AF48" s="11">
        <v>210.27160000000001</v>
      </c>
      <c r="AG48" s="1">
        <v>21</v>
      </c>
      <c r="AH48" s="12">
        <v>96.406120000000001</v>
      </c>
      <c r="AI48" s="3">
        <f t="shared" si="5"/>
        <v>99.413809999999998</v>
      </c>
      <c r="AJ48" s="1">
        <f t="shared" si="8"/>
        <v>7.3823693433205367E-3</v>
      </c>
      <c r="AL48" s="11">
        <v>210.27359000000001</v>
      </c>
      <c r="AM48" s="1">
        <v>21</v>
      </c>
      <c r="AN48" s="12">
        <v>96.388120000000001</v>
      </c>
      <c r="AO48" s="3">
        <f t="shared" si="6"/>
        <v>99.481620000000007</v>
      </c>
      <c r="AP48" s="1">
        <f t="shared" si="9"/>
        <v>7.2861298594194502E-3</v>
      </c>
      <c r="AR48" s="11">
        <v>168.07959</v>
      </c>
      <c r="AS48" s="1">
        <v>21</v>
      </c>
      <c r="AT48" s="12">
        <v>99.207970000000003</v>
      </c>
      <c r="AU48" s="3">
        <f t="shared" si="7"/>
        <v>99.862459999999999</v>
      </c>
    </row>
    <row r="49" spans="2:47" ht="16" x14ac:dyDescent="0.2">
      <c r="B49" s="2">
        <v>199.99958000000001</v>
      </c>
      <c r="C49" s="1">
        <v>21.5</v>
      </c>
      <c r="D49" s="5">
        <v>99.718509999999995</v>
      </c>
      <c r="E49" s="3">
        <f t="shared" si="0"/>
        <v>100.43181</v>
      </c>
      <c r="H49" s="4">
        <v>224.99904000000001</v>
      </c>
      <c r="I49" s="1">
        <v>21.5</v>
      </c>
      <c r="J49" s="5">
        <v>96.113680000000002</v>
      </c>
      <c r="K49" s="3">
        <f t="shared" si="1"/>
        <v>100.22126</v>
      </c>
      <c r="L49" s="1">
        <f t="shared" si="10"/>
        <v>2.0980850523413643E-3</v>
      </c>
      <c r="N49" s="4">
        <v>225.02328</v>
      </c>
      <c r="O49" s="1">
        <v>21.5</v>
      </c>
      <c r="P49" s="5">
        <v>100.48239</v>
      </c>
      <c r="Q49" s="3">
        <f t="shared" si="2"/>
        <v>100.61797</v>
      </c>
      <c r="T49" s="4">
        <v>249.99701999999999</v>
      </c>
      <c r="U49" s="1">
        <v>21.5</v>
      </c>
      <c r="V49" s="3">
        <v>96.310490000000001</v>
      </c>
      <c r="W49" s="3">
        <f t="shared" si="3"/>
        <v>100.46789</v>
      </c>
      <c r="X49" s="1">
        <f t="shared" si="11"/>
        <v>1.9772188575431669E-3</v>
      </c>
      <c r="Z49" s="4">
        <v>250.01095000000001</v>
      </c>
      <c r="AA49" s="1">
        <v>21.5</v>
      </c>
      <c r="AB49" s="3">
        <v>100.99081</v>
      </c>
      <c r="AC49" s="3">
        <f t="shared" si="4"/>
        <v>100.91407</v>
      </c>
      <c r="AF49" s="11">
        <v>212.77343999999999</v>
      </c>
      <c r="AG49" s="1">
        <v>21.5</v>
      </c>
      <c r="AH49" s="13">
        <v>96.408630000000002</v>
      </c>
      <c r="AI49" s="3">
        <f t="shared" si="5"/>
        <v>99.416319999999999</v>
      </c>
      <c r="AJ49" s="1">
        <f t="shared" si="8"/>
        <v>7.3520334881557728E-3</v>
      </c>
      <c r="AL49" s="11">
        <v>212.77216999999999</v>
      </c>
      <c r="AM49" s="1">
        <v>21.5</v>
      </c>
      <c r="AN49" s="13">
        <v>96.396129999999999</v>
      </c>
      <c r="AO49" s="3">
        <f t="shared" si="6"/>
        <v>99.489630000000005</v>
      </c>
      <c r="AP49" s="1">
        <f t="shared" si="9"/>
        <v>7.1893792540450576E-3</v>
      </c>
      <c r="AR49" s="11">
        <v>169.60023000000001</v>
      </c>
      <c r="AS49" s="1">
        <v>21.5</v>
      </c>
      <c r="AT49" s="13">
        <v>99.212220000000002</v>
      </c>
      <c r="AU49" s="3">
        <f t="shared" si="7"/>
        <v>99.866709999999998</v>
      </c>
    </row>
    <row r="50" spans="2:47" ht="16" x14ac:dyDescent="0.2">
      <c r="B50" s="2">
        <v>199.99737999999999</v>
      </c>
      <c r="C50" s="1">
        <v>22</v>
      </c>
      <c r="D50" s="3">
        <v>99.674250000000001</v>
      </c>
      <c r="E50" s="3">
        <f t="shared" si="0"/>
        <v>100.38755</v>
      </c>
      <c r="H50" s="4">
        <v>225.00099</v>
      </c>
      <c r="I50" s="1">
        <v>22</v>
      </c>
      <c r="J50" s="3">
        <v>96.105509999999995</v>
      </c>
      <c r="K50" s="3">
        <f t="shared" si="1"/>
        <v>100.21308999999999</v>
      </c>
      <c r="L50" s="1">
        <f t="shared" si="10"/>
        <v>2.1964628925482265E-3</v>
      </c>
      <c r="N50" s="4">
        <v>225.01724999999999</v>
      </c>
      <c r="O50" s="1">
        <v>22</v>
      </c>
      <c r="P50" s="3">
        <v>100.45725</v>
      </c>
      <c r="Q50" s="3">
        <f t="shared" si="2"/>
        <v>100.59283000000001</v>
      </c>
      <c r="T50" s="4">
        <v>250.00596999999999</v>
      </c>
      <c r="U50" s="1">
        <v>22</v>
      </c>
      <c r="V50" s="5">
        <v>96.304500000000004</v>
      </c>
      <c r="W50" s="3">
        <f t="shared" si="3"/>
        <v>100.4619</v>
      </c>
      <c r="X50" s="1">
        <f t="shared" si="11"/>
        <v>2.0491766979750126E-3</v>
      </c>
      <c r="Z50" s="4">
        <v>250.01212000000001</v>
      </c>
      <c r="AA50" s="1">
        <v>22</v>
      </c>
      <c r="AB50" s="5">
        <v>101.0013</v>
      </c>
      <c r="AC50" s="3">
        <f t="shared" si="4"/>
        <v>100.92456</v>
      </c>
      <c r="AF50" s="11">
        <v>215.28375</v>
      </c>
      <c r="AG50" s="1">
        <v>22</v>
      </c>
      <c r="AH50" s="12">
        <v>96.397469999999998</v>
      </c>
      <c r="AI50" s="3">
        <f t="shared" si="5"/>
        <v>99.405159999999995</v>
      </c>
      <c r="AJ50" s="1">
        <f t="shared" si="8"/>
        <v>7.4869132266572706E-3</v>
      </c>
      <c r="AL50" s="11">
        <v>215.27386999999999</v>
      </c>
      <c r="AM50" s="1">
        <v>22</v>
      </c>
      <c r="AN50" s="12">
        <v>96.371610000000004</v>
      </c>
      <c r="AO50" s="3">
        <f t="shared" si="6"/>
        <v>99.46511000000001</v>
      </c>
      <c r="AP50" s="1">
        <f t="shared" si="9"/>
        <v>7.4855496465269606E-3</v>
      </c>
      <c r="AR50" s="11">
        <v>171.11372</v>
      </c>
      <c r="AS50" s="1">
        <v>22</v>
      </c>
      <c r="AT50" s="12">
        <v>99.227490000000003</v>
      </c>
      <c r="AU50" s="3">
        <f t="shared" si="7"/>
        <v>99.881979999999999</v>
      </c>
    </row>
    <row r="51" spans="2:47" ht="16" x14ac:dyDescent="0.2">
      <c r="B51" s="2">
        <v>199.99529000000001</v>
      </c>
      <c r="C51" s="1">
        <v>22.5</v>
      </c>
      <c r="D51" s="5">
        <v>99.689310000000006</v>
      </c>
      <c r="E51" s="3">
        <f t="shared" si="0"/>
        <v>100.40261000000001</v>
      </c>
      <c r="H51" s="4">
        <v>224.99891</v>
      </c>
      <c r="I51" s="1">
        <v>22.5</v>
      </c>
      <c r="J51" s="5">
        <v>96.098550000000003</v>
      </c>
      <c r="K51" s="3">
        <f t="shared" si="1"/>
        <v>100.20613</v>
      </c>
      <c r="L51" s="1">
        <f t="shared" si="10"/>
        <v>2.2802706976692089E-3</v>
      </c>
      <c r="N51" s="4">
        <v>225.00926000000001</v>
      </c>
      <c r="O51" s="1">
        <v>22.5</v>
      </c>
      <c r="P51" s="5">
        <v>100.61897999999999</v>
      </c>
      <c r="Q51" s="3">
        <f t="shared" si="2"/>
        <v>100.75456</v>
      </c>
      <c r="T51" s="4">
        <v>250.00299999999999</v>
      </c>
      <c r="U51" s="1">
        <v>22.5</v>
      </c>
      <c r="V51" s="3">
        <v>96.300409999999999</v>
      </c>
      <c r="W51" s="3">
        <f t="shared" si="3"/>
        <v>100.45780999999999</v>
      </c>
      <c r="X51" s="1">
        <f t="shared" si="11"/>
        <v>2.0983098477858229E-3</v>
      </c>
      <c r="Z51" s="4">
        <v>250.00987000000001</v>
      </c>
      <c r="AA51" s="1">
        <v>22.5</v>
      </c>
      <c r="AB51" s="3">
        <v>101.01938</v>
      </c>
      <c r="AC51" s="3">
        <f t="shared" si="4"/>
        <v>100.94264</v>
      </c>
      <c r="AF51" s="11">
        <v>217.78146000000001</v>
      </c>
      <c r="AG51" s="1">
        <v>22.5</v>
      </c>
      <c r="AH51" s="13">
        <v>96.363560000000007</v>
      </c>
      <c r="AI51" s="3">
        <f t="shared" si="5"/>
        <v>99.371250000000003</v>
      </c>
      <c r="AJ51" s="1">
        <f t="shared" si="8"/>
        <v>7.8967494213331747E-3</v>
      </c>
      <c r="AL51" s="11">
        <v>217.77239</v>
      </c>
      <c r="AM51" s="1">
        <v>22.5</v>
      </c>
      <c r="AN51" s="13">
        <v>96.354860000000002</v>
      </c>
      <c r="AO51" s="3">
        <f t="shared" si="6"/>
        <v>99.448360000000008</v>
      </c>
      <c r="AP51" s="1">
        <f t="shared" si="9"/>
        <v>7.6878683281775863E-3</v>
      </c>
      <c r="AR51" s="11">
        <v>172.59581</v>
      </c>
      <c r="AS51" s="1">
        <v>22.5</v>
      </c>
      <c r="AT51" s="13">
        <v>99.205240000000003</v>
      </c>
      <c r="AU51" s="3">
        <f t="shared" si="7"/>
        <v>99.859729999999999</v>
      </c>
    </row>
    <row r="52" spans="2:47" ht="16" x14ac:dyDescent="0.2">
      <c r="B52" s="2">
        <v>199.99692999999999</v>
      </c>
      <c r="C52" s="1">
        <v>23</v>
      </c>
      <c r="D52" s="3">
        <v>99.747380000000007</v>
      </c>
      <c r="E52" s="3">
        <f t="shared" si="0"/>
        <v>100.46068000000001</v>
      </c>
      <c r="H52" s="4">
        <v>224.99719999999999</v>
      </c>
      <c r="I52" s="1">
        <v>23</v>
      </c>
      <c r="J52" s="3">
        <v>96.08278</v>
      </c>
      <c r="K52" s="3">
        <f t="shared" si="1"/>
        <v>100.19036</v>
      </c>
      <c r="L52" s="1">
        <f t="shared" si="10"/>
        <v>2.4701628078358231E-3</v>
      </c>
      <c r="N52" s="4">
        <v>225.0067</v>
      </c>
      <c r="O52" s="1">
        <v>23</v>
      </c>
      <c r="P52" s="3">
        <v>100.58971</v>
      </c>
      <c r="Q52" s="3">
        <f t="shared" si="2"/>
        <v>100.72529</v>
      </c>
      <c r="T52" s="4">
        <v>250.00300999999999</v>
      </c>
      <c r="U52" s="1">
        <v>23</v>
      </c>
      <c r="V52" s="5">
        <v>96.290610000000001</v>
      </c>
      <c r="W52" s="3">
        <f t="shared" si="3"/>
        <v>100.44801</v>
      </c>
      <c r="X52" s="1">
        <f t="shared" si="11"/>
        <v>2.216037199410585E-3</v>
      </c>
      <c r="Z52" s="4">
        <v>250.01078999999999</v>
      </c>
      <c r="AA52" s="1">
        <v>23</v>
      </c>
      <c r="AB52" s="5">
        <v>101.04327000000001</v>
      </c>
      <c r="AC52" s="3">
        <f t="shared" si="4"/>
        <v>100.96653000000001</v>
      </c>
      <c r="AF52" s="11">
        <v>220.28326999999999</v>
      </c>
      <c r="AG52" s="1">
        <v>23</v>
      </c>
      <c r="AH52" s="12">
        <v>96.373549999999994</v>
      </c>
      <c r="AI52" s="3">
        <f t="shared" si="5"/>
        <v>99.381239999999991</v>
      </c>
      <c r="AJ52" s="1">
        <f t="shared" si="8"/>
        <v>7.7760103005779921E-3</v>
      </c>
      <c r="AL52" s="11">
        <v>220.2764</v>
      </c>
      <c r="AM52" s="1">
        <v>23</v>
      </c>
      <c r="AN52" s="12">
        <v>96.317480000000003</v>
      </c>
      <c r="AO52" s="3">
        <f t="shared" si="6"/>
        <v>99.410980000000009</v>
      </c>
      <c r="AP52" s="1">
        <f t="shared" si="9"/>
        <v>8.1393711532581434E-3</v>
      </c>
      <c r="AR52" s="11">
        <v>174.12629000000001</v>
      </c>
      <c r="AS52" s="1">
        <v>23</v>
      </c>
      <c r="AT52" s="12">
        <v>99.214209999999994</v>
      </c>
      <c r="AU52" s="3">
        <f t="shared" si="7"/>
        <v>99.86869999999999</v>
      </c>
    </row>
    <row r="53" spans="2:47" ht="16" x14ac:dyDescent="0.2">
      <c r="B53" s="2">
        <v>199.99713</v>
      </c>
      <c r="C53" s="1">
        <v>23.5</v>
      </c>
      <c r="D53" s="5">
        <v>99.722620000000006</v>
      </c>
      <c r="E53" s="3">
        <f t="shared" si="0"/>
        <v>100.43592000000001</v>
      </c>
      <c r="H53" s="4">
        <v>225.00411</v>
      </c>
      <c r="I53" s="1">
        <v>23.5</v>
      </c>
      <c r="J53" s="5">
        <v>96.076440000000005</v>
      </c>
      <c r="K53" s="3">
        <f t="shared" si="1"/>
        <v>100.18402</v>
      </c>
      <c r="L53" s="1">
        <f t="shared" si="10"/>
        <v>2.5465049751443218E-3</v>
      </c>
      <c r="N53" s="4">
        <v>225.00493</v>
      </c>
      <c r="O53" s="1">
        <v>23.5</v>
      </c>
      <c r="P53" s="5">
        <v>100.41228</v>
      </c>
      <c r="Q53" s="3">
        <f t="shared" si="2"/>
        <v>100.54786</v>
      </c>
      <c r="T53" s="4">
        <v>250.00194999999999</v>
      </c>
      <c r="U53" s="1">
        <v>23.5</v>
      </c>
      <c r="V53" s="3">
        <v>96.288390000000007</v>
      </c>
      <c r="W53" s="3">
        <f t="shared" si="3"/>
        <v>100.44579</v>
      </c>
      <c r="X53" s="1">
        <f t="shared" si="11"/>
        <v>2.2427060484520459E-3</v>
      </c>
      <c r="Z53" s="4">
        <v>250.01934</v>
      </c>
      <c r="AA53" s="1">
        <v>23.5</v>
      </c>
      <c r="AB53" s="3">
        <v>101.00466</v>
      </c>
      <c r="AC53" s="3">
        <f t="shared" si="4"/>
        <v>100.92792</v>
      </c>
      <c r="AF53" s="11">
        <v>222.79195000000001</v>
      </c>
      <c r="AG53" s="1">
        <v>23.5</v>
      </c>
      <c r="AH53" s="13">
        <v>96.395989999999998</v>
      </c>
      <c r="AI53" s="3">
        <f t="shared" si="5"/>
        <v>99.403679999999994</v>
      </c>
      <c r="AJ53" s="1">
        <f t="shared" si="8"/>
        <v>7.5048005038062179E-3</v>
      </c>
      <c r="AL53" s="11">
        <v>222.78684999999999</v>
      </c>
      <c r="AM53" s="1">
        <v>23.5</v>
      </c>
      <c r="AN53" s="13">
        <v>96.355800000000002</v>
      </c>
      <c r="AO53" s="3">
        <f t="shared" si="6"/>
        <v>99.449300000000008</v>
      </c>
      <c r="AP53" s="1">
        <f t="shared" si="9"/>
        <v>7.6765143245506274E-3</v>
      </c>
      <c r="AR53" s="11">
        <v>175.62781000000001</v>
      </c>
      <c r="AS53" s="1">
        <v>23.5</v>
      </c>
      <c r="AT53" s="13">
        <v>99.207239999999999</v>
      </c>
      <c r="AU53" s="3">
        <f t="shared" si="7"/>
        <v>99.861729999999994</v>
      </c>
    </row>
    <row r="54" spans="2:47" ht="16" x14ac:dyDescent="0.2">
      <c r="B54" s="2">
        <v>199.99517</v>
      </c>
      <c r="C54" s="1">
        <v>24</v>
      </c>
      <c r="D54" s="3">
        <v>99.779089999999997</v>
      </c>
      <c r="E54" s="3">
        <f t="shared" si="0"/>
        <v>100.49239</v>
      </c>
      <c r="H54" s="4">
        <v>225.00592</v>
      </c>
      <c r="I54" s="1">
        <v>24</v>
      </c>
      <c r="J54" s="3">
        <v>96.051019999999994</v>
      </c>
      <c r="K54" s="3">
        <f t="shared" si="1"/>
        <v>100.15859999999999</v>
      </c>
      <c r="L54" s="1">
        <f t="shared" si="10"/>
        <v>2.8525961254573474E-3</v>
      </c>
      <c r="N54" s="4">
        <v>225.00894</v>
      </c>
      <c r="O54" s="1">
        <v>24</v>
      </c>
      <c r="P54" s="3">
        <v>100.6075</v>
      </c>
      <c r="Q54" s="3">
        <f t="shared" si="2"/>
        <v>100.74308000000001</v>
      </c>
      <c r="T54" s="4">
        <v>249.99995000000001</v>
      </c>
      <c r="U54" s="1">
        <v>24</v>
      </c>
      <c r="V54" s="5">
        <v>96.268169999999998</v>
      </c>
      <c r="W54" s="3">
        <f t="shared" si="3"/>
        <v>100.42556999999999</v>
      </c>
      <c r="X54" s="1">
        <f t="shared" si="11"/>
        <v>2.4856088086412415E-3</v>
      </c>
      <c r="Z54" s="4">
        <v>250.01938999999999</v>
      </c>
      <c r="AA54" s="1">
        <v>24</v>
      </c>
      <c r="AB54" s="5">
        <v>101.03041</v>
      </c>
      <c r="AC54" s="3">
        <f t="shared" si="4"/>
        <v>100.95367</v>
      </c>
      <c r="AF54" s="11">
        <v>225.29322999999999</v>
      </c>
      <c r="AG54" s="1">
        <v>24</v>
      </c>
      <c r="AH54" s="12">
        <v>96.365849999999995</v>
      </c>
      <c r="AI54" s="3">
        <f t="shared" si="5"/>
        <v>99.373539999999991</v>
      </c>
      <c r="AJ54" s="1">
        <f t="shared" si="8"/>
        <v>7.8690724857447616E-3</v>
      </c>
      <c r="AL54" s="11">
        <v>225.28917999999999</v>
      </c>
      <c r="AM54" s="1">
        <v>24</v>
      </c>
      <c r="AN54" s="12">
        <v>96.354820000000004</v>
      </c>
      <c r="AO54" s="3">
        <f t="shared" si="6"/>
        <v>99.44832000000001</v>
      </c>
      <c r="AP54" s="1">
        <f t="shared" si="9"/>
        <v>7.688351477268077E-3</v>
      </c>
      <c r="AR54" s="11">
        <v>177.12737000000001</v>
      </c>
      <c r="AS54" s="1">
        <v>24</v>
      </c>
      <c r="AT54" s="12">
        <v>99.220200000000006</v>
      </c>
      <c r="AU54" s="3">
        <f t="shared" si="7"/>
        <v>99.874690000000001</v>
      </c>
    </row>
    <row r="55" spans="2:47" ht="16" x14ac:dyDescent="0.2">
      <c r="B55" s="2">
        <v>199.99656999999999</v>
      </c>
      <c r="C55" s="1">
        <v>24.5</v>
      </c>
      <c r="D55" s="5">
        <v>99.720640000000003</v>
      </c>
      <c r="E55" s="3">
        <f t="shared" si="0"/>
        <v>100.43394000000001</v>
      </c>
      <c r="H55" s="4">
        <v>225.00591</v>
      </c>
      <c r="I55" s="1">
        <v>24.5</v>
      </c>
      <c r="J55" s="5">
        <v>96.073679999999996</v>
      </c>
      <c r="K55" s="3">
        <f t="shared" si="1"/>
        <v>100.18125999999999</v>
      </c>
      <c r="L55" s="1">
        <f t="shared" si="10"/>
        <v>2.5797391047614106E-3</v>
      </c>
      <c r="N55" s="4">
        <v>225.00851</v>
      </c>
      <c r="O55" s="1">
        <v>24.5</v>
      </c>
      <c r="P55" s="5">
        <v>100.58925000000001</v>
      </c>
      <c r="Q55" s="3">
        <f t="shared" si="2"/>
        <v>100.72483000000001</v>
      </c>
      <c r="T55" s="4">
        <v>250</v>
      </c>
      <c r="U55" s="1">
        <v>24.5</v>
      </c>
      <c r="V55" s="3">
        <v>96.246129999999994</v>
      </c>
      <c r="W55" s="3">
        <f t="shared" si="3"/>
        <v>100.40352999999999</v>
      </c>
      <c r="X55" s="1">
        <f t="shared" si="11"/>
        <v>2.7503752198464078E-3</v>
      </c>
      <c r="Z55" s="4">
        <v>250.01858999999999</v>
      </c>
      <c r="AA55" s="1">
        <v>24.5</v>
      </c>
      <c r="AB55" s="3">
        <v>101.06007</v>
      </c>
      <c r="AC55" s="3">
        <f t="shared" si="4"/>
        <v>100.98333</v>
      </c>
      <c r="AF55" s="11">
        <v>227.79130000000001</v>
      </c>
      <c r="AG55" s="1">
        <v>24.5</v>
      </c>
      <c r="AH55" s="13">
        <v>96.344149999999999</v>
      </c>
      <c r="AI55" s="3">
        <f t="shared" si="5"/>
        <v>99.351839999999996</v>
      </c>
      <c r="AJ55" s="1">
        <f t="shared" si="8"/>
        <v>8.1313386439419762E-3</v>
      </c>
      <c r="AL55" s="11">
        <v>227.7989</v>
      </c>
      <c r="AM55" s="1">
        <v>24.5</v>
      </c>
      <c r="AN55" s="13">
        <v>96.321269999999998</v>
      </c>
      <c r="AO55" s="3">
        <f t="shared" si="6"/>
        <v>99.414770000000004</v>
      </c>
      <c r="AP55" s="1">
        <f t="shared" si="9"/>
        <v>8.0935927769324838E-3</v>
      </c>
      <c r="AR55" s="11">
        <v>178.62241</v>
      </c>
      <c r="AS55" s="1">
        <v>24.5</v>
      </c>
      <c r="AT55" s="13">
        <v>99.222449999999995</v>
      </c>
      <c r="AU55" s="3">
        <f t="shared" si="7"/>
        <v>99.876939999999991</v>
      </c>
    </row>
    <row r="56" spans="2:47" ht="16" x14ac:dyDescent="0.2">
      <c r="B56" s="2">
        <v>199.99689000000001</v>
      </c>
      <c r="C56" s="1">
        <v>25</v>
      </c>
      <c r="D56" s="3">
        <v>99.858739999999997</v>
      </c>
      <c r="E56" s="3">
        <f t="shared" si="0"/>
        <v>100.57204</v>
      </c>
      <c r="H56" s="4">
        <v>225.00202999999999</v>
      </c>
      <c r="I56" s="1">
        <v>25</v>
      </c>
      <c r="J56" s="3">
        <v>96.049639999999997</v>
      </c>
      <c r="K56" s="3">
        <f t="shared" si="1"/>
        <v>100.15722</v>
      </c>
      <c r="L56" s="1">
        <f t="shared" si="10"/>
        <v>2.8692131902658059E-3</v>
      </c>
      <c r="N56" s="4">
        <v>225.01130000000001</v>
      </c>
      <c r="O56" s="1">
        <v>25</v>
      </c>
      <c r="P56" s="3">
        <v>100.34435999999999</v>
      </c>
      <c r="Q56" s="3">
        <f t="shared" si="2"/>
        <v>100.47994</v>
      </c>
      <c r="T56" s="4">
        <v>250.00299000000001</v>
      </c>
      <c r="U56" s="1">
        <v>25</v>
      </c>
      <c r="V56" s="5">
        <v>96.254189999999994</v>
      </c>
      <c r="W56" s="3">
        <f t="shared" si="3"/>
        <v>100.41158999999999</v>
      </c>
      <c r="X56" s="1">
        <f t="shared" si="11"/>
        <v>2.6535504796325535E-3</v>
      </c>
      <c r="Z56" s="4">
        <v>250.01608999999999</v>
      </c>
      <c r="AA56" s="1">
        <v>25</v>
      </c>
      <c r="AB56" s="5">
        <v>100.99892</v>
      </c>
      <c r="AC56" s="3">
        <f t="shared" si="4"/>
        <v>100.92218</v>
      </c>
      <c r="AF56" s="11">
        <v>230.298</v>
      </c>
      <c r="AG56" s="1">
        <v>25</v>
      </c>
      <c r="AH56" s="12">
        <v>96.382109999999997</v>
      </c>
      <c r="AI56" s="3">
        <f t="shared" si="5"/>
        <v>99.389799999999994</v>
      </c>
      <c r="AJ56" s="1">
        <f t="shared" si="8"/>
        <v>7.6725541570678846E-3</v>
      </c>
      <c r="AL56" s="11">
        <v>230.29212999999999</v>
      </c>
      <c r="AM56" s="1">
        <v>25</v>
      </c>
      <c r="AN56" s="12">
        <v>96.361220000000003</v>
      </c>
      <c r="AO56" s="3">
        <f t="shared" si="6"/>
        <v>99.454720000000009</v>
      </c>
      <c r="AP56" s="1">
        <f t="shared" si="9"/>
        <v>7.6110476227866609E-3</v>
      </c>
      <c r="AR56" s="11">
        <v>180.11761999999999</v>
      </c>
      <c r="AS56" s="1">
        <v>25</v>
      </c>
      <c r="AT56" s="12">
        <v>99.213980000000006</v>
      </c>
      <c r="AU56" s="3">
        <f t="shared" si="7"/>
        <v>99.868470000000002</v>
      </c>
    </row>
    <row r="57" spans="2:47" ht="16" x14ac:dyDescent="0.2">
      <c r="B57" s="2">
        <v>199.99966000000001</v>
      </c>
      <c r="C57" s="1">
        <v>25.5</v>
      </c>
      <c r="D57" s="5">
        <v>99.792640000000006</v>
      </c>
      <c r="E57" s="3">
        <f t="shared" si="0"/>
        <v>100.50594000000001</v>
      </c>
      <c r="H57" s="4">
        <v>224.99799999999999</v>
      </c>
      <c r="I57" s="1">
        <v>25.5</v>
      </c>
      <c r="J57" s="5">
        <v>96.071299999999994</v>
      </c>
      <c r="K57" s="3">
        <f t="shared" si="1"/>
        <v>100.17887999999999</v>
      </c>
      <c r="L57" s="1">
        <f t="shared" si="10"/>
        <v>2.6083975208804262E-3</v>
      </c>
      <c r="N57" s="4">
        <v>225.0145</v>
      </c>
      <c r="O57" s="1">
        <v>25.5</v>
      </c>
      <c r="P57" s="5">
        <v>100.56561000000001</v>
      </c>
      <c r="Q57" s="3">
        <f t="shared" si="2"/>
        <v>100.70119000000001</v>
      </c>
      <c r="T57" s="4">
        <v>249.99498</v>
      </c>
      <c r="U57" s="1">
        <v>25.5</v>
      </c>
      <c r="V57" s="3">
        <v>96.236220000000003</v>
      </c>
      <c r="W57" s="3">
        <f t="shared" si="3"/>
        <v>100.39362</v>
      </c>
      <c r="X57" s="1">
        <f t="shared" si="11"/>
        <v>2.8694240009280898E-3</v>
      </c>
      <c r="Z57" s="4">
        <v>250.01588000000001</v>
      </c>
      <c r="AA57" s="1">
        <v>25.5</v>
      </c>
      <c r="AB57" s="3">
        <v>101.08109</v>
      </c>
      <c r="AC57" s="3">
        <f t="shared" si="4"/>
        <v>101.00435</v>
      </c>
      <c r="AF57" s="11">
        <v>232.80971</v>
      </c>
      <c r="AG57" s="1">
        <v>25.5</v>
      </c>
      <c r="AH57" s="13">
        <v>96.345709999999997</v>
      </c>
      <c r="AI57" s="3">
        <f t="shared" si="5"/>
        <v>99.353399999999993</v>
      </c>
      <c r="AJ57" s="1">
        <f t="shared" si="8"/>
        <v>8.1124844869471767E-3</v>
      </c>
      <c r="AL57" s="11">
        <v>232.79908</v>
      </c>
      <c r="AM57" s="1">
        <v>25.5</v>
      </c>
      <c r="AN57" s="13">
        <v>96.336619999999996</v>
      </c>
      <c r="AO57" s="3">
        <f t="shared" si="6"/>
        <v>99.430120000000002</v>
      </c>
      <c r="AP57" s="1">
        <f t="shared" si="9"/>
        <v>7.9081843134497162E-3</v>
      </c>
      <c r="AR57" s="11">
        <v>181.61461</v>
      </c>
      <c r="AS57" s="1">
        <v>25.5</v>
      </c>
      <c r="AT57" s="13">
        <v>99.198059999999998</v>
      </c>
      <c r="AU57" s="3">
        <f t="shared" si="7"/>
        <v>99.852549999999994</v>
      </c>
    </row>
    <row r="58" spans="2:47" ht="16" x14ac:dyDescent="0.2">
      <c r="B58" s="2">
        <v>200.00360000000001</v>
      </c>
      <c r="C58" s="1">
        <v>26</v>
      </c>
      <c r="D58" s="3">
        <v>99.64837</v>
      </c>
      <c r="E58" s="3">
        <f t="shared" si="0"/>
        <v>100.36167</v>
      </c>
      <c r="H58" s="4">
        <v>225.00299000000001</v>
      </c>
      <c r="I58" s="1">
        <v>26</v>
      </c>
      <c r="J58" s="3">
        <v>96.088449999999995</v>
      </c>
      <c r="K58" s="3">
        <f t="shared" si="1"/>
        <v>100.19602999999999</v>
      </c>
      <c r="L58" s="1">
        <f t="shared" si="10"/>
        <v>2.401888345905353E-3</v>
      </c>
      <c r="N58" s="4">
        <v>225.01364000000001</v>
      </c>
      <c r="O58" s="1">
        <v>26</v>
      </c>
      <c r="P58" s="3">
        <v>100.53012</v>
      </c>
      <c r="Q58" s="3">
        <f t="shared" si="2"/>
        <v>100.6657</v>
      </c>
      <c r="T58" s="4">
        <v>250.00102000000001</v>
      </c>
      <c r="U58" s="1">
        <v>26</v>
      </c>
      <c r="V58" s="5">
        <v>96.224209999999999</v>
      </c>
      <c r="W58" s="3">
        <f t="shared" si="3"/>
        <v>100.38160999999999</v>
      </c>
      <c r="X58" s="1">
        <f t="shared" si="11"/>
        <v>3.0137000716438079E-3</v>
      </c>
      <c r="Z58" s="4">
        <v>250.01730000000001</v>
      </c>
      <c r="AA58" s="1">
        <v>26</v>
      </c>
      <c r="AB58" s="5">
        <v>101.02794</v>
      </c>
      <c r="AC58" s="3">
        <f t="shared" si="4"/>
        <v>100.9512</v>
      </c>
      <c r="AF58" s="11">
        <v>235.30776</v>
      </c>
      <c r="AG58" s="1">
        <v>26</v>
      </c>
      <c r="AH58" s="12">
        <v>96.328329999999994</v>
      </c>
      <c r="AI58" s="3">
        <f t="shared" si="5"/>
        <v>99.336019999999991</v>
      </c>
      <c r="AJ58" s="1">
        <f t="shared" si="8"/>
        <v>8.3225391334664951E-3</v>
      </c>
      <c r="AL58" s="11">
        <v>235.30960999999999</v>
      </c>
      <c r="AM58" s="1">
        <v>26</v>
      </c>
      <c r="AN58" s="12">
        <v>96.300129999999996</v>
      </c>
      <c r="AO58" s="3">
        <f t="shared" si="6"/>
        <v>99.393630000000002</v>
      </c>
      <c r="AP58" s="1">
        <f t="shared" si="9"/>
        <v>8.3489370712664709E-3</v>
      </c>
      <c r="AR58" s="11">
        <v>183.11841999999999</v>
      </c>
      <c r="AS58" s="1">
        <v>26</v>
      </c>
      <c r="AT58" s="12">
        <v>99.201679999999996</v>
      </c>
      <c r="AU58" s="3">
        <f t="shared" si="7"/>
        <v>99.856169999999992</v>
      </c>
    </row>
    <row r="59" spans="2:47" ht="16" x14ac:dyDescent="0.2">
      <c r="B59" s="2">
        <v>200.00514000000001</v>
      </c>
      <c r="C59" s="1">
        <v>26.5</v>
      </c>
      <c r="D59" s="5">
        <v>99.70693</v>
      </c>
      <c r="E59" s="3">
        <f t="shared" si="0"/>
        <v>100.42023</v>
      </c>
      <c r="H59" s="4">
        <v>225.00102999999999</v>
      </c>
      <c r="I59" s="1">
        <v>26.5</v>
      </c>
      <c r="J59" s="5">
        <v>96.057249999999996</v>
      </c>
      <c r="K59" s="3">
        <f t="shared" si="1"/>
        <v>100.16482999999999</v>
      </c>
      <c r="L59" s="1">
        <f t="shared" si="10"/>
        <v>2.7775785067929103E-3</v>
      </c>
      <c r="N59" s="4">
        <v>225.01176000000001</v>
      </c>
      <c r="O59" s="1">
        <v>26.5</v>
      </c>
      <c r="P59" s="5">
        <v>100.52113</v>
      </c>
      <c r="Q59" s="3">
        <f t="shared" si="2"/>
        <v>100.65671</v>
      </c>
      <c r="T59" s="4">
        <v>250.00002000000001</v>
      </c>
      <c r="U59" s="1">
        <v>26.5</v>
      </c>
      <c r="V59" s="3">
        <v>96.210279999999997</v>
      </c>
      <c r="W59" s="3">
        <f t="shared" si="3"/>
        <v>100.36767999999999</v>
      </c>
      <c r="X59" s="1">
        <f t="shared" si="11"/>
        <v>3.1810410928819121E-3</v>
      </c>
      <c r="Z59" s="4">
        <v>250.01662999999999</v>
      </c>
      <c r="AA59" s="1">
        <v>26.5</v>
      </c>
      <c r="AB59" s="3">
        <v>101.10242</v>
      </c>
      <c r="AC59" s="3">
        <f t="shared" si="4"/>
        <v>101.02567999999999</v>
      </c>
      <c r="AF59" s="11">
        <v>237.81944999999999</v>
      </c>
      <c r="AG59" s="1">
        <v>26.5</v>
      </c>
      <c r="AH59" s="13">
        <v>96.348290000000006</v>
      </c>
      <c r="AI59" s="3">
        <f t="shared" si="5"/>
        <v>99.355980000000002</v>
      </c>
      <c r="AJ59" s="1">
        <f t="shared" si="8"/>
        <v>8.0813026119171631E-3</v>
      </c>
      <c r="AL59" s="11">
        <v>237.81724</v>
      </c>
      <c r="AM59" s="1">
        <v>26.5</v>
      </c>
      <c r="AN59" s="13">
        <v>96.340869999999995</v>
      </c>
      <c r="AO59" s="3">
        <f t="shared" si="6"/>
        <v>99.434370000000001</v>
      </c>
      <c r="AP59" s="1">
        <f t="shared" si="9"/>
        <v>7.8568497225831573E-3</v>
      </c>
      <c r="AR59" s="11">
        <v>184.62644</v>
      </c>
      <c r="AS59" s="1">
        <v>26.5</v>
      </c>
      <c r="AT59" s="13">
        <v>99.21284</v>
      </c>
      <c r="AU59" s="3">
        <f t="shared" si="7"/>
        <v>99.867329999999995</v>
      </c>
    </row>
    <row r="60" spans="2:47" ht="16" x14ac:dyDescent="0.2">
      <c r="B60" s="2">
        <v>200.00754000000001</v>
      </c>
      <c r="C60" s="1">
        <v>27</v>
      </c>
      <c r="D60" s="3">
        <v>99.801130000000001</v>
      </c>
      <c r="E60" s="3">
        <f t="shared" si="0"/>
        <v>100.51443</v>
      </c>
      <c r="H60" s="4">
        <v>224.99896000000001</v>
      </c>
      <c r="I60" s="1">
        <v>27</v>
      </c>
      <c r="J60" s="3">
        <v>96.018799999999999</v>
      </c>
      <c r="K60" s="3">
        <f t="shared" si="1"/>
        <v>100.12638</v>
      </c>
      <c r="L60" s="1">
        <f t="shared" si="10"/>
        <v>3.2405684646815767E-3</v>
      </c>
      <c r="N60" s="4">
        <v>225.00971999999999</v>
      </c>
      <c r="O60" s="1">
        <v>27</v>
      </c>
      <c r="P60" s="3">
        <v>100.6037</v>
      </c>
      <c r="Q60" s="3">
        <f t="shared" si="2"/>
        <v>100.73928000000001</v>
      </c>
      <c r="T60" s="4">
        <v>249.99502000000001</v>
      </c>
      <c r="U60" s="1">
        <v>27</v>
      </c>
      <c r="V60" s="5">
        <v>96.200289999999995</v>
      </c>
      <c r="W60" s="3">
        <f t="shared" si="3"/>
        <v>100.35768999999999</v>
      </c>
      <c r="X60" s="1">
        <f t="shared" si="11"/>
        <v>3.3010509135688289E-3</v>
      </c>
      <c r="Z60" s="4">
        <v>250.01463000000001</v>
      </c>
      <c r="AA60" s="1">
        <v>27</v>
      </c>
      <c r="AB60" s="5">
        <v>100.94902999999999</v>
      </c>
      <c r="AC60" s="3">
        <f t="shared" si="4"/>
        <v>100.87228999999999</v>
      </c>
      <c r="AF60" s="11">
        <v>240.32471000000001</v>
      </c>
      <c r="AG60" s="1">
        <v>27</v>
      </c>
      <c r="AH60" s="12">
        <v>96.361149999999995</v>
      </c>
      <c r="AI60" s="3">
        <f t="shared" si="5"/>
        <v>99.368839999999992</v>
      </c>
      <c r="AJ60" s="1">
        <f t="shared" si="8"/>
        <v>7.9258766766907105E-3</v>
      </c>
      <c r="AL60" s="11">
        <v>240.31639000000001</v>
      </c>
      <c r="AM60" s="1">
        <v>27</v>
      </c>
      <c r="AN60" s="12">
        <v>96.316479999999999</v>
      </c>
      <c r="AO60" s="3">
        <f t="shared" si="6"/>
        <v>99.409980000000004</v>
      </c>
      <c r="AP60" s="1">
        <f t="shared" si="9"/>
        <v>8.1514498805209234E-3</v>
      </c>
      <c r="AR60" s="11">
        <v>186.12246999999999</v>
      </c>
      <c r="AS60" s="1">
        <v>27</v>
      </c>
      <c r="AT60" s="12">
        <v>99.171239999999997</v>
      </c>
      <c r="AU60" s="3">
        <f t="shared" si="7"/>
        <v>99.825729999999993</v>
      </c>
    </row>
    <row r="61" spans="2:47" ht="16" x14ac:dyDescent="0.2">
      <c r="B61" s="2">
        <v>200.01338000000001</v>
      </c>
      <c r="C61" s="1">
        <v>27.5</v>
      </c>
      <c r="D61" s="5">
        <v>99.774659999999997</v>
      </c>
      <c r="E61" s="3">
        <f t="shared" si="0"/>
        <v>100.48796</v>
      </c>
      <c r="H61" s="4">
        <v>224.99807000000001</v>
      </c>
      <c r="I61" s="1">
        <v>27.5</v>
      </c>
      <c r="J61" s="5">
        <v>96.0321</v>
      </c>
      <c r="K61" s="3">
        <f t="shared" si="1"/>
        <v>100.13968</v>
      </c>
      <c r="L61" s="1">
        <f t="shared" si="10"/>
        <v>3.0804184922519247E-3</v>
      </c>
      <c r="N61" s="4">
        <v>225.00964999999999</v>
      </c>
      <c r="O61" s="1">
        <v>27.5</v>
      </c>
      <c r="P61" s="5">
        <v>100.56653</v>
      </c>
      <c r="Q61" s="3">
        <f t="shared" si="2"/>
        <v>100.70211</v>
      </c>
      <c r="T61" s="4">
        <v>250.00102999999999</v>
      </c>
      <c r="U61" s="1">
        <v>27.5</v>
      </c>
      <c r="V61" s="3">
        <v>96.200249999999997</v>
      </c>
      <c r="W61" s="3">
        <f t="shared" si="3"/>
        <v>100.35764999999999</v>
      </c>
      <c r="X61" s="1">
        <f t="shared" si="11"/>
        <v>3.3015314333713608E-3</v>
      </c>
      <c r="Z61" s="4">
        <v>250.01222999999999</v>
      </c>
      <c r="AA61" s="1">
        <v>27.5</v>
      </c>
      <c r="AB61" s="3">
        <v>101.0377</v>
      </c>
      <c r="AC61" s="3">
        <f t="shared" si="4"/>
        <v>100.96096</v>
      </c>
      <c r="AF61" s="11">
        <v>242.83215000000001</v>
      </c>
      <c r="AG61" s="1">
        <v>27.5</v>
      </c>
      <c r="AH61" s="13">
        <v>96.357560000000007</v>
      </c>
      <c r="AI61" s="3">
        <f t="shared" si="5"/>
        <v>99.365250000000003</v>
      </c>
      <c r="AJ61" s="1">
        <f t="shared" si="8"/>
        <v>7.9692654097748179E-3</v>
      </c>
      <c r="AL61" s="11">
        <v>242.82151999999999</v>
      </c>
      <c r="AM61" s="1">
        <v>27.5</v>
      </c>
      <c r="AN61" s="13">
        <v>96.320419999999999</v>
      </c>
      <c r="AO61" s="3">
        <f t="shared" si="6"/>
        <v>99.413920000000005</v>
      </c>
      <c r="AP61" s="1">
        <f t="shared" si="9"/>
        <v>8.1038596951057956E-3</v>
      </c>
      <c r="AR61" s="11">
        <v>187.62852000000001</v>
      </c>
      <c r="AS61" s="1">
        <v>27.5</v>
      </c>
      <c r="AT61" s="13">
        <v>99.199780000000004</v>
      </c>
      <c r="AU61" s="3">
        <f t="shared" si="7"/>
        <v>99.85427</v>
      </c>
    </row>
    <row r="62" spans="2:47" ht="16" x14ac:dyDescent="0.2">
      <c r="B62" s="2">
        <v>200.01406</v>
      </c>
      <c r="C62" s="1">
        <v>28</v>
      </c>
      <c r="D62" s="3">
        <v>99.670850000000002</v>
      </c>
      <c r="E62" s="3">
        <f t="shared" si="0"/>
        <v>100.38415000000001</v>
      </c>
      <c r="H62" s="4">
        <v>225.00003000000001</v>
      </c>
      <c r="I62" s="1">
        <v>28</v>
      </c>
      <c r="J62" s="3">
        <v>96.023750000000007</v>
      </c>
      <c r="K62" s="3">
        <f t="shared" si="1"/>
        <v>100.13133000000001</v>
      </c>
      <c r="L62" s="1">
        <f t="shared" si="10"/>
        <v>3.1809637756945088E-3</v>
      </c>
      <c r="N62" s="4">
        <v>225.01393999999999</v>
      </c>
      <c r="O62" s="1">
        <v>28</v>
      </c>
      <c r="P62" s="3">
        <v>100.52736</v>
      </c>
      <c r="Q62" s="3">
        <f t="shared" si="2"/>
        <v>100.66294000000001</v>
      </c>
      <c r="T62" s="4">
        <v>249.99602999999999</v>
      </c>
      <c r="U62" s="1">
        <v>28</v>
      </c>
      <c r="V62" s="5">
        <v>96.16413</v>
      </c>
      <c r="W62" s="3">
        <f t="shared" si="3"/>
        <v>100.32153</v>
      </c>
      <c r="X62" s="1">
        <f t="shared" si="11"/>
        <v>3.7354408150740838E-3</v>
      </c>
      <c r="Z62" s="4">
        <v>250.01283000000001</v>
      </c>
      <c r="AA62" s="1">
        <v>28</v>
      </c>
      <c r="AB62" s="5">
        <v>101.15233000000001</v>
      </c>
      <c r="AC62" s="7">
        <f t="shared" si="4"/>
        <v>101.07559000000001</v>
      </c>
      <c r="AD62" s="1">
        <f>($AC$62-AC62)/($AC$62*(1-$M$1))</f>
        <v>0</v>
      </c>
      <c r="AF62" s="11">
        <v>245.32588000000001</v>
      </c>
      <c r="AG62" s="1">
        <v>28</v>
      </c>
      <c r="AH62" s="12">
        <v>96.325270000000003</v>
      </c>
      <c r="AI62" s="3">
        <f t="shared" si="5"/>
        <v>99.33296</v>
      </c>
      <c r="AJ62" s="1">
        <f t="shared" si="8"/>
        <v>8.3595222875716205E-3</v>
      </c>
      <c r="AL62" s="11">
        <v>245.33077</v>
      </c>
      <c r="AM62" s="1">
        <v>28</v>
      </c>
      <c r="AN62" s="12">
        <v>96.318790000000007</v>
      </c>
      <c r="AO62" s="3">
        <f t="shared" si="6"/>
        <v>99.412290000000013</v>
      </c>
      <c r="AP62" s="1">
        <f t="shared" si="9"/>
        <v>8.1235480205439324E-3</v>
      </c>
      <c r="AR62" s="11">
        <v>189.12331</v>
      </c>
      <c r="AS62" s="1">
        <v>28</v>
      </c>
      <c r="AT62" s="12">
        <v>99.202830000000006</v>
      </c>
      <c r="AU62" s="3">
        <f t="shared" si="7"/>
        <v>99.857320000000001</v>
      </c>
    </row>
    <row r="63" spans="2:47" ht="16" x14ac:dyDescent="0.2">
      <c r="B63" s="2">
        <v>200.01177999999999</v>
      </c>
      <c r="C63" s="1">
        <v>28.5</v>
      </c>
      <c r="D63" s="5">
        <v>99.786420000000007</v>
      </c>
      <c r="E63" s="3">
        <f t="shared" si="0"/>
        <v>100.49972000000001</v>
      </c>
      <c r="H63" s="4">
        <v>225.00197</v>
      </c>
      <c r="I63" s="1">
        <v>28.5</v>
      </c>
      <c r="J63" s="5">
        <v>96.031700000000001</v>
      </c>
      <c r="K63" s="3">
        <f t="shared" si="1"/>
        <v>100.13928</v>
      </c>
      <c r="L63" s="1">
        <f t="shared" si="10"/>
        <v>3.085235032776113E-3</v>
      </c>
      <c r="N63" s="4">
        <v>225.01679999999999</v>
      </c>
      <c r="O63" s="1">
        <v>28.5</v>
      </c>
      <c r="P63" s="5">
        <v>100.45744999999999</v>
      </c>
      <c r="Q63" s="3">
        <f t="shared" si="2"/>
        <v>100.59303</v>
      </c>
      <c r="T63" s="4">
        <v>249.99897000000001</v>
      </c>
      <c r="U63" s="1">
        <v>28.5</v>
      </c>
      <c r="V63" s="3">
        <v>96.153829999999999</v>
      </c>
      <c r="W63" s="3">
        <f t="shared" si="3"/>
        <v>100.31122999999999</v>
      </c>
      <c r="X63" s="1">
        <f t="shared" si="11"/>
        <v>3.8591746642307506E-3</v>
      </c>
      <c r="Z63" s="4">
        <v>250.01188999999999</v>
      </c>
      <c r="AA63" s="1">
        <v>28.5</v>
      </c>
      <c r="AB63" s="3">
        <v>101.03971</v>
      </c>
      <c r="AC63" s="3">
        <f t="shared" si="4"/>
        <v>100.96297</v>
      </c>
      <c r="AD63" s="1">
        <f t="shared" ref="AD63:AD126" si="12">($AC$62-AC63)/($AC$62*(1-$M$1))</f>
        <v>1.3469724472175313E-3</v>
      </c>
      <c r="AF63" s="11">
        <v>247.83596</v>
      </c>
      <c r="AG63" s="1">
        <v>28.5</v>
      </c>
      <c r="AH63" s="13">
        <v>96.316320000000005</v>
      </c>
      <c r="AI63" s="3">
        <f t="shared" si="5"/>
        <v>99.324010000000001</v>
      </c>
      <c r="AJ63" s="1">
        <f t="shared" si="8"/>
        <v>8.4676919703303849E-3</v>
      </c>
      <c r="AL63" s="11">
        <v>247.83471</v>
      </c>
      <c r="AM63" s="1">
        <v>28.5</v>
      </c>
      <c r="AN63" s="13">
        <v>96.299869999999999</v>
      </c>
      <c r="AO63" s="3">
        <f t="shared" si="6"/>
        <v>99.393370000000004</v>
      </c>
      <c r="AP63" s="1">
        <f t="shared" si="9"/>
        <v>8.3520775403547465E-3</v>
      </c>
      <c r="AR63" s="11">
        <v>190.61859000000001</v>
      </c>
      <c r="AS63" s="1">
        <v>28.5</v>
      </c>
      <c r="AT63" s="13">
        <v>99.197929999999999</v>
      </c>
      <c r="AU63" s="3">
        <f t="shared" si="7"/>
        <v>99.852419999999995</v>
      </c>
    </row>
    <row r="64" spans="2:47" ht="16" x14ac:dyDescent="0.2">
      <c r="B64" s="2">
        <v>200.01229000000001</v>
      </c>
      <c r="C64" s="1">
        <v>29</v>
      </c>
      <c r="D64" s="3">
        <v>99.698099999999997</v>
      </c>
      <c r="E64" s="3">
        <f t="shared" si="0"/>
        <v>100.4114</v>
      </c>
      <c r="H64" s="4">
        <v>225.00299000000001</v>
      </c>
      <c r="I64" s="1">
        <v>29</v>
      </c>
      <c r="J64" s="3">
        <v>96.006150000000005</v>
      </c>
      <c r="K64" s="3">
        <f t="shared" si="1"/>
        <v>100.11373</v>
      </c>
      <c r="L64" s="1">
        <f t="shared" si="10"/>
        <v>3.3928915587593156E-3</v>
      </c>
      <c r="N64" s="4">
        <v>225.01634000000001</v>
      </c>
      <c r="O64" s="1">
        <v>29</v>
      </c>
      <c r="P64" s="3">
        <v>100.55471</v>
      </c>
      <c r="Q64" s="3">
        <f t="shared" si="2"/>
        <v>100.69029</v>
      </c>
      <c r="T64" s="4">
        <v>250.00003000000001</v>
      </c>
      <c r="U64" s="1">
        <v>29</v>
      </c>
      <c r="V64" s="5">
        <v>96.144019999999998</v>
      </c>
      <c r="W64" s="3">
        <f t="shared" si="3"/>
        <v>100.30141999999999</v>
      </c>
      <c r="X64" s="1">
        <f t="shared" si="11"/>
        <v>3.9770221458061885E-3</v>
      </c>
      <c r="Z64" s="4">
        <v>250.01114999999999</v>
      </c>
      <c r="AA64" s="1">
        <v>29</v>
      </c>
      <c r="AB64" s="5">
        <v>101.05105</v>
      </c>
      <c r="AC64" s="3">
        <f t="shared" si="4"/>
        <v>100.97431</v>
      </c>
      <c r="AD64" s="1">
        <f t="shared" si="12"/>
        <v>1.2113422966985167E-3</v>
      </c>
      <c r="AF64" s="11">
        <v>250.34326999999999</v>
      </c>
      <c r="AG64" s="1">
        <v>29</v>
      </c>
      <c r="AH64" s="12">
        <v>96.298640000000006</v>
      </c>
      <c r="AI64" s="3">
        <f t="shared" si="5"/>
        <v>99.306330000000003</v>
      </c>
      <c r="AJ64" s="1">
        <f t="shared" si="8"/>
        <v>8.6813724162717355E-3</v>
      </c>
      <c r="AL64" s="11">
        <v>250.33735999999999</v>
      </c>
      <c r="AM64" s="1">
        <v>29</v>
      </c>
      <c r="AN64" s="12">
        <v>96.311419999999998</v>
      </c>
      <c r="AO64" s="3">
        <f t="shared" si="6"/>
        <v>99.404920000000004</v>
      </c>
      <c r="AP64" s="1">
        <f t="shared" si="9"/>
        <v>8.2125682404703033E-3</v>
      </c>
      <c r="AR64" s="11">
        <v>192.12255999999999</v>
      </c>
      <c r="AS64" s="1">
        <v>29</v>
      </c>
      <c r="AT64" s="12">
        <v>99.214920000000006</v>
      </c>
      <c r="AU64" s="3">
        <f t="shared" si="7"/>
        <v>99.869410000000002</v>
      </c>
    </row>
    <row r="65" spans="2:47" ht="16" x14ac:dyDescent="0.2">
      <c r="B65" s="2">
        <v>200.01621</v>
      </c>
      <c r="C65" s="1">
        <v>29.5</v>
      </c>
      <c r="D65" s="5">
        <v>99.644099999999995</v>
      </c>
      <c r="E65" s="3">
        <f t="shared" si="0"/>
        <v>100.3574</v>
      </c>
      <c r="H65" s="4">
        <v>225.00494</v>
      </c>
      <c r="I65" s="1">
        <v>29.5</v>
      </c>
      <c r="J65" s="5">
        <v>96.008939999999996</v>
      </c>
      <c r="K65" s="3">
        <f t="shared" si="1"/>
        <v>100.11651999999999</v>
      </c>
      <c r="L65" s="1">
        <f t="shared" si="10"/>
        <v>3.3592961886031395E-3</v>
      </c>
      <c r="N65" s="4">
        <v>225.01336000000001</v>
      </c>
      <c r="O65" s="1">
        <v>29.5</v>
      </c>
      <c r="P65" s="5">
        <v>100.54143999999999</v>
      </c>
      <c r="Q65" s="3">
        <f t="shared" si="2"/>
        <v>100.67702</v>
      </c>
      <c r="T65" s="4">
        <v>250.00299999999999</v>
      </c>
      <c r="U65" s="1">
        <v>29.5</v>
      </c>
      <c r="V65" s="3">
        <v>96.127889999999994</v>
      </c>
      <c r="W65" s="3">
        <f t="shared" si="3"/>
        <v>100.28528999999999</v>
      </c>
      <c r="X65" s="1">
        <f t="shared" si="11"/>
        <v>4.1707917561845734E-3</v>
      </c>
      <c r="Z65" s="4">
        <v>250.01250999999999</v>
      </c>
      <c r="AA65" s="1">
        <v>29.5</v>
      </c>
      <c r="AB65" s="3">
        <v>100.90232</v>
      </c>
      <c r="AC65" s="3">
        <f t="shared" si="4"/>
        <v>100.82558</v>
      </c>
      <c r="AD65" s="1">
        <f t="shared" si="12"/>
        <v>2.9902022867060816E-3</v>
      </c>
      <c r="AF65" s="11">
        <v>252.84884</v>
      </c>
      <c r="AG65" s="1">
        <v>29.5</v>
      </c>
      <c r="AH65" s="13">
        <v>96.307360000000003</v>
      </c>
      <c r="AI65" s="3">
        <f t="shared" si="5"/>
        <v>99.315049999999999</v>
      </c>
      <c r="AJ65" s="1">
        <f t="shared" si="8"/>
        <v>8.5759825130699244E-3</v>
      </c>
      <c r="AL65" s="11">
        <v>252.84473</v>
      </c>
      <c r="AM65" s="1">
        <v>29.5</v>
      </c>
      <c r="AN65" s="13">
        <v>96.285259999999994</v>
      </c>
      <c r="AO65" s="3">
        <f t="shared" si="6"/>
        <v>99.37876</v>
      </c>
      <c r="AP65" s="1">
        <f t="shared" si="9"/>
        <v>8.5285477456631797E-3</v>
      </c>
      <c r="AR65" s="11">
        <v>193.62517</v>
      </c>
      <c r="AS65" s="1">
        <v>29.5</v>
      </c>
      <c r="AT65" s="13">
        <v>99.196420000000003</v>
      </c>
      <c r="AU65" s="3">
        <f t="shared" si="7"/>
        <v>99.850909999999999</v>
      </c>
    </row>
    <row r="66" spans="2:47" ht="16" x14ac:dyDescent="0.2">
      <c r="B66" s="2">
        <v>200.01701</v>
      </c>
      <c r="C66" s="1">
        <v>30</v>
      </c>
      <c r="D66" s="3">
        <v>99.770079999999993</v>
      </c>
      <c r="E66" s="3">
        <f t="shared" si="0"/>
        <v>100.48338</v>
      </c>
      <c r="H66" s="4">
        <v>225.001</v>
      </c>
      <c r="I66" s="1">
        <v>30</v>
      </c>
      <c r="J66" s="3">
        <v>95.990269999999995</v>
      </c>
      <c r="K66" s="3">
        <f t="shared" si="1"/>
        <v>100.09784999999999</v>
      </c>
      <c r="L66" s="1">
        <f t="shared" si="10"/>
        <v>3.5841082175701632E-3</v>
      </c>
      <c r="N66" s="4">
        <v>225.01464999999999</v>
      </c>
      <c r="O66" s="1">
        <v>30</v>
      </c>
      <c r="P66" s="3">
        <v>100.53533</v>
      </c>
      <c r="Q66" s="3">
        <f t="shared" si="2"/>
        <v>100.67091000000001</v>
      </c>
      <c r="T66" s="4">
        <v>250.00402</v>
      </c>
      <c r="U66" s="1">
        <v>30</v>
      </c>
      <c r="V66" s="5">
        <v>96.135890000000003</v>
      </c>
      <c r="W66" s="3">
        <f t="shared" si="3"/>
        <v>100.29329</v>
      </c>
      <c r="X66" s="1">
        <f t="shared" si="11"/>
        <v>4.0746877956744313E-3</v>
      </c>
      <c r="Z66" s="4">
        <v>250.01320000000001</v>
      </c>
      <c r="AA66" s="1">
        <v>30</v>
      </c>
      <c r="AB66" s="5">
        <v>100.99357000000001</v>
      </c>
      <c r="AC66" s="3">
        <f t="shared" si="4"/>
        <v>100.91683</v>
      </c>
      <c r="AD66" s="1">
        <f t="shared" si="12"/>
        <v>1.898822107265526E-3</v>
      </c>
      <c r="AF66" s="11">
        <v>255.35228000000001</v>
      </c>
      <c r="AG66" s="1">
        <v>30</v>
      </c>
      <c r="AH66" s="12">
        <v>96.283779999999993</v>
      </c>
      <c r="AI66" s="3">
        <f t="shared" si="5"/>
        <v>99.29146999999999</v>
      </c>
      <c r="AJ66" s="1">
        <f t="shared" si="8"/>
        <v>8.8609703476456893E-3</v>
      </c>
      <c r="AL66" s="11">
        <v>255.34501</v>
      </c>
      <c r="AM66" s="1">
        <v>30</v>
      </c>
      <c r="AN66" s="12">
        <v>96.283940000000001</v>
      </c>
      <c r="AO66" s="3">
        <f t="shared" si="6"/>
        <v>99.377440000000007</v>
      </c>
      <c r="AP66" s="1">
        <f t="shared" si="9"/>
        <v>8.5444916656498855E-3</v>
      </c>
      <c r="AR66" s="11">
        <v>195.12439000000001</v>
      </c>
      <c r="AS66" s="1">
        <v>30</v>
      </c>
      <c r="AT66" s="12">
        <v>99.191990000000004</v>
      </c>
      <c r="AU66" s="3">
        <f t="shared" si="7"/>
        <v>99.84648</v>
      </c>
    </row>
    <row r="67" spans="2:47" ht="16" x14ac:dyDescent="0.2">
      <c r="B67" s="2">
        <v>200.01525000000001</v>
      </c>
      <c r="C67" s="1">
        <v>30.5</v>
      </c>
      <c r="D67" s="5">
        <v>99.698160000000001</v>
      </c>
      <c r="E67" s="3">
        <f t="shared" si="0"/>
        <v>100.41146000000001</v>
      </c>
      <c r="H67" s="4">
        <v>225.00210000000001</v>
      </c>
      <c r="I67" s="1">
        <v>30.5</v>
      </c>
      <c r="J67" s="5">
        <v>95.99</v>
      </c>
      <c r="K67" s="3">
        <f t="shared" si="1"/>
        <v>100.09757999999999</v>
      </c>
      <c r="L67" s="1">
        <f t="shared" si="10"/>
        <v>3.5873593824240035E-3</v>
      </c>
      <c r="N67" s="4">
        <v>225.01607000000001</v>
      </c>
      <c r="O67" s="1">
        <v>30.5</v>
      </c>
      <c r="P67" s="5">
        <v>100.66503</v>
      </c>
      <c r="Q67" s="3">
        <f t="shared" si="2"/>
        <v>100.80061000000001</v>
      </c>
      <c r="T67" s="4">
        <v>250.00203999999999</v>
      </c>
      <c r="U67" s="1">
        <v>30.5</v>
      </c>
      <c r="V67" s="3">
        <v>96.136049999999997</v>
      </c>
      <c r="W67" s="3">
        <f t="shared" si="3"/>
        <v>100.29344999999999</v>
      </c>
      <c r="X67" s="1">
        <f t="shared" si="11"/>
        <v>4.0727657164643036E-3</v>
      </c>
      <c r="Z67" s="4">
        <v>250.01248000000001</v>
      </c>
      <c r="AA67" s="1">
        <v>30.5</v>
      </c>
      <c r="AB67" s="3">
        <v>101.03758000000001</v>
      </c>
      <c r="AC67" s="3">
        <f t="shared" si="4"/>
        <v>100.96084</v>
      </c>
      <c r="AD67" s="1">
        <f t="shared" si="12"/>
        <v>1.3724479516800162E-3</v>
      </c>
      <c r="AF67" s="11">
        <v>257.85978999999998</v>
      </c>
      <c r="AG67" s="1">
        <v>30.5</v>
      </c>
      <c r="AH67" s="13">
        <v>96.276049999999998</v>
      </c>
      <c r="AI67" s="3">
        <f t="shared" si="5"/>
        <v>99.283739999999995</v>
      </c>
      <c r="AJ67" s="1">
        <f t="shared" si="8"/>
        <v>8.9543951127546116E-3</v>
      </c>
      <c r="AL67" s="11">
        <v>257.85599999999999</v>
      </c>
      <c r="AM67" s="1">
        <v>30.5</v>
      </c>
      <c r="AN67" s="13">
        <v>96.279179999999997</v>
      </c>
      <c r="AO67" s="3">
        <f t="shared" si="6"/>
        <v>99.372680000000003</v>
      </c>
      <c r="AP67" s="1">
        <f t="shared" si="9"/>
        <v>8.6019864074205008E-3</v>
      </c>
      <c r="AR67" s="11">
        <v>196.62739999999999</v>
      </c>
      <c r="AS67" s="1">
        <v>30.5</v>
      </c>
      <c r="AT67" s="13">
        <v>99.195949999999996</v>
      </c>
      <c r="AU67" s="3">
        <f t="shared" si="7"/>
        <v>99.850439999999992</v>
      </c>
    </row>
    <row r="68" spans="2:47" ht="16" x14ac:dyDescent="0.2">
      <c r="B68" s="2">
        <v>200.01652000000001</v>
      </c>
      <c r="C68" s="1">
        <v>31</v>
      </c>
      <c r="D68" s="3">
        <v>99.779319999999998</v>
      </c>
      <c r="E68" s="3">
        <f t="shared" si="0"/>
        <v>100.49262</v>
      </c>
      <c r="H68" s="4">
        <v>225.00394</v>
      </c>
      <c r="I68" s="1">
        <v>31</v>
      </c>
      <c r="J68" s="3">
        <v>95.968639999999994</v>
      </c>
      <c r="K68" s="3">
        <f t="shared" si="1"/>
        <v>100.07621999999999</v>
      </c>
      <c r="L68" s="1">
        <f t="shared" si="10"/>
        <v>3.8445626464162844E-3</v>
      </c>
      <c r="N68" s="4">
        <v>225.01828</v>
      </c>
      <c r="O68" s="1">
        <v>31</v>
      </c>
      <c r="P68" s="3">
        <v>100.56511</v>
      </c>
      <c r="Q68" s="3">
        <f t="shared" si="2"/>
        <v>100.70069000000001</v>
      </c>
      <c r="T68" s="4">
        <v>250.00099</v>
      </c>
      <c r="U68" s="1">
        <v>31</v>
      </c>
      <c r="V68" s="5">
        <v>96.103669999999994</v>
      </c>
      <c r="W68" s="3">
        <f t="shared" si="3"/>
        <v>100.26106999999999</v>
      </c>
      <c r="X68" s="1">
        <f t="shared" si="11"/>
        <v>4.4617464966286687E-3</v>
      </c>
      <c r="Z68" s="4">
        <v>250.0103</v>
      </c>
      <c r="AA68" s="1">
        <v>31</v>
      </c>
      <c r="AB68" s="5">
        <v>100.98832</v>
      </c>
      <c r="AC68" s="3">
        <f t="shared" si="4"/>
        <v>100.91158</v>
      </c>
      <c r="AD68" s="1">
        <f t="shared" si="12"/>
        <v>1.9616138436169437E-3</v>
      </c>
      <c r="AF68" s="11">
        <v>260.36428000000001</v>
      </c>
      <c r="AG68" s="1">
        <v>31</v>
      </c>
      <c r="AH68" s="12">
        <v>96.260059999999996</v>
      </c>
      <c r="AI68" s="3">
        <f t="shared" si="5"/>
        <v>99.267749999999992</v>
      </c>
      <c r="AJ68" s="1">
        <f t="shared" si="8"/>
        <v>9.1476502219516101E-3</v>
      </c>
      <c r="AL68" s="11">
        <v>260.35489999999999</v>
      </c>
      <c r="AM68" s="1">
        <v>31</v>
      </c>
      <c r="AN68" s="12">
        <v>96.215299999999999</v>
      </c>
      <c r="AO68" s="3">
        <f t="shared" si="6"/>
        <v>99.308800000000005</v>
      </c>
      <c r="AP68" s="1">
        <f t="shared" si="9"/>
        <v>9.3735755049631896E-3</v>
      </c>
      <c r="AR68" s="11">
        <v>198.12846999999999</v>
      </c>
      <c r="AS68" s="1">
        <v>31</v>
      </c>
      <c r="AT68" s="12">
        <v>99.197659999999999</v>
      </c>
      <c r="AU68" s="3">
        <f t="shared" si="7"/>
        <v>99.852149999999995</v>
      </c>
    </row>
    <row r="69" spans="2:47" ht="16" x14ac:dyDescent="0.2">
      <c r="B69" s="2">
        <v>200.01882000000001</v>
      </c>
      <c r="C69" s="1">
        <v>31.5</v>
      </c>
      <c r="D69" s="5">
        <v>99.695350000000005</v>
      </c>
      <c r="E69" s="3">
        <f t="shared" si="0"/>
        <v>100.40865000000001</v>
      </c>
      <c r="H69" s="4">
        <v>225.00115</v>
      </c>
      <c r="I69" s="1">
        <v>31.5</v>
      </c>
      <c r="J69" s="5">
        <v>95.974580000000003</v>
      </c>
      <c r="K69" s="3">
        <f t="shared" si="1"/>
        <v>100.08216</v>
      </c>
      <c r="L69" s="1">
        <f t="shared" si="10"/>
        <v>3.773037019631803E-3</v>
      </c>
      <c r="N69" s="4">
        <v>225.02062000000001</v>
      </c>
      <c r="O69" s="1">
        <v>31.5</v>
      </c>
      <c r="P69" s="5">
        <v>100.57778</v>
      </c>
      <c r="Q69" s="3">
        <f t="shared" si="2"/>
        <v>100.71336000000001</v>
      </c>
      <c r="T69" s="4">
        <v>250.005</v>
      </c>
      <c r="U69" s="1">
        <v>31.5</v>
      </c>
      <c r="V69" s="3">
        <v>96.121859999999998</v>
      </c>
      <c r="W69" s="3">
        <f t="shared" si="3"/>
        <v>100.27925999999999</v>
      </c>
      <c r="X69" s="1">
        <f t="shared" si="11"/>
        <v>4.2432301164189506E-3</v>
      </c>
      <c r="Z69" s="4">
        <v>250.01041000000001</v>
      </c>
      <c r="AA69" s="1">
        <v>31.5</v>
      </c>
      <c r="AB69" s="3">
        <v>100.95826</v>
      </c>
      <c r="AC69" s="3">
        <f t="shared" si="4"/>
        <v>100.88151999999999</v>
      </c>
      <c r="AD69" s="1">
        <f t="shared" si="12"/>
        <v>2.3211413854688757E-3</v>
      </c>
      <c r="AF69" s="11">
        <v>262.88161000000002</v>
      </c>
      <c r="AG69" s="1">
        <v>31.5</v>
      </c>
      <c r="AH69" s="13">
        <v>96.263450000000006</v>
      </c>
      <c r="AI69" s="3">
        <f t="shared" si="5"/>
        <v>99.271140000000003</v>
      </c>
      <c r="AJ69" s="1">
        <f t="shared" si="8"/>
        <v>9.1066786884819589E-3</v>
      </c>
      <c r="AL69" s="11">
        <v>262.86165999999997</v>
      </c>
      <c r="AM69" s="1">
        <v>31.5</v>
      </c>
      <c r="AN69" s="13">
        <v>96.227050000000006</v>
      </c>
      <c r="AO69" s="3">
        <f t="shared" si="6"/>
        <v>99.320550000000011</v>
      </c>
      <c r="AP69" s="1">
        <f t="shared" si="9"/>
        <v>9.2316504596261229E-3</v>
      </c>
      <c r="AR69" s="11">
        <v>199.63144</v>
      </c>
      <c r="AS69" s="1">
        <v>31.5</v>
      </c>
      <c r="AT69" s="13">
        <v>99.197969999999998</v>
      </c>
      <c r="AU69" s="3">
        <f t="shared" si="7"/>
        <v>99.852459999999994</v>
      </c>
    </row>
    <row r="70" spans="2:47" ht="16" x14ac:dyDescent="0.2">
      <c r="B70" s="2">
        <v>200.02331000000001</v>
      </c>
      <c r="C70" s="1">
        <v>32</v>
      </c>
      <c r="D70" s="3">
        <v>99.700460000000007</v>
      </c>
      <c r="E70" s="3">
        <f t="shared" si="0"/>
        <v>100.41376000000001</v>
      </c>
      <c r="H70" s="4">
        <v>225.00605999999999</v>
      </c>
      <c r="I70" s="1">
        <v>32</v>
      </c>
      <c r="J70" s="3">
        <v>95.966890000000006</v>
      </c>
      <c r="K70" s="3">
        <f t="shared" si="1"/>
        <v>100.07447000000001</v>
      </c>
      <c r="L70" s="1">
        <f t="shared" si="10"/>
        <v>3.8656350112095022E-3</v>
      </c>
      <c r="N70" s="4">
        <v>225.02146999999999</v>
      </c>
      <c r="O70" s="1">
        <v>32</v>
      </c>
      <c r="P70" s="3">
        <v>100.5682</v>
      </c>
      <c r="Q70" s="3">
        <f t="shared" si="2"/>
        <v>100.70378000000001</v>
      </c>
      <c r="T70" s="4">
        <v>249.99798999999999</v>
      </c>
      <c r="U70" s="1">
        <v>32</v>
      </c>
      <c r="V70" s="5">
        <v>96.09366</v>
      </c>
      <c r="W70" s="3">
        <f t="shared" si="3"/>
        <v>100.25106</v>
      </c>
      <c r="X70" s="1">
        <f t="shared" si="11"/>
        <v>4.5819965772167662E-3</v>
      </c>
      <c r="Z70" s="4">
        <v>250.01362</v>
      </c>
      <c r="AA70" s="1">
        <v>32</v>
      </c>
      <c r="AB70" s="5">
        <v>101.02808</v>
      </c>
      <c r="AC70" s="3">
        <f t="shared" si="4"/>
        <v>100.95134</v>
      </c>
      <c r="AD70" s="1">
        <f t="shared" si="12"/>
        <v>1.4860710936491998E-3</v>
      </c>
      <c r="AF70" s="11">
        <v>265.38119999999998</v>
      </c>
      <c r="AG70" s="1">
        <v>32</v>
      </c>
      <c r="AH70" s="12">
        <v>96.245170000000002</v>
      </c>
      <c r="AI70" s="3">
        <f t="shared" si="5"/>
        <v>99.252859999999998</v>
      </c>
      <c r="AJ70" s="1">
        <f t="shared" si="8"/>
        <v>9.3276107332675422E-3</v>
      </c>
      <c r="AL70" s="11">
        <v>265.37488000000002</v>
      </c>
      <c r="AM70" s="1">
        <v>32</v>
      </c>
      <c r="AN70" s="12">
        <v>96.234589999999997</v>
      </c>
      <c r="AO70" s="3">
        <f t="shared" si="6"/>
        <v>99.328090000000003</v>
      </c>
      <c r="AP70" s="1">
        <f t="shared" si="9"/>
        <v>9.1405768560652943E-3</v>
      </c>
      <c r="AR70" s="11">
        <v>201.12601000000001</v>
      </c>
      <c r="AS70" s="1">
        <v>32</v>
      </c>
      <c r="AT70" s="12">
        <v>99.183710000000005</v>
      </c>
      <c r="AU70" s="3">
        <f t="shared" si="7"/>
        <v>99.838200000000001</v>
      </c>
    </row>
    <row r="71" spans="2:47" ht="16" x14ac:dyDescent="0.2">
      <c r="B71" s="2">
        <v>200.02530999999999</v>
      </c>
      <c r="C71" s="1">
        <v>32.5</v>
      </c>
      <c r="D71" s="5">
        <v>99.756519999999995</v>
      </c>
      <c r="E71" s="3">
        <f t="shared" ref="E71:E134" si="13">100-($D$6-D71)</f>
        <v>100.46982</v>
      </c>
      <c r="H71" s="4">
        <v>224.99996999999999</v>
      </c>
      <c r="I71" s="1">
        <v>32.5</v>
      </c>
      <c r="J71" s="5">
        <v>95.941190000000006</v>
      </c>
      <c r="K71" s="3">
        <f t="shared" ref="K71:K134" si="14">100-($J$6-J71)</f>
        <v>100.04877</v>
      </c>
      <c r="L71" s="1">
        <f t="shared" si="10"/>
        <v>4.1750977398893399E-3</v>
      </c>
      <c r="N71" s="4">
        <v>225.02090999999999</v>
      </c>
      <c r="O71" s="1">
        <v>32.5</v>
      </c>
      <c r="P71" s="5">
        <v>100.61987000000001</v>
      </c>
      <c r="Q71" s="3">
        <f t="shared" ref="Q71:Q134" si="15">100-($P$6-P71)</f>
        <v>100.75545000000001</v>
      </c>
      <c r="T71" s="4">
        <v>250.00597999999999</v>
      </c>
      <c r="U71" s="1">
        <v>32.5</v>
      </c>
      <c r="V71" s="3">
        <v>96.075749999999999</v>
      </c>
      <c r="W71" s="3">
        <f t="shared" ref="W71:W134" si="16">100-($V$6-V71)</f>
        <v>100.23314999999999</v>
      </c>
      <c r="X71" s="1">
        <f t="shared" si="11"/>
        <v>4.7971493188085903E-3</v>
      </c>
      <c r="Z71" s="4">
        <v>250.01544000000001</v>
      </c>
      <c r="AA71" s="1">
        <v>32.5</v>
      </c>
      <c r="AB71" s="3">
        <v>101.03203999999999</v>
      </c>
      <c r="AC71" s="3">
        <f t="shared" ref="AC71:AC134" si="17">100-($AB$6-AB71)</f>
        <v>100.95529999999999</v>
      </c>
      <c r="AD71" s="1">
        <f t="shared" si="12"/>
        <v>1.4387081839442577E-3</v>
      </c>
      <c r="AF71" s="11">
        <v>267.88175999999999</v>
      </c>
      <c r="AG71" s="1">
        <v>32.5</v>
      </c>
      <c r="AH71" s="13">
        <v>96.219309999999993</v>
      </c>
      <c r="AI71" s="3">
        <f t="shared" ref="AI71:AI134" si="18">100-($AH$6-AH71)</f>
        <v>99.22699999999999</v>
      </c>
      <c r="AJ71" s="1">
        <f t="shared" si="8"/>
        <v>9.6401546434511185E-3</v>
      </c>
      <c r="AL71" s="11">
        <v>267.87927999999999</v>
      </c>
      <c r="AM71" s="1">
        <v>32.5</v>
      </c>
      <c r="AN71" s="13">
        <v>96.177670000000006</v>
      </c>
      <c r="AO71" s="3">
        <f t="shared" ref="AO71:AO134" si="19">100-($AN$6-AN71)</f>
        <v>99.271170000000012</v>
      </c>
      <c r="AP71" s="1">
        <f t="shared" si="9"/>
        <v>9.8280980118593559E-3</v>
      </c>
      <c r="AR71" s="11">
        <v>202.63333</v>
      </c>
      <c r="AS71" s="1">
        <v>32.5</v>
      </c>
      <c r="AT71" s="13">
        <v>99.203720000000004</v>
      </c>
      <c r="AU71" s="3">
        <f t="shared" ref="AU71:AU134" si="20">100-($AT$6-AT71)</f>
        <v>99.85821</v>
      </c>
    </row>
    <row r="72" spans="2:47" ht="16" x14ac:dyDescent="0.2">
      <c r="B72" s="2">
        <v>200.02441999999999</v>
      </c>
      <c r="C72" s="1">
        <v>33</v>
      </c>
      <c r="D72" s="3">
        <v>99.773880000000005</v>
      </c>
      <c r="E72" s="3">
        <f t="shared" si="13"/>
        <v>100.48718000000001</v>
      </c>
      <c r="H72" s="4">
        <v>224.99991</v>
      </c>
      <c r="I72" s="1">
        <v>33</v>
      </c>
      <c r="J72" s="3">
        <v>95.947149999999993</v>
      </c>
      <c r="K72" s="3">
        <f t="shared" si="14"/>
        <v>100.05472999999999</v>
      </c>
      <c r="L72" s="1">
        <f t="shared" si="10"/>
        <v>4.103331286078914E-3</v>
      </c>
      <c r="N72" s="4">
        <v>225.01765</v>
      </c>
      <c r="O72" s="1">
        <v>33</v>
      </c>
      <c r="P72" s="3">
        <v>100.60765000000001</v>
      </c>
      <c r="Q72" s="3">
        <f t="shared" si="15"/>
        <v>100.74323000000001</v>
      </c>
      <c r="T72" s="4">
        <v>250.00398999999999</v>
      </c>
      <c r="U72" s="1">
        <v>33</v>
      </c>
      <c r="V72" s="5">
        <v>96.079599999999999</v>
      </c>
      <c r="W72" s="3">
        <f t="shared" si="16"/>
        <v>100.23699999999999</v>
      </c>
      <c r="X72" s="1">
        <f t="shared" si="11"/>
        <v>4.7508992878131416E-3</v>
      </c>
      <c r="Z72" s="4">
        <v>250.01369</v>
      </c>
      <c r="AA72" s="1">
        <v>33</v>
      </c>
      <c r="AB72" s="5">
        <v>100.92909</v>
      </c>
      <c r="AC72" s="3">
        <f t="shared" si="17"/>
        <v>100.85235</v>
      </c>
      <c r="AD72" s="1">
        <f t="shared" si="12"/>
        <v>2.6700242329677588E-3</v>
      </c>
      <c r="AF72" s="11">
        <v>270.37916000000001</v>
      </c>
      <c r="AG72" s="1">
        <v>33</v>
      </c>
      <c r="AH72" s="12">
        <v>96.226759999999999</v>
      </c>
      <c r="AI72" s="3">
        <f t="shared" si="18"/>
        <v>99.234449999999995</v>
      </c>
      <c r="AJ72" s="1">
        <f t="shared" ref="AJ72:AJ135" si="21">($AI$7-AI72)/($AI$7*(1-$M$1))</f>
        <v>9.5501139578026781E-3</v>
      </c>
      <c r="AL72" s="11">
        <v>270.38754999999998</v>
      </c>
      <c r="AM72" s="1">
        <v>33</v>
      </c>
      <c r="AN72" s="12">
        <v>96.190629999999999</v>
      </c>
      <c r="AO72" s="3">
        <f t="shared" si="19"/>
        <v>99.284130000000005</v>
      </c>
      <c r="AP72" s="1">
        <f t="shared" si="9"/>
        <v>9.6715577065345625E-3</v>
      </c>
      <c r="AR72" s="11">
        <v>204.1335</v>
      </c>
      <c r="AS72" s="1">
        <v>33</v>
      </c>
      <c r="AT72" s="12">
        <v>99.196929999999995</v>
      </c>
      <c r="AU72" s="3">
        <f t="shared" si="20"/>
        <v>99.85141999999999</v>
      </c>
    </row>
    <row r="73" spans="2:47" ht="16" x14ac:dyDescent="0.2">
      <c r="B73" s="2">
        <v>200.02081000000001</v>
      </c>
      <c r="C73" s="1">
        <v>33.5</v>
      </c>
      <c r="D73" s="5">
        <v>99.795950000000005</v>
      </c>
      <c r="E73" s="3">
        <f t="shared" si="13"/>
        <v>100.50925000000001</v>
      </c>
      <c r="H73" s="4">
        <v>225.00198</v>
      </c>
      <c r="I73" s="1">
        <v>33.5</v>
      </c>
      <c r="J73" s="5">
        <v>95.937060000000002</v>
      </c>
      <c r="K73" s="3">
        <f t="shared" si="14"/>
        <v>100.04464</v>
      </c>
      <c r="L73" s="1">
        <f t="shared" si="10"/>
        <v>4.2248285208017445E-3</v>
      </c>
      <c r="N73" s="4">
        <v>225.01509999999999</v>
      </c>
      <c r="O73" s="1">
        <v>33.5</v>
      </c>
      <c r="P73" s="5">
        <v>100.7008</v>
      </c>
      <c r="Q73" s="3">
        <f t="shared" si="15"/>
        <v>100.83638000000001</v>
      </c>
      <c r="T73" s="4">
        <v>249.99898999999999</v>
      </c>
      <c r="U73" s="1">
        <v>33.5</v>
      </c>
      <c r="V73" s="3">
        <v>96.061819999999997</v>
      </c>
      <c r="W73" s="3">
        <f t="shared" si="16"/>
        <v>100.21921999999999</v>
      </c>
      <c r="X73" s="1">
        <f t="shared" si="11"/>
        <v>4.9644903400466942E-3</v>
      </c>
      <c r="Z73" s="4">
        <v>250.01272</v>
      </c>
      <c r="AA73" s="1">
        <v>33.5</v>
      </c>
      <c r="AB73" s="3">
        <v>101.00001</v>
      </c>
      <c r="AC73" s="3">
        <f t="shared" si="17"/>
        <v>100.92327</v>
      </c>
      <c r="AD73" s="1">
        <f t="shared" si="12"/>
        <v>1.8217975773412018E-3</v>
      </c>
      <c r="AF73" s="11">
        <v>272.89193999999998</v>
      </c>
      <c r="AG73" s="1">
        <v>33.5</v>
      </c>
      <c r="AH73" s="13">
        <v>96.157719999999998</v>
      </c>
      <c r="AI73" s="3">
        <f t="shared" si="18"/>
        <v>99.165409999999994</v>
      </c>
      <c r="AJ73" s="1">
        <f t="shared" si="21"/>
        <v>1.0384531264804504E-2</v>
      </c>
      <c r="AL73" s="11">
        <v>272.89515999999998</v>
      </c>
      <c r="AM73" s="1">
        <v>33.5</v>
      </c>
      <c r="AN73" s="13">
        <v>96.13279</v>
      </c>
      <c r="AO73" s="3">
        <f t="shared" si="19"/>
        <v>99.226290000000006</v>
      </c>
      <c r="AP73" s="1">
        <f t="shared" si="9"/>
        <v>1.0370191291410423E-2</v>
      </c>
      <c r="AR73" s="11">
        <v>205.64143999999999</v>
      </c>
      <c r="AS73" s="1">
        <v>33.5</v>
      </c>
      <c r="AT73" s="13">
        <v>99.211560000000006</v>
      </c>
      <c r="AU73" s="3">
        <f t="shared" si="20"/>
        <v>99.866050000000001</v>
      </c>
    </row>
    <row r="74" spans="2:47" ht="16" x14ac:dyDescent="0.2">
      <c r="B74" s="2">
        <v>200.01866999999999</v>
      </c>
      <c r="C74" s="1">
        <v>34</v>
      </c>
      <c r="D74" s="3">
        <v>99.74776</v>
      </c>
      <c r="E74" s="3">
        <f t="shared" si="13"/>
        <v>100.46106</v>
      </c>
      <c r="H74" s="4">
        <v>225.00398000000001</v>
      </c>
      <c r="I74" s="1">
        <v>34</v>
      </c>
      <c r="J74" s="3">
        <v>95.945610000000002</v>
      </c>
      <c r="K74" s="3">
        <f t="shared" si="14"/>
        <v>100.05319</v>
      </c>
      <c r="L74" s="1">
        <f t="shared" si="10"/>
        <v>4.12187496709698E-3</v>
      </c>
      <c r="N74" s="4">
        <v>225.01027999999999</v>
      </c>
      <c r="O74" s="1">
        <v>34</v>
      </c>
      <c r="P74" s="3">
        <v>100.61014</v>
      </c>
      <c r="Q74" s="3">
        <f t="shared" si="15"/>
        <v>100.74572000000001</v>
      </c>
      <c r="T74" s="4">
        <v>249.99897000000001</v>
      </c>
      <c r="U74" s="1">
        <v>34</v>
      </c>
      <c r="V74" s="5">
        <v>96.065659999999994</v>
      </c>
      <c r="W74" s="3">
        <f t="shared" si="16"/>
        <v>100.22305999999999</v>
      </c>
      <c r="X74" s="1">
        <f t="shared" si="11"/>
        <v>4.9183604390019217E-3</v>
      </c>
      <c r="Z74" s="4">
        <v>250.01077000000001</v>
      </c>
      <c r="AA74" s="1">
        <v>34</v>
      </c>
      <c r="AB74" s="5">
        <v>100.92234999999999</v>
      </c>
      <c r="AC74" s="3">
        <f t="shared" si="17"/>
        <v>100.84560999999999</v>
      </c>
      <c r="AD74" s="1">
        <f t="shared" si="12"/>
        <v>2.7506368621122807E-3</v>
      </c>
      <c r="AF74" s="11">
        <v>275.39983000000001</v>
      </c>
      <c r="AG74" s="1">
        <v>34</v>
      </c>
      <c r="AH74" s="12">
        <v>96.153360000000006</v>
      </c>
      <c r="AI74" s="3">
        <f t="shared" si="18"/>
        <v>99.161050000000003</v>
      </c>
      <c r="AJ74" s="1">
        <f t="shared" si="21"/>
        <v>1.0437226216405323E-2</v>
      </c>
      <c r="AL74" s="11">
        <v>275.39454999999998</v>
      </c>
      <c r="AM74" s="1">
        <v>34</v>
      </c>
      <c r="AN74" s="12">
        <v>96.106949999999998</v>
      </c>
      <c r="AO74" s="3">
        <f t="shared" si="19"/>
        <v>99.200450000000004</v>
      </c>
      <c r="AP74" s="1">
        <f t="shared" si="9"/>
        <v>1.0682305603879203E-2</v>
      </c>
      <c r="AR74" s="11">
        <v>207.14255</v>
      </c>
      <c r="AS74" s="1">
        <v>34</v>
      </c>
      <c r="AT74" s="12">
        <v>99.190129999999996</v>
      </c>
      <c r="AU74" s="3">
        <f t="shared" si="20"/>
        <v>99.844619999999992</v>
      </c>
    </row>
    <row r="75" spans="2:47" ht="16" x14ac:dyDescent="0.2">
      <c r="B75" s="2">
        <v>200.02049</v>
      </c>
      <c r="C75" s="1">
        <v>34.5</v>
      </c>
      <c r="D75" s="5">
        <v>99.711870000000005</v>
      </c>
      <c r="E75" s="3">
        <f t="shared" si="13"/>
        <v>100.42517000000001</v>
      </c>
      <c r="H75" s="4">
        <v>225.00200000000001</v>
      </c>
      <c r="I75" s="1">
        <v>34.5</v>
      </c>
      <c r="J75" s="5">
        <v>95.934709999999995</v>
      </c>
      <c r="K75" s="3">
        <f t="shared" si="14"/>
        <v>100.04228999999999</v>
      </c>
      <c r="L75" s="1">
        <f t="shared" si="10"/>
        <v>4.253125696381501E-3</v>
      </c>
      <c r="N75" s="4">
        <v>225.00873000000001</v>
      </c>
      <c r="O75" s="1">
        <v>34.5</v>
      </c>
      <c r="P75" s="5">
        <v>100.57056</v>
      </c>
      <c r="Q75" s="3">
        <f t="shared" si="15"/>
        <v>100.70614</v>
      </c>
      <c r="T75" s="4">
        <v>250.00202999999999</v>
      </c>
      <c r="U75" s="1">
        <v>34.5</v>
      </c>
      <c r="V75" s="3">
        <v>96.031540000000007</v>
      </c>
      <c r="W75" s="3">
        <f t="shared" si="16"/>
        <v>100.18894</v>
      </c>
      <c r="X75" s="1">
        <f t="shared" si="11"/>
        <v>5.3282438305770237E-3</v>
      </c>
      <c r="Z75" s="4">
        <v>250.01276999999999</v>
      </c>
      <c r="AA75" s="1">
        <v>34.5</v>
      </c>
      <c r="AB75" s="3">
        <v>100.92518</v>
      </c>
      <c r="AC75" s="3">
        <f t="shared" si="17"/>
        <v>100.84844</v>
      </c>
      <c r="AD75" s="1">
        <f t="shared" si="12"/>
        <v>2.7167891261361712E-3</v>
      </c>
      <c r="AF75" s="11">
        <v>277.89967999999999</v>
      </c>
      <c r="AG75" s="1">
        <v>34.5</v>
      </c>
      <c r="AH75" s="13">
        <v>96.11694</v>
      </c>
      <c r="AI75" s="3">
        <f t="shared" si="18"/>
        <v>99.124629999999996</v>
      </c>
      <c r="AJ75" s="1">
        <f t="shared" si="21"/>
        <v>1.0877398266246164E-2</v>
      </c>
      <c r="AL75" s="11">
        <v>277.89699000000002</v>
      </c>
      <c r="AM75" s="1">
        <v>34.5</v>
      </c>
      <c r="AN75" s="13">
        <v>96.064359999999994</v>
      </c>
      <c r="AO75" s="3">
        <f t="shared" si="19"/>
        <v>99.157859999999999</v>
      </c>
      <c r="AP75" s="1">
        <f t="shared" ref="AP75:AP138" si="22">($AO$10-AO75)/($AO$10*(1-$M$1))</f>
        <v>1.1196738597998608E-2</v>
      </c>
      <c r="AR75" s="11">
        <v>208.63426999999999</v>
      </c>
      <c r="AS75" s="1">
        <v>34.5</v>
      </c>
      <c r="AT75" s="13">
        <v>99.196370000000002</v>
      </c>
      <c r="AU75" s="3">
        <f t="shared" si="20"/>
        <v>99.850859999999997</v>
      </c>
    </row>
    <row r="76" spans="2:47" ht="16" x14ac:dyDescent="0.2">
      <c r="B76" s="2">
        <v>200.02</v>
      </c>
      <c r="C76" s="1">
        <v>35</v>
      </c>
      <c r="D76" s="3">
        <v>99.772850000000005</v>
      </c>
      <c r="E76" s="3">
        <f t="shared" si="13"/>
        <v>100.48615000000001</v>
      </c>
      <c r="H76" s="4">
        <v>224.99893</v>
      </c>
      <c r="I76" s="1">
        <v>35</v>
      </c>
      <c r="J76" s="3">
        <v>95.915629999999993</v>
      </c>
      <c r="K76" s="3">
        <f t="shared" si="14"/>
        <v>100.02320999999999</v>
      </c>
      <c r="L76" s="1">
        <f t="shared" si="10"/>
        <v>4.482874679385857E-3</v>
      </c>
      <c r="N76" s="4">
        <v>225.00834</v>
      </c>
      <c r="O76" s="1">
        <v>35</v>
      </c>
      <c r="P76" s="3">
        <v>100.50817000000001</v>
      </c>
      <c r="Q76" s="3">
        <f t="shared" si="15"/>
        <v>100.64375000000001</v>
      </c>
      <c r="T76" s="4">
        <v>250.00004000000001</v>
      </c>
      <c r="U76" s="1">
        <v>35</v>
      </c>
      <c r="V76" s="5">
        <v>96.019800000000004</v>
      </c>
      <c r="W76" s="3">
        <f t="shared" si="16"/>
        <v>100.1772</v>
      </c>
      <c r="X76" s="1">
        <f t="shared" si="11"/>
        <v>5.4692763926255236E-3</v>
      </c>
      <c r="Z76" s="4">
        <v>250.01490999999999</v>
      </c>
      <c r="AA76" s="1">
        <v>35</v>
      </c>
      <c r="AB76" s="5">
        <v>100.98795</v>
      </c>
      <c r="AC76" s="3">
        <f t="shared" si="17"/>
        <v>100.91121</v>
      </c>
      <c r="AD76" s="1">
        <f t="shared" si="12"/>
        <v>1.9660391659884189E-3</v>
      </c>
      <c r="AF76" s="11">
        <v>280.40893</v>
      </c>
      <c r="AG76" s="1">
        <v>35</v>
      </c>
      <c r="AH76" s="12">
        <v>96.046530000000004</v>
      </c>
      <c r="AI76" s="3">
        <f t="shared" si="18"/>
        <v>99.054220000000001</v>
      </c>
      <c r="AJ76" s="1">
        <f t="shared" si="21"/>
        <v>1.1728373390608761E-2</v>
      </c>
      <c r="AL76" s="11">
        <v>280.39485000000002</v>
      </c>
      <c r="AM76" s="1">
        <v>35</v>
      </c>
      <c r="AN76" s="12">
        <v>95.971530000000001</v>
      </c>
      <c r="AO76" s="3">
        <f t="shared" si="19"/>
        <v>99.065030000000007</v>
      </c>
      <c r="AP76" s="1">
        <f t="shared" si="22"/>
        <v>1.2318006849797053E-2</v>
      </c>
      <c r="AR76" s="11">
        <v>210.13249999999999</v>
      </c>
      <c r="AS76" s="1">
        <v>35</v>
      </c>
      <c r="AT76" s="12">
        <v>99.188100000000006</v>
      </c>
      <c r="AU76" s="3">
        <f t="shared" si="20"/>
        <v>99.842590000000001</v>
      </c>
    </row>
    <row r="77" spans="2:47" ht="16" x14ac:dyDescent="0.2">
      <c r="B77" s="2">
        <v>200.01953</v>
      </c>
      <c r="C77" s="1">
        <v>35.5</v>
      </c>
      <c r="D77" s="5">
        <v>99.705209999999994</v>
      </c>
      <c r="E77" s="3">
        <f t="shared" si="13"/>
        <v>100.41851</v>
      </c>
      <c r="H77" s="4">
        <v>225.00192999999999</v>
      </c>
      <c r="I77" s="1">
        <v>35.5</v>
      </c>
      <c r="J77" s="5">
        <v>95.928229999999999</v>
      </c>
      <c r="K77" s="3">
        <f t="shared" si="14"/>
        <v>100.03581</v>
      </c>
      <c r="L77" s="1">
        <f t="shared" si="10"/>
        <v>4.3311536528734913E-3</v>
      </c>
      <c r="N77" s="4">
        <v>225.00748999999999</v>
      </c>
      <c r="O77" s="1">
        <v>35.5</v>
      </c>
      <c r="P77" s="5">
        <v>100.57661</v>
      </c>
      <c r="Q77" s="3">
        <f t="shared" si="15"/>
        <v>100.71219000000001</v>
      </c>
      <c r="T77" s="4">
        <v>249.99997999999999</v>
      </c>
      <c r="U77" s="1">
        <v>35.5</v>
      </c>
      <c r="V77" s="3">
        <v>95.997339999999994</v>
      </c>
      <c r="W77" s="3">
        <f t="shared" si="16"/>
        <v>100.15473999999999</v>
      </c>
      <c r="X77" s="1">
        <f t="shared" si="11"/>
        <v>5.7390882617575313E-3</v>
      </c>
      <c r="Z77" s="4">
        <v>250.01818</v>
      </c>
      <c r="AA77" s="1">
        <v>35.5</v>
      </c>
      <c r="AB77" s="3">
        <v>101.02961000000001</v>
      </c>
      <c r="AC77" s="3">
        <f t="shared" si="17"/>
        <v>100.95287</v>
      </c>
      <c r="AD77" s="1">
        <f t="shared" si="12"/>
        <v>1.4677717876267701E-3</v>
      </c>
      <c r="AF77" s="11">
        <v>282.91064999999998</v>
      </c>
      <c r="AG77" s="1">
        <v>35.5</v>
      </c>
      <c r="AH77" s="13">
        <v>96.016120000000001</v>
      </c>
      <c r="AI77" s="3">
        <f t="shared" si="18"/>
        <v>99.023809999999997</v>
      </c>
      <c r="AJ77" s="1">
        <f t="shared" si="21"/>
        <v>1.2095908592027185E-2</v>
      </c>
      <c r="AL77" s="11">
        <v>282.90406000000002</v>
      </c>
      <c r="AM77" s="1">
        <v>35.5</v>
      </c>
      <c r="AN77" s="13">
        <v>95.960700000000003</v>
      </c>
      <c r="AO77" s="3">
        <f t="shared" si="19"/>
        <v>99.054200000000009</v>
      </c>
      <c r="AP77" s="1">
        <f t="shared" si="22"/>
        <v>1.2448819466052323E-2</v>
      </c>
      <c r="AR77" s="11">
        <v>211.63737</v>
      </c>
      <c r="AS77" s="1">
        <v>35.5</v>
      </c>
      <c r="AT77" s="13">
        <v>99.195909999999998</v>
      </c>
      <c r="AU77" s="3">
        <f t="shared" si="20"/>
        <v>99.850399999999993</v>
      </c>
    </row>
    <row r="78" spans="2:47" ht="16" x14ac:dyDescent="0.2">
      <c r="B78" s="2">
        <v>200.01522</v>
      </c>
      <c r="C78" s="1">
        <v>36</v>
      </c>
      <c r="D78" s="3">
        <v>99.734870000000001</v>
      </c>
      <c r="E78" s="3">
        <f t="shared" si="13"/>
        <v>100.44817</v>
      </c>
      <c r="H78" s="4">
        <v>225.00111999999999</v>
      </c>
      <c r="I78" s="1">
        <v>36</v>
      </c>
      <c r="J78" s="3">
        <v>95.886269999999996</v>
      </c>
      <c r="K78" s="3">
        <f t="shared" si="14"/>
        <v>99.993849999999995</v>
      </c>
      <c r="L78" s="1">
        <f t="shared" si="10"/>
        <v>4.836408753862079E-3</v>
      </c>
      <c r="N78" s="4">
        <v>225.00686999999999</v>
      </c>
      <c r="O78" s="1">
        <v>36</v>
      </c>
      <c r="P78" s="3">
        <v>100.61841</v>
      </c>
      <c r="Q78" s="3">
        <f t="shared" si="15"/>
        <v>100.75399</v>
      </c>
      <c r="T78" s="4">
        <v>250.00098</v>
      </c>
      <c r="U78" s="1">
        <v>36</v>
      </c>
      <c r="V78" s="5">
        <v>95.985290000000006</v>
      </c>
      <c r="W78" s="3">
        <f t="shared" si="16"/>
        <v>100.14269</v>
      </c>
      <c r="X78" s="1">
        <f t="shared" si="11"/>
        <v>5.8838448522756104E-3</v>
      </c>
      <c r="Z78" s="4">
        <v>250.02081000000001</v>
      </c>
      <c r="AA78" s="1">
        <v>36</v>
      </c>
      <c r="AB78" s="5">
        <v>100.92444</v>
      </c>
      <c r="AC78" s="3">
        <f t="shared" si="17"/>
        <v>100.8477</v>
      </c>
      <c r="AD78" s="1">
        <f t="shared" si="12"/>
        <v>2.7256397708789516E-3</v>
      </c>
      <c r="AF78" s="11">
        <v>285.42036999999999</v>
      </c>
      <c r="AG78" s="1">
        <v>36</v>
      </c>
      <c r="AH78" s="12">
        <v>95.911119999999997</v>
      </c>
      <c r="AI78" s="3">
        <f t="shared" si="18"/>
        <v>98.918809999999993</v>
      </c>
      <c r="AJ78" s="1">
        <f t="shared" si="21"/>
        <v>1.3364938389755944E-2</v>
      </c>
      <c r="AL78" s="11">
        <v>285.41404999999997</v>
      </c>
      <c r="AM78" s="1">
        <v>36</v>
      </c>
      <c r="AN78" s="12">
        <v>95.849209999999999</v>
      </c>
      <c r="AO78" s="3">
        <f t="shared" si="19"/>
        <v>98.942710000000005</v>
      </c>
      <c r="AP78" s="1">
        <f t="shared" si="22"/>
        <v>1.3795476768573308E-2</v>
      </c>
      <c r="AR78" s="11">
        <v>213.14869999999999</v>
      </c>
      <c r="AS78" s="1">
        <v>36</v>
      </c>
      <c r="AT78" s="12">
        <v>99.187790000000007</v>
      </c>
      <c r="AU78" s="3">
        <f t="shared" si="20"/>
        <v>99.842280000000002</v>
      </c>
    </row>
    <row r="79" spans="2:47" ht="16" x14ac:dyDescent="0.2">
      <c r="B79" s="2">
        <v>200.01425</v>
      </c>
      <c r="C79" s="1">
        <v>36.5</v>
      </c>
      <c r="D79" s="5">
        <v>99.770799999999994</v>
      </c>
      <c r="E79" s="3">
        <f t="shared" si="13"/>
        <v>100.4841</v>
      </c>
      <c r="H79" s="4">
        <v>225.00519</v>
      </c>
      <c r="I79" s="1">
        <v>36.5</v>
      </c>
      <c r="J79" s="5">
        <v>95.911929999999998</v>
      </c>
      <c r="K79" s="3">
        <f t="shared" si="14"/>
        <v>100.01951</v>
      </c>
      <c r="L79" s="1">
        <f t="shared" si="10"/>
        <v>4.527427679234643E-3</v>
      </c>
      <c r="N79" s="4">
        <v>225.01178999999999</v>
      </c>
      <c r="O79" s="1">
        <v>36.5</v>
      </c>
      <c r="P79" s="5">
        <v>100.69041</v>
      </c>
      <c r="Q79" s="3">
        <f t="shared" si="15"/>
        <v>100.82599</v>
      </c>
      <c r="T79" s="4">
        <v>250.00098</v>
      </c>
      <c r="U79" s="1">
        <v>36.5</v>
      </c>
      <c r="V79" s="3">
        <v>95.975459999999998</v>
      </c>
      <c r="W79" s="3">
        <f t="shared" si="16"/>
        <v>100.13285999999999</v>
      </c>
      <c r="X79" s="1">
        <f t="shared" si="11"/>
        <v>6.0019325937523994E-3</v>
      </c>
      <c r="Z79" s="4">
        <v>250.01728</v>
      </c>
      <c r="AA79" s="1">
        <v>36.5</v>
      </c>
      <c r="AB79" s="3">
        <v>100.93132</v>
      </c>
      <c r="AC79" s="3">
        <f t="shared" si="17"/>
        <v>100.85458</v>
      </c>
      <c r="AD79" s="1">
        <f t="shared" si="12"/>
        <v>2.6433526954318747E-3</v>
      </c>
      <c r="AF79" s="11">
        <v>287.91761000000002</v>
      </c>
      <c r="AG79" s="1">
        <v>36.5</v>
      </c>
      <c r="AH79" s="13">
        <v>95.866540000000001</v>
      </c>
      <c r="AI79" s="3">
        <f t="shared" si="18"/>
        <v>98.874229999999997</v>
      </c>
      <c r="AJ79" s="1">
        <f t="shared" si="21"/>
        <v>1.3903732183877289E-2</v>
      </c>
      <c r="AL79" s="11">
        <v>287.91708999999997</v>
      </c>
      <c r="AM79" s="1">
        <v>36.5</v>
      </c>
      <c r="AN79" s="13">
        <v>95.816239999999993</v>
      </c>
      <c r="AO79" s="3">
        <f t="shared" si="19"/>
        <v>98.909739999999999</v>
      </c>
      <c r="AP79" s="1">
        <f t="shared" si="22"/>
        <v>1.4193712406425344E-2</v>
      </c>
      <c r="AR79" s="11">
        <v>214.64537999999999</v>
      </c>
      <c r="AS79" s="1">
        <v>36.5</v>
      </c>
      <c r="AT79" s="13">
        <v>99.184569999999994</v>
      </c>
      <c r="AU79" s="3">
        <f t="shared" si="20"/>
        <v>99.839059999999989</v>
      </c>
    </row>
    <row r="80" spans="2:47" ht="16" x14ac:dyDescent="0.2">
      <c r="B80" s="2">
        <v>200.01784000000001</v>
      </c>
      <c r="C80" s="1">
        <v>37</v>
      </c>
      <c r="D80" s="3">
        <v>99.680549999999997</v>
      </c>
      <c r="E80" s="3">
        <f t="shared" si="13"/>
        <v>100.39385</v>
      </c>
      <c r="H80" s="4">
        <v>225.00682</v>
      </c>
      <c r="I80" s="1">
        <v>37</v>
      </c>
      <c r="J80" s="3">
        <v>95.898719999999997</v>
      </c>
      <c r="K80" s="3">
        <f t="shared" si="14"/>
        <v>100.0063</v>
      </c>
      <c r="L80" s="1">
        <f t="shared" si="10"/>
        <v>4.686493930046348E-3</v>
      </c>
      <c r="N80" s="4">
        <v>225.01410999999999</v>
      </c>
      <c r="O80" s="1">
        <v>37</v>
      </c>
      <c r="P80" s="3">
        <v>100.5855</v>
      </c>
      <c r="Q80" s="3">
        <f t="shared" si="15"/>
        <v>100.72108</v>
      </c>
      <c r="T80" s="4">
        <v>250.00405000000001</v>
      </c>
      <c r="U80" s="1">
        <v>37</v>
      </c>
      <c r="V80" s="5">
        <v>95.95335</v>
      </c>
      <c r="W80" s="3">
        <f t="shared" si="16"/>
        <v>100.11075</v>
      </c>
      <c r="X80" s="1">
        <f t="shared" si="11"/>
        <v>6.2675399146119538E-3</v>
      </c>
      <c r="Z80" s="4">
        <v>250.01731000000001</v>
      </c>
      <c r="AA80" s="1">
        <v>37</v>
      </c>
      <c r="AB80" s="5">
        <v>100.99249</v>
      </c>
      <c r="AC80" s="3">
        <f t="shared" si="17"/>
        <v>100.91575</v>
      </c>
      <c r="AD80" s="1">
        <f t="shared" si="12"/>
        <v>1.9117392644578293E-3</v>
      </c>
      <c r="AF80" s="11">
        <v>290.42401999999998</v>
      </c>
      <c r="AG80" s="1">
        <v>37</v>
      </c>
      <c r="AH80" s="12">
        <v>95.773859999999999</v>
      </c>
      <c r="AI80" s="3">
        <f t="shared" si="18"/>
        <v>98.781549999999996</v>
      </c>
      <c r="AJ80" s="1">
        <f t="shared" si="21"/>
        <v>1.5023862485339181E-2</v>
      </c>
      <c r="AL80" s="11">
        <v>290.42309</v>
      </c>
      <c r="AM80" s="1">
        <v>37</v>
      </c>
      <c r="AN80" s="12">
        <v>95.694890000000001</v>
      </c>
      <c r="AO80" s="3">
        <f t="shared" si="19"/>
        <v>98.788390000000007</v>
      </c>
      <c r="AP80" s="1">
        <f t="shared" si="22"/>
        <v>1.5659465959756643E-2</v>
      </c>
      <c r="AR80" s="11">
        <v>216.14668</v>
      </c>
      <c r="AS80" s="1">
        <v>37</v>
      </c>
      <c r="AT80" s="12">
        <v>99.20617</v>
      </c>
      <c r="AU80" s="3">
        <f t="shared" si="20"/>
        <v>99.860659999999996</v>
      </c>
    </row>
    <row r="81" spans="2:47" ht="16" x14ac:dyDescent="0.2">
      <c r="B81" s="2">
        <v>200.01768999999999</v>
      </c>
      <c r="C81" s="1">
        <v>37.5</v>
      </c>
      <c r="D81" s="5">
        <v>99.71969</v>
      </c>
      <c r="E81" s="3">
        <f t="shared" si="13"/>
        <v>100.43299</v>
      </c>
      <c r="H81" s="4">
        <v>225.00504000000001</v>
      </c>
      <c r="I81" s="1">
        <v>37.5</v>
      </c>
      <c r="J81" s="5">
        <v>95.890770000000003</v>
      </c>
      <c r="K81" s="3">
        <f t="shared" si="14"/>
        <v>99.998350000000002</v>
      </c>
      <c r="L81" s="1">
        <f t="shared" si="10"/>
        <v>4.7822226729647447E-3</v>
      </c>
      <c r="N81" s="4">
        <v>225.01597000000001</v>
      </c>
      <c r="O81" s="1">
        <v>37.5</v>
      </c>
      <c r="P81" s="5">
        <v>100.57356</v>
      </c>
      <c r="Q81" s="3">
        <f t="shared" si="15"/>
        <v>100.70914</v>
      </c>
      <c r="T81" s="4">
        <v>250.00698</v>
      </c>
      <c r="U81" s="1">
        <v>37.5</v>
      </c>
      <c r="V81" s="3">
        <v>95.957369999999997</v>
      </c>
      <c r="W81" s="3">
        <f t="shared" si="16"/>
        <v>100.11476999999999</v>
      </c>
      <c r="X81" s="1">
        <f t="shared" si="11"/>
        <v>6.219247674455702E-3</v>
      </c>
      <c r="Z81" s="4">
        <v>250.01598000000001</v>
      </c>
      <c r="AA81" s="1">
        <v>37.5</v>
      </c>
      <c r="AB81" s="3">
        <v>100.96493</v>
      </c>
      <c r="AC81" s="3">
        <f t="shared" si="17"/>
        <v>100.88818999999999</v>
      </c>
      <c r="AD81" s="1">
        <f t="shared" si="12"/>
        <v>2.2413659794758016E-3</v>
      </c>
      <c r="AF81" s="11">
        <v>292.93214999999998</v>
      </c>
      <c r="AG81" s="1">
        <v>37.5</v>
      </c>
      <c r="AH81" s="13">
        <v>95.665440000000004</v>
      </c>
      <c r="AI81" s="3">
        <f t="shared" si="18"/>
        <v>98.67313</v>
      </c>
      <c r="AJ81" s="1">
        <f t="shared" si="21"/>
        <v>1.6334226396479572E-2</v>
      </c>
      <c r="AL81" s="11">
        <v>292.92957000000001</v>
      </c>
      <c r="AM81" s="1">
        <v>37.5</v>
      </c>
      <c r="AN81" s="13">
        <v>95.607820000000004</v>
      </c>
      <c r="AO81" s="3">
        <f t="shared" si="19"/>
        <v>98.70132000000001</v>
      </c>
      <c r="AP81" s="1">
        <f t="shared" si="22"/>
        <v>1.6711160742521866E-2</v>
      </c>
      <c r="AR81" s="11">
        <v>217.64578</v>
      </c>
      <c r="AS81" s="1">
        <v>37.5</v>
      </c>
      <c r="AT81" s="13">
        <v>99.209580000000003</v>
      </c>
      <c r="AU81" s="3">
        <f t="shared" si="20"/>
        <v>99.864069999999998</v>
      </c>
    </row>
    <row r="82" spans="2:47" ht="16" x14ac:dyDescent="0.2">
      <c r="B82" s="2">
        <v>200.01703000000001</v>
      </c>
      <c r="C82" s="1">
        <v>38</v>
      </c>
      <c r="D82" s="3">
        <v>99.76388</v>
      </c>
      <c r="E82" s="3">
        <f t="shared" si="13"/>
        <v>100.47718</v>
      </c>
      <c r="H82" s="4">
        <v>225.00390999999999</v>
      </c>
      <c r="I82" s="1">
        <v>38</v>
      </c>
      <c r="J82" s="3">
        <v>95.900700000000001</v>
      </c>
      <c r="K82" s="3">
        <f t="shared" si="14"/>
        <v>100.00828</v>
      </c>
      <c r="L82" s="1">
        <f t="shared" si="10"/>
        <v>4.6626520544515212E-3</v>
      </c>
      <c r="N82" s="4">
        <v>225.01792</v>
      </c>
      <c r="O82" s="1">
        <v>38</v>
      </c>
      <c r="P82" s="3">
        <v>100.59442</v>
      </c>
      <c r="Q82" s="3">
        <f t="shared" si="15"/>
        <v>100.73</v>
      </c>
      <c r="T82" s="4">
        <v>250.00503</v>
      </c>
      <c r="U82" s="1">
        <v>38</v>
      </c>
      <c r="V82" s="5">
        <v>95.945639999999997</v>
      </c>
      <c r="W82" s="3">
        <f t="shared" si="16"/>
        <v>100.10303999999999</v>
      </c>
      <c r="X82" s="1">
        <f t="shared" si="11"/>
        <v>6.3601601065535265E-3</v>
      </c>
      <c r="Z82" s="4">
        <v>250.01231999999999</v>
      </c>
      <c r="AA82" s="1">
        <v>38</v>
      </c>
      <c r="AB82" s="5">
        <v>100.97717</v>
      </c>
      <c r="AC82" s="3">
        <f t="shared" si="17"/>
        <v>100.90043</v>
      </c>
      <c r="AD82" s="1">
        <f t="shared" si="12"/>
        <v>2.0949715312965338E-3</v>
      </c>
      <c r="AF82" s="11">
        <v>295.44202999999999</v>
      </c>
      <c r="AG82" s="1">
        <v>38</v>
      </c>
      <c r="AH82" s="12">
        <v>95.570769999999996</v>
      </c>
      <c r="AI82" s="3">
        <f t="shared" si="18"/>
        <v>98.578459999999993</v>
      </c>
      <c r="AJ82" s="1">
        <f t="shared" si="21"/>
        <v>1.747840783410802E-2</v>
      </c>
      <c r="AL82" s="11">
        <v>295.43657999999999</v>
      </c>
      <c r="AM82" s="1">
        <v>38</v>
      </c>
      <c r="AN82" s="12">
        <v>95.522360000000006</v>
      </c>
      <c r="AO82" s="3">
        <f t="shared" si="19"/>
        <v>98.615860000000012</v>
      </c>
      <c r="AP82" s="1">
        <f t="shared" si="22"/>
        <v>1.774340877439411E-2</v>
      </c>
      <c r="AR82" s="11">
        <v>219.15128999999999</v>
      </c>
      <c r="AS82" s="1">
        <v>38</v>
      </c>
      <c r="AT82" s="12">
        <v>99.200119999999998</v>
      </c>
      <c r="AU82" s="3">
        <f t="shared" si="20"/>
        <v>99.854609999999994</v>
      </c>
    </row>
    <row r="83" spans="2:47" ht="16" x14ac:dyDescent="0.2">
      <c r="B83" s="2">
        <v>200.01862</v>
      </c>
      <c r="C83" s="1">
        <v>38.5</v>
      </c>
      <c r="D83" s="5">
        <v>99.897379999999998</v>
      </c>
      <c r="E83" s="3">
        <f t="shared" si="13"/>
        <v>100.61068</v>
      </c>
      <c r="H83" s="4">
        <v>225.00184999999999</v>
      </c>
      <c r="I83" s="1">
        <v>38.5</v>
      </c>
      <c r="J83" s="5">
        <v>95.863029999999995</v>
      </c>
      <c r="K83" s="3">
        <f t="shared" si="14"/>
        <v>99.970609999999994</v>
      </c>
      <c r="L83" s="1">
        <f t="shared" si="10"/>
        <v>5.1162497583180973E-3</v>
      </c>
      <c r="N83" s="4">
        <v>225.01899</v>
      </c>
      <c r="O83" s="1">
        <v>38.5</v>
      </c>
      <c r="P83" s="5">
        <v>100.56308</v>
      </c>
      <c r="Q83" s="3">
        <f t="shared" si="15"/>
        <v>100.69866</v>
      </c>
      <c r="T83" s="4">
        <v>250.00198</v>
      </c>
      <c r="U83" s="1">
        <v>38.5</v>
      </c>
      <c r="V83" s="3">
        <v>95.931179999999998</v>
      </c>
      <c r="W83" s="3">
        <f t="shared" si="16"/>
        <v>100.08857999999999</v>
      </c>
      <c r="X83" s="1">
        <f t="shared" si="11"/>
        <v>6.5338680151753922E-3</v>
      </c>
      <c r="Z83" s="4">
        <v>250.00604000000001</v>
      </c>
      <c r="AA83" s="1">
        <v>38.5</v>
      </c>
      <c r="AB83" s="3">
        <v>100.82759</v>
      </c>
      <c r="AC83" s="3">
        <f t="shared" si="17"/>
        <v>100.75085</v>
      </c>
      <c r="AD83" s="1">
        <f t="shared" si="12"/>
        <v>3.8839978024276518E-3</v>
      </c>
      <c r="AF83" s="11">
        <v>297.95103</v>
      </c>
      <c r="AG83" s="1">
        <v>38.5</v>
      </c>
      <c r="AH83" s="13">
        <v>95.447559999999996</v>
      </c>
      <c r="AI83" s="3">
        <f t="shared" si="18"/>
        <v>98.455249999999992</v>
      </c>
      <c r="AJ83" s="1">
        <f t="shared" si="21"/>
        <v>1.8967523656757114E-2</v>
      </c>
      <c r="AL83" s="11">
        <v>297.94135</v>
      </c>
      <c r="AM83" s="1">
        <v>38.5</v>
      </c>
      <c r="AN83" s="13">
        <v>95.41883</v>
      </c>
      <c r="AO83" s="3">
        <f t="shared" si="19"/>
        <v>98.512330000000006</v>
      </c>
      <c r="AP83" s="1">
        <f t="shared" si="22"/>
        <v>1.8993919407903858E-2</v>
      </c>
      <c r="AR83" s="11">
        <v>220.64743999999999</v>
      </c>
      <c r="AS83" s="1">
        <v>38.5</v>
      </c>
      <c r="AT83" s="13">
        <v>99.206010000000006</v>
      </c>
      <c r="AU83" s="3">
        <f t="shared" si="20"/>
        <v>99.860500000000002</v>
      </c>
    </row>
    <row r="84" spans="2:47" ht="16" x14ac:dyDescent="0.2">
      <c r="B84" s="2">
        <v>200.01893999999999</v>
      </c>
      <c r="C84" s="1">
        <v>39</v>
      </c>
      <c r="D84" s="3">
        <v>99.668210000000002</v>
      </c>
      <c r="E84" s="3">
        <f t="shared" si="13"/>
        <v>100.38151000000001</v>
      </c>
      <c r="H84" s="4">
        <v>225.00197</v>
      </c>
      <c r="I84" s="1">
        <v>39</v>
      </c>
      <c r="J84" s="3">
        <v>95.875249999999994</v>
      </c>
      <c r="K84" s="3">
        <f t="shared" si="14"/>
        <v>99.982829999999993</v>
      </c>
      <c r="L84" s="1">
        <f t="shared" si="10"/>
        <v>4.9691044453038053E-3</v>
      </c>
      <c r="N84" s="4">
        <v>225.01918000000001</v>
      </c>
      <c r="O84" s="1">
        <v>39</v>
      </c>
      <c r="P84" s="3">
        <v>100.67443</v>
      </c>
      <c r="Q84" s="3">
        <f t="shared" si="15"/>
        <v>100.81001000000001</v>
      </c>
      <c r="T84" s="4">
        <v>250.00501</v>
      </c>
      <c r="U84" s="1">
        <v>39</v>
      </c>
      <c r="V84" s="5">
        <v>95.897120000000001</v>
      </c>
      <c r="W84" s="3">
        <f t="shared" si="16"/>
        <v>100.05452</v>
      </c>
      <c r="X84" s="1">
        <f t="shared" si="11"/>
        <v>6.9430306270467819E-3</v>
      </c>
      <c r="Z84" s="4">
        <v>250.00636</v>
      </c>
      <c r="AA84" s="1">
        <v>39</v>
      </c>
      <c r="AB84" s="5">
        <v>101.0461</v>
      </c>
      <c r="AC84" s="3">
        <f t="shared" si="17"/>
        <v>100.96935999999999</v>
      </c>
      <c r="AD84" s="1">
        <f t="shared" si="12"/>
        <v>1.2705459338299067E-3</v>
      </c>
      <c r="AF84" s="11">
        <v>300.45470999999998</v>
      </c>
      <c r="AG84" s="1">
        <v>39</v>
      </c>
      <c r="AH84" s="12">
        <v>95.297550000000001</v>
      </c>
      <c r="AI84" s="3">
        <f t="shared" si="18"/>
        <v>98.305239999999998</v>
      </c>
      <c r="AJ84" s="1">
        <f t="shared" si="21"/>
        <v>2.0780544227778801E-2</v>
      </c>
      <c r="AL84" s="11">
        <v>300.44644</v>
      </c>
      <c r="AM84" s="1">
        <v>39</v>
      </c>
      <c r="AN84" s="12">
        <v>95.262900000000002</v>
      </c>
      <c r="AO84" s="3">
        <f t="shared" si="19"/>
        <v>98.356400000000008</v>
      </c>
      <c r="AP84" s="1">
        <f t="shared" si="22"/>
        <v>2.087735534998017E-2</v>
      </c>
      <c r="AR84" s="11">
        <v>222.1465</v>
      </c>
      <c r="AS84" s="1">
        <v>39</v>
      </c>
      <c r="AT84" s="12">
        <v>99.212239999999994</v>
      </c>
      <c r="AU84" s="3">
        <f t="shared" si="20"/>
        <v>99.86672999999999</v>
      </c>
    </row>
    <row r="85" spans="2:47" ht="16" x14ac:dyDescent="0.2">
      <c r="B85" s="2">
        <v>200.01955000000001</v>
      </c>
      <c r="C85" s="1">
        <v>39.5</v>
      </c>
      <c r="D85" s="5">
        <v>99.744249999999994</v>
      </c>
      <c r="E85" s="3">
        <f t="shared" si="13"/>
        <v>100.45755</v>
      </c>
      <c r="H85" s="4">
        <v>224.99999</v>
      </c>
      <c r="I85" s="1">
        <v>39.5</v>
      </c>
      <c r="J85" s="5">
        <v>95.835660000000004</v>
      </c>
      <c r="K85" s="3">
        <f t="shared" si="14"/>
        <v>99.943240000000003</v>
      </c>
      <c r="L85" s="1">
        <f t="shared" ref="L85:L148" si="23">($K$20-K85)/($K$20*(1-$M$1))</f>
        <v>5.4458215436863485E-3</v>
      </c>
      <c r="N85" s="4">
        <v>225.01958999999999</v>
      </c>
      <c r="O85" s="1">
        <v>39.5</v>
      </c>
      <c r="P85" s="5">
        <v>100.65328</v>
      </c>
      <c r="Q85" s="3">
        <f t="shared" si="15"/>
        <v>100.78886</v>
      </c>
      <c r="T85" s="4">
        <v>250.005</v>
      </c>
      <c r="U85" s="1">
        <v>39.5</v>
      </c>
      <c r="V85" s="3">
        <v>95.891300000000001</v>
      </c>
      <c r="W85" s="3">
        <f t="shared" si="16"/>
        <v>100.0487</v>
      </c>
      <c r="X85" s="1">
        <f t="shared" si="11"/>
        <v>7.0129462583178237E-3</v>
      </c>
      <c r="Z85" s="4">
        <v>250.01276999999999</v>
      </c>
      <c r="AA85" s="1">
        <v>39.5</v>
      </c>
      <c r="AB85" s="3">
        <v>100.98314000000001</v>
      </c>
      <c r="AC85" s="3">
        <f t="shared" si="17"/>
        <v>100.9064</v>
      </c>
      <c r="AD85" s="1">
        <f t="shared" si="12"/>
        <v>2.023568356816914E-3</v>
      </c>
      <c r="AF85" s="11">
        <v>302.96026000000001</v>
      </c>
      <c r="AG85" s="1">
        <v>39.5</v>
      </c>
      <c r="AH85" s="13">
        <v>95.136719999999997</v>
      </c>
      <c r="AI85" s="3">
        <f t="shared" si="18"/>
        <v>98.144409999999993</v>
      </c>
      <c r="AJ85" s="1">
        <f t="shared" si="21"/>
        <v>2.2724335297957029E-2</v>
      </c>
      <c r="AL85" s="11">
        <v>302.94918000000001</v>
      </c>
      <c r="AM85" s="1">
        <v>39.5</v>
      </c>
      <c r="AN85" s="13">
        <v>95.112089999999995</v>
      </c>
      <c r="AO85" s="3">
        <f t="shared" si="19"/>
        <v>98.205590000000001</v>
      </c>
      <c r="AP85" s="1">
        <f t="shared" si="22"/>
        <v>2.2698948208471452E-2</v>
      </c>
      <c r="AR85" s="11">
        <v>223.65541999999999</v>
      </c>
      <c r="AS85" s="1">
        <v>39.5</v>
      </c>
      <c r="AT85" s="13">
        <v>99.218159999999997</v>
      </c>
      <c r="AU85" s="3">
        <f t="shared" si="20"/>
        <v>99.872649999999993</v>
      </c>
    </row>
    <row r="86" spans="2:47" ht="16" x14ac:dyDescent="0.2">
      <c r="B86" s="2">
        <v>200.01992000000001</v>
      </c>
      <c r="C86" s="1">
        <v>40</v>
      </c>
      <c r="D86" s="3">
        <v>99.811610000000002</v>
      </c>
      <c r="E86" s="3">
        <f t="shared" si="13"/>
        <v>100.52491000000001</v>
      </c>
      <c r="H86" s="4">
        <v>225.00388000000001</v>
      </c>
      <c r="I86" s="1">
        <v>40</v>
      </c>
      <c r="J86" s="3">
        <v>95.839609999999993</v>
      </c>
      <c r="K86" s="3">
        <f t="shared" si="14"/>
        <v>99.947189999999992</v>
      </c>
      <c r="L86" s="1">
        <f t="shared" si="23"/>
        <v>5.3982582060100089E-3</v>
      </c>
      <c r="N86" s="4">
        <v>225.02049</v>
      </c>
      <c r="O86" s="1">
        <v>40</v>
      </c>
      <c r="P86" s="3">
        <v>100.70629</v>
      </c>
      <c r="Q86" s="3">
        <f t="shared" si="15"/>
        <v>100.84187</v>
      </c>
      <c r="T86" s="4">
        <v>250.00398999999999</v>
      </c>
      <c r="U86" s="1">
        <v>40</v>
      </c>
      <c r="V86" s="5">
        <v>95.867140000000006</v>
      </c>
      <c r="W86" s="3">
        <f t="shared" si="16"/>
        <v>100.02454</v>
      </c>
      <c r="X86" s="1">
        <f t="shared" ref="X86:X149" si="24">($W$21-W86)/($W$21*(1-$M$1))</f>
        <v>7.3031802190580359E-3</v>
      </c>
      <c r="Z86" s="4">
        <v>250.01557</v>
      </c>
      <c r="AA86" s="1">
        <v>40</v>
      </c>
      <c r="AB86" s="5">
        <v>100.89585</v>
      </c>
      <c r="AC86" s="3">
        <f t="shared" si="17"/>
        <v>100.81910999999999</v>
      </c>
      <c r="AD86" s="1">
        <f t="shared" si="12"/>
        <v>3.0675856265525272E-3</v>
      </c>
      <c r="AF86" s="11">
        <v>305.47266999999999</v>
      </c>
      <c r="AG86" s="1">
        <v>40</v>
      </c>
      <c r="AH86" s="12">
        <v>94.970979999999997</v>
      </c>
      <c r="AI86" s="3">
        <f t="shared" si="18"/>
        <v>97.978669999999994</v>
      </c>
      <c r="AJ86" s="1">
        <f t="shared" si="21"/>
        <v>2.4727468618676609E-2</v>
      </c>
      <c r="AL86" s="11">
        <v>305.45542999999998</v>
      </c>
      <c r="AM86" s="1">
        <v>40</v>
      </c>
      <c r="AN86" s="12">
        <v>94.943650000000005</v>
      </c>
      <c r="AO86" s="3">
        <f t="shared" si="19"/>
        <v>98.037150000000011</v>
      </c>
      <c r="AP86" s="1">
        <f t="shared" si="22"/>
        <v>2.4733489028604321E-2</v>
      </c>
      <c r="AR86" s="11">
        <v>225.14872</v>
      </c>
      <c r="AS86" s="1">
        <v>40</v>
      </c>
      <c r="AT86" s="12">
        <v>99.168350000000004</v>
      </c>
      <c r="AU86" s="3">
        <f t="shared" si="20"/>
        <v>99.822839999999999</v>
      </c>
    </row>
    <row r="87" spans="2:47" ht="16" x14ac:dyDescent="0.2">
      <c r="B87" s="2">
        <v>200.01674</v>
      </c>
      <c r="C87" s="1">
        <v>40.5</v>
      </c>
      <c r="D87" s="5">
        <v>99.843159999999997</v>
      </c>
      <c r="E87" s="3">
        <f t="shared" si="13"/>
        <v>100.55646</v>
      </c>
      <c r="H87" s="4">
        <v>225.00597999999999</v>
      </c>
      <c r="I87" s="1">
        <v>40.5</v>
      </c>
      <c r="J87" s="5">
        <v>95.839010000000002</v>
      </c>
      <c r="K87" s="3">
        <f t="shared" si="14"/>
        <v>99.94659</v>
      </c>
      <c r="L87" s="1">
        <f t="shared" si="23"/>
        <v>5.4054830167962059E-3</v>
      </c>
      <c r="N87" s="4">
        <v>225.01856000000001</v>
      </c>
      <c r="O87" s="1">
        <v>40.5</v>
      </c>
      <c r="P87" s="5">
        <v>100.65295</v>
      </c>
      <c r="Q87" s="3">
        <f t="shared" si="15"/>
        <v>100.78853000000001</v>
      </c>
      <c r="T87" s="4">
        <v>250.00101000000001</v>
      </c>
      <c r="U87" s="1">
        <v>40.5</v>
      </c>
      <c r="V87" s="3">
        <v>95.861109999999996</v>
      </c>
      <c r="W87" s="3">
        <f t="shared" si="16"/>
        <v>100.01850999999999</v>
      </c>
      <c r="X87" s="1">
        <f t="shared" si="24"/>
        <v>7.375618579292584E-3</v>
      </c>
      <c r="Z87" s="4">
        <v>250.01498000000001</v>
      </c>
      <c r="AA87" s="1">
        <v>40.5</v>
      </c>
      <c r="AB87" s="3">
        <v>100.99769000000001</v>
      </c>
      <c r="AC87" s="3">
        <f t="shared" si="17"/>
        <v>100.92095</v>
      </c>
      <c r="AD87" s="1">
        <f t="shared" si="12"/>
        <v>1.8495455446431112E-3</v>
      </c>
      <c r="AF87" s="11">
        <v>307.9778</v>
      </c>
      <c r="AG87" s="1">
        <v>40.5</v>
      </c>
      <c r="AH87" s="13">
        <v>94.809989999999999</v>
      </c>
      <c r="AI87" s="3">
        <f t="shared" si="18"/>
        <v>97.817679999999996</v>
      </c>
      <c r="AJ87" s="1">
        <f t="shared" si="21"/>
        <v>2.6673193448546541E-2</v>
      </c>
      <c r="AL87" s="11">
        <v>307.96372000000002</v>
      </c>
      <c r="AM87" s="1">
        <v>40.5</v>
      </c>
      <c r="AN87" s="13">
        <v>94.744529999999997</v>
      </c>
      <c r="AO87" s="3">
        <f t="shared" si="19"/>
        <v>97.838030000000003</v>
      </c>
      <c r="AP87" s="1">
        <f t="shared" si="22"/>
        <v>2.7138605201157743E-2</v>
      </c>
      <c r="AR87" s="11">
        <v>226.65651</v>
      </c>
      <c r="AS87" s="1">
        <v>40.5</v>
      </c>
      <c r="AT87" s="13">
        <v>99.207809999999995</v>
      </c>
      <c r="AU87" s="3">
        <f t="shared" si="20"/>
        <v>99.862299999999991</v>
      </c>
    </row>
    <row r="88" spans="2:47" ht="16" x14ac:dyDescent="0.2">
      <c r="B88" s="2">
        <v>200.01267000000001</v>
      </c>
      <c r="C88" s="1">
        <v>41</v>
      </c>
      <c r="D88" s="3">
        <v>99.715509999999995</v>
      </c>
      <c r="E88" s="3">
        <f t="shared" si="13"/>
        <v>100.42881</v>
      </c>
      <c r="H88" s="4">
        <v>225.0069</v>
      </c>
      <c r="I88" s="1">
        <v>41</v>
      </c>
      <c r="J88" s="3">
        <v>95.848020000000005</v>
      </c>
      <c r="K88" s="3">
        <f t="shared" si="14"/>
        <v>99.955600000000004</v>
      </c>
      <c r="L88" s="1">
        <f t="shared" si="23"/>
        <v>5.296990441488565E-3</v>
      </c>
      <c r="N88" s="4">
        <v>225.01859999999999</v>
      </c>
      <c r="O88" s="1">
        <v>41</v>
      </c>
      <c r="P88" s="3">
        <v>100.53758000000001</v>
      </c>
      <c r="Q88" s="3">
        <f t="shared" si="15"/>
        <v>100.67316000000001</v>
      </c>
      <c r="T88" s="4">
        <v>250.00400999999999</v>
      </c>
      <c r="U88" s="1">
        <v>41</v>
      </c>
      <c r="V88" s="5">
        <v>95.843190000000007</v>
      </c>
      <c r="W88" s="3">
        <f t="shared" si="16"/>
        <v>100.00059</v>
      </c>
      <c r="X88" s="1">
        <f t="shared" si="24"/>
        <v>7.5908914508349135E-3</v>
      </c>
      <c r="Z88" s="4">
        <v>250.01069000000001</v>
      </c>
      <c r="AA88" s="1">
        <v>41</v>
      </c>
      <c r="AB88" s="5">
        <v>100.97620999999999</v>
      </c>
      <c r="AC88" s="3">
        <f t="shared" si="17"/>
        <v>100.89946999999999</v>
      </c>
      <c r="AD88" s="1">
        <f t="shared" si="12"/>
        <v>2.1064534488008601E-3</v>
      </c>
      <c r="AF88" s="11">
        <v>310.47717999999998</v>
      </c>
      <c r="AG88" s="1">
        <v>41</v>
      </c>
      <c r="AH88" s="12">
        <v>94.595230000000001</v>
      </c>
      <c r="AI88" s="3">
        <f t="shared" si="18"/>
        <v>97.602919999999997</v>
      </c>
      <c r="AJ88" s="1">
        <f t="shared" si="21"/>
        <v>2.9268782394834311E-2</v>
      </c>
      <c r="AL88" s="11">
        <v>310.47138999999999</v>
      </c>
      <c r="AM88" s="1">
        <v>41</v>
      </c>
      <c r="AN88" s="12">
        <v>94.530869999999993</v>
      </c>
      <c r="AO88" s="3">
        <f t="shared" si="19"/>
        <v>97.624369999999999</v>
      </c>
      <c r="AP88" s="1">
        <f t="shared" si="22"/>
        <v>2.9719346068111108E-2</v>
      </c>
      <c r="AR88" s="11">
        <v>228.15867</v>
      </c>
      <c r="AS88" s="1">
        <v>41</v>
      </c>
      <c r="AT88" s="12">
        <v>99.192769999999996</v>
      </c>
      <c r="AU88" s="3">
        <f t="shared" si="20"/>
        <v>99.847259999999991</v>
      </c>
    </row>
    <row r="89" spans="2:47" ht="16" x14ac:dyDescent="0.2">
      <c r="B89" s="2">
        <v>200.0129</v>
      </c>
      <c r="C89" s="1">
        <v>41.5</v>
      </c>
      <c r="D89" s="5">
        <v>99.699809999999999</v>
      </c>
      <c r="E89" s="3">
        <f t="shared" si="13"/>
        <v>100.41311</v>
      </c>
      <c r="H89" s="4">
        <v>225.00504000000001</v>
      </c>
      <c r="I89" s="1">
        <v>41.5</v>
      </c>
      <c r="J89" s="5">
        <v>95.852450000000005</v>
      </c>
      <c r="K89" s="3">
        <f t="shared" si="14"/>
        <v>99.960030000000003</v>
      </c>
      <c r="L89" s="1">
        <f t="shared" si="23"/>
        <v>5.2436472551830619E-3</v>
      </c>
      <c r="N89" s="4">
        <v>225.02221</v>
      </c>
      <c r="O89" s="1">
        <v>41.5</v>
      </c>
      <c r="P89" s="5">
        <v>100.50914</v>
      </c>
      <c r="Q89" s="3">
        <f t="shared" si="15"/>
        <v>100.64472000000001</v>
      </c>
      <c r="T89" s="4">
        <v>249.99999</v>
      </c>
      <c r="U89" s="1">
        <v>41.5</v>
      </c>
      <c r="V89" s="3">
        <v>95.844880000000003</v>
      </c>
      <c r="W89" s="3">
        <f t="shared" si="16"/>
        <v>100.00228</v>
      </c>
      <c r="X89" s="1">
        <f t="shared" si="24"/>
        <v>7.5705894891772135E-3</v>
      </c>
      <c r="Z89" s="4">
        <v>250.00728000000001</v>
      </c>
      <c r="AA89" s="1">
        <v>41.5</v>
      </c>
      <c r="AB89" s="3">
        <v>101.01358</v>
      </c>
      <c r="AC89" s="3">
        <f t="shared" si="17"/>
        <v>100.93684</v>
      </c>
      <c r="AD89" s="1">
        <f t="shared" si="12"/>
        <v>1.659495889286303E-3</v>
      </c>
      <c r="AF89" s="11">
        <v>312.9744</v>
      </c>
      <c r="AG89" s="1">
        <v>41.5</v>
      </c>
      <c r="AH89" s="13">
        <v>94.347269999999995</v>
      </c>
      <c r="AI89" s="3">
        <f t="shared" si="18"/>
        <v>97.354959999999991</v>
      </c>
      <c r="AJ89" s="1">
        <f t="shared" si="21"/>
        <v>3.2265626477165923E-2</v>
      </c>
      <c r="AL89" s="11">
        <v>312.98236000000003</v>
      </c>
      <c r="AM89" s="1">
        <v>41.5</v>
      </c>
      <c r="AN89" s="13">
        <v>94.283410000000003</v>
      </c>
      <c r="AO89" s="3">
        <f t="shared" si="19"/>
        <v>97.376910000000009</v>
      </c>
      <c r="AP89" s="1">
        <f t="shared" si="22"/>
        <v>3.2708347916544318E-2</v>
      </c>
      <c r="AR89" s="11">
        <v>229.65655000000001</v>
      </c>
      <c r="AS89" s="1">
        <v>41.5</v>
      </c>
      <c r="AT89" s="13">
        <v>99.197760000000002</v>
      </c>
      <c r="AU89" s="3">
        <f t="shared" si="20"/>
        <v>99.852249999999998</v>
      </c>
    </row>
    <row r="90" spans="2:47" ht="16" x14ac:dyDescent="0.2">
      <c r="B90" s="2">
        <v>200.01375999999999</v>
      </c>
      <c r="C90" s="1">
        <v>42</v>
      </c>
      <c r="D90" s="3">
        <v>99.785139999999998</v>
      </c>
      <c r="E90" s="3">
        <f t="shared" si="13"/>
        <v>100.49844</v>
      </c>
      <c r="H90" s="4">
        <v>225.00207</v>
      </c>
      <c r="I90" s="1">
        <v>42</v>
      </c>
      <c r="J90" s="3">
        <v>95.820939999999993</v>
      </c>
      <c r="K90" s="3">
        <f t="shared" si="14"/>
        <v>99.928519999999992</v>
      </c>
      <c r="L90" s="1">
        <f t="shared" si="23"/>
        <v>5.6230702349770326E-3</v>
      </c>
      <c r="N90" s="4">
        <v>225.02062000000001</v>
      </c>
      <c r="O90" s="1">
        <v>42</v>
      </c>
      <c r="P90" s="3">
        <v>100.39175</v>
      </c>
      <c r="Q90" s="3">
        <f t="shared" si="15"/>
        <v>100.52733000000001</v>
      </c>
      <c r="T90" s="4">
        <v>250.00501</v>
      </c>
      <c r="U90" s="1">
        <v>42</v>
      </c>
      <c r="V90" s="5">
        <v>95.812870000000004</v>
      </c>
      <c r="W90" s="3">
        <f t="shared" si="16"/>
        <v>99.970269999999999</v>
      </c>
      <c r="X90" s="1">
        <f t="shared" si="24"/>
        <v>7.9551254611679462E-3</v>
      </c>
      <c r="Z90" s="4">
        <v>250.00597999999999</v>
      </c>
      <c r="AA90" s="1">
        <v>42</v>
      </c>
      <c r="AB90" s="5">
        <v>100.86172000000001</v>
      </c>
      <c r="AC90" s="3">
        <f t="shared" si="17"/>
        <v>100.78498</v>
      </c>
      <c r="AD90" s="1">
        <f t="shared" si="12"/>
        <v>3.4757917144900047E-3</v>
      </c>
      <c r="AF90" s="11">
        <v>315.49444</v>
      </c>
      <c r="AG90" s="1">
        <v>42</v>
      </c>
      <c r="AH90" s="12">
        <v>94.118780000000001</v>
      </c>
      <c r="AI90" s="3">
        <f t="shared" si="18"/>
        <v>97.126469999999998</v>
      </c>
      <c r="AJ90" s="1">
        <f t="shared" si="21"/>
        <v>3.5027156177004255E-2</v>
      </c>
      <c r="AL90" s="11">
        <v>315.48779000000002</v>
      </c>
      <c r="AM90" s="1">
        <v>42</v>
      </c>
      <c r="AN90" s="12">
        <v>94.039919999999995</v>
      </c>
      <c r="AO90" s="3">
        <f t="shared" si="19"/>
        <v>97.133420000000001</v>
      </c>
      <c r="AP90" s="1">
        <f t="shared" si="22"/>
        <v>3.5649397217744752E-2</v>
      </c>
      <c r="AR90" s="11">
        <v>231.16043999999999</v>
      </c>
      <c r="AS90" s="1">
        <v>42</v>
      </c>
      <c r="AT90" s="12">
        <v>99.218320000000006</v>
      </c>
      <c r="AU90" s="3">
        <f t="shared" si="20"/>
        <v>99.872810000000001</v>
      </c>
    </row>
    <row r="91" spans="2:47" ht="16" x14ac:dyDescent="0.2">
      <c r="B91" s="2">
        <v>200.01595</v>
      </c>
      <c r="C91" s="1">
        <v>42.5</v>
      </c>
      <c r="D91" s="5">
        <v>99.745540000000005</v>
      </c>
      <c r="E91" s="3">
        <f t="shared" si="13"/>
        <v>100.45884000000001</v>
      </c>
      <c r="H91" s="4">
        <v>225.00393</v>
      </c>
      <c r="I91" s="1">
        <v>42.5</v>
      </c>
      <c r="J91" s="5">
        <v>95.827550000000002</v>
      </c>
      <c r="K91" s="3">
        <f t="shared" si="14"/>
        <v>99.935130000000001</v>
      </c>
      <c r="L91" s="1">
        <f t="shared" si="23"/>
        <v>5.5434769028145231E-3</v>
      </c>
      <c r="N91" s="4">
        <v>225.01643000000001</v>
      </c>
      <c r="O91" s="1">
        <v>42.5</v>
      </c>
      <c r="P91" s="5">
        <v>100.69517999999999</v>
      </c>
      <c r="Q91" s="3">
        <f t="shared" si="15"/>
        <v>100.83076</v>
      </c>
      <c r="T91" s="4">
        <v>250.00398999999999</v>
      </c>
      <c r="U91" s="1">
        <v>42.5</v>
      </c>
      <c r="V91" s="3">
        <v>95.796940000000006</v>
      </c>
      <c r="W91" s="3">
        <f t="shared" si="16"/>
        <v>99.954340000000002</v>
      </c>
      <c r="X91" s="1">
        <f t="shared" si="24"/>
        <v>8.1464924725335001E-3</v>
      </c>
      <c r="Z91" s="4">
        <v>250.00602000000001</v>
      </c>
      <c r="AA91" s="1">
        <v>42.5</v>
      </c>
      <c r="AB91" s="3">
        <v>100.98065</v>
      </c>
      <c r="AC91" s="3">
        <f t="shared" si="17"/>
        <v>100.90391</v>
      </c>
      <c r="AD91" s="1">
        <f t="shared" si="12"/>
        <v>2.0533495803436701E-3</v>
      </c>
      <c r="AF91" s="11">
        <v>317.9984</v>
      </c>
      <c r="AG91" s="1">
        <v>42.5</v>
      </c>
      <c r="AH91" s="13">
        <v>93.804069999999996</v>
      </c>
      <c r="AI91" s="3">
        <f t="shared" si="18"/>
        <v>96.811759999999992</v>
      </c>
      <c r="AJ91" s="1">
        <f t="shared" si="21"/>
        <v>3.8830740630749108E-2</v>
      </c>
      <c r="AL91" s="11">
        <v>317.99680000000001</v>
      </c>
      <c r="AM91" s="1">
        <v>42.5</v>
      </c>
      <c r="AN91" s="13">
        <v>93.73563</v>
      </c>
      <c r="AO91" s="3">
        <f t="shared" si="19"/>
        <v>96.829130000000006</v>
      </c>
      <c r="AP91" s="1">
        <f t="shared" si="22"/>
        <v>3.9324833136518543E-2</v>
      </c>
      <c r="AR91" s="11">
        <v>232.65555000000001</v>
      </c>
      <c r="AS91" s="1">
        <v>42.5</v>
      </c>
      <c r="AT91" s="13">
        <v>99.210880000000003</v>
      </c>
      <c r="AU91" s="3">
        <f t="shared" si="20"/>
        <v>99.865369999999999</v>
      </c>
    </row>
    <row r="92" spans="2:47" ht="16" x14ac:dyDescent="0.2">
      <c r="B92" s="2">
        <v>200.01908</v>
      </c>
      <c r="C92" s="1">
        <v>43</v>
      </c>
      <c r="D92" s="3">
        <v>99.937179999999998</v>
      </c>
      <c r="E92" s="3">
        <f t="shared" si="13"/>
        <v>100.65048</v>
      </c>
      <c r="H92" s="4">
        <v>225.00693000000001</v>
      </c>
      <c r="I92" s="1">
        <v>43</v>
      </c>
      <c r="J92" s="3">
        <v>95.82517</v>
      </c>
      <c r="K92" s="3">
        <f t="shared" si="14"/>
        <v>99.932749999999999</v>
      </c>
      <c r="L92" s="1">
        <f t="shared" si="23"/>
        <v>5.5721353189335382E-3</v>
      </c>
      <c r="N92" s="4">
        <v>225.01724999999999</v>
      </c>
      <c r="O92" s="1">
        <v>43</v>
      </c>
      <c r="P92" s="3">
        <v>100.54598</v>
      </c>
      <c r="Q92" s="3">
        <f t="shared" si="15"/>
        <v>100.68156</v>
      </c>
      <c r="T92" s="4">
        <v>250.005</v>
      </c>
      <c r="U92" s="1">
        <v>43</v>
      </c>
      <c r="V92" s="5">
        <v>95.784660000000002</v>
      </c>
      <c r="W92" s="3">
        <f t="shared" si="16"/>
        <v>99.942059999999998</v>
      </c>
      <c r="X92" s="1">
        <f t="shared" si="24"/>
        <v>8.2940120519164363E-3</v>
      </c>
      <c r="Z92" s="4">
        <v>250.00568999999999</v>
      </c>
      <c r="AA92" s="1">
        <v>43</v>
      </c>
      <c r="AB92" s="5">
        <v>101.04217</v>
      </c>
      <c r="AC92" s="3">
        <f t="shared" si="17"/>
        <v>100.96543</v>
      </c>
      <c r="AD92" s="1">
        <f t="shared" si="12"/>
        <v>1.3175500336128972E-3</v>
      </c>
      <c r="AF92" s="11">
        <v>320.50411000000003</v>
      </c>
      <c r="AG92" s="1">
        <v>43</v>
      </c>
      <c r="AH92" s="12">
        <v>93.475179999999995</v>
      </c>
      <c r="AI92" s="3">
        <f t="shared" si="18"/>
        <v>96.482869999999991</v>
      </c>
      <c r="AJ92" s="1">
        <f t="shared" si="21"/>
        <v>4.280570453717765E-2</v>
      </c>
      <c r="AL92" s="11">
        <v>320.50209999999998</v>
      </c>
      <c r="AM92" s="1">
        <v>43</v>
      </c>
      <c r="AN92" s="12">
        <v>93.418419999999998</v>
      </c>
      <c r="AO92" s="3">
        <f t="shared" si="19"/>
        <v>96.511920000000003</v>
      </c>
      <c r="AP92" s="1">
        <f t="shared" si="22"/>
        <v>4.3156326211526819E-2</v>
      </c>
      <c r="AR92" s="11">
        <v>234.15848</v>
      </c>
      <c r="AS92" s="1">
        <v>43</v>
      </c>
      <c r="AT92" s="12">
        <v>99.202209999999994</v>
      </c>
      <c r="AU92" s="3">
        <f t="shared" si="20"/>
        <v>99.856699999999989</v>
      </c>
    </row>
    <row r="93" spans="2:47" ht="16" x14ac:dyDescent="0.2">
      <c r="B93" s="2">
        <v>200.02179000000001</v>
      </c>
      <c r="C93" s="1">
        <v>43.5</v>
      </c>
      <c r="D93" s="5">
        <v>99.654870000000003</v>
      </c>
      <c r="E93" s="3">
        <f t="shared" si="13"/>
        <v>100.36817000000001</v>
      </c>
      <c r="H93" s="4">
        <v>225.00486000000001</v>
      </c>
      <c r="I93" s="1">
        <v>43.5</v>
      </c>
      <c r="J93" s="5">
        <v>95.801159999999996</v>
      </c>
      <c r="K93" s="3">
        <f t="shared" si="14"/>
        <v>99.908739999999995</v>
      </c>
      <c r="L93" s="1">
        <f t="shared" si="23"/>
        <v>5.8612481638986753E-3</v>
      </c>
      <c r="N93" s="4">
        <v>225.01844</v>
      </c>
      <c r="O93" s="1">
        <v>43.5</v>
      </c>
      <c r="P93" s="5">
        <v>100.60196000000001</v>
      </c>
      <c r="Q93" s="3">
        <f t="shared" si="15"/>
        <v>100.73754000000001</v>
      </c>
      <c r="T93" s="4">
        <v>250.011</v>
      </c>
      <c r="U93" s="1">
        <v>43.5</v>
      </c>
      <c r="V93" s="3">
        <v>95.788880000000006</v>
      </c>
      <c r="W93" s="3">
        <f t="shared" si="16"/>
        <v>99.946280000000002</v>
      </c>
      <c r="X93" s="1">
        <f t="shared" si="24"/>
        <v>8.2433172127473545E-3</v>
      </c>
      <c r="Z93" s="4">
        <v>250.00567000000001</v>
      </c>
      <c r="AA93" s="1">
        <v>43.5</v>
      </c>
      <c r="AB93" s="3">
        <v>100.9093</v>
      </c>
      <c r="AC93" s="3">
        <f t="shared" si="17"/>
        <v>100.83256</v>
      </c>
      <c r="AD93" s="1">
        <f t="shared" si="12"/>
        <v>2.9067191781856055E-3</v>
      </c>
      <c r="AF93" s="11">
        <v>323.01551999999998</v>
      </c>
      <c r="AG93" s="1">
        <v>43.5</v>
      </c>
      <c r="AH93" s="13">
        <v>93.129949999999994</v>
      </c>
      <c r="AI93" s="3">
        <f t="shared" si="18"/>
        <v>96.13763999999999</v>
      </c>
      <c r="AJ93" s="1">
        <f t="shared" si="21"/>
        <v>4.6978153652128929E-2</v>
      </c>
      <c r="AL93" s="11">
        <v>323.01335999999998</v>
      </c>
      <c r="AM93" s="1">
        <v>43.5</v>
      </c>
      <c r="AN93" s="13">
        <v>93.063360000000003</v>
      </c>
      <c r="AO93" s="3">
        <f t="shared" si="19"/>
        <v>96.156860000000009</v>
      </c>
      <c r="AP93" s="1">
        <f t="shared" si="22"/>
        <v>4.7444999113429046E-2</v>
      </c>
      <c r="AR93" s="11">
        <v>235.66076000000001</v>
      </c>
      <c r="AS93" s="1">
        <v>43.5</v>
      </c>
      <c r="AT93" s="13">
        <v>99.221580000000003</v>
      </c>
      <c r="AU93" s="3">
        <f t="shared" si="20"/>
        <v>99.876069999999999</v>
      </c>
    </row>
    <row r="94" spans="2:47" ht="16" x14ac:dyDescent="0.2">
      <c r="B94" s="2">
        <v>200.02632</v>
      </c>
      <c r="C94" s="1">
        <v>44</v>
      </c>
      <c r="D94" s="3">
        <v>99.857399999999998</v>
      </c>
      <c r="E94" s="3">
        <f t="shared" si="13"/>
        <v>100.5707</v>
      </c>
      <c r="H94" s="4">
        <v>225.00792000000001</v>
      </c>
      <c r="I94" s="1">
        <v>44</v>
      </c>
      <c r="J94" s="3">
        <v>95.795090000000002</v>
      </c>
      <c r="K94" s="3">
        <f t="shared" si="14"/>
        <v>99.902670000000001</v>
      </c>
      <c r="L94" s="1">
        <f t="shared" si="23"/>
        <v>5.9343391663533342E-3</v>
      </c>
      <c r="N94" s="4">
        <v>225.01679999999999</v>
      </c>
      <c r="O94" s="1">
        <v>44</v>
      </c>
      <c r="P94" s="3">
        <v>100.60236999999999</v>
      </c>
      <c r="Q94" s="3">
        <f t="shared" si="15"/>
        <v>100.73795</v>
      </c>
      <c r="T94" s="4">
        <v>250.00700000000001</v>
      </c>
      <c r="U94" s="1">
        <v>44</v>
      </c>
      <c r="V94" s="5">
        <v>95.774929999999998</v>
      </c>
      <c r="W94" s="3">
        <f t="shared" si="16"/>
        <v>99.932329999999993</v>
      </c>
      <c r="X94" s="1">
        <f t="shared" si="24"/>
        <v>8.4108984938868099E-3</v>
      </c>
      <c r="Z94" s="4">
        <v>250.00792000000001</v>
      </c>
      <c r="AA94" s="1">
        <v>44</v>
      </c>
      <c r="AB94" s="5">
        <v>100.85484</v>
      </c>
      <c r="AC94" s="3">
        <f t="shared" si="17"/>
        <v>100.77809999999999</v>
      </c>
      <c r="AD94" s="1">
        <f t="shared" si="12"/>
        <v>3.5580787899372511E-3</v>
      </c>
      <c r="AF94" s="11">
        <v>325.52814000000001</v>
      </c>
      <c r="AG94" s="1">
        <v>44</v>
      </c>
      <c r="AH94" s="12">
        <v>92.735309999999998</v>
      </c>
      <c r="AI94" s="3">
        <f t="shared" si="18"/>
        <v>95.742999999999995</v>
      </c>
      <c r="AJ94" s="1">
        <f t="shared" si="21"/>
        <v>5.1747771931897051E-2</v>
      </c>
      <c r="AL94" s="11">
        <v>325.51673</v>
      </c>
      <c r="AM94" s="1">
        <v>44</v>
      </c>
      <c r="AN94" s="12">
        <v>92.703540000000004</v>
      </c>
      <c r="AO94" s="3">
        <f t="shared" si="19"/>
        <v>95.79704000000001</v>
      </c>
      <c r="AP94" s="1">
        <f t="shared" si="22"/>
        <v>5.1791166757101881E-2</v>
      </c>
      <c r="AR94" s="11">
        <v>237.16261</v>
      </c>
      <c r="AS94" s="1">
        <v>44</v>
      </c>
      <c r="AT94" s="12">
        <v>99.182699999999997</v>
      </c>
      <c r="AU94" s="3">
        <f t="shared" si="20"/>
        <v>99.837189999999993</v>
      </c>
    </row>
    <row r="95" spans="2:47" ht="16" x14ac:dyDescent="0.2">
      <c r="B95" s="2">
        <v>200.03008</v>
      </c>
      <c r="C95" s="1">
        <v>44.5</v>
      </c>
      <c r="D95" s="5">
        <v>99.964669999999998</v>
      </c>
      <c r="E95" s="3">
        <f t="shared" si="13"/>
        <v>100.67797</v>
      </c>
      <c r="H95" s="4">
        <v>225.00689</v>
      </c>
      <c r="I95" s="1">
        <v>44.5</v>
      </c>
      <c r="J95" s="5">
        <v>95.780640000000005</v>
      </c>
      <c r="K95" s="3">
        <f t="shared" si="14"/>
        <v>99.888220000000004</v>
      </c>
      <c r="L95" s="1">
        <f t="shared" si="23"/>
        <v>6.1083366927900066E-3</v>
      </c>
      <c r="N95" s="4">
        <v>225.01496</v>
      </c>
      <c r="O95" s="1">
        <v>44.5</v>
      </c>
      <c r="P95" s="5">
        <v>100.56386999999999</v>
      </c>
      <c r="Q95" s="3">
        <f t="shared" si="15"/>
        <v>100.69945</v>
      </c>
      <c r="T95" s="4">
        <v>250.00198</v>
      </c>
      <c r="U95" s="1">
        <v>44.5</v>
      </c>
      <c r="V95" s="3">
        <v>95.762609999999995</v>
      </c>
      <c r="W95" s="3">
        <f t="shared" si="16"/>
        <v>99.920009999999991</v>
      </c>
      <c r="X95" s="1">
        <f t="shared" si="24"/>
        <v>8.5588985930722793E-3</v>
      </c>
      <c r="Z95" s="4">
        <v>250.01165</v>
      </c>
      <c r="AA95" s="1">
        <v>44.5</v>
      </c>
      <c r="AB95" s="3">
        <v>100.91893</v>
      </c>
      <c r="AC95" s="3">
        <f t="shared" si="17"/>
        <v>100.84219</v>
      </c>
      <c r="AD95" s="1">
        <f t="shared" si="12"/>
        <v>2.7915411932210713E-3</v>
      </c>
      <c r="AF95" s="11">
        <v>328.03681999999998</v>
      </c>
      <c r="AG95" s="1">
        <v>44.5</v>
      </c>
      <c r="AH95" s="13">
        <v>92.351839999999996</v>
      </c>
      <c r="AI95" s="3">
        <f t="shared" si="18"/>
        <v>95.359529999999992</v>
      </c>
      <c r="AJ95" s="1">
        <f t="shared" si="21"/>
        <v>5.6382389613183072E-2</v>
      </c>
      <c r="AL95" s="11">
        <v>328.02924999999999</v>
      </c>
      <c r="AM95" s="1">
        <v>44.5</v>
      </c>
      <c r="AN95" s="13">
        <v>92.273989999999998</v>
      </c>
      <c r="AO95" s="3">
        <f t="shared" si="19"/>
        <v>95.367490000000004</v>
      </c>
      <c r="AP95" s="1">
        <f t="shared" si="22"/>
        <v>5.6979584052804455E-2</v>
      </c>
      <c r="AR95" s="11">
        <v>238.67447000000001</v>
      </c>
      <c r="AS95" s="1">
        <v>44.5</v>
      </c>
      <c r="AT95" s="13">
        <v>99.183059999999998</v>
      </c>
      <c r="AU95" s="3">
        <f t="shared" si="20"/>
        <v>99.837549999999993</v>
      </c>
    </row>
    <row r="96" spans="2:47" ht="16" x14ac:dyDescent="0.2">
      <c r="B96" s="2">
        <v>200.02511000000001</v>
      </c>
      <c r="C96" s="1">
        <v>45</v>
      </c>
      <c r="D96" s="3">
        <v>99.815150000000003</v>
      </c>
      <c r="E96" s="3">
        <f t="shared" si="13"/>
        <v>100.52845000000001</v>
      </c>
      <c r="H96" s="4">
        <v>225.00505999999999</v>
      </c>
      <c r="I96" s="1">
        <v>45</v>
      </c>
      <c r="J96" s="3">
        <v>95.795209999999997</v>
      </c>
      <c r="K96" s="3">
        <f t="shared" si="14"/>
        <v>99.902789999999996</v>
      </c>
      <c r="L96" s="1">
        <f t="shared" si="23"/>
        <v>5.9328942041961289E-3</v>
      </c>
      <c r="N96" s="4">
        <v>225.01525000000001</v>
      </c>
      <c r="O96" s="1">
        <v>45</v>
      </c>
      <c r="P96" s="3">
        <v>100.52162</v>
      </c>
      <c r="Q96" s="3">
        <f t="shared" si="15"/>
        <v>100.6572</v>
      </c>
      <c r="T96" s="4">
        <v>250.00301999999999</v>
      </c>
      <c r="U96" s="1">
        <v>45</v>
      </c>
      <c r="V96" s="5">
        <v>95.752600000000001</v>
      </c>
      <c r="W96" s="3">
        <f t="shared" si="16"/>
        <v>99.91</v>
      </c>
      <c r="X96" s="1">
        <f t="shared" si="24"/>
        <v>8.6791486736603751E-3</v>
      </c>
      <c r="Z96" s="4">
        <v>250.01411999999999</v>
      </c>
      <c r="AA96" s="1">
        <v>45</v>
      </c>
      <c r="AB96" s="5">
        <v>100.89149999999999</v>
      </c>
      <c r="AC96" s="3">
        <f t="shared" si="17"/>
        <v>100.81475999999999</v>
      </c>
      <c r="AD96" s="1">
        <f t="shared" si="12"/>
        <v>3.1196130652436922E-3</v>
      </c>
      <c r="AF96" s="11">
        <v>330.54496999999998</v>
      </c>
      <c r="AG96" s="1">
        <v>45</v>
      </c>
      <c r="AH96" s="12">
        <v>91.861379999999997</v>
      </c>
      <c r="AI96" s="3">
        <f t="shared" si="18"/>
        <v>94.869069999999994</v>
      </c>
      <c r="AJ96" s="1">
        <f t="shared" si="21"/>
        <v>6.2310088228364237E-2</v>
      </c>
      <c r="AL96" s="11">
        <v>330.54257999999999</v>
      </c>
      <c r="AM96" s="1">
        <v>45</v>
      </c>
      <c r="AN96" s="12">
        <v>91.806150000000002</v>
      </c>
      <c r="AO96" s="3">
        <f t="shared" si="19"/>
        <v>94.899650000000008</v>
      </c>
      <c r="AP96" s="1">
        <f t="shared" si="22"/>
        <v>6.2630495815396536E-2</v>
      </c>
      <c r="AR96" s="11">
        <v>240.17462</v>
      </c>
      <c r="AS96" s="1">
        <v>45</v>
      </c>
      <c r="AT96" s="12">
        <v>99.180490000000006</v>
      </c>
      <c r="AU96" s="3">
        <f t="shared" si="20"/>
        <v>99.834980000000002</v>
      </c>
    </row>
    <row r="97" spans="2:47" ht="16" x14ac:dyDescent="0.2">
      <c r="B97" s="2">
        <v>200.02406999999999</v>
      </c>
      <c r="C97" s="1">
        <v>45.5</v>
      </c>
      <c r="D97" s="5">
        <v>99.831659999999999</v>
      </c>
      <c r="E97" s="3">
        <f t="shared" si="13"/>
        <v>100.54496</v>
      </c>
      <c r="H97" s="4">
        <v>225.00397000000001</v>
      </c>
      <c r="I97" s="1">
        <v>45.5</v>
      </c>
      <c r="J97" s="5">
        <v>95.789450000000002</v>
      </c>
      <c r="K97" s="3">
        <f t="shared" si="14"/>
        <v>99.897030000000001</v>
      </c>
      <c r="L97" s="1">
        <f t="shared" si="23"/>
        <v>6.0022523877445453E-3</v>
      </c>
      <c r="N97" s="4">
        <v>225.01517999999999</v>
      </c>
      <c r="O97" s="1">
        <v>45.5</v>
      </c>
      <c r="P97" s="5">
        <v>100.68264000000001</v>
      </c>
      <c r="Q97" s="3">
        <f t="shared" si="15"/>
        <v>100.81822000000001</v>
      </c>
      <c r="T97" s="4">
        <v>250.00301999999999</v>
      </c>
      <c r="U97" s="1">
        <v>45.5</v>
      </c>
      <c r="V97" s="3">
        <v>95.738699999999994</v>
      </c>
      <c r="W97" s="3">
        <f t="shared" si="16"/>
        <v>99.89609999999999</v>
      </c>
      <c r="X97" s="1">
        <f t="shared" si="24"/>
        <v>8.8461293050466246E-3</v>
      </c>
      <c r="Z97" s="4">
        <v>250.01636999999999</v>
      </c>
      <c r="AA97" s="1">
        <v>45.5</v>
      </c>
      <c r="AB97" s="3">
        <v>100.90552</v>
      </c>
      <c r="AC97" s="3">
        <f t="shared" si="17"/>
        <v>100.82877999999999</v>
      </c>
      <c r="AD97" s="1">
        <f t="shared" si="12"/>
        <v>2.9519292283586673E-3</v>
      </c>
      <c r="AF97" s="11">
        <v>333.05533000000003</v>
      </c>
      <c r="AG97" s="1">
        <v>45.5</v>
      </c>
      <c r="AH97" s="13">
        <v>91.33869</v>
      </c>
      <c r="AI97" s="3">
        <f t="shared" si="18"/>
        <v>94.346379999999996</v>
      </c>
      <c r="AJ97" s="1">
        <f t="shared" si="21"/>
        <v>6.862731856145772E-2</v>
      </c>
      <c r="AL97" s="11">
        <v>333.05077999999997</v>
      </c>
      <c r="AM97" s="1">
        <v>45.5</v>
      </c>
      <c r="AN97" s="13">
        <v>91.316689999999994</v>
      </c>
      <c r="AO97" s="3">
        <f t="shared" si="19"/>
        <v>94.41019</v>
      </c>
      <c r="AP97" s="1">
        <f t="shared" si="22"/>
        <v>6.8542549661408853E-2</v>
      </c>
      <c r="AR97" s="11">
        <v>241.68126000000001</v>
      </c>
      <c r="AS97" s="1">
        <v>45.5</v>
      </c>
      <c r="AT97" s="13">
        <v>99.187950000000001</v>
      </c>
      <c r="AU97" s="3">
        <f t="shared" si="20"/>
        <v>99.842439999999996</v>
      </c>
    </row>
    <row r="98" spans="2:47" ht="16" x14ac:dyDescent="0.2">
      <c r="B98" s="2">
        <v>200.01649</v>
      </c>
      <c r="C98" s="1">
        <v>46</v>
      </c>
      <c r="D98" s="3">
        <v>99.863889999999998</v>
      </c>
      <c r="E98" s="3">
        <f t="shared" si="13"/>
        <v>100.57719</v>
      </c>
      <c r="H98" s="4">
        <v>225.00098</v>
      </c>
      <c r="I98" s="1">
        <v>46</v>
      </c>
      <c r="J98" s="3">
        <v>95.770409999999998</v>
      </c>
      <c r="K98" s="3">
        <f t="shared" si="14"/>
        <v>99.877989999999997</v>
      </c>
      <c r="L98" s="1">
        <f t="shared" si="23"/>
        <v>6.2315197166964995E-3</v>
      </c>
      <c r="N98" s="4">
        <v>225.01598000000001</v>
      </c>
      <c r="O98" s="1">
        <v>46</v>
      </c>
      <c r="P98" s="3">
        <v>100.62603</v>
      </c>
      <c r="Q98" s="3">
        <f t="shared" si="15"/>
        <v>100.76161</v>
      </c>
      <c r="T98" s="4">
        <v>250.00201000000001</v>
      </c>
      <c r="U98" s="1">
        <v>46</v>
      </c>
      <c r="V98" s="5">
        <v>95.712670000000003</v>
      </c>
      <c r="W98" s="3">
        <f t="shared" si="16"/>
        <v>99.870069999999998</v>
      </c>
      <c r="X98" s="1">
        <f t="shared" si="24"/>
        <v>9.1588275665560152E-3</v>
      </c>
      <c r="Z98" s="4">
        <v>250.01417000000001</v>
      </c>
      <c r="AA98" s="1">
        <v>46</v>
      </c>
      <c r="AB98" s="5">
        <v>100.89355999999999</v>
      </c>
      <c r="AC98" s="3">
        <f t="shared" si="17"/>
        <v>100.81681999999999</v>
      </c>
      <c r="AD98" s="1">
        <f t="shared" si="12"/>
        <v>3.0949747839324848E-3</v>
      </c>
      <c r="AF98" s="11">
        <v>335.56198000000001</v>
      </c>
      <c r="AG98" s="1">
        <v>46</v>
      </c>
      <c r="AH98" s="12">
        <v>90.784499999999994</v>
      </c>
      <c r="AI98" s="3">
        <f t="shared" si="18"/>
        <v>93.792189999999991</v>
      </c>
      <c r="AJ98" s="1">
        <f t="shared" si="21"/>
        <v>7.5325257833869924E-2</v>
      </c>
      <c r="AL98" s="11">
        <v>335.56481000000002</v>
      </c>
      <c r="AM98" s="1">
        <v>46</v>
      </c>
      <c r="AN98" s="12">
        <v>90.749089999999995</v>
      </c>
      <c r="AO98" s="3">
        <f t="shared" si="19"/>
        <v>93.842590000000001</v>
      </c>
      <c r="AP98" s="1">
        <f t="shared" si="22"/>
        <v>7.5398435255730187E-2</v>
      </c>
      <c r="AR98" s="11">
        <v>243.18349000000001</v>
      </c>
      <c r="AS98" s="1">
        <v>46</v>
      </c>
      <c r="AT98" s="12">
        <v>99.187790000000007</v>
      </c>
      <c r="AU98" s="3">
        <f t="shared" si="20"/>
        <v>99.842280000000002</v>
      </c>
    </row>
    <row r="99" spans="2:47" ht="16" x14ac:dyDescent="0.2">
      <c r="B99" s="2">
        <v>200.01306</v>
      </c>
      <c r="C99" s="1">
        <v>46.5</v>
      </c>
      <c r="D99" s="5">
        <v>99.882059999999996</v>
      </c>
      <c r="E99" s="3">
        <f t="shared" si="13"/>
        <v>100.59536</v>
      </c>
      <c r="H99" s="4">
        <v>225.00389999999999</v>
      </c>
      <c r="I99" s="1">
        <v>46.5</v>
      </c>
      <c r="J99" s="5">
        <v>95.770619999999994</v>
      </c>
      <c r="K99" s="3">
        <f t="shared" si="14"/>
        <v>99.878199999999993</v>
      </c>
      <c r="L99" s="1">
        <f t="shared" si="23"/>
        <v>6.2289910329213476E-3</v>
      </c>
      <c r="N99" s="4">
        <v>225.01784000000001</v>
      </c>
      <c r="O99" s="1">
        <v>46.5</v>
      </c>
      <c r="P99" s="5">
        <v>100.59681</v>
      </c>
      <c r="Q99" s="3">
        <f t="shared" si="15"/>
        <v>100.73239000000001</v>
      </c>
      <c r="T99" s="4">
        <v>249.99999</v>
      </c>
      <c r="U99" s="1">
        <v>46.5</v>
      </c>
      <c r="V99" s="3">
        <v>95.68656</v>
      </c>
      <c r="W99" s="3">
        <f t="shared" si="16"/>
        <v>99.843959999999996</v>
      </c>
      <c r="X99" s="1">
        <f t="shared" si="24"/>
        <v>9.4724868676706406E-3</v>
      </c>
      <c r="Z99" s="4">
        <v>250.01199</v>
      </c>
      <c r="AA99" s="1">
        <v>46.5</v>
      </c>
      <c r="AB99" s="3">
        <v>100.85781</v>
      </c>
      <c r="AC99" s="3">
        <f t="shared" si="17"/>
        <v>100.78107</v>
      </c>
      <c r="AD99" s="1">
        <f t="shared" si="12"/>
        <v>3.5225566076584171E-3</v>
      </c>
      <c r="AF99" s="11">
        <v>338.08247999999998</v>
      </c>
      <c r="AG99" s="1">
        <v>46.5</v>
      </c>
      <c r="AH99" s="13">
        <v>90.20187</v>
      </c>
      <c r="AI99" s="3">
        <f t="shared" si="18"/>
        <v>93.209559999999996</v>
      </c>
      <c r="AJ99" s="1">
        <f t="shared" si="21"/>
        <v>8.2366922891495373E-2</v>
      </c>
      <c r="AL99" s="11">
        <v>338.07909000000001</v>
      </c>
      <c r="AM99" s="1">
        <v>46.5</v>
      </c>
      <c r="AN99" s="13">
        <v>90.247690000000006</v>
      </c>
      <c r="AO99" s="3">
        <f t="shared" si="19"/>
        <v>93.341190000000012</v>
      </c>
      <c r="AP99" s="1">
        <f t="shared" si="22"/>
        <v>8.1454709105259177E-2</v>
      </c>
      <c r="AR99" s="11">
        <v>244.68451999999999</v>
      </c>
      <c r="AS99" s="1">
        <v>46.5</v>
      </c>
      <c r="AT99" s="13">
        <v>99.206019999999995</v>
      </c>
      <c r="AU99" s="3">
        <f t="shared" si="20"/>
        <v>99.860509999999991</v>
      </c>
    </row>
    <row r="100" spans="2:47" ht="16" x14ac:dyDescent="0.2">
      <c r="B100" s="2">
        <v>200.01489000000001</v>
      </c>
      <c r="C100" s="1">
        <v>47</v>
      </c>
      <c r="D100" s="3">
        <v>99.904480000000007</v>
      </c>
      <c r="E100" s="3">
        <f t="shared" si="13"/>
        <v>100.61778000000001</v>
      </c>
      <c r="H100" s="4">
        <v>225.00208000000001</v>
      </c>
      <c r="I100" s="1">
        <v>47</v>
      </c>
      <c r="J100" s="3">
        <v>95.776499999999999</v>
      </c>
      <c r="K100" s="3">
        <f t="shared" si="14"/>
        <v>99.884079999999997</v>
      </c>
      <c r="L100" s="1">
        <f t="shared" si="23"/>
        <v>6.1581878872155544E-3</v>
      </c>
      <c r="N100" s="4">
        <v>225.01722000000001</v>
      </c>
      <c r="O100" s="1">
        <v>47</v>
      </c>
      <c r="P100" s="3">
        <v>100.562</v>
      </c>
      <c r="Q100" s="3">
        <f t="shared" si="15"/>
        <v>100.69758</v>
      </c>
      <c r="T100" s="4">
        <v>250.00502</v>
      </c>
      <c r="U100" s="1">
        <v>47</v>
      </c>
      <c r="V100" s="5">
        <v>95.686509999999998</v>
      </c>
      <c r="W100" s="3">
        <f t="shared" si="16"/>
        <v>99.843909999999994</v>
      </c>
      <c r="X100" s="1">
        <f t="shared" si="24"/>
        <v>9.4730875174238484E-3</v>
      </c>
      <c r="Z100" s="4">
        <v>250.01428000000001</v>
      </c>
      <c r="AA100" s="1">
        <v>47</v>
      </c>
      <c r="AB100" s="5">
        <v>100.88717</v>
      </c>
      <c r="AC100" s="3">
        <f t="shared" si="17"/>
        <v>100.81043</v>
      </c>
      <c r="AD100" s="1">
        <f t="shared" si="12"/>
        <v>3.1714012973201094E-3</v>
      </c>
      <c r="AF100" s="11">
        <v>340.59420999999998</v>
      </c>
      <c r="AG100" s="1">
        <v>47</v>
      </c>
      <c r="AH100" s="12">
        <v>89.526719999999997</v>
      </c>
      <c r="AI100" s="3">
        <f t="shared" si="18"/>
        <v>92.534409999999994</v>
      </c>
      <c r="AJ100" s="1">
        <f t="shared" si="21"/>
        <v>9.0526784490891021E-2</v>
      </c>
      <c r="AL100" s="11">
        <v>340.58643000000001</v>
      </c>
      <c r="AM100" s="1">
        <v>47</v>
      </c>
      <c r="AN100" s="12">
        <v>89.509010000000004</v>
      </c>
      <c r="AO100" s="3">
        <f t="shared" si="19"/>
        <v>92.602510000000009</v>
      </c>
      <c r="AP100" s="1">
        <f t="shared" si="22"/>
        <v>9.0377023359687142E-2</v>
      </c>
      <c r="AR100" s="11">
        <v>246.18463</v>
      </c>
      <c r="AS100" s="1">
        <v>47</v>
      </c>
      <c r="AT100" s="12">
        <v>99.201880000000003</v>
      </c>
      <c r="AU100" s="3">
        <f t="shared" si="20"/>
        <v>99.856369999999998</v>
      </c>
    </row>
    <row r="101" spans="2:47" ht="16" x14ac:dyDescent="0.2">
      <c r="B101" s="2">
        <v>200.01840999999999</v>
      </c>
      <c r="C101" s="1">
        <v>47.5</v>
      </c>
      <c r="D101" s="5">
        <v>99.733999999999995</v>
      </c>
      <c r="E101" s="3">
        <f t="shared" si="13"/>
        <v>100.4473</v>
      </c>
      <c r="H101" s="4">
        <v>225.00494</v>
      </c>
      <c r="I101" s="1">
        <v>47.5</v>
      </c>
      <c r="J101" s="5">
        <v>95.734729999999999</v>
      </c>
      <c r="K101" s="3">
        <f t="shared" si="14"/>
        <v>99.842309999999998</v>
      </c>
      <c r="L101" s="1">
        <f t="shared" si="23"/>
        <v>6.6611551314551048E-3</v>
      </c>
      <c r="N101" s="4">
        <v>225.01781</v>
      </c>
      <c r="O101" s="1">
        <v>47.5</v>
      </c>
      <c r="P101" s="5">
        <v>100.60057999999999</v>
      </c>
      <c r="Q101" s="3">
        <f t="shared" si="15"/>
        <v>100.73616</v>
      </c>
      <c r="T101" s="4">
        <v>250.00501</v>
      </c>
      <c r="U101" s="1">
        <v>47.5</v>
      </c>
      <c r="V101" s="3">
        <v>95.672460000000001</v>
      </c>
      <c r="W101" s="3">
        <f t="shared" si="16"/>
        <v>99.829859999999996</v>
      </c>
      <c r="X101" s="1">
        <f t="shared" si="24"/>
        <v>9.6418700980695493E-3</v>
      </c>
      <c r="Z101" s="4">
        <v>250.01399000000001</v>
      </c>
      <c r="AA101" s="1">
        <v>47.5</v>
      </c>
      <c r="AB101" s="3">
        <v>100.88521</v>
      </c>
      <c r="AC101" s="3">
        <f t="shared" si="17"/>
        <v>100.80847</v>
      </c>
      <c r="AD101" s="1">
        <f t="shared" si="12"/>
        <v>3.1948435455579176E-3</v>
      </c>
      <c r="AF101" s="11">
        <v>343.10340000000002</v>
      </c>
      <c r="AG101" s="1">
        <v>47.5</v>
      </c>
      <c r="AH101" s="13">
        <v>88.892589999999998</v>
      </c>
      <c r="AI101" s="3">
        <f t="shared" si="18"/>
        <v>91.900279999999995</v>
      </c>
      <c r="AJ101" s="1">
        <f t="shared" si="21"/>
        <v>9.8190878449307267E-2</v>
      </c>
      <c r="AL101" s="11">
        <v>343.09805</v>
      </c>
      <c r="AM101" s="1">
        <v>47.5</v>
      </c>
      <c r="AN101" s="13">
        <v>88.878219999999999</v>
      </c>
      <c r="AO101" s="3">
        <f t="shared" si="19"/>
        <v>91.971720000000005</v>
      </c>
      <c r="AP101" s="1">
        <f t="shared" si="22"/>
        <v>9.7996163729739988E-2</v>
      </c>
      <c r="AR101" s="11">
        <v>247.67840000000001</v>
      </c>
      <c r="AS101" s="1">
        <v>47.5</v>
      </c>
      <c r="AT101" s="13">
        <v>99.189459999999997</v>
      </c>
      <c r="AU101" s="3">
        <f t="shared" si="20"/>
        <v>99.843949999999992</v>
      </c>
    </row>
    <row r="102" spans="2:47" ht="16" x14ac:dyDescent="0.2">
      <c r="B102" s="2">
        <v>200.01921999999999</v>
      </c>
      <c r="C102" s="1">
        <v>48</v>
      </c>
      <c r="D102" s="3">
        <v>99.827119999999994</v>
      </c>
      <c r="E102" s="3">
        <f t="shared" si="13"/>
        <v>100.54042</v>
      </c>
      <c r="H102" s="4">
        <v>225.00505000000001</v>
      </c>
      <c r="I102" s="1">
        <v>48</v>
      </c>
      <c r="J102" s="3">
        <v>95.738380000000006</v>
      </c>
      <c r="K102" s="3">
        <f t="shared" si="14"/>
        <v>99.845960000000005</v>
      </c>
      <c r="L102" s="1">
        <f t="shared" si="23"/>
        <v>6.617204199171692E-3</v>
      </c>
      <c r="N102" s="4">
        <v>225.01835</v>
      </c>
      <c r="O102" s="1">
        <v>48</v>
      </c>
      <c r="P102" s="3">
        <v>100.80524</v>
      </c>
      <c r="Q102" s="3">
        <f t="shared" si="15"/>
        <v>100.94082</v>
      </c>
      <c r="T102" s="4">
        <v>250.00597999999999</v>
      </c>
      <c r="U102" s="1">
        <v>48</v>
      </c>
      <c r="V102" s="5">
        <v>95.676400000000001</v>
      </c>
      <c r="W102" s="3">
        <f t="shared" si="16"/>
        <v>99.833799999999997</v>
      </c>
      <c r="X102" s="1">
        <f t="shared" si="24"/>
        <v>9.5945388975183614E-3</v>
      </c>
      <c r="Z102" s="4">
        <v>250.01490000000001</v>
      </c>
      <c r="AA102" s="1">
        <v>48</v>
      </c>
      <c r="AB102" s="5">
        <v>100.84196</v>
      </c>
      <c r="AC102" s="3">
        <f t="shared" si="17"/>
        <v>100.76522</v>
      </c>
      <c r="AD102" s="1">
        <f t="shared" si="12"/>
        <v>3.7121278497858996E-3</v>
      </c>
      <c r="AF102" s="11">
        <v>345.61953</v>
      </c>
      <c r="AG102" s="1">
        <v>48</v>
      </c>
      <c r="AH102" s="12">
        <v>88.101669999999999</v>
      </c>
      <c r="AI102" s="3">
        <f t="shared" si="18"/>
        <v>91.109359999999995</v>
      </c>
      <c r="AJ102" s="1">
        <f t="shared" si="21"/>
        <v>0.10774993604568434</v>
      </c>
      <c r="AL102" s="11">
        <v>345.61962</v>
      </c>
      <c r="AM102" s="1">
        <v>48</v>
      </c>
      <c r="AN102" s="12">
        <v>88.155420000000007</v>
      </c>
      <c r="AO102" s="3">
        <f t="shared" si="19"/>
        <v>91.248920000000012</v>
      </c>
      <c r="AP102" s="1">
        <f t="shared" si="22"/>
        <v>0.10672666779523581</v>
      </c>
      <c r="AR102" s="11">
        <v>249.18530999999999</v>
      </c>
      <c r="AS102" s="1">
        <v>48</v>
      </c>
      <c r="AT102" s="12">
        <v>99.200019999999995</v>
      </c>
      <c r="AU102" s="3">
        <f t="shared" si="20"/>
        <v>99.854509999999991</v>
      </c>
    </row>
    <row r="103" spans="2:47" ht="16" x14ac:dyDescent="0.2">
      <c r="B103" s="2">
        <v>200.0206</v>
      </c>
      <c r="C103" s="1">
        <v>48.5</v>
      </c>
      <c r="D103" s="5">
        <v>99.681780000000003</v>
      </c>
      <c r="E103" s="3">
        <f t="shared" si="13"/>
        <v>100.39508000000001</v>
      </c>
      <c r="H103" s="4">
        <v>225.00295</v>
      </c>
      <c r="I103" s="1">
        <v>48.5</v>
      </c>
      <c r="J103" s="5">
        <v>95.765450000000001</v>
      </c>
      <c r="K103" s="3">
        <f t="shared" si="14"/>
        <v>99.87303</v>
      </c>
      <c r="L103" s="1">
        <f t="shared" si="23"/>
        <v>6.2912448191965393E-3</v>
      </c>
      <c r="N103" s="4">
        <v>225.01631</v>
      </c>
      <c r="O103" s="1">
        <v>48.5</v>
      </c>
      <c r="P103" s="5">
        <v>100.67877</v>
      </c>
      <c r="Q103" s="3">
        <f t="shared" si="15"/>
        <v>100.81435</v>
      </c>
      <c r="T103" s="4">
        <v>250.00399999999999</v>
      </c>
      <c r="U103" s="1">
        <v>48.5</v>
      </c>
      <c r="V103" s="3">
        <v>95.680350000000004</v>
      </c>
      <c r="W103" s="3">
        <f t="shared" si="16"/>
        <v>99.83775</v>
      </c>
      <c r="X103" s="1">
        <f t="shared" si="24"/>
        <v>9.5470875670164972E-3</v>
      </c>
      <c r="Z103" s="4">
        <v>250.01626999999999</v>
      </c>
      <c r="AA103" s="1">
        <v>48.5</v>
      </c>
      <c r="AB103" s="3">
        <v>100.90048</v>
      </c>
      <c r="AC103" s="3">
        <f t="shared" si="17"/>
        <v>100.82374</v>
      </c>
      <c r="AD103" s="1">
        <f t="shared" si="12"/>
        <v>3.0122092952559127E-3</v>
      </c>
      <c r="AF103" s="11">
        <v>348.13441</v>
      </c>
      <c r="AG103" s="1">
        <v>48.5</v>
      </c>
      <c r="AH103" s="13">
        <v>87.270790000000005</v>
      </c>
      <c r="AI103" s="3">
        <f t="shared" si="18"/>
        <v>90.278480000000002</v>
      </c>
      <c r="AJ103" s="1">
        <f t="shared" si="21"/>
        <v>0.11779195012508265</v>
      </c>
      <c r="AL103" s="11">
        <v>348.13276000000002</v>
      </c>
      <c r="AM103" s="1">
        <v>48.5</v>
      </c>
      <c r="AN103" s="13">
        <v>87.262060000000005</v>
      </c>
      <c r="AO103" s="3">
        <f t="shared" si="19"/>
        <v>90.355560000000011</v>
      </c>
      <c r="AP103" s="1">
        <f t="shared" si="22"/>
        <v>0.11751731958266169</v>
      </c>
      <c r="AR103" s="11">
        <v>250.68458999999999</v>
      </c>
      <c r="AS103" s="1">
        <v>48.5</v>
      </c>
      <c r="AT103" s="13">
        <v>99.175389999999993</v>
      </c>
      <c r="AU103" s="3">
        <f t="shared" si="20"/>
        <v>99.829879999999989</v>
      </c>
    </row>
    <row r="104" spans="2:47" ht="16" x14ac:dyDescent="0.2">
      <c r="B104" s="2">
        <v>200.01949999999999</v>
      </c>
      <c r="C104" s="1">
        <v>49</v>
      </c>
      <c r="D104" s="3">
        <v>99.916939999999997</v>
      </c>
      <c r="E104" s="3">
        <f t="shared" si="13"/>
        <v>100.63024</v>
      </c>
      <c r="H104" s="4">
        <v>225.00103999999999</v>
      </c>
      <c r="I104" s="1">
        <v>49</v>
      </c>
      <c r="J104" s="3">
        <v>95.742729999999995</v>
      </c>
      <c r="K104" s="3">
        <f t="shared" si="14"/>
        <v>99.850309999999993</v>
      </c>
      <c r="L104" s="1">
        <f t="shared" si="23"/>
        <v>6.5648243209711641E-3</v>
      </c>
      <c r="N104" s="4">
        <v>225.01848000000001</v>
      </c>
      <c r="O104" s="1">
        <v>49</v>
      </c>
      <c r="P104" s="3">
        <v>100.64922</v>
      </c>
      <c r="Q104" s="3">
        <f t="shared" si="15"/>
        <v>100.7848</v>
      </c>
      <c r="T104" s="4">
        <v>250.00501</v>
      </c>
      <c r="U104" s="1">
        <v>49</v>
      </c>
      <c r="V104" s="5">
        <v>95.628150000000005</v>
      </c>
      <c r="W104" s="3">
        <f t="shared" si="16"/>
        <v>99.785550000000001</v>
      </c>
      <c r="X104" s="1">
        <f t="shared" si="24"/>
        <v>1.0174165909344397E-2</v>
      </c>
      <c r="Z104" s="4">
        <v>250.01582999999999</v>
      </c>
      <c r="AA104" s="1">
        <v>49</v>
      </c>
      <c r="AB104" s="5">
        <v>100.88630000000001</v>
      </c>
      <c r="AC104" s="3">
        <f t="shared" si="17"/>
        <v>100.80956</v>
      </c>
      <c r="AD104" s="1">
        <f t="shared" si="12"/>
        <v>3.1818067850582403E-3</v>
      </c>
      <c r="AF104" s="11">
        <v>350.64960000000002</v>
      </c>
      <c r="AG104" s="1">
        <v>49</v>
      </c>
      <c r="AH104" s="12">
        <v>86.348309999999998</v>
      </c>
      <c r="AI104" s="3">
        <f t="shared" si="18"/>
        <v>89.355999999999995</v>
      </c>
      <c r="AJ104" s="1">
        <f t="shared" si="21"/>
        <v>0.1289410416280235</v>
      </c>
      <c r="AL104" s="11">
        <v>350.65069</v>
      </c>
      <c r="AM104" s="1">
        <v>49</v>
      </c>
      <c r="AN104" s="12">
        <v>86.390720000000002</v>
      </c>
      <c r="AO104" s="3">
        <f t="shared" si="19"/>
        <v>89.484220000000008</v>
      </c>
      <c r="AP104" s="1">
        <f t="shared" si="22"/>
        <v>0.12804199779576245</v>
      </c>
      <c r="AR104" s="11">
        <v>252.17765</v>
      </c>
      <c r="AS104" s="1">
        <v>49</v>
      </c>
      <c r="AT104" s="12">
        <v>99.166300000000007</v>
      </c>
      <c r="AU104" s="3">
        <f t="shared" si="20"/>
        <v>99.820790000000002</v>
      </c>
    </row>
    <row r="105" spans="2:47" ht="16" x14ac:dyDescent="0.2">
      <c r="B105" s="2">
        <v>200.01651000000001</v>
      </c>
      <c r="C105" s="1">
        <v>49.5</v>
      </c>
      <c r="D105" s="5">
        <v>99.911420000000007</v>
      </c>
      <c r="E105" s="3">
        <f t="shared" si="13"/>
        <v>100.62472000000001</v>
      </c>
      <c r="H105" s="4">
        <v>225.00297</v>
      </c>
      <c r="I105" s="1">
        <v>49.5</v>
      </c>
      <c r="J105" s="5">
        <v>95.729500000000002</v>
      </c>
      <c r="K105" s="3">
        <f t="shared" si="14"/>
        <v>99.83708</v>
      </c>
      <c r="L105" s="1">
        <f t="shared" si="23"/>
        <v>6.7241313988089845E-3</v>
      </c>
      <c r="N105" s="4">
        <v>225.01928000000001</v>
      </c>
      <c r="O105" s="1">
        <v>49.5</v>
      </c>
      <c r="P105" s="5">
        <v>100.63779</v>
      </c>
      <c r="Q105" s="3">
        <f t="shared" si="15"/>
        <v>100.77337</v>
      </c>
      <c r="T105" s="4">
        <v>250.00496000000001</v>
      </c>
      <c r="U105" s="1">
        <v>49.5</v>
      </c>
      <c r="V105" s="3">
        <v>95.638400000000004</v>
      </c>
      <c r="W105" s="3">
        <f t="shared" si="16"/>
        <v>99.7958</v>
      </c>
      <c r="X105" s="1">
        <f t="shared" si="24"/>
        <v>1.0051032709940937E-2</v>
      </c>
      <c r="Z105" s="4">
        <v>250.01607999999999</v>
      </c>
      <c r="AA105" s="1">
        <v>49.5</v>
      </c>
      <c r="AB105" s="3">
        <v>100.83356000000001</v>
      </c>
      <c r="AC105" s="3">
        <f t="shared" si="17"/>
        <v>100.75682</v>
      </c>
      <c r="AD105" s="1">
        <f t="shared" si="12"/>
        <v>3.812594627948032E-3</v>
      </c>
      <c r="AF105" s="11">
        <v>353.16687999999999</v>
      </c>
      <c r="AG105" s="1">
        <v>49.5</v>
      </c>
      <c r="AH105" s="13">
        <v>85.378699999999995</v>
      </c>
      <c r="AI105" s="3">
        <f t="shared" si="18"/>
        <v>88.386389999999992</v>
      </c>
      <c r="AJ105" s="1">
        <f t="shared" si="21"/>
        <v>0.14065974622017341</v>
      </c>
      <c r="AL105" s="11">
        <v>353.16493000000003</v>
      </c>
      <c r="AM105" s="1">
        <v>49.5</v>
      </c>
      <c r="AN105" s="13">
        <v>85.433880000000002</v>
      </c>
      <c r="AO105" s="3">
        <f t="shared" si="19"/>
        <v>88.527380000000008</v>
      </c>
      <c r="AP105" s="1">
        <f t="shared" si="22"/>
        <v>0.13959940718982594</v>
      </c>
      <c r="AR105" s="11">
        <v>253.68048999999999</v>
      </c>
      <c r="AS105" s="1">
        <v>49.5</v>
      </c>
      <c r="AT105" s="13">
        <v>99.181809999999999</v>
      </c>
      <c r="AU105" s="3">
        <f t="shared" si="20"/>
        <v>99.836299999999994</v>
      </c>
    </row>
    <row r="106" spans="2:47" ht="16" x14ac:dyDescent="0.2">
      <c r="B106" s="2">
        <v>200.01748000000001</v>
      </c>
      <c r="C106" s="1">
        <v>50</v>
      </c>
      <c r="D106" s="3">
        <v>100.05428999999999</v>
      </c>
      <c r="E106" s="3">
        <f t="shared" si="13"/>
        <v>100.76759</v>
      </c>
      <c r="H106" s="4">
        <v>225.00091</v>
      </c>
      <c r="I106" s="1">
        <v>50</v>
      </c>
      <c r="J106" s="3">
        <v>95.723609999999994</v>
      </c>
      <c r="K106" s="3">
        <f t="shared" si="14"/>
        <v>99.831189999999992</v>
      </c>
      <c r="L106" s="1">
        <f t="shared" si="23"/>
        <v>6.7950549580279209E-3</v>
      </c>
      <c r="N106" s="4">
        <v>225.02033</v>
      </c>
      <c r="O106" s="1">
        <v>50</v>
      </c>
      <c r="P106" s="3">
        <v>100.61593000000001</v>
      </c>
      <c r="Q106" s="3">
        <f t="shared" si="15"/>
        <v>100.75151000000001</v>
      </c>
      <c r="T106" s="4">
        <v>250.006</v>
      </c>
      <c r="U106" s="1">
        <v>50</v>
      </c>
      <c r="V106" s="5">
        <v>95.630279999999999</v>
      </c>
      <c r="W106" s="3">
        <f t="shared" si="16"/>
        <v>99.787679999999995</v>
      </c>
      <c r="X106" s="1">
        <f t="shared" si="24"/>
        <v>1.0148578229858676E-2</v>
      </c>
      <c r="Z106" s="4">
        <v>250.01671999999999</v>
      </c>
      <c r="AA106" s="1">
        <v>50</v>
      </c>
      <c r="AB106" s="5">
        <v>100.92037999999999</v>
      </c>
      <c r="AC106" s="3">
        <f t="shared" si="17"/>
        <v>100.84363999999999</v>
      </c>
      <c r="AD106" s="1">
        <f t="shared" si="12"/>
        <v>2.7741987136574628E-3</v>
      </c>
      <c r="AF106" s="11">
        <v>355.68644</v>
      </c>
      <c r="AG106" s="1">
        <v>50</v>
      </c>
      <c r="AH106" s="12">
        <v>84.313869999999994</v>
      </c>
      <c r="AI106" s="3">
        <f t="shared" si="18"/>
        <v>87.321559999999991</v>
      </c>
      <c r="AJ106" s="1">
        <f t="shared" si="21"/>
        <v>0.15352927954889212</v>
      </c>
      <c r="AL106" s="11">
        <v>355.67696999999998</v>
      </c>
      <c r="AM106" s="1">
        <v>50</v>
      </c>
      <c r="AN106" s="12">
        <v>84.365589999999997</v>
      </c>
      <c r="AO106" s="3">
        <f t="shared" si="19"/>
        <v>87.459090000000003</v>
      </c>
      <c r="AP106" s="1">
        <f t="shared" si="22"/>
        <v>0.15250299073731993</v>
      </c>
      <c r="AR106" s="11">
        <v>255.18624</v>
      </c>
      <c r="AS106" s="1">
        <v>50</v>
      </c>
      <c r="AT106" s="12">
        <v>99.179509999999993</v>
      </c>
      <c r="AU106" s="3">
        <f t="shared" si="20"/>
        <v>99.833999999999989</v>
      </c>
    </row>
    <row r="107" spans="2:47" ht="16" x14ac:dyDescent="0.2">
      <c r="B107" s="2">
        <v>200.01453000000001</v>
      </c>
      <c r="C107" s="1">
        <v>50.5</v>
      </c>
      <c r="D107" s="5">
        <v>99.759039999999999</v>
      </c>
      <c r="E107" s="3">
        <f t="shared" si="13"/>
        <v>100.47234</v>
      </c>
      <c r="H107" s="4">
        <v>225.00101000000001</v>
      </c>
      <c r="I107" s="1">
        <v>50.5</v>
      </c>
      <c r="J107" s="5">
        <v>95.717209999999994</v>
      </c>
      <c r="K107" s="3">
        <f t="shared" si="14"/>
        <v>99.824789999999993</v>
      </c>
      <c r="L107" s="1">
        <f t="shared" si="23"/>
        <v>6.8721196064151077E-3</v>
      </c>
      <c r="N107" s="4">
        <v>225.01965999999999</v>
      </c>
      <c r="O107" s="1">
        <v>50.5</v>
      </c>
      <c r="P107" s="5">
        <v>100.64011000000001</v>
      </c>
      <c r="Q107" s="3">
        <f t="shared" si="15"/>
        <v>100.77569000000001</v>
      </c>
      <c r="T107" s="4">
        <v>250.00702999999999</v>
      </c>
      <c r="U107" s="1">
        <v>50.5</v>
      </c>
      <c r="V107" s="3">
        <v>95.614410000000007</v>
      </c>
      <c r="W107" s="3">
        <f t="shared" si="16"/>
        <v>99.771810000000002</v>
      </c>
      <c r="X107" s="1">
        <f t="shared" si="24"/>
        <v>1.0339224461520347E-2</v>
      </c>
      <c r="Z107" s="4">
        <v>250.01928000000001</v>
      </c>
      <c r="AA107" s="1">
        <v>50.5</v>
      </c>
      <c r="AB107" s="3">
        <v>100.94358</v>
      </c>
      <c r="AC107" s="3">
        <f t="shared" si="17"/>
        <v>100.86684</v>
      </c>
      <c r="AD107" s="1">
        <f t="shared" si="12"/>
        <v>2.4967190406380295E-3</v>
      </c>
      <c r="AF107" s="11">
        <v>358.20618999999999</v>
      </c>
      <c r="AG107" s="1">
        <v>50.5</v>
      </c>
      <c r="AH107" s="13">
        <v>83.122470000000007</v>
      </c>
      <c r="AI107" s="3">
        <f t="shared" si="18"/>
        <v>86.130160000000004</v>
      </c>
      <c r="AJ107" s="1">
        <f t="shared" si="21"/>
        <v>0.16792853765378707</v>
      </c>
      <c r="AL107" s="11">
        <v>358.19623000000001</v>
      </c>
      <c r="AM107" s="1">
        <v>50.5</v>
      </c>
      <c r="AN107" s="13">
        <v>83.16328</v>
      </c>
      <c r="AO107" s="3">
        <f t="shared" si="19"/>
        <v>86.256780000000006</v>
      </c>
      <c r="AP107" s="1">
        <f t="shared" si="22"/>
        <v>0.16702536531256393</v>
      </c>
      <c r="AR107" s="11">
        <v>256.69632999999999</v>
      </c>
      <c r="AS107" s="1">
        <v>50.5</v>
      </c>
      <c r="AT107" s="13">
        <v>99.173760000000001</v>
      </c>
      <c r="AU107" s="3">
        <f t="shared" si="20"/>
        <v>99.828249999999997</v>
      </c>
    </row>
    <row r="108" spans="2:47" ht="16" x14ac:dyDescent="0.2">
      <c r="B108" s="2">
        <v>200.01038</v>
      </c>
      <c r="C108" s="1">
        <v>51</v>
      </c>
      <c r="D108" s="3">
        <v>99.887320000000003</v>
      </c>
      <c r="E108" s="3">
        <f t="shared" si="13"/>
        <v>100.60062000000001</v>
      </c>
      <c r="H108" s="4">
        <v>225.00394</v>
      </c>
      <c r="I108" s="1">
        <v>51</v>
      </c>
      <c r="J108" s="3">
        <v>95.708370000000002</v>
      </c>
      <c r="K108" s="3">
        <f t="shared" si="14"/>
        <v>99.815950000000001</v>
      </c>
      <c r="L108" s="1">
        <f t="shared" si="23"/>
        <v>6.9785651519998276E-3</v>
      </c>
      <c r="N108" s="4">
        <v>225.01739000000001</v>
      </c>
      <c r="O108" s="1">
        <v>51</v>
      </c>
      <c r="P108" s="3">
        <v>100.5128</v>
      </c>
      <c r="Q108" s="3">
        <f t="shared" si="15"/>
        <v>100.64838</v>
      </c>
      <c r="T108" s="4">
        <v>250.00701000000001</v>
      </c>
      <c r="U108" s="1">
        <v>51</v>
      </c>
      <c r="V108" s="5">
        <v>95.620270000000005</v>
      </c>
      <c r="W108" s="3">
        <f t="shared" si="16"/>
        <v>99.777670000000001</v>
      </c>
      <c r="X108" s="1">
        <f t="shared" si="24"/>
        <v>1.0268828310446773E-2</v>
      </c>
      <c r="Z108" s="4">
        <v>250.01618999999999</v>
      </c>
      <c r="AA108" s="1">
        <v>51</v>
      </c>
      <c r="AB108" s="5">
        <v>100.86897</v>
      </c>
      <c r="AC108" s="3">
        <f t="shared" si="17"/>
        <v>100.79223</v>
      </c>
      <c r="AD108" s="1">
        <f t="shared" si="12"/>
        <v>3.3890793166714531E-3</v>
      </c>
      <c r="AF108" s="11">
        <v>360.73122999999998</v>
      </c>
      <c r="AG108" s="1">
        <v>51</v>
      </c>
      <c r="AH108" s="12">
        <v>81.856849999999994</v>
      </c>
      <c r="AI108" s="3">
        <f t="shared" si="18"/>
        <v>84.864539999999991</v>
      </c>
      <c r="AJ108" s="1">
        <f t="shared" si="21"/>
        <v>0.18322481853570544</v>
      </c>
      <c r="AL108" s="11">
        <v>360.72575000000001</v>
      </c>
      <c r="AM108" s="1">
        <v>51</v>
      </c>
      <c r="AN108" s="12">
        <v>81.941079999999999</v>
      </c>
      <c r="AO108" s="3">
        <f t="shared" si="19"/>
        <v>85.034580000000005</v>
      </c>
      <c r="AP108" s="1">
        <f t="shared" si="22"/>
        <v>0.18178798577306352</v>
      </c>
      <c r="AR108" s="11">
        <v>258.19448999999997</v>
      </c>
      <c r="AS108" s="1">
        <v>51</v>
      </c>
      <c r="AT108" s="12">
        <v>99.156530000000004</v>
      </c>
      <c r="AU108" s="3">
        <f t="shared" si="20"/>
        <v>99.811019999999999</v>
      </c>
    </row>
    <row r="109" spans="2:47" ht="16" x14ac:dyDescent="0.2">
      <c r="B109" s="2">
        <v>200.01444000000001</v>
      </c>
      <c r="C109" s="1">
        <v>51.5</v>
      </c>
      <c r="D109" s="5">
        <v>99.790450000000007</v>
      </c>
      <c r="E109" s="3">
        <f t="shared" si="13"/>
        <v>100.50375000000001</v>
      </c>
      <c r="H109" s="4">
        <v>225.00708</v>
      </c>
      <c r="I109" s="1">
        <v>51.5</v>
      </c>
      <c r="J109" s="5">
        <v>95.708359999999999</v>
      </c>
      <c r="K109" s="3">
        <f t="shared" si="14"/>
        <v>99.815939999999998</v>
      </c>
      <c r="L109" s="1">
        <f t="shared" si="23"/>
        <v>6.9786855655129707E-3</v>
      </c>
      <c r="N109" s="4">
        <v>225.01765</v>
      </c>
      <c r="O109" s="1">
        <v>51.5</v>
      </c>
      <c r="P109" s="5">
        <v>100.64575000000001</v>
      </c>
      <c r="Q109" s="3">
        <f t="shared" si="15"/>
        <v>100.78133000000001</v>
      </c>
      <c r="T109" s="4">
        <v>250.00405000000001</v>
      </c>
      <c r="U109" s="1">
        <v>51.5</v>
      </c>
      <c r="V109" s="3">
        <v>95.582499999999996</v>
      </c>
      <c r="W109" s="3">
        <f t="shared" si="16"/>
        <v>99.739899999999992</v>
      </c>
      <c r="X109" s="1">
        <f t="shared" si="24"/>
        <v>1.0722559134004835E-2</v>
      </c>
      <c r="Z109" s="4">
        <v>250.01678000000001</v>
      </c>
      <c r="AA109" s="1">
        <v>51.5</v>
      </c>
      <c r="AB109" s="3">
        <v>100.88579</v>
      </c>
      <c r="AC109" s="3">
        <f t="shared" si="17"/>
        <v>100.80905</v>
      </c>
      <c r="AD109" s="1">
        <f t="shared" si="12"/>
        <v>3.1879065537324404E-3</v>
      </c>
      <c r="AF109" s="11">
        <v>363.25576999999998</v>
      </c>
      <c r="AG109" s="1">
        <v>51.5</v>
      </c>
      <c r="AH109" s="13">
        <v>80.436859999999996</v>
      </c>
      <c r="AI109" s="3">
        <f t="shared" si="18"/>
        <v>83.444549999999992</v>
      </c>
      <c r="AJ109" s="1">
        <f t="shared" si="21"/>
        <v>0.20038681494024629</v>
      </c>
      <c r="AL109" s="11">
        <v>363.24871999999999</v>
      </c>
      <c r="AM109" s="1">
        <v>51.5</v>
      </c>
      <c r="AN109" s="13">
        <v>80.565420000000003</v>
      </c>
      <c r="AO109" s="3">
        <f t="shared" si="19"/>
        <v>83.658920000000009</v>
      </c>
      <c r="AP109" s="1">
        <f t="shared" si="22"/>
        <v>0.19840420771930045</v>
      </c>
      <c r="AR109" s="11">
        <v>259.69448999999997</v>
      </c>
      <c r="AS109" s="1">
        <v>51.5</v>
      </c>
      <c r="AT109" s="13">
        <v>99.208240000000004</v>
      </c>
      <c r="AU109" s="3">
        <f t="shared" si="20"/>
        <v>99.862729999999999</v>
      </c>
    </row>
    <row r="110" spans="2:47" ht="16" x14ac:dyDescent="0.2">
      <c r="B110" s="2">
        <v>200.01591999999999</v>
      </c>
      <c r="C110" s="1">
        <v>52</v>
      </c>
      <c r="D110" s="3">
        <v>99.695329999999998</v>
      </c>
      <c r="E110" s="3">
        <f t="shared" si="13"/>
        <v>100.40863</v>
      </c>
      <c r="H110" s="4">
        <v>225.00292999999999</v>
      </c>
      <c r="I110" s="1">
        <v>52</v>
      </c>
      <c r="J110" s="3">
        <v>95.697890000000001</v>
      </c>
      <c r="K110" s="3">
        <f t="shared" si="14"/>
        <v>99.80547</v>
      </c>
      <c r="L110" s="1">
        <f t="shared" si="23"/>
        <v>7.1047585137338741E-3</v>
      </c>
      <c r="N110" s="4">
        <v>225.01571999999999</v>
      </c>
      <c r="O110" s="1">
        <v>52</v>
      </c>
      <c r="P110" s="3">
        <v>100.51412999999999</v>
      </c>
      <c r="Q110" s="3">
        <f t="shared" si="15"/>
        <v>100.64971</v>
      </c>
      <c r="T110" s="4">
        <v>249.99895000000001</v>
      </c>
      <c r="U110" s="1">
        <v>52</v>
      </c>
      <c r="V110" s="5">
        <v>95.572190000000006</v>
      </c>
      <c r="W110" s="3">
        <f t="shared" si="16"/>
        <v>99.729590000000002</v>
      </c>
      <c r="X110" s="1">
        <f t="shared" si="24"/>
        <v>1.0846413113112007E-2</v>
      </c>
      <c r="Z110" s="4">
        <v>250.01709</v>
      </c>
      <c r="AA110" s="1">
        <v>52</v>
      </c>
      <c r="AB110" s="5">
        <v>100.85411999999999</v>
      </c>
      <c r="AC110" s="3">
        <f t="shared" si="17"/>
        <v>100.77737999999999</v>
      </c>
      <c r="AD110" s="1">
        <f t="shared" si="12"/>
        <v>3.5666902280654532E-3</v>
      </c>
      <c r="AF110" s="11">
        <v>365.77837</v>
      </c>
      <c r="AG110" s="1">
        <v>52</v>
      </c>
      <c r="AH110" s="12">
        <v>78.950729999999993</v>
      </c>
      <c r="AI110" s="3">
        <f t="shared" si="18"/>
        <v>81.95841999999999</v>
      </c>
      <c r="AJ110" s="1">
        <f t="shared" si="21"/>
        <v>0.21834817925737557</v>
      </c>
      <c r="AL110" s="11">
        <v>365.77913000000001</v>
      </c>
      <c r="AM110" s="1">
        <v>52</v>
      </c>
      <c r="AN110" s="12">
        <v>79.101299999999995</v>
      </c>
      <c r="AO110" s="3">
        <f t="shared" si="19"/>
        <v>82.194800000000001</v>
      </c>
      <c r="AP110" s="1">
        <f t="shared" si="22"/>
        <v>0.21608891387919799</v>
      </c>
      <c r="AR110" s="11">
        <v>261.19587000000001</v>
      </c>
      <c r="AS110" s="1">
        <v>52</v>
      </c>
      <c r="AT110" s="12">
        <v>99.144400000000005</v>
      </c>
      <c r="AU110" s="3">
        <f t="shared" si="20"/>
        <v>99.79889</v>
      </c>
    </row>
    <row r="111" spans="2:47" ht="16" x14ac:dyDescent="0.2">
      <c r="B111" s="2">
        <v>200.01848000000001</v>
      </c>
      <c r="C111" s="1">
        <v>52.5</v>
      </c>
      <c r="D111" s="5">
        <v>99.951440000000005</v>
      </c>
      <c r="E111" s="3">
        <f t="shared" si="13"/>
        <v>100.66474000000001</v>
      </c>
      <c r="H111" s="4">
        <v>225.00514000000001</v>
      </c>
      <c r="I111" s="1">
        <v>52.5</v>
      </c>
      <c r="J111" s="5">
        <v>95.696209999999994</v>
      </c>
      <c r="K111" s="3">
        <f t="shared" si="14"/>
        <v>99.803789999999992</v>
      </c>
      <c r="L111" s="1">
        <f t="shared" si="23"/>
        <v>7.1249879839356024E-3</v>
      </c>
      <c r="N111" s="4">
        <v>225.01433</v>
      </c>
      <c r="O111" s="1">
        <v>52.5</v>
      </c>
      <c r="P111" s="5">
        <v>100.55334999999999</v>
      </c>
      <c r="Q111" s="3">
        <f t="shared" si="15"/>
        <v>100.68893</v>
      </c>
      <c r="T111" s="4">
        <v>249.99493000000001</v>
      </c>
      <c r="U111" s="1">
        <v>52.5</v>
      </c>
      <c r="V111" s="3">
        <v>95.551829999999995</v>
      </c>
      <c r="W111" s="3">
        <f t="shared" si="16"/>
        <v>99.709229999999991</v>
      </c>
      <c r="X111" s="1">
        <f t="shared" si="24"/>
        <v>1.109099769261015E-2</v>
      </c>
      <c r="Z111" s="4">
        <v>250.01638</v>
      </c>
      <c r="AA111" s="1">
        <v>52.5</v>
      </c>
      <c r="AB111" s="3">
        <v>100.83216</v>
      </c>
      <c r="AC111" s="3">
        <f t="shared" si="17"/>
        <v>100.75542</v>
      </c>
      <c r="AD111" s="1">
        <f t="shared" si="12"/>
        <v>3.8293390909751104E-3</v>
      </c>
      <c r="AF111" s="11">
        <v>368.31036</v>
      </c>
      <c r="AG111" s="1">
        <v>52.5</v>
      </c>
      <c r="AH111" s="13">
        <v>77.323819999999998</v>
      </c>
      <c r="AI111" s="3">
        <f t="shared" si="18"/>
        <v>80.331509999999994</v>
      </c>
      <c r="AJ111" s="1">
        <f t="shared" si="21"/>
        <v>0.2380110103833071</v>
      </c>
      <c r="AL111" s="11">
        <v>368.29649000000001</v>
      </c>
      <c r="AM111" s="1">
        <v>52.5</v>
      </c>
      <c r="AN111" s="13">
        <v>77.442800000000005</v>
      </c>
      <c r="AO111" s="3">
        <f t="shared" si="19"/>
        <v>80.536300000000011</v>
      </c>
      <c r="AP111" s="1">
        <f t="shared" si="22"/>
        <v>0.23612148304442329</v>
      </c>
      <c r="AR111" s="11">
        <v>262.70166</v>
      </c>
      <c r="AS111" s="1">
        <v>52.5</v>
      </c>
      <c r="AT111" s="13">
        <v>99.142160000000004</v>
      </c>
      <c r="AU111" s="3">
        <f t="shared" si="20"/>
        <v>99.79665</v>
      </c>
    </row>
    <row r="112" spans="2:47" ht="16" x14ac:dyDescent="0.2">
      <c r="B112" s="2">
        <v>200.02103</v>
      </c>
      <c r="C112" s="1">
        <v>53</v>
      </c>
      <c r="D112" s="3">
        <v>100.00261999999999</v>
      </c>
      <c r="E112" s="3">
        <f t="shared" si="13"/>
        <v>100.71592</v>
      </c>
      <c r="H112" s="4">
        <v>225.00695999999999</v>
      </c>
      <c r="I112" s="1">
        <v>53</v>
      </c>
      <c r="J112" s="3">
        <v>95.700299999999999</v>
      </c>
      <c r="K112" s="3">
        <f t="shared" si="14"/>
        <v>99.807879999999997</v>
      </c>
      <c r="L112" s="1">
        <f t="shared" si="23"/>
        <v>7.0757388570755995E-3</v>
      </c>
      <c r="N112" s="4">
        <v>225.01676</v>
      </c>
      <c r="O112" s="1">
        <v>53</v>
      </c>
      <c r="P112" s="3">
        <v>100.58256</v>
      </c>
      <c r="Q112" s="3">
        <f t="shared" si="15"/>
        <v>100.71814000000001</v>
      </c>
      <c r="T112" s="4">
        <v>249.99099000000001</v>
      </c>
      <c r="U112" s="1">
        <v>53</v>
      </c>
      <c r="V112" s="5">
        <v>95.542270000000002</v>
      </c>
      <c r="W112" s="3">
        <f t="shared" si="16"/>
        <v>99.699669999999998</v>
      </c>
      <c r="X112" s="1">
        <f t="shared" si="24"/>
        <v>1.1205841925419549E-2</v>
      </c>
      <c r="Z112" s="4">
        <v>250.01685000000001</v>
      </c>
      <c r="AA112" s="1">
        <v>53</v>
      </c>
      <c r="AB112" s="5">
        <v>100.85572999999999</v>
      </c>
      <c r="AC112" s="3">
        <f t="shared" si="17"/>
        <v>100.77898999999999</v>
      </c>
      <c r="AD112" s="1">
        <f t="shared" si="12"/>
        <v>3.5474340955843724E-3</v>
      </c>
      <c r="AF112" s="11">
        <v>370.84213999999997</v>
      </c>
      <c r="AG112" s="1">
        <v>53</v>
      </c>
      <c r="AH112" s="12">
        <v>75.502790000000005</v>
      </c>
      <c r="AI112" s="3">
        <f t="shared" si="18"/>
        <v>78.510480000000001</v>
      </c>
      <c r="AJ112" s="1">
        <f t="shared" si="21"/>
        <v>0.26001997545528716</v>
      </c>
      <c r="AL112" s="11">
        <v>370.83557999999999</v>
      </c>
      <c r="AM112" s="1">
        <v>53</v>
      </c>
      <c r="AN112" s="12">
        <v>75.766779999999997</v>
      </c>
      <c r="AO112" s="3">
        <f t="shared" si="19"/>
        <v>78.860280000000003</v>
      </c>
      <c r="AP112" s="1">
        <f t="shared" si="22"/>
        <v>0.25636567151129175</v>
      </c>
      <c r="AR112" s="11">
        <v>264.20773000000003</v>
      </c>
      <c r="AS112" s="1">
        <v>53</v>
      </c>
      <c r="AT112" s="12">
        <v>99.137439999999998</v>
      </c>
      <c r="AU112" s="3">
        <f t="shared" si="20"/>
        <v>99.791929999999994</v>
      </c>
    </row>
    <row r="113" spans="2:47" ht="16" x14ac:dyDescent="0.2">
      <c r="B113" s="2">
        <v>200.02045000000001</v>
      </c>
      <c r="C113" s="1">
        <v>53.5</v>
      </c>
      <c r="D113" s="5">
        <v>99.787700000000001</v>
      </c>
      <c r="E113" s="3">
        <f t="shared" si="13"/>
        <v>100.501</v>
      </c>
      <c r="H113" s="4">
        <v>225.00314</v>
      </c>
      <c r="I113" s="1">
        <v>53.5</v>
      </c>
      <c r="J113" s="5">
        <v>95.679310000000001</v>
      </c>
      <c r="K113" s="3">
        <f t="shared" si="14"/>
        <v>99.78689</v>
      </c>
      <c r="L113" s="1">
        <f t="shared" si="23"/>
        <v>7.3284868210829511E-3</v>
      </c>
      <c r="N113" s="4">
        <v>225.01713000000001</v>
      </c>
      <c r="O113" s="1">
        <v>53.5</v>
      </c>
      <c r="P113" s="5">
        <v>100.67249</v>
      </c>
      <c r="Q113" s="3">
        <f t="shared" si="15"/>
        <v>100.80807</v>
      </c>
      <c r="T113" s="4">
        <v>249.99598</v>
      </c>
      <c r="U113" s="1">
        <v>53.5</v>
      </c>
      <c r="V113" s="3">
        <v>95.501959999999997</v>
      </c>
      <c r="W113" s="3">
        <f t="shared" si="16"/>
        <v>99.659359999999992</v>
      </c>
      <c r="X113" s="1">
        <f t="shared" si="24"/>
        <v>1.1690085756439497E-2</v>
      </c>
      <c r="Z113" s="4">
        <v>250.01733999999999</v>
      </c>
      <c r="AA113" s="1">
        <v>53.5</v>
      </c>
      <c r="AB113" s="3">
        <v>100.79285</v>
      </c>
      <c r="AC113" s="3">
        <f t="shared" si="17"/>
        <v>100.71611</v>
      </c>
      <c r="AD113" s="1">
        <f t="shared" si="12"/>
        <v>4.2994996921127283E-3</v>
      </c>
      <c r="AF113" s="11">
        <v>373.36822999999998</v>
      </c>
      <c r="AG113" s="1">
        <v>53.5</v>
      </c>
      <c r="AH113" s="13">
        <v>73.580910000000003</v>
      </c>
      <c r="AI113" s="3">
        <f t="shared" si="18"/>
        <v>76.5886</v>
      </c>
      <c r="AJ113" s="1">
        <f t="shared" si="21"/>
        <v>0.28324781343299055</v>
      </c>
      <c r="AL113" s="11">
        <v>373.36430999999999</v>
      </c>
      <c r="AM113" s="1">
        <v>53.5</v>
      </c>
      <c r="AN113" s="13">
        <v>73.848839999999996</v>
      </c>
      <c r="AO113" s="3">
        <f t="shared" si="19"/>
        <v>76.942340000000002</v>
      </c>
      <c r="AP113" s="1">
        <f t="shared" si="22"/>
        <v>0.27953194567755796</v>
      </c>
      <c r="AR113" s="11">
        <v>265.71663000000001</v>
      </c>
      <c r="AS113" s="1">
        <v>53.5</v>
      </c>
      <c r="AT113" s="13">
        <v>99.130120000000005</v>
      </c>
      <c r="AU113" s="3">
        <f t="shared" si="20"/>
        <v>99.784610000000001</v>
      </c>
    </row>
    <row r="114" spans="2:47" ht="16" x14ac:dyDescent="0.2">
      <c r="B114" s="2">
        <v>200.02166</v>
      </c>
      <c r="C114" s="1">
        <v>54</v>
      </c>
      <c r="D114" s="3">
        <v>99.796180000000007</v>
      </c>
      <c r="E114" s="3">
        <f t="shared" si="13"/>
        <v>100.50948000000001</v>
      </c>
      <c r="H114" s="4">
        <v>225.00504000000001</v>
      </c>
      <c r="I114" s="1">
        <v>54</v>
      </c>
      <c r="J114" s="3">
        <v>95.662310000000005</v>
      </c>
      <c r="K114" s="3">
        <f t="shared" si="14"/>
        <v>99.769890000000004</v>
      </c>
      <c r="L114" s="1">
        <f t="shared" si="23"/>
        <v>7.5331897933613896E-3</v>
      </c>
      <c r="N114" s="4">
        <v>225.01696000000001</v>
      </c>
      <c r="O114" s="1">
        <v>54</v>
      </c>
      <c r="P114" s="3">
        <v>100.76682</v>
      </c>
      <c r="Q114" s="3">
        <f t="shared" si="15"/>
        <v>100.9024</v>
      </c>
      <c r="T114" s="4">
        <v>250.00004000000001</v>
      </c>
      <c r="U114" s="1">
        <v>54</v>
      </c>
      <c r="V114" s="5">
        <v>95.507909999999995</v>
      </c>
      <c r="W114" s="3">
        <f t="shared" si="16"/>
        <v>99.665309999999991</v>
      </c>
      <c r="X114" s="1">
        <f t="shared" si="24"/>
        <v>1.1618608435810184E-2</v>
      </c>
      <c r="Z114" s="4">
        <v>250.01922999999999</v>
      </c>
      <c r="AA114" s="1">
        <v>54</v>
      </c>
      <c r="AB114" s="5">
        <v>100.87603</v>
      </c>
      <c r="AC114" s="3">
        <f t="shared" si="17"/>
        <v>100.79929</v>
      </c>
      <c r="AD114" s="1">
        <f t="shared" si="12"/>
        <v>3.3046393816923256E-3</v>
      </c>
      <c r="AF114" s="11">
        <v>375.90143999999998</v>
      </c>
      <c r="AG114" s="1">
        <v>54</v>
      </c>
      <c r="AH114" s="12">
        <v>71.497110000000006</v>
      </c>
      <c r="AI114" s="3">
        <f t="shared" si="18"/>
        <v>74.504800000000003</v>
      </c>
      <c r="AJ114" s="1">
        <f t="shared" si="21"/>
        <v>0.30843261621877233</v>
      </c>
      <c r="AL114" s="11">
        <v>375.89033999999998</v>
      </c>
      <c r="AM114" s="1">
        <v>54</v>
      </c>
      <c r="AN114" s="12">
        <v>71.776129999999995</v>
      </c>
      <c r="AO114" s="3">
        <f t="shared" si="19"/>
        <v>74.869630000000001</v>
      </c>
      <c r="AP114" s="1">
        <f t="shared" si="22"/>
        <v>0.30456764446227574</v>
      </c>
      <c r="AR114" s="11">
        <v>267.20832999999999</v>
      </c>
      <c r="AS114" s="1">
        <v>54</v>
      </c>
      <c r="AT114" s="12">
        <v>99.11448</v>
      </c>
      <c r="AU114" s="3">
        <f t="shared" si="20"/>
        <v>99.768969999999996</v>
      </c>
    </row>
    <row r="115" spans="2:47" ht="16" x14ac:dyDescent="0.2">
      <c r="B115" s="2">
        <v>200.01844</v>
      </c>
      <c r="C115" s="1">
        <v>54.5</v>
      </c>
      <c r="D115" s="5">
        <v>99.828239999999994</v>
      </c>
      <c r="E115" s="3">
        <f t="shared" si="13"/>
        <v>100.54154</v>
      </c>
      <c r="H115" s="4">
        <v>225.00208000000001</v>
      </c>
      <c r="I115" s="1">
        <v>54.5</v>
      </c>
      <c r="J115" s="5">
        <v>95.644490000000005</v>
      </c>
      <c r="K115" s="3">
        <f t="shared" si="14"/>
        <v>99.752070000000003</v>
      </c>
      <c r="L115" s="1">
        <f t="shared" si="23"/>
        <v>7.747766673714491E-3</v>
      </c>
      <c r="N115" s="4">
        <v>225.01921999999999</v>
      </c>
      <c r="O115" s="1">
        <v>54.5</v>
      </c>
      <c r="P115" s="5">
        <v>100.6121</v>
      </c>
      <c r="Q115" s="3">
        <f t="shared" si="15"/>
        <v>100.74768</v>
      </c>
      <c r="T115" s="4">
        <v>250.00904</v>
      </c>
      <c r="U115" s="1">
        <v>54.5</v>
      </c>
      <c r="V115" s="3">
        <v>95.512129999999999</v>
      </c>
      <c r="W115" s="3">
        <f t="shared" si="16"/>
        <v>99.669529999999995</v>
      </c>
      <c r="X115" s="1">
        <f t="shared" si="24"/>
        <v>1.1567913596641102E-2</v>
      </c>
      <c r="Z115" s="4">
        <v>250.02117000000001</v>
      </c>
      <c r="AA115" s="1">
        <v>54.5</v>
      </c>
      <c r="AB115" s="3">
        <v>100.75439</v>
      </c>
      <c r="AC115" s="3">
        <f t="shared" si="17"/>
        <v>100.67765</v>
      </c>
      <c r="AD115" s="1">
        <f t="shared" si="12"/>
        <v>4.7594940121267922E-3</v>
      </c>
      <c r="AF115" s="11">
        <v>378.42799000000002</v>
      </c>
      <c r="AG115" s="1">
        <v>54.5</v>
      </c>
      <c r="AH115" s="13">
        <v>69.190119999999993</v>
      </c>
      <c r="AI115" s="3">
        <f t="shared" si="18"/>
        <v>72.19780999999999</v>
      </c>
      <c r="AJ115" s="1">
        <f t="shared" si="21"/>
        <v>0.33631489291460254</v>
      </c>
      <c r="AL115" s="11">
        <v>378.41199</v>
      </c>
      <c r="AM115" s="1">
        <v>54.5</v>
      </c>
      <c r="AN115" s="13">
        <v>69.529359999999997</v>
      </c>
      <c r="AO115" s="3">
        <f t="shared" si="19"/>
        <v>72.622860000000003</v>
      </c>
      <c r="AP115" s="1">
        <f t="shared" si="22"/>
        <v>0.33170576651434303</v>
      </c>
      <c r="AR115" s="11">
        <v>268.71111000000002</v>
      </c>
      <c r="AS115" s="1">
        <v>54.5</v>
      </c>
      <c r="AT115" s="13">
        <v>99.108350000000002</v>
      </c>
      <c r="AU115" s="3">
        <f t="shared" si="20"/>
        <v>99.762839999999997</v>
      </c>
    </row>
    <row r="116" spans="2:47" ht="16" x14ac:dyDescent="0.2">
      <c r="B116" s="2">
        <v>200.01824999999999</v>
      </c>
      <c r="C116" s="1">
        <v>55</v>
      </c>
      <c r="D116" s="3">
        <v>99.842510000000004</v>
      </c>
      <c r="E116" s="3">
        <f t="shared" si="13"/>
        <v>100.55581000000001</v>
      </c>
      <c r="H116" s="4">
        <v>225.00380999999999</v>
      </c>
      <c r="I116" s="1">
        <v>55</v>
      </c>
      <c r="J116" s="3">
        <v>95.641239999999996</v>
      </c>
      <c r="K116" s="3">
        <f t="shared" si="14"/>
        <v>99.748819999999995</v>
      </c>
      <c r="L116" s="1">
        <f t="shared" si="23"/>
        <v>7.7869010654737156E-3</v>
      </c>
      <c r="N116" s="4">
        <v>225.02077</v>
      </c>
      <c r="O116" s="1">
        <v>55</v>
      </c>
      <c r="P116" s="3">
        <v>100.68759</v>
      </c>
      <c r="Q116" s="3">
        <f t="shared" si="15"/>
        <v>100.82317</v>
      </c>
      <c r="T116" s="4">
        <v>250.00497999999999</v>
      </c>
      <c r="U116" s="1">
        <v>55</v>
      </c>
      <c r="V116" s="5">
        <v>95.520120000000006</v>
      </c>
      <c r="W116" s="3">
        <f t="shared" si="16"/>
        <v>99.677520000000001</v>
      </c>
      <c r="X116" s="1">
        <f t="shared" si="24"/>
        <v>1.1471929766081636E-2</v>
      </c>
      <c r="Z116" s="4">
        <v>250.01652000000001</v>
      </c>
      <c r="AA116" s="1">
        <v>55</v>
      </c>
      <c r="AB116" s="5">
        <v>100.85663</v>
      </c>
      <c r="AC116" s="3">
        <f t="shared" si="17"/>
        <v>100.77988999999999</v>
      </c>
      <c r="AD116" s="1">
        <f t="shared" si="12"/>
        <v>3.5366697979241197E-3</v>
      </c>
      <c r="AF116" s="11">
        <v>380.94745999999998</v>
      </c>
      <c r="AG116" s="1">
        <v>55</v>
      </c>
      <c r="AH116" s="12">
        <v>66.706410000000005</v>
      </c>
      <c r="AI116" s="3">
        <f t="shared" si="18"/>
        <v>69.714100000000002</v>
      </c>
      <c r="AJ116" s="1">
        <f t="shared" si="21"/>
        <v>0.36633300719000028</v>
      </c>
      <c r="AL116" s="11">
        <v>380.93929000000003</v>
      </c>
      <c r="AM116" s="1">
        <v>55</v>
      </c>
      <c r="AN116" s="12">
        <v>67.110339999999994</v>
      </c>
      <c r="AO116" s="3">
        <f t="shared" si="19"/>
        <v>70.20384</v>
      </c>
      <c r="AP116" s="1">
        <f t="shared" si="22"/>
        <v>0.3609244493374143</v>
      </c>
      <c r="AR116" s="11">
        <v>270.20960000000002</v>
      </c>
      <c r="AS116" s="1">
        <v>55</v>
      </c>
      <c r="AT116" s="12">
        <v>99.092579999999998</v>
      </c>
      <c r="AU116" s="3">
        <f t="shared" si="20"/>
        <v>99.747069999999994</v>
      </c>
    </row>
    <row r="117" spans="2:47" ht="16" x14ac:dyDescent="0.2">
      <c r="B117" s="2">
        <v>200.02089000000001</v>
      </c>
      <c r="C117" s="1">
        <v>55.5</v>
      </c>
      <c r="D117" s="5">
        <v>99.801280000000006</v>
      </c>
      <c r="E117" s="3">
        <f t="shared" si="13"/>
        <v>100.51458000000001</v>
      </c>
      <c r="H117" s="4">
        <v>225.00308999999999</v>
      </c>
      <c r="I117" s="1">
        <v>55.5</v>
      </c>
      <c r="J117" s="5">
        <v>95.633070000000004</v>
      </c>
      <c r="K117" s="3">
        <f t="shared" si="14"/>
        <v>99.740650000000002</v>
      </c>
      <c r="L117" s="1">
        <f t="shared" si="23"/>
        <v>7.8852789056804064E-3</v>
      </c>
      <c r="N117" s="4">
        <v>225.02058</v>
      </c>
      <c r="O117" s="1">
        <v>55.5</v>
      </c>
      <c r="P117" s="5">
        <v>100.65479000000001</v>
      </c>
      <c r="Q117" s="3">
        <f t="shared" si="15"/>
        <v>100.79037000000001</v>
      </c>
      <c r="T117" s="4">
        <v>250.00305</v>
      </c>
      <c r="U117" s="1">
        <v>55.5</v>
      </c>
      <c r="V117" s="3">
        <v>95.491950000000003</v>
      </c>
      <c r="W117" s="3">
        <f t="shared" si="16"/>
        <v>99.649349999999998</v>
      </c>
      <c r="X117" s="1">
        <f t="shared" si="24"/>
        <v>1.1810335837027595E-2</v>
      </c>
      <c r="Z117" s="4">
        <v>250.01903999999999</v>
      </c>
      <c r="AA117" s="1">
        <v>55.5</v>
      </c>
      <c r="AB117" s="3">
        <v>100.91452</v>
      </c>
      <c r="AC117" s="3">
        <f t="shared" si="17"/>
        <v>100.83778</v>
      </c>
      <c r="AD117" s="1">
        <f t="shared" si="12"/>
        <v>2.8442862517563095E-3</v>
      </c>
      <c r="AF117" s="11">
        <v>383.45652000000001</v>
      </c>
      <c r="AG117" s="1">
        <v>55.5</v>
      </c>
      <c r="AH117" s="13">
        <v>63.991970000000002</v>
      </c>
      <c r="AI117" s="3">
        <f t="shared" si="18"/>
        <v>66.999660000000006</v>
      </c>
      <c r="AJ117" s="1">
        <f t="shared" si="21"/>
        <v>0.39913972380092144</v>
      </c>
      <c r="AL117" s="11">
        <v>383.45693</v>
      </c>
      <c r="AM117" s="1">
        <v>55.5</v>
      </c>
      <c r="AN117" s="13">
        <v>64.406840000000003</v>
      </c>
      <c r="AO117" s="3">
        <f t="shared" si="19"/>
        <v>67.500340000000008</v>
      </c>
      <c r="AP117" s="1">
        <f t="shared" si="22"/>
        <v>0.39357928849218476</v>
      </c>
      <c r="AR117" s="11">
        <v>271.71251000000001</v>
      </c>
      <c r="AS117" s="1">
        <v>55.5</v>
      </c>
      <c r="AT117" s="13">
        <v>99.075779999999995</v>
      </c>
      <c r="AU117" s="3">
        <f t="shared" si="20"/>
        <v>99.73026999999999</v>
      </c>
    </row>
    <row r="118" spans="2:47" ht="16" x14ac:dyDescent="0.2">
      <c r="B118" s="2">
        <v>200.0196</v>
      </c>
      <c r="C118" s="1">
        <v>56</v>
      </c>
      <c r="D118" s="3">
        <v>99.773200000000003</v>
      </c>
      <c r="E118" s="3">
        <f t="shared" si="13"/>
        <v>100.48650000000001</v>
      </c>
      <c r="H118" s="4">
        <v>225.00595000000001</v>
      </c>
      <c r="I118" s="1">
        <v>56</v>
      </c>
      <c r="J118" s="3">
        <v>95.643060000000006</v>
      </c>
      <c r="K118" s="3">
        <f t="shared" si="14"/>
        <v>99.750640000000004</v>
      </c>
      <c r="L118" s="1">
        <f t="shared" si="23"/>
        <v>7.7649858060884949E-3</v>
      </c>
      <c r="N118" s="4">
        <v>225.01863</v>
      </c>
      <c r="O118" s="1">
        <v>56</v>
      </c>
      <c r="P118" s="3">
        <v>100.56619000000001</v>
      </c>
      <c r="Q118" s="3">
        <f t="shared" si="15"/>
        <v>100.70177000000001</v>
      </c>
      <c r="T118" s="4">
        <v>250.01000999999999</v>
      </c>
      <c r="U118" s="1">
        <v>56</v>
      </c>
      <c r="V118" s="5">
        <v>95.502039999999994</v>
      </c>
      <c r="W118" s="3">
        <f t="shared" si="16"/>
        <v>99.659439999999989</v>
      </c>
      <c r="X118" s="1">
        <f t="shared" si="24"/>
        <v>1.1689124716834434E-2</v>
      </c>
      <c r="Z118" s="4">
        <v>250.01945000000001</v>
      </c>
      <c r="AA118" s="1">
        <v>56</v>
      </c>
      <c r="AB118" s="5">
        <v>100.90114</v>
      </c>
      <c r="AC118" s="3">
        <f t="shared" si="17"/>
        <v>100.8244</v>
      </c>
      <c r="AD118" s="1">
        <f t="shared" si="12"/>
        <v>3.0043154769717837E-3</v>
      </c>
      <c r="AF118" s="11">
        <v>385.94679000000002</v>
      </c>
      <c r="AG118" s="1">
        <v>56</v>
      </c>
      <c r="AH118" s="12">
        <v>60.839399999999998</v>
      </c>
      <c r="AI118" s="3">
        <f t="shared" si="18"/>
        <v>63.847089999999994</v>
      </c>
      <c r="AJ118" s="1">
        <f t="shared" si="21"/>
        <v>0.43724167874783204</v>
      </c>
      <c r="AL118" s="11">
        <v>385.94826999999998</v>
      </c>
      <c r="AM118" s="1">
        <v>56</v>
      </c>
      <c r="AN118" s="12">
        <v>61.563540000000003</v>
      </c>
      <c r="AO118" s="3">
        <f t="shared" si="19"/>
        <v>64.657040000000009</v>
      </c>
      <c r="AP118" s="1">
        <f t="shared" si="22"/>
        <v>0.42792273371828393</v>
      </c>
      <c r="AR118" s="11">
        <v>273.21546000000001</v>
      </c>
      <c r="AS118" s="1">
        <v>56</v>
      </c>
      <c r="AT118" s="12">
        <v>99.077280000000002</v>
      </c>
      <c r="AU118" s="3">
        <f t="shared" si="20"/>
        <v>99.731769999999997</v>
      </c>
    </row>
    <row r="119" spans="2:47" ht="16" x14ac:dyDescent="0.2">
      <c r="B119" s="2">
        <v>200.01965000000001</v>
      </c>
      <c r="C119" s="1">
        <v>56.5</v>
      </c>
      <c r="D119" s="5">
        <v>99.907480000000007</v>
      </c>
      <c r="E119" s="3">
        <f t="shared" si="13"/>
        <v>100.62078000000001</v>
      </c>
      <c r="H119" s="4">
        <v>225.00697</v>
      </c>
      <c r="I119" s="1">
        <v>56.5</v>
      </c>
      <c r="J119" s="5">
        <v>95.620189999999994</v>
      </c>
      <c r="K119" s="3">
        <f t="shared" si="14"/>
        <v>99.727769999999992</v>
      </c>
      <c r="L119" s="1">
        <f t="shared" si="23"/>
        <v>8.0403715105597552E-3</v>
      </c>
      <c r="N119" s="4">
        <v>225.0162</v>
      </c>
      <c r="O119" s="1">
        <v>56.5</v>
      </c>
      <c r="P119" s="5">
        <v>100.48506999999999</v>
      </c>
      <c r="Q119" s="3">
        <f t="shared" si="15"/>
        <v>100.62065</v>
      </c>
      <c r="T119" s="4">
        <v>250.00398000000001</v>
      </c>
      <c r="U119" s="1">
        <v>56.5</v>
      </c>
      <c r="V119" s="3">
        <v>95.449460000000002</v>
      </c>
      <c r="W119" s="3">
        <f t="shared" si="16"/>
        <v>99.606859999999998</v>
      </c>
      <c r="X119" s="1">
        <f t="shared" si="24"/>
        <v>1.2320767997286472E-2</v>
      </c>
      <c r="Z119" s="4">
        <v>250.01804000000001</v>
      </c>
      <c r="AA119" s="1">
        <v>56.5</v>
      </c>
      <c r="AB119" s="3">
        <v>100.89153</v>
      </c>
      <c r="AC119" s="3">
        <f t="shared" si="17"/>
        <v>100.81479</v>
      </c>
      <c r="AD119" s="1">
        <f t="shared" si="12"/>
        <v>3.1192542553215704E-3</v>
      </c>
      <c r="AF119" s="11">
        <v>388.38943999999998</v>
      </c>
      <c r="AG119" s="1">
        <v>56.5</v>
      </c>
      <c r="AH119" s="13">
        <v>57.91001</v>
      </c>
      <c r="AI119" s="3">
        <f t="shared" si="18"/>
        <v>60.917699999999996</v>
      </c>
      <c r="AJ119" s="1">
        <f t="shared" si="21"/>
        <v>0.47264628064467495</v>
      </c>
      <c r="AL119" s="11">
        <v>388.39683000000002</v>
      </c>
      <c r="AM119" s="1">
        <v>56.5</v>
      </c>
      <c r="AN119" s="13">
        <v>58.66122</v>
      </c>
      <c r="AO119" s="3">
        <f t="shared" si="19"/>
        <v>61.754720000000006</v>
      </c>
      <c r="AP119" s="1">
        <f t="shared" si="22"/>
        <v>0.46297906542742906</v>
      </c>
      <c r="AR119" s="11">
        <v>274.71863000000002</v>
      </c>
      <c r="AS119" s="1">
        <v>56.5</v>
      </c>
      <c r="AT119" s="13">
        <v>99.066500000000005</v>
      </c>
      <c r="AU119" s="3">
        <f t="shared" si="20"/>
        <v>99.72099</v>
      </c>
    </row>
    <row r="120" spans="2:47" ht="16" x14ac:dyDescent="0.2">
      <c r="B120" s="2">
        <v>200.0215</v>
      </c>
      <c r="C120" s="1">
        <v>57</v>
      </c>
      <c r="D120" s="3">
        <v>99.814170000000004</v>
      </c>
      <c r="E120" s="3">
        <f t="shared" si="13"/>
        <v>100.52747000000001</v>
      </c>
      <c r="H120" s="4">
        <v>225.006</v>
      </c>
      <c r="I120" s="1">
        <v>57</v>
      </c>
      <c r="J120" s="3">
        <v>95.633359999999996</v>
      </c>
      <c r="K120" s="3">
        <f t="shared" si="14"/>
        <v>99.740939999999995</v>
      </c>
      <c r="L120" s="1">
        <f t="shared" si="23"/>
        <v>7.8817869138004502E-3</v>
      </c>
      <c r="N120" s="4">
        <v>225.01338000000001</v>
      </c>
      <c r="O120" s="1">
        <v>57</v>
      </c>
      <c r="P120" s="3">
        <v>100.6467</v>
      </c>
      <c r="Q120" s="3">
        <f t="shared" si="15"/>
        <v>100.78228</v>
      </c>
      <c r="T120" s="4">
        <v>250.00298000000001</v>
      </c>
      <c r="U120" s="1">
        <v>57</v>
      </c>
      <c r="V120" s="5">
        <v>95.441760000000002</v>
      </c>
      <c r="W120" s="3">
        <f t="shared" si="16"/>
        <v>99.599159999999998</v>
      </c>
      <c r="X120" s="1">
        <f t="shared" si="24"/>
        <v>1.2413268059277369E-2</v>
      </c>
      <c r="Z120" s="4">
        <v>250.01813000000001</v>
      </c>
      <c r="AA120" s="1">
        <v>57</v>
      </c>
      <c r="AB120" s="5">
        <v>100.77946</v>
      </c>
      <c r="AC120" s="3">
        <f t="shared" si="17"/>
        <v>100.70272</v>
      </c>
      <c r="AD120" s="1">
        <f t="shared" si="12"/>
        <v>4.4596485206355764E-3</v>
      </c>
      <c r="AF120" s="11">
        <v>390.78622999999999</v>
      </c>
      <c r="AG120" s="1">
        <v>57</v>
      </c>
      <c r="AH120" s="12">
        <v>54.921349999999997</v>
      </c>
      <c r="AI120" s="3">
        <f t="shared" si="18"/>
        <v>57.929039999999993</v>
      </c>
      <c r="AJ120" s="1">
        <f t="shared" si="21"/>
        <v>0.50876721964734062</v>
      </c>
      <c r="AL120" s="11">
        <v>390.80049000000002</v>
      </c>
      <c r="AM120" s="1">
        <v>57</v>
      </c>
      <c r="AN120" s="12">
        <v>55.500799999999998</v>
      </c>
      <c r="AO120" s="3">
        <f t="shared" si="19"/>
        <v>58.594300000000004</v>
      </c>
      <c r="AP120" s="1">
        <f t="shared" si="22"/>
        <v>0.50115291664308292</v>
      </c>
      <c r="AR120" s="11">
        <v>276.22037999999998</v>
      </c>
      <c r="AS120" s="1">
        <v>57</v>
      </c>
      <c r="AT120" s="12">
        <v>99.031229999999994</v>
      </c>
      <c r="AU120" s="3">
        <f t="shared" si="20"/>
        <v>99.685719999999989</v>
      </c>
    </row>
    <row r="121" spans="2:47" ht="16" x14ac:dyDescent="0.2">
      <c r="B121" s="2">
        <v>200.02327</v>
      </c>
      <c r="C121" s="1">
        <v>57.5</v>
      </c>
      <c r="D121" s="5">
        <v>99.988720000000001</v>
      </c>
      <c r="E121" s="3">
        <f t="shared" si="13"/>
        <v>100.70202</v>
      </c>
      <c r="H121" s="4">
        <v>225.00199000000001</v>
      </c>
      <c r="I121" s="1">
        <v>57.5</v>
      </c>
      <c r="J121" s="5">
        <v>95.618769999999998</v>
      </c>
      <c r="K121" s="3">
        <f t="shared" si="14"/>
        <v>99.726349999999996</v>
      </c>
      <c r="L121" s="1">
        <f t="shared" si="23"/>
        <v>8.0574702294206151E-3</v>
      </c>
      <c r="N121" s="4">
        <v>225.01523</v>
      </c>
      <c r="O121" s="1">
        <v>57.5</v>
      </c>
      <c r="P121" s="5">
        <v>100.72914</v>
      </c>
      <c r="Q121" s="3">
        <f t="shared" si="15"/>
        <v>100.86472000000001</v>
      </c>
      <c r="T121" s="4">
        <v>250.00197</v>
      </c>
      <c r="U121" s="1">
        <v>57.5</v>
      </c>
      <c r="V121" s="3">
        <v>95.419619999999995</v>
      </c>
      <c r="W121" s="3">
        <f t="shared" si="16"/>
        <v>99.57701999999999</v>
      </c>
      <c r="X121" s="1">
        <f t="shared" si="24"/>
        <v>1.267923576998895E-2</v>
      </c>
      <c r="Z121" s="4">
        <v>250.01777999999999</v>
      </c>
      <c r="AA121" s="1">
        <v>57.5</v>
      </c>
      <c r="AB121" s="3">
        <v>100.81725</v>
      </c>
      <c r="AC121" s="3">
        <f t="shared" si="17"/>
        <v>100.74051</v>
      </c>
      <c r="AD121" s="1">
        <f t="shared" si="12"/>
        <v>4.007667622213015E-3</v>
      </c>
      <c r="AF121" s="11">
        <v>393.11658</v>
      </c>
      <c r="AG121" s="1">
        <v>57.5</v>
      </c>
      <c r="AH121" s="13">
        <v>51.959600000000002</v>
      </c>
      <c r="AI121" s="3">
        <f t="shared" si="18"/>
        <v>54.967289999999998</v>
      </c>
      <c r="AJ121" s="1">
        <f t="shared" si="21"/>
        <v>0.5445629244418454</v>
      </c>
      <c r="AL121" s="11">
        <v>393.13078000000002</v>
      </c>
      <c r="AM121" s="1">
        <v>57.5</v>
      </c>
      <c r="AN121" s="13">
        <v>52.390610000000002</v>
      </c>
      <c r="AO121" s="3">
        <f t="shared" si="19"/>
        <v>55.484110000000008</v>
      </c>
      <c r="AP121" s="1">
        <f t="shared" si="22"/>
        <v>0.53872005338833007</v>
      </c>
      <c r="AR121" s="11">
        <v>277.71852000000001</v>
      </c>
      <c r="AS121" s="1">
        <v>57.5</v>
      </c>
      <c r="AT121" s="13">
        <v>99.024500000000003</v>
      </c>
      <c r="AU121" s="3">
        <f t="shared" si="20"/>
        <v>99.678989999999999</v>
      </c>
    </row>
    <row r="122" spans="2:47" ht="16" x14ac:dyDescent="0.2">
      <c r="B122" s="2">
        <v>200.02488</v>
      </c>
      <c r="C122" s="1">
        <v>58</v>
      </c>
      <c r="D122" s="3">
        <v>99.778819999999996</v>
      </c>
      <c r="E122" s="3">
        <f t="shared" si="13"/>
        <v>100.49212</v>
      </c>
      <c r="H122" s="4">
        <v>225.00113999999999</v>
      </c>
      <c r="I122" s="1">
        <v>58</v>
      </c>
      <c r="J122" s="3">
        <v>95.605059999999995</v>
      </c>
      <c r="K122" s="3">
        <f t="shared" si="14"/>
        <v>99.712639999999993</v>
      </c>
      <c r="L122" s="1">
        <f t="shared" si="23"/>
        <v>8.2225571558875998E-3</v>
      </c>
      <c r="N122" s="4">
        <v>225.01544000000001</v>
      </c>
      <c r="O122" s="1">
        <v>58</v>
      </c>
      <c r="P122" s="3">
        <v>100.68277999999999</v>
      </c>
      <c r="Q122" s="3">
        <f t="shared" si="15"/>
        <v>100.81836</v>
      </c>
      <c r="T122" s="4">
        <v>250.00495000000001</v>
      </c>
      <c r="U122" s="1">
        <v>58</v>
      </c>
      <c r="V122" s="5">
        <v>95.399720000000002</v>
      </c>
      <c r="W122" s="3">
        <f t="shared" si="16"/>
        <v>99.557119999999998</v>
      </c>
      <c r="X122" s="1">
        <f t="shared" si="24"/>
        <v>1.2918294371757549E-2</v>
      </c>
      <c r="Z122" s="4">
        <v>250.01472000000001</v>
      </c>
      <c r="AA122" s="1">
        <v>58</v>
      </c>
      <c r="AB122" s="5">
        <v>100.77428999999999</v>
      </c>
      <c r="AC122" s="3">
        <f t="shared" si="17"/>
        <v>100.69754999999999</v>
      </c>
      <c r="AD122" s="1">
        <f t="shared" si="12"/>
        <v>4.5214834305283428E-3</v>
      </c>
      <c r="AF122" s="11">
        <v>395.39211999999998</v>
      </c>
      <c r="AG122" s="1">
        <v>58</v>
      </c>
      <c r="AH122" s="12">
        <v>48.827959999999997</v>
      </c>
      <c r="AI122" s="3">
        <f t="shared" si="18"/>
        <v>51.835649999999994</v>
      </c>
      <c r="AJ122" s="1">
        <f t="shared" si="21"/>
        <v>0.58241191944907544</v>
      </c>
      <c r="AL122" s="11">
        <v>395.40361000000001</v>
      </c>
      <c r="AM122" s="1">
        <v>58</v>
      </c>
      <c r="AN122" s="12">
        <v>49.676189999999998</v>
      </c>
      <c r="AO122" s="3">
        <f t="shared" si="19"/>
        <v>52.769690000000004</v>
      </c>
      <c r="AP122" s="1">
        <f t="shared" si="22"/>
        <v>0.5715067922448096</v>
      </c>
      <c r="AR122" s="11">
        <v>279.21834999999999</v>
      </c>
      <c r="AS122" s="1">
        <v>58</v>
      </c>
      <c r="AT122" s="12">
        <v>99.013379999999998</v>
      </c>
      <c r="AU122" s="3">
        <f t="shared" si="20"/>
        <v>99.667869999999994</v>
      </c>
    </row>
    <row r="123" spans="2:47" ht="16" x14ac:dyDescent="0.2">
      <c r="B123" s="2">
        <v>200.02233000000001</v>
      </c>
      <c r="C123" s="1">
        <v>58.5</v>
      </c>
      <c r="D123" s="5">
        <v>99.934749999999994</v>
      </c>
      <c r="E123" s="3">
        <f t="shared" si="13"/>
        <v>100.64805</v>
      </c>
      <c r="H123" s="4">
        <v>225.00286</v>
      </c>
      <c r="I123" s="1">
        <v>58.5</v>
      </c>
      <c r="J123" s="5">
        <v>95.60127</v>
      </c>
      <c r="K123" s="3">
        <f t="shared" si="14"/>
        <v>99.708849999999998</v>
      </c>
      <c r="L123" s="1">
        <f t="shared" si="23"/>
        <v>8.2681938773543316E-3</v>
      </c>
      <c r="N123" s="4">
        <v>225.01751999999999</v>
      </c>
      <c r="O123" s="1">
        <v>58.5</v>
      </c>
      <c r="P123" s="5">
        <v>100.66874</v>
      </c>
      <c r="Q123" s="3">
        <f t="shared" si="15"/>
        <v>100.80432</v>
      </c>
      <c r="T123" s="4">
        <v>250.00497999999999</v>
      </c>
      <c r="U123" s="1">
        <v>58.5</v>
      </c>
      <c r="V123" s="3">
        <v>95.379620000000003</v>
      </c>
      <c r="W123" s="3">
        <f t="shared" si="16"/>
        <v>99.537019999999998</v>
      </c>
      <c r="X123" s="1">
        <f t="shared" si="24"/>
        <v>1.3159755572538978E-2</v>
      </c>
      <c r="Z123" s="4">
        <v>250.01505</v>
      </c>
      <c r="AA123" s="1">
        <v>58.5</v>
      </c>
      <c r="AB123" s="3">
        <v>100.75363</v>
      </c>
      <c r="AC123" s="3">
        <f t="shared" si="17"/>
        <v>100.67689</v>
      </c>
      <c r="AD123" s="1">
        <f t="shared" si="12"/>
        <v>4.7685838634843204E-3</v>
      </c>
      <c r="AF123" s="11">
        <v>397.62869999999998</v>
      </c>
      <c r="AG123" s="1">
        <v>58.5</v>
      </c>
      <c r="AH123" s="13">
        <v>46.006189999999997</v>
      </c>
      <c r="AI123" s="3">
        <f t="shared" si="18"/>
        <v>49.013879999999993</v>
      </c>
      <c r="AJ123" s="1">
        <f t="shared" si="21"/>
        <v>0.61651582623323675</v>
      </c>
      <c r="AL123" s="11">
        <v>397.63461999999998</v>
      </c>
      <c r="AM123" s="1">
        <v>58.5</v>
      </c>
      <c r="AN123" s="13">
        <v>46.8705</v>
      </c>
      <c r="AO123" s="3">
        <f t="shared" si="19"/>
        <v>49.964000000000006</v>
      </c>
      <c r="AP123" s="1">
        <f t="shared" si="22"/>
        <v>0.60539595653855782</v>
      </c>
      <c r="AR123" s="11">
        <v>280.71856000000002</v>
      </c>
      <c r="AS123" s="1">
        <v>58.5</v>
      </c>
      <c r="AT123" s="13">
        <v>98.999740000000003</v>
      </c>
      <c r="AU123" s="3">
        <f t="shared" si="20"/>
        <v>99.654229999999998</v>
      </c>
    </row>
    <row r="124" spans="2:47" ht="16" x14ac:dyDescent="0.2">
      <c r="B124" s="2">
        <v>200.01761999999999</v>
      </c>
      <c r="C124" s="1">
        <v>59</v>
      </c>
      <c r="D124" s="3">
        <v>99.735810000000001</v>
      </c>
      <c r="E124" s="3">
        <f t="shared" si="13"/>
        <v>100.44911</v>
      </c>
      <c r="H124" s="4">
        <v>225.00404</v>
      </c>
      <c r="I124" s="1">
        <v>59</v>
      </c>
      <c r="J124" s="3">
        <v>95.590800000000002</v>
      </c>
      <c r="K124" s="3">
        <f t="shared" si="14"/>
        <v>99.69838</v>
      </c>
      <c r="L124" s="1">
        <f t="shared" si="23"/>
        <v>8.3942668255752358E-3</v>
      </c>
      <c r="N124" s="4">
        <v>225.02207999999999</v>
      </c>
      <c r="O124" s="1">
        <v>59</v>
      </c>
      <c r="P124" s="3">
        <v>100.72308</v>
      </c>
      <c r="Q124" s="3">
        <f t="shared" si="15"/>
        <v>100.85866</v>
      </c>
      <c r="T124" s="4">
        <v>250.00200000000001</v>
      </c>
      <c r="U124" s="1">
        <v>59</v>
      </c>
      <c r="V124" s="5">
        <v>95.375399999999999</v>
      </c>
      <c r="W124" s="3">
        <f t="shared" si="16"/>
        <v>99.532799999999995</v>
      </c>
      <c r="X124" s="1">
        <f t="shared" si="24"/>
        <v>1.321045041170806E-2</v>
      </c>
      <c r="Z124" s="4">
        <v>250.01567</v>
      </c>
      <c r="AA124" s="1">
        <v>59</v>
      </c>
      <c r="AB124" s="5">
        <v>100.83575999999999</v>
      </c>
      <c r="AC124" s="3">
        <f t="shared" si="17"/>
        <v>100.75901999999999</v>
      </c>
      <c r="AD124" s="1">
        <f t="shared" si="12"/>
        <v>3.7862819003342697E-3</v>
      </c>
      <c r="AF124" s="11">
        <v>399.85723000000002</v>
      </c>
      <c r="AG124" s="1">
        <v>59</v>
      </c>
      <c r="AH124" s="12">
        <v>43.618299999999998</v>
      </c>
      <c r="AI124" s="3">
        <f t="shared" si="18"/>
        <v>46.625989999999994</v>
      </c>
      <c r="AJ124" s="1">
        <f t="shared" si="21"/>
        <v>0.64537586017322168</v>
      </c>
      <c r="AL124" s="11">
        <v>399.86838</v>
      </c>
      <c r="AM124" s="1">
        <v>59</v>
      </c>
      <c r="AN124" s="12">
        <v>44.381570000000004</v>
      </c>
      <c r="AO124" s="3">
        <f t="shared" si="19"/>
        <v>47.475070000000009</v>
      </c>
      <c r="AP124" s="1">
        <f t="shared" si="22"/>
        <v>0.63545906318456591</v>
      </c>
      <c r="AR124" s="11">
        <v>282.22764000000001</v>
      </c>
      <c r="AS124" s="1">
        <v>59</v>
      </c>
      <c r="AT124" s="12">
        <v>98.979920000000007</v>
      </c>
      <c r="AU124" s="3">
        <f t="shared" si="20"/>
        <v>99.634410000000003</v>
      </c>
    </row>
    <row r="125" spans="2:47" ht="16" x14ac:dyDescent="0.2">
      <c r="B125" s="2">
        <v>200.01552000000001</v>
      </c>
      <c r="C125" s="1">
        <v>59.5</v>
      </c>
      <c r="D125" s="5">
        <v>99.884</v>
      </c>
      <c r="E125" s="3">
        <f t="shared" si="13"/>
        <v>100.5973</v>
      </c>
      <c r="H125" s="4">
        <v>225.00305</v>
      </c>
      <c r="I125" s="1">
        <v>59.5</v>
      </c>
      <c r="J125" s="5">
        <v>95.584040000000002</v>
      </c>
      <c r="K125" s="3">
        <f t="shared" si="14"/>
        <v>99.69162</v>
      </c>
      <c r="L125" s="1">
        <f t="shared" si="23"/>
        <v>8.4756663604342083E-3</v>
      </c>
      <c r="N125" s="4">
        <v>225.02714</v>
      </c>
      <c r="O125" s="1">
        <v>59.5</v>
      </c>
      <c r="P125" s="5">
        <v>100.59533999999999</v>
      </c>
      <c r="Q125" s="3">
        <f t="shared" si="15"/>
        <v>100.73092</v>
      </c>
      <c r="T125" s="4">
        <v>250.00396000000001</v>
      </c>
      <c r="U125" s="1">
        <v>59.5</v>
      </c>
      <c r="V125" s="3">
        <v>95.363439999999997</v>
      </c>
      <c r="W125" s="3">
        <f t="shared" si="16"/>
        <v>99.520839999999993</v>
      </c>
      <c r="X125" s="1">
        <f t="shared" si="24"/>
        <v>1.3354125832670571E-2</v>
      </c>
      <c r="Z125" s="4">
        <v>250.01226</v>
      </c>
      <c r="AA125" s="1">
        <v>59.5</v>
      </c>
      <c r="AB125" s="3">
        <v>100.73689</v>
      </c>
      <c r="AC125" s="3">
        <f t="shared" si="17"/>
        <v>100.66015</v>
      </c>
      <c r="AD125" s="1">
        <f t="shared" si="12"/>
        <v>4.9687997999646816E-3</v>
      </c>
      <c r="AF125" s="11">
        <v>402.11703999999997</v>
      </c>
      <c r="AG125" s="1">
        <v>59.5</v>
      </c>
      <c r="AH125" s="13">
        <v>41.321150000000003</v>
      </c>
      <c r="AI125" s="3">
        <f t="shared" si="18"/>
        <v>44.32884</v>
      </c>
      <c r="AJ125" s="1">
        <f t="shared" si="21"/>
        <v>0.67313921064800741</v>
      </c>
      <c r="AL125" s="11">
        <v>402.13713999999999</v>
      </c>
      <c r="AM125" s="1">
        <v>59.5</v>
      </c>
      <c r="AN125" s="13">
        <v>42.112209999999997</v>
      </c>
      <c r="AO125" s="3">
        <f t="shared" si="19"/>
        <v>45.205710000000003</v>
      </c>
      <c r="AP125" s="1">
        <f t="shared" si="22"/>
        <v>0.66287004368549818</v>
      </c>
      <c r="AR125" s="11">
        <v>283.73244</v>
      </c>
      <c r="AS125" s="1">
        <v>59.5</v>
      </c>
      <c r="AT125" s="13">
        <v>98.944990000000004</v>
      </c>
      <c r="AU125" s="3">
        <f t="shared" si="20"/>
        <v>99.59948</v>
      </c>
    </row>
    <row r="126" spans="2:47" ht="16" x14ac:dyDescent="0.2">
      <c r="B126" s="2">
        <v>200.01671999999999</v>
      </c>
      <c r="C126" s="1">
        <v>60</v>
      </c>
      <c r="D126" s="3">
        <v>99.803020000000004</v>
      </c>
      <c r="E126" s="3">
        <f t="shared" si="13"/>
        <v>100.51632000000001</v>
      </c>
      <c r="H126" s="4">
        <v>225.00493</v>
      </c>
      <c r="I126" s="1">
        <v>60</v>
      </c>
      <c r="J126" s="3">
        <v>95.569950000000006</v>
      </c>
      <c r="K126" s="3">
        <f t="shared" si="14"/>
        <v>99.677530000000004</v>
      </c>
      <c r="L126" s="1">
        <f t="shared" si="23"/>
        <v>8.6453290003990942E-3</v>
      </c>
      <c r="N126" s="4">
        <v>225.03226000000001</v>
      </c>
      <c r="O126" s="1">
        <v>60</v>
      </c>
      <c r="P126" s="3">
        <v>100.7786</v>
      </c>
      <c r="Q126" s="3">
        <f t="shared" si="15"/>
        <v>100.91418</v>
      </c>
      <c r="T126" s="4">
        <v>250.00801999999999</v>
      </c>
      <c r="U126" s="1">
        <v>60</v>
      </c>
      <c r="V126" s="5">
        <v>95.34751</v>
      </c>
      <c r="W126" s="3">
        <f t="shared" si="16"/>
        <v>99.504909999999995</v>
      </c>
      <c r="X126" s="1">
        <f t="shared" si="24"/>
        <v>1.3545492844036125E-2</v>
      </c>
      <c r="Z126" s="4">
        <v>250.00941</v>
      </c>
      <c r="AA126" s="1">
        <v>60</v>
      </c>
      <c r="AB126" s="5">
        <v>100.8283</v>
      </c>
      <c r="AC126" s="3">
        <f t="shared" si="17"/>
        <v>100.75156</v>
      </c>
      <c r="AD126" s="1">
        <f t="shared" si="12"/>
        <v>3.8755059676068237E-3</v>
      </c>
      <c r="AF126" s="11">
        <v>404.43389999999999</v>
      </c>
      <c r="AG126" s="1">
        <v>60</v>
      </c>
      <c r="AH126" s="12">
        <v>39.39208</v>
      </c>
      <c r="AI126" s="3">
        <f t="shared" si="18"/>
        <v>42.399769999999997</v>
      </c>
      <c r="AJ126" s="1">
        <f t="shared" si="21"/>
        <v>0.69645394695186003</v>
      </c>
      <c r="AL126" s="11">
        <v>404.46332000000001</v>
      </c>
      <c r="AM126" s="1">
        <v>60</v>
      </c>
      <c r="AN126" s="12">
        <v>40.180540000000001</v>
      </c>
      <c r="AO126" s="3">
        <f t="shared" si="19"/>
        <v>43.274040000000007</v>
      </c>
      <c r="AP126" s="1">
        <f t="shared" si="22"/>
        <v>0.68620215877708157</v>
      </c>
      <c r="AR126" s="11">
        <v>285.23324000000002</v>
      </c>
      <c r="AS126" s="1">
        <v>60</v>
      </c>
      <c r="AT126" s="12">
        <v>98.921580000000006</v>
      </c>
      <c r="AU126" s="3">
        <f t="shared" si="20"/>
        <v>99.576070000000001</v>
      </c>
    </row>
    <row r="127" spans="2:47" ht="16" x14ac:dyDescent="0.2">
      <c r="B127" s="2">
        <v>200.01786000000001</v>
      </c>
      <c r="C127" s="1">
        <v>60.5</v>
      </c>
      <c r="D127" s="5">
        <v>99.997960000000006</v>
      </c>
      <c r="E127" s="3">
        <f t="shared" si="13"/>
        <v>100.71126000000001</v>
      </c>
      <c r="H127" s="4">
        <v>225.00393</v>
      </c>
      <c r="I127" s="1">
        <v>60.5</v>
      </c>
      <c r="J127" s="5">
        <v>95.577889999999996</v>
      </c>
      <c r="K127" s="3">
        <f t="shared" si="14"/>
        <v>99.685469999999995</v>
      </c>
      <c r="L127" s="1">
        <f t="shared" si="23"/>
        <v>8.5497206709938423E-3</v>
      </c>
      <c r="N127" s="4">
        <v>225.03321</v>
      </c>
      <c r="O127" s="1">
        <v>60.5</v>
      </c>
      <c r="P127" s="5">
        <v>100.73295</v>
      </c>
      <c r="Q127" s="3">
        <f t="shared" si="15"/>
        <v>100.86853000000001</v>
      </c>
      <c r="T127" s="4">
        <v>250.00900999999999</v>
      </c>
      <c r="U127" s="1">
        <v>60.5</v>
      </c>
      <c r="V127" s="3">
        <v>95.329539999999994</v>
      </c>
      <c r="W127" s="3">
        <f t="shared" si="16"/>
        <v>99.48693999999999</v>
      </c>
      <c r="X127" s="1">
        <f t="shared" si="24"/>
        <v>1.3761366365331833E-2</v>
      </c>
      <c r="Z127" s="4">
        <v>250.01148000000001</v>
      </c>
      <c r="AA127" s="1">
        <v>60.5</v>
      </c>
      <c r="AB127" s="3">
        <v>100.85198</v>
      </c>
      <c r="AC127" s="3">
        <f t="shared" si="17"/>
        <v>100.77524</v>
      </c>
      <c r="AD127" s="1">
        <f t="shared" ref="AD127:AD190" si="25">($AC$62-AC127)/($AC$62*(1-$M$1))</f>
        <v>3.592285335835312E-3</v>
      </c>
      <c r="AF127" s="11">
        <v>406.83828</v>
      </c>
      <c r="AG127" s="1">
        <v>60.5</v>
      </c>
      <c r="AH127" s="13">
        <v>37.684890000000003</v>
      </c>
      <c r="AI127" s="3">
        <f t="shared" si="18"/>
        <v>40.69258</v>
      </c>
      <c r="AJ127" s="1">
        <f t="shared" si="21"/>
        <v>0.71708704200314077</v>
      </c>
      <c r="AL127" s="11">
        <v>406.88729999999998</v>
      </c>
      <c r="AM127" s="1">
        <v>60.5</v>
      </c>
      <c r="AN127" s="13">
        <v>38.508189999999999</v>
      </c>
      <c r="AO127" s="3">
        <f t="shared" si="19"/>
        <v>41.601690000000005</v>
      </c>
      <c r="AP127" s="1">
        <f t="shared" si="22"/>
        <v>0.70640201831489569</v>
      </c>
      <c r="AR127" s="11">
        <v>286.73971999999998</v>
      </c>
      <c r="AS127" s="1">
        <v>60.5</v>
      </c>
      <c r="AT127" s="13">
        <v>98.887209999999996</v>
      </c>
      <c r="AU127" s="3">
        <f t="shared" si="20"/>
        <v>99.541699999999992</v>
      </c>
    </row>
    <row r="128" spans="2:47" ht="16" x14ac:dyDescent="0.2">
      <c r="B128" s="2">
        <v>200.01694000000001</v>
      </c>
      <c r="C128" s="1">
        <v>61</v>
      </c>
      <c r="D128" s="3">
        <v>99.813730000000007</v>
      </c>
      <c r="E128" s="3">
        <f t="shared" si="13"/>
        <v>100.52703000000001</v>
      </c>
      <c r="H128" s="4">
        <v>225.00604999999999</v>
      </c>
      <c r="I128" s="1">
        <v>61</v>
      </c>
      <c r="J128" s="3">
        <v>95.551060000000007</v>
      </c>
      <c r="K128" s="3">
        <f t="shared" si="14"/>
        <v>99.658640000000005</v>
      </c>
      <c r="L128" s="1">
        <f t="shared" si="23"/>
        <v>8.8727901266544128E-3</v>
      </c>
      <c r="N128" s="4">
        <v>225.02717999999999</v>
      </c>
      <c r="O128" s="1">
        <v>61</v>
      </c>
      <c r="P128" s="3">
        <v>100.68074</v>
      </c>
      <c r="Q128" s="3">
        <f t="shared" si="15"/>
        <v>100.81632</v>
      </c>
      <c r="T128" s="4">
        <v>250.00905</v>
      </c>
      <c r="U128" s="1">
        <v>61</v>
      </c>
      <c r="V128" s="5">
        <v>95.299430000000001</v>
      </c>
      <c r="W128" s="3">
        <f t="shared" si="16"/>
        <v>99.456829999999997</v>
      </c>
      <c r="X128" s="1">
        <f t="shared" si="24"/>
        <v>1.4123077646701359E-2</v>
      </c>
      <c r="Z128" s="4">
        <v>250.01815999999999</v>
      </c>
      <c r="AA128" s="1">
        <v>61</v>
      </c>
      <c r="AB128" s="5">
        <v>100.83123999999999</v>
      </c>
      <c r="AC128" s="3">
        <f t="shared" si="17"/>
        <v>100.75449999999999</v>
      </c>
      <c r="AD128" s="1">
        <f t="shared" si="25"/>
        <v>3.840342595250111E-3</v>
      </c>
      <c r="AF128" s="11">
        <v>409.33776</v>
      </c>
      <c r="AG128" s="1">
        <v>61</v>
      </c>
      <c r="AH128" s="12">
        <v>36.279089999999997</v>
      </c>
      <c r="AI128" s="3">
        <f t="shared" si="18"/>
        <v>39.286779999999993</v>
      </c>
      <c r="AJ128" s="1">
        <f t="shared" si="21"/>
        <v>0.73407753809501719</v>
      </c>
      <c r="AL128" s="11">
        <v>409.39657999999997</v>
      </c>
      <c r="AM128" s="1">
        <v>61</v>
      </c>
      <c r="AN128" s="12">
        <v>37.03199</v>
      </c>
      <c r="AO128" s="3">
        <f t="shared" si="19"/>
        <v>40.125490000000006</v>
      </c>
      <c r="AP128" s="1">
        <f t="shared" si="22"/>
        <v>0.72423263550012684</v>
      </c>
      <c r="AR128" s="11">
        <v>288.23842999999999</v>
      </c>
      <c r="AS128" s="1">
        <v>61</v>
      </c>
      <c r="AT128" s="12">
        <v>98.849310000000003</v>
      </c>
      <c r="AU128" s="3">
        <f t="shared" si="20"/>
        <v>99.503799999999998</v>
      </c>
    </row>
    <row r="129" spans="2:47" ht="16" x14ac:dyDescent="0.2">
      <c r="B129" s="2">
        <v>200.01826</v>
      </c>
      <c r="C129" s="1">
        <v>61.5</v>
      </c>
      <c r="D129" s="5">
        <v>99.860830000000007</v>
      </c>
      <c r="E129" s="3">
        <f t="shared" si="13"/>
        <v>100.57413000000001</v>
      </c>
      <c r="H129" s="4">
        <v>225.00294</v>
      </c>
      <c r="I129" s="1">
        <v>61.5</v>
      </c>
      <c r="J129" s="5">
        <v>95.539739999999995</v>
      </c>
      <c r="K129" s="3">
        <f t="shared" si="14"/>
        <v>99.647319999999993</v>
      </c>
      <c r="L129" s="1">
        <f t="shared" si="23"/>
        <v>9.0090982234894094E-3</v>
      </c>
      <c r="N129" s="4">
        <v>225.02260000000001</v>
      </c>
      <c r="O129" s="1">
        <v>61.5</v>
      </c>
      <c r="P129" s="5">
        <v>100.61619</v>
      </c>
      <c r="Q129" s="3">
        <f t="shared" si="15"/>
        <v>100.75177000000001</v>
      </c>
      <c r="T129" s="4">
        <v>250.00901999999999</v>
      </c>
      <c r="U129" s="1">
        <v>61.5</v>
      </c>
      <c r="V129" s="3">
        <v>95.301360000000003</v>
      </c>
      <c r="W129" s="3">
        <f t="shared" si="16"/>
        <v>99.458759999999998</v>
      </c>
      <c r="X129" s="1">
        <f t="shared" si="24"/>
        <v>1.4099892566228296E-2</v>
      </c>
      <c r="Z129" s="4">
        <v>250.01696000000001</v>
      </c>
      <c r="AA129" s="1">
        <v>61.5</v>
      </c>
      <c r="AB129" s="3">
        <v>100.81486</v>
      </c>
      <c r="AC129" s="3">
        <f t="shared" si="17"/>
        <v>100.73812</v>
      </c>
      <c r="AD129" s="1">
        <f t="shared" si="25"/>
        <v>4.0362528126663714E-3</v>
      </c>
      <c r="AF129" s="11">
        <v>411.95510000000002</v>
      </c>
      <c r="AG129" s="1">
        <v>61.5</v>
      </c>
      <c r="AH129" s="13">
        <v>35.081949999999999</v>
      </c>
      <c r="AI129" s="3">
        <f t="shared" si="18"/>
        <v>38.089639999999996</v>
      </c>
      <c r="AJ129" s="1">
        <f t="shared" si="21"/>
        <v>0.7485461698288548</v>
      </c>
      <c r="AL129" s="11">
        <v>411.99426</v>
      </c>
      <c r="AM129" s="1">
        <v>61.5</v>
      </c>
      <c r="AN129" s="13">
        <v>35.818049999999999</v>
      </c>
      <c r="AO129" s="3">
        <f t="shared" si="19"/>
        <v>38.911550000000005</v>
      </c>
      <c r="AP129" s="1">
        <f t="shared" si="22"/>
        <v>0.73889548567343633</v>
      </c>
      <c r="AR129" s="11">
        <v>289.74241999999998</v>
      </c>
      <c r="AS129" s="1">
        <v>61.5</v>
      </c>
      <c r="AT129" s="13">
        <v>98.827569999999994</v>
      </c>
      <c r="AU129" s="3">
        <f t="shared" si="20"/>
        <v>99.48205999999999</v>
      </c>
    </row>
    <row r="130" spans="2:47" ht="16" x14ac:dyDescent="0.2">
      <c r="B130" s="2">
        <v>200.01884999999999</v>
      </c>
      <c r="C130" s="1">
        <v>62</v>
      </c>
      <c r="D130" s="3">
        <v>99.933980000000005</v>
      </c>
      <c r="E130" s="3">
        <f t="shared" si="13"/>
        <v>100.64728000000001</v>
      </c>
      <c r="H130" s="4">
        <v>225.00511</v>
      </c>
      <c r="I130" s="1">
        <v>62</v>
      </c>
      <c r="J130" s="3">
        <v>95.548649999999995</v>
      </c>
      <c r="K130" s="3">
        <f t="shared" si="14"/>
        <v>99.656229999999994</v>
      </c>
      <c r="L130" s="1">
        <f t="shared" si="23"/>
        <v>8.9018097833128591E-3</v>
      </c>
      <c r="N130" s="4">
        <v>225.01952</v>
      </c>
      <c r="O130" s="1">
        <v>62</v>
      </c>
      <c r="P130" s="3">
        <v>100.58607000000001</v>
      </c>
      <c r="Q130" s="3">
        <f t="shared" si="15"/>
        <v>100.72165000000001</v>
      </c>
      <c r="T130" s="4">
        <v>250.00897000000001</v>
      </c>
      <c r="U130" s="1">
        <v>62</v>
      </c>
      <c r="V130" s="5">
        <v>95.293300000000002</v>
      </c>
      <c r="W130" s="3">
        <f t="shared" si="16"/>
        <v>99.450699999999998</v>
      </c>
      <c r="X130" s="1">
        <f t="shared" si="24"/>
        <v>1.419671730644215E-2</v>
      </c>
      <c r="Z130" s="4">
        <v>250.01091</v>
      </c>
      <c r="AA130" s="1">
        <v>62</v>
      </c>
      <c r="AB130" s="5">
        <v>100.76853</v>
      </c>
      <c r="AC130" s="3">
        <f t="shared" si="17"/>
        <v>100.69179</v>
      </c>
      <c r="AD130" s="1">
        <f t="shared" si="25"/>
        <v>4.5903749355537902E-3</v>
      </c>
      <c r="AF130" s="11">
        <v>414.68101999999999</v>
      </c>
      <c r="AG130" s="1">
        <v>62</v>
      </c>
      <c r="AH130" s="12">
        <v>33.960799999999999</v>
      </c>
      <c r="AI130" s="3">
        <f t="shared" si="18"/>
        <v>36.968489999999996</v>
      </c>
      <c r="AJ130" s="1">
        <f t="shared" si="21"/>
        <v>0.76209638656907908</v>
      </c>
      <c r="AL130" s="11">
        <v>414.69555000000003</v>
      </c>
      <c r="AM130" s="1">
        <v>62</v>
      </c>
      <c r="AN130" s="12">
        <v>34.64378</v>
      </c>
      <c r="AO130" s="3">
        <f t="shared" si="19"/>
        <v>37.737280000000005</v>
      </c>
      <c r="AP130" s="1">
        <f t="shared" si="22"/>
        <v>0.75307917273623359</v>
      </c>
      <c r="AR130" s="11">
        <v>291.24074000000002</v>
      </c>
      <c r="AS130" s="1">
        <v>62</v>
      </c>
      <c r="AT130" s="12">
        <v>98.770589999999999</v>
      </c>
      <c r="AU130" s="3">
        <f t="shared" si="20"/>
        <v>99.425079999999994</v>
      </c>
    </row>
    <row r="131" spans="2:47" ht="16" x14ac:dyDescent="0.2">
      <c r="B131" s="2">
        <v>200.01912999999999</v>
      </c>
      <c r="C131" s="1">
        <v>62.5</v>
      </c>
      <c r="D131" s="5">
        <v>99.798450000000003</v>
      </c>
      <c r="E131" s="3">
        <f t="shared" si="13"/>
        <v>100.51175000000001</v>
      </c>
      <c r="H131" s="4">
        <v>225.00208000000001</v>
      </c>
      <c r="I131" s="1">
        <v>62.5</v>
      </c>
      <c r="J131" s="5">
        <v>95.540400000000005</v>
      </c>
      <c r="K131" s="3">
        <f t="shared" si="14"/>
        <v>99.647980000000004</v>
      </c>
      <c r="L131" s="1">
        <f t="shared" si="23"/>
        <v>9.0011509316243535E-3</v>
      </c>
      <c r="N131" s="4">
        <v>225.01714000000001</v>
      </c>
      <c r="O131" s="1">
        <v>62.5</v>
      </c>
      <c r="P131" s="5">
        <v>100.62813</v>
      </c>
      <c r="Q131" s="3">
        <f t="shared" si="15"/>
        <v>100.76371</v>
      </c>
      <c r="T131" s="4">
        <v>250.00299000000001</v>
      </c>
      <c r="U131" s="1">
        <v>62.5</v>
      </c>
      <c r="V131" s="3">
        <v>95.258930000000007</v>
      </c>
      <c r="W131" s="3">
        <f t="shared" si="16"/>
        <v>99.416330000000002</v>
      </c>
      <c r="X131" s="1">
        <f t="shared" si="24"/>
        <v>1.4609603946783291E-2</v>
      </c>
      <c r="Z131" s="4">
        <v>250.00934000000001</v>
      </c>
      <c r="AA131" s="1">
        <v>62.5</v>
      </c>
      <c r="AB131" s="3">
        <v>100.82812</v>
      </c>
      <c r="AC131" s="3">
        <f t="shared" si="17"/>
        <v>100.75138</v>
      </c>
      <c r="AD131" s="1">
        <f t="shared" si="25"/>
        <v>3.8776588271388743E-3</v>
      </c>
      <c r="AF131" s="11">
        <v>417.51202999999998</v>
      </c>
      <c r="AG131" s="1">
        <v>62.5</v>
      </c>
      <c r="AH131" s="13">
        <v>32.685659999999999</v>
      </c>
      <c r="AI131" s="3">
        <f t="shared" si="18"/>
        <v>35.693349999999995</v>
      </c>
      <c r="AJ131" s="1">
        <f t="shared" si="21"/>
        <v>0.77750772615265795</v>
      </c>
      <c r="AL131" s="11">
        <v>417.50198</v>
      </c>
      <c r="AM131" s="1">
        <v>62.5</v>
      </c>
      <c r="AN131" s="13">
        <v>33.389719999999997</v>
      </c>
      <c r="AO131" s="3">
        <f t="shared" si="19"/>
        <v>36.483220000000003</v>
      </c>
      <c r="AP131" s="1">
        <f t="shared" si="22"/>
        <v>0.76822662144732357</v>
      </c>
      <c r="AR131" s="11">
        <v>292.74936000000002</v>
      </c>
      <c r="AS131" s="1">
        <v>62.5</v>
      </c>
      <c r="AT131" s="13">
        <v>98.741209999999995</v>
      </c>
      <c r="AU131" s="3">
        <f t="shared" si="20"/>
        <v>99.395699999999991</v>
      </c>
    </row>
    <row r="132" spans="2:47" ht="16" x14ac:dyDescent="0.2">
      <c r="B132" s="2">
        <v>200.02090999999999</v>
      </c>
      <c r="C132" s="1">
        <v>63</v>
      </c>
      <c r="D132" s="3">
        <v>99.88167</v>
      </c>
      <c r="E132" s="3">
        <f t="shared" si="13"/>
        <v>100.59497</v>
      </c>
      <c r="H132" s="4">
        <v>225.00509</v>
      </c>
      <c r="I132" s="1">
        <v>63</v>
      </c>
      <c r="J132" s="3">
        <v>95.51258</v>
      </c>
      <c r="K132" s="3">
        <f t="shared" si="14"/>
        <v>99.620159999999998</v>
      </c>
      <c r="L132" s="1">
        <f t="shared" si="23"/>
        <v>9.3361413250825087E-3</v>
      </c>
      <c r="N132" s="4">
        <v>225.01553000000001</v>
      </c>
      <c r="O132" s="1">
        <v>63</v>
      </c>
      <c r="P132" s="3">
        <v>100.51441</v>
      </c>
      <c r="Q132" s="3">
        <f t="shared" si="15"/>
        <v>100.64999</v>
      </c>
      <c r="T132" s="4">
        <v>250.00601</v>
      </c>
      <c r="U132" s="1">
        <v>63</v>
      </c>
      <c r="V132" s="5">
        <v>95.269409999999993</v>
      </c>
      <c r="W132" s="3">
        <f t="shared" si="16"/>
        <v>99.426809999999989</v>
      </c>
      <c r="X132" s="1">
        <f t="shared" si="24"/>
        <v>1.4483707758515315E-2</v>
      </c>
      <c r="Z132" s="4">
        <v>250.00882999999999</v>
      </c>
      <c r="AA132" s="1">
        <v>63</v>
      </c>
      <c r="AB132" s="5">
        <v>100.73961</v>
      </c>
      <c r="AC132" s="3">
        <f t="shared" si="17"/>
        <v>100.66287</v>
      </c>
      <c r="AD132" s="1">
        <f t="shared" si="25"/>
        <v>4.9362677003693452E-3</v>
      </c>
      <c r="AF132" s="11">
        <v>420.39997</v>
      </c>
      <c r="AG132" s="1">
        <v>63</v>
      </c>
      <c r="AH132" s="12">
        <v>31.329809999999998</v>
      </c>
      <c r="AI132" s="3">
        <f t="shared" si="18"/>
        <v>34.337499999999991</v>
      </c>
      <c r="AJ132" s="1">
        <f t="shared" si="21"/>
        <v>0.79389452664075777</v>
      </c>
      <c r="AL132" s="11">
        <v>420.36538999999999</v>
      </c>
      <c r="AM132" s="1">
        <v>63</v>
      </c>
      <c r="AN132" s="12">
        <v>32.029089999999997</v>
      </c>
      <c r="AO132" s="3">
        <f t="shared" si="19"/>
        <v>35.122590000000002</v>
      </c>
      <c r="AP132" s="1">
        <f t="shared" si="22"/>
        <v>0.78466130012280177</v>
      </c>
      <c r="AR132" s="11">
        <v>294.24851999999998</v>
      </c>
      <c r="AS132" s="1">
        <v>63</v>
      </c>
      <c r="AT132" s="12">
        <v>98.71454</v>
      </c>
      <c r="AU132" s="3">
        <f t="shared" si="20"/>
        <v>99.369029999999995</v>
      </c>
    </row>
    <row r="133" spans="2:47" ht="16" x14ac:dyDescent="0.2">
      <c r="B133" s="2">
        <v>200.02006</v>
      </c>
      <c r="C133" s="1">
        <v>63.5</v>
      </c>
      <c r="D133" s="5">
        <v>99.913910000000001</v>
      </c>
      <c r="E133" s="3">
        <f t="shared" si="13"/>
        <v>100.62721000000001</v>
      </c>
      <c r="H133" s="4">
        <v>225.00297</v>
      </c>
      <c r="I133" s="1">
        <v>63.5</v>
      </c>
      <c r="J133" s="5">
        <v>95.517189999999999</v>
      </c>
      <c r="K133" s="3">
        <f t="shared" si="14"/>
        <v>99.624769999999998</v>
      </c>
      <c r="L133" s="1">
        <f t="shared" si="23"/>
        <v>9.2806306955411123E-3</v>
      </c>
      <c r="N133" s="4">
        <v>225.01421999999999</v>
      </c>
      <c r="O133" s="1">
        <v>63.5</v>
      </c>
      <c r="P133" s="5">
        <v>100.58817000000001</v>
      </c>
      <c r="Q133" s="3">
        <f t="shared" si="15"/>
        <v>100.72375000000001</v>
      </c>
      <c r="T133" s="4">
        <v>250.00198</v>
      </c>
      <c r="U133" s="1">
        <v>63.5</v>
      </c>
      <c r="V133" s="3">
        <v>95.263210000000001</v>
      </c>
      <c r="W133" s="3">
        <f t="shared" si="16"/>
        <v>99.420609999999996</v>
      </c>
      <c r="X133" s="1">
        <f t="shared" si="24"/>
        <v>1.4558188327910497E-2</v>
      </c>
      <c r="Z133" s="4">
        <v>250.00819999999999</v>
      </c>
      <c r="AA133" s="1">
        <v>63.5</v>
      </c>
      <c r="AB133" s="3">
        <v>100.76725999999999</v>
      </c>
      <c r="AC133" s="3">
        <f t="shared" si="17"/>
        <v>100.69051999999999</v>
      </c>
      <c r="AD133" s="1">
        <f t="shared" si="25"/>
        <v>4.6055645555855181E-3</v>
      </c>
      <c r="AF133" s="11">
        <v>423.25907000000001</v>
      </c>
      <c r="AG133" s="1">
        <v>63.5</v>
      </c>
      <c r="AH133" s="13">
        <v>29.696339999999999</v>
      </c>
      <c r="AI133" s="3">
        <f t="shared" si="18"/>
        <v>32.704029999999989</v>
      </c>
      <c r="AJ133" s="1">
        <f t="shared" si="21"/>
        <v>0.81363664191405227</v>
      </c>
      <c r="AL133" s="11">
        <v>423.21593999999999</v>
      </c>
      <c r="AM133" s="1">
        <v>63.5</v>
      </c>
      <c r="AN133" s="13">
        <v>30.463259999999998</v>
      </c>
      <c r="AO133" s="3">
        <f t="shared" si="19"/>
        <v>33.556759999999997</v>
      </c>
      <c r="AP133" s="1">
        <f t="shared" si="22"/>
        <v>0.80357453363259079</v>
      </c>
      <c r="AR133" s="11">
        <v>295.74770000000001</v>
      </c>
      <c r="AS133" s="1">
        <v>63.5</v>
      </c>
      <c r="AT133" s="13">
        <v>98.662270000000007</v>
      </c>
      <c r="AU133" s="3">
        <f t="shared" si="20"/>
        <v>99.316760000000002</v>
      </c>
    </row>
    <row r="134" spans="2:47" ht="16" x14ac:dyDescent="0.2">
      <c r="B134" s="2">
        <v>200.01683</v>
      </c>
      <c r="C134" s="1">
        <v>64</v>
      </c>
      <c r="D134" s="3">
        <v>99.847290000000001</v>
      </c>
      <c r="E134" s="3">
        <f t="shared" si="13"/>
        <v>100.56059</v>
      </c>
      <c r="H134" s="4">
        <v>225.00304</v>
      </c>
      <c r="I134" s="1">
        <v>64</v>
      </c>
      <c r="J134" s="3">
        <v>95.489680000000007</v>
      </c>
      <c r="K134" s="3">
        <f t="shared" si="14"/>
        <v>99.597260000000006</v>
      </c>
      <c r="L134" s="1">
        <f t="shared" si="23"/>
        <v>9.6118882700928568E-3</v>
      </c>
      <c r="N134" s="4">
        <v>225.01417000000001</v>
      </c>
      <c r="O134" s="1">
        <v>64</v>
      </c>
      <c r="P134" s="3">
        <v>100.66611</v>
      </c>
      <c r="Q134" s="3">
        <f t="shared" si="15"/>
        <v>100.80169000000001</v>
      </c>
      <c r="T134" s="4">
        <v>250.00199000000001</v>
      </c>
      <c r="U134" s="1">
        <v>64</v>
      </c>
      <c r="V134" s="5">
        <v>95.213030000000003</v>
      </c>
      <c r="W134" s="3">
        <f t="shared" si="16"/>
        <v>99.370429999999999</v>
      </c>
      <c r="X134" s="1">
        <f t="shared" si="24"/>
        <v>1.5161000420209595E-2</v>
      </c>
      <c r="Z134" s="4">
        <v>250.01075</v>
      </c>
      <c r="AA134" s="1">
        <v>64</v>
      </c>
      <c r="AB134" s="5">
        <v>100.80437000000001</v>
      </c>
      <c r="AC134" s="3">
        <f t="shared" si="17"/>
        <v>100.72763</v>
      </c>
      <c r="AD134" s="1">
        <f t="shared" si="25"/>
        <v>4.1617166820616626E-3</v>
      </c>
      <c r="AF134" s="11">
        <v>426.03030000000001</v>
      </c>
      <c r="AG134" s="1">
        <v>64</v>
      </c>
      <c r="AH134" s="12">
        <v>27.830850000000002</v>
      </c>
      <c r="AI134" s="3">
        <f t="shared" si="18"/>
        <v>30.838539999999995</v>
      </c>
      <c r="AJ134" s="1">
        <f t="shared" si="21"/>
        <v>0.83618295046038493</v>
      </c>
      <c r="AL134" s="11">
        <v>425.97712999999999</v>
      </c>
      <c r="AM134" s="1">
        <v>64</v>
      </c>
      <c r="AN134" s="12">
        <v>28.6585</v>
      </c>
      <c r="AO134" s="3">
        <f t="shared" si="19"/>
        <v>31.75200000000001</v>
      </c>
      <c r="AP134" s="1">
        <f t="shared" si="22"/>
        <v>0.82537373744726195</v>
      </c>
      <c r="AR134" s="11">
        <v>297.23858000000001</v>
      </c>
      <c r="AS134" s="1">
        <v>64</v>
      </c>
      <c r="AT134" s="12">
        <v>98.560980000000001</v>
      </c>
      <c r="AU134" s="3">
        <f t="shared" si="20"/>
        <v>99.215469999999996</v>
      </c>
    </row>
    <row r="135" spans="2:47" ht="16" x14ac:dyDescent="0.2">
      <c r="B135" s="2">
        <v>200.01552000000001</v>
      </c>
      <c r="C135" s="1">
        <v>64.5</v>
      </c>
      <c r="D135" s="5">
        <v>99.850340000000003</v>
      </c>
      <c r="E135" s="3">
        <f t="shared" ref="E135:E198" si="26">100-($D$6-D135)</f>
        <v>100.56364000000001</v>
      </c>
      <c r="H135" s="4">
        <v>225.00799000000001</v>
      </c>
      <c r="I135" s="1">
        <v>64.5</v>
      </c>
      <c r="J135" s="5">
        <v>95.500439999999998</v>
      </c>
      <c r="K135" s="3">
        <f t="shared" ref="K135:K198" si="27">100-($J$6-J135)</f>
        <v>99.608019999999996</v>
      </c>
      <c r="L135" s="1">
        <f t="shared" si="23"/>
        <v>9.4823233299919981E-3</v>
      </c>
      <c r="N135" s="4">
        <v>225.01677000000001</v>
      </c>
      <c r="O135" s="1">
        <v>64.5</v>
      </c>
      <c r="P135" s="5">
        <v>100.66095</v>
      </c>
      <c r="Q135" s="3">
        <f t="shared" ref="Q135:Q198" si="28">100-($P$6-P135)</f>
        <v>100.79653</v>
      </c>
      <c r="T135" s="4">
        <v>250.00307000000001</v>
      </c>
      <c r="U135" s="1">
        <v>64.5</v>
      </c>
      <c r="V135" s="3">
        <v>95.212969999999999</v>
      </c>
      <c r="W135" s="3">
        <f t="shared" ref="W135:W198" si="29">100-($V$6-V135)</f>
        <v>99.370369999999994</v>
      </c>
      <c r="X135" s="1">
        <f t="shared" si="24"/>
        <v>1.5161721199913478E-2</v>
      </c>
      <c r="Z135" s="4">
        <v>250.01177000000001</v>
      </c>
      <c r="AA135" s="1">
        <v>64.5</v>
      </c>
      <c r="AB135" s="3">
        <v>100.86196</v>
      </c>
      <c r="AC135" s="3">
        <f t="shared" ref="AC135:AC198" si="30">100-($AB$6-AB135)</f>
        <v>100.78522</v>
      </c>
      <c r="AD135" s="1">
        <f t="shared" si="25"/>
        <v>3.4729212351140505E-3</v>
      </c>
      <c r="AF135" s="11">
        <v>428.64963</v>
      </c>
      <c r="AG135" s="1">
        <v>64.5</v>
      </c>
      <c r="AH135" s="13">
        <v>25.74794</v>
      </c>
      <c r="AI135" s="3">
        <f t="shared" ref="AI135:AI198" si="31">100-($AH$6-AH135)</f>
        <v>28.755629999999996</v>
      </c>
      <c r="AJ135" s="1">
        <f t="shared" si="21"/>
        <v>0.86135699670788113</v>
      </c>
      <c r="AL135" s="11">
        <v>428.61342999999999</v>
      </c>
      <c r="AM135" s="1">
        <v>64.5</v>
      </c>
      <c r="AN135" s="13">
        <v>26.57817</v>
      </c>
      <c r="AO135" s="3">
        <f t="shared" ref="AO135:AO198" si="32">100-($AN$6-AN135)</f>
        <v>29.671670000000006</v>
      </c>
      <c r="AP135" s="1">
        <f t="shared" si="22"/>
        <v>0.85050147613372162</v>
      </c>
      <c r="AR135" s="11">
        <v>298.74916000000002</v>
      </c>
      <c r="AS135" s="1">
        <v>64.5</v>
      </c>
      <c r="AT135" s="13">
        <v>98.547560000000004</v>
      </c>
      <c r="AU135" s="3">
        <f t="shared" ref="AU135:AU198" si="33">100-($AT$6-AT135)</f>
        <v>99.20205</v>
      </c>
    </row>
    <row r="136" spans="2:47" ht="16" x14ac:dyDescent="0.2">
      <c r="B136" s="2">
        <v>200.01428000000001</v>
      </c>
      <c r="C136" s="1">
        <v>65</v>
      </c>
      <c r="D136" s="3">
        <v>99.813220000000001</v>
      </c>
      <c r="E136" s="3">
        <f t="shared" si="26"/>
        <v>100.52652</v>
      </c>
      <c r="H136" s="4">
        <v>225.00792999999999</v>
      </c>
      <c r="I136" s="1">
        <v>65</v>
      </c>
      <c r="J136" s="3">
        <v>95.497699999999995</v>
      </c>
      <c r="K136" s="3">
        <f t="shared" si="27"/>
        <v>99.605279999999993</v>
      </c>
      <c r="L136" s="1">
        <f t="shared" si="23"/>
        <v>9.5153166325827997E-3</v>
      </c>
      <c r="N136" s="4">
        <v>225.01635999999999</v>
      </c>
      <c r="O136" s="1">
        <v>65</v>
      </c>
      <c r="P136" s="3">
        <v>100.70795</v>
      </c>
      <c r="Q136" s="3">
        <f t="shared" si="28"/>
        <v>100.84353</v>
      </c>
      <c r="T136" s="4">
        <v>249.99898999999999</v>
      </c>
      <c r="U136" s="1">
        <v>65</v>
      </c>
      <c r="V136" s="5">
        <v>95.188910000000007</v>
      </c>
      <c r="W136" s="3">
        <f t="shared" si="29"/>
        <v>99.346310000000003</v>
      </c>
      <c r="X136" s="1">
        <f t="shared" si="24"/>
        <v>1.5450753861147276E-2</v>
      </c>
      <c r="Z136" s="4">
        <v>250.01105999999999</v>
      </c>
      <c r="AA136" s="1">
        <v>65</v>
      </c>
      <c r="AB136" s="5">
        <v>100.81883999999999</v>
      </c>
      <c r="AC136" s="3">
        <f t="shared" si="30"/>
        <v>100.74209999999999</v>
      </c>
      <c r="AD136" s="1">
        <f t="shared" si="25"/>
        <v>3.9886506963466815E-3</v>
      </c>
      <c r="AF136" s="11">
        <v>431.07999000000001</v>
      </c>
      <c r="AG136" s="1">
        <v>65</v>
      </c>
      <c r="AH136" s="12">
        <v>23.574090000000002</v>
      </c>
      <c r="AI136" s="3">
        <f t="shared" si="31"/>
        <v>26.581779999999995</v>
      </c>
      <c r="AJ136" s="1">
        <f t="shared" ref="AJ136:AJ199" si="34">($AI$7-AI136)/($AI$7*(1-$M$1))</f>
        <v>0.88763014362019121</v>
      </c>
      <c r="AL136" s="11">
        <v>431.09095000000002</v>
      </c>
      <c r="AM136" s="1">
        <v>65</v>
      </c>
      <c r="AN136" s="12">
        <v>24.47484</v>
      </c>
      <c r="AO136" s="3">
        <f t="shared" si="32"/>
        <v>27.568340000000006</v>
      </c>
      <c r="AP136" s="1">
        <f t="shared" si="22"/>
        <v>0.87590702554722399</v>
      </c>
      <c r="AR136" s="11">
        <v>300.25445999999999</v>
      </c>
      <c r="AS136" s="1">
        <v>65</v>
      </c>
      <c r="AT136" s="12">
        <v>98.508250000000004</v>
      </c>
      <c r="AU136" s="3">
        <f t="shared" si="33"/>
        <v>99.162739999999999</v>
      </c>
    </row>
    <row r="137" spans="2:47" ht="16" x14ac:dyDescent="0.2">
      <c r="B137" s="2">
        <v>200.01173</v>
      </c>
      <c r="C137" s="1">
        <v>65.5</v>
      </c>
      <c r="D137" s="5">
        <v>99.98254</v>
      </c>
      <c r="E137" s="3">
        <f t="shared" si="26"/>
        <v>100.69584</v>
      </c>
      <c r="H137" s="4">
        <v>225.00505999999999</v>
      </c>
      <c r="I137" s="1">
        <v>65.5</v>
      </c>
      <c r="J137" s="5">
        <v>95.485900000000001</v>
      </c>
      <c r="K137" s="3">
        <f t="shared" si="27"/>
        <v>99.59348</v>
      </c>
      <c r="L137" s="1">
        <f t="shared" si="23"/>
        <v>9.6574045780466172E-3</v>
      </c>
      <c r="N137" s="4">
        <v>225.01553999999999</v>
      </c>
      <c r="O137" s="1">
        <v>65.5</v>
      </c>
      <c r="P137" s="5">
        <v>100.55886</v>
      </c>
      <c r="Q137" s="3">
        <f t="shared" si="28"/>
        <v>100.69444</v>
      </c>
      <c r="T137" s="4">
        <v>250.00106</v>
      </c>
      <c r="U137" s="1">
        <v>65.5</v>
      </c>
      <c r="V137" s="3">
        <v>95.179130000000001</v>
      </c>
      <c r="W137" s="3">
        <f t="shared" si="29"/>
        <v>99.336529999999996</v>
      </c>
      <c r="X137" s="1">
        <f t="shared" si="24"/>
        <v>1.5568240952870857E-2</v>
      </c>
      <c r="Z137" s="4">
        <v>250.01317</v>
      </c>
      <c r="AA137" s="1">
        <v>65.5</v>
      </c>
      <c r="AB137" s="3">
        <v>100.77272000000001</v>
      </c>
      <c r="AC137" s="3">
        <f t="shared" si="30"/>
        <v>100.69598000000001</v>
      </c>
      <c r="AD137" s="1">
        <f t="shared" si="25"/>
        <v>4.5402611497799283E-3</v>
      </c>
      <c r="AF137" s="11">
        <v>433.36057</v>
      </c>
      <c r="AG137" s="1">
        <v>65.5</v>
      </c>
      <c r="AH137" s="13">
        <v>21.43599</v>
      </c>
      <c r="AI137" s="3">
        <f t="shared" si="31"/>
        <v>24.443680000000001</v>
      </c>
      <c r="AJ137" s="1">
        <f t="shared" si="34"/>
        <v>0.91347121610136983</v>
      </c>
      <c r="AL137" s="11">
        <v>433.42491000000001</v>
      </c>
      <c r="AM137" s="1">
        <v>65.5</v>
      </c>
      <c r="AN137" s="13">
        <v>22.316669999999998</v>
      </c>
      <c r="AO137" s="3">
        <f t="shared" si="32"/>
        <v>25.410170000000008</v>
      </c>
      <c r="AP137" s="1">
        <f t="shared" si="22"/>
        <v>0.90197497236381408</v>
      </c>
      <c r="AR137" s="11">
        <v>301.7466</v>
      </c>
      <c r="AS137" s="1">
        <v>65.5</v>
      </c>
      <c r="AT137" s="13">
        <v>98.395079999999993</v>
      </c>
      <c r="AU137" s="3">
        <f t="shared" si="33"/>
        <v>99.049569999999989</v>
      </c>
    </row>
    <row r="138" spans="2:47" ht="16" x14ac:dyDescent="0.2">
      <c r="B138" s="2">
        <v>200.00986</v>
      </c>
      <c r="C138" s="1">
        <v>66</v>
      </c>
      <c r="D138" s="3">
        <v>99.887219999999999</v>
      </c>
      <c r="E138" s="3">
        <f t="shared" si="26"/>
        <v>100.60052</v>
      </c>
      <c r="H138" s="4">
        <v>225.00889000000001</v>
      </c>
      <c r="I138" s="1">
        <v>66</v>
      </c>
      <c r="J138" s="3">
        <v>95.462199999999996</v>
      </c>
      <c r="K138" s="3">
        <f t="shared" si="27"/>
        <v>99.569779999999994</v>
      </c>
      <c r="L138" s="1">
        <f t="shared" si="23"/>
        <v>9.9427846041055118E-3</v>
      </c>
      <c r="N138" s="4">
        <v>225.01342</v>
      </c>
      <c r="O138" s="1">
        <v>66</v>
      </c>
      <c r="P138" s="3">
        <v>100.71786</v>
      </c>
      <c r="Q138" s="3">
        <f t="shared" si="28"/>
        <v>100.85344000000001</v>
      </c>
      <c r="T138" s="4">
        <v>250.00201000000001</v>
      </c>
      <c r="U138" s="1">
        <v>66</v>
      </c>
      <c r="V138" s="5">
        <v>95.150970000000001</v>
      </c>
      <c r="W138" s="3">
        <f t="shared" si="29"/>
        <v>99.308369999999996</v>
      </c>
      <c r="X138" s="1">
        <f t="shared" si="24"/>
        <v>1.5906526893866142E-2</v>
      </c>
      <c r="Z138" s="4">
        <v>250.01232999999999</v>
      </c>
      <c r="AA138" s="1">
        <v>66</v>
      </c>
      <c r="AB138" s="5">
        <v>100.76479</v>
      </c>
      <c r="AC138" s="3">
        <f t="shared" si="30"/>
        <v>100.68805</v>
      </c>
      <c r="AD138" s="1">
        <f t="shared" si="25"/>
        <v>4.6351065724973559E-3</v>
      </c>
      <c r="AF138" s="11">
        <v>435.57157000000001</v>
      </c>
      <c r="AG138" s="1">
        <v>66</v>
      </c>
      <c r="AH138" s="12">
        <v>19.483049999999999</v>
      </c>
      <c r="AI138" s="3">
        <f t="shared" si="31"/>
        <v>22.490739999999988</v>
      </c>
      <c r="AJ138" s="1">
        <f t="shared" si="34"/>
        <v>0.93707444517923955</v>
      </c>
      <c r="AL138" s="11">
        <v>435.63499999999999</v>
      </c>
      <c r="AM138" s="1">
        <v>66</v>
      </c>
      <c r="AN138" s="12">
        <v>20.370899999999999</v>
      </c>
      <c r="AO138" s="3">
        <f t="shared" si="32"/>
        <v>23.464400000000012</v>
      </c>
      <c r="AP138" s="1">
        <f t="shared" si="22"/>
        <v>0.92547739750980174</v>
      </c>
      <c r="AR138" s="11">
        <v>303.25664</v>
      </c>
      <c r="AS138" s="1">
        <v>66</v>
      </c>
      <c r="AT138" s="12">
        <v>98.379069999999999</v>
      </c>
      <c r="AU138" s="3">
        <f t="shared" si="33"/>
        <v>99.033559999999994</v>
      </c>
    </row>
    <row r="139" spans="2:47" ht="16" x14ac:dyDescent="0.2">
      <c r="B139" s="2">
        <v>200.0112</v>
      </c>
      <c r="C139" s="1">
        <v>66.5</v>
      </c>
      <c r="D139" s="5">
        <v>99.647239999999996</v>
      </c>
      <c r="E139" s="3">
        <f t="shared" si="26"/>
        <v>100.36054</v>
      </c>
      <c r="H139" s="4">
        <v>225.00217000000001</v>
      </c>
      <c r="I139" s="1">
        <v>66.5</v>
      </c>
      <c r="J139" s="5">
        <v>95.439719999999994</v>
      </c>
      <c r="K139" s="3">
        <f t="shared" si="27"/>
        <v>99.547299999999993</v>
      </c>
      <c r="L139" s="1">
        <f t="shared" si="23"/>
        <v>1.0213474181565556E-2</v>
      </c>
      <c r="N139" s="4">
        <v>225.01178999999999</v>
      </c>
      <c r="O139" s="1">
        <v>66.5</v>
      </c>
      <c r="P139" s="5">
        <v>100.80056999999999</v>
      </c>
      <c r="Q139" s="3">
        <f t="shared" si="28"/>
        <v>100.93615</v>
      </c>
      <c r="T139" s="4">
        <v>250.00304</v>
      </c>
      <c r="U139" s="1">
        <v>66.5</v>
      </c>
      <c r="V139" s="3">
        <v>95.162959999999998</v>
      </c>
      <c r="W139" s="3">
        <f t="shared" si="29"/>
        <v>99.320359999999994</v>
      </c>
      <c r="X139" s="1">
        <f t="shared" si="24"/>
        <v>1.5762491083051774E-2</v>
      </c>
      <c r="Z139" s="4">
        <v>250.00966</v>
      </c>
      <c r="AA139" s="1">
        <v>66.5</v>
      </c>
      <c r="AB139" s="3">
        <v>100.82435</v>
      </c>
      <c r="AC139" s="3">
        <f t="shared" si="30"/>
        <v>100.74760999999999</v>
      </c>
      <c r="AD139" s="1">
        <f t="shared" si="25"/>
        <v>3.9227492740045618E-3</v>
      </c>
      <c r="AF139" s="11">
        <v>437.72735</v>
      </c>
      <c r="AG139" s="1">
        <v>66.5</v>
      </c>
      <c r="AH139" s="13">
        <v>17.738289999999999</v>
      </c>
      <c r="AI139" s="3">
        <f t="shared" si="31"/>
        <v>20.745980000000003</v>
      </c>
      <c r="AJ139" s="1">
        <f t="shared" si="34"/>
        <v>0.95816161117814558</v>
      </c>
      <c r="AL139" s="11">
        <v>437.76643000000001</v>
      </c>
      <c r="AM139" s="1">
        <v>66.5</v>
      </c>
      <c r="AN139" s="13">
        <v>18.67417</v>
      </c>
      <c r="AO139" s="3">
        <f t="shared" si="32"/>
        <v>21.76767000000001</v>
      </c>
      <c r="AP139" s="1">
        <f t="shared" ref="AP139:AP202" si="35">($AO$10-AO139)/($AO$10*(1-$M$1))</f>
        <v>0.94597173641828114</v>
      </c>
      <c r="AR139" s="11">
        <v>304.76047999999997</v>
      </c>
      <c r="AS139" s="1">
        <v>66.5</v>
      </c>
      <c r="AT139" s="13">
        <v>98.283209999999997</v>
      </c>
      <c r="AU139" s="3">
        <f t="shared" si="33"/>
        <v>98.937699999999992</v>
      </c>
    </row>
    <row r="140" spans="2:47" ht="16" x14ac:dyDescent="0.2">
      <c r="B140" s="2">
        <v>200.01728</v>
      </c>
      <c r="C140" s="1">
        <v>67</v>
      </c>
      <c r="D140" s="3">
        <v>99.856020000000001</v>
      </c>
      <c r="E140" s="3">
        <f t="shared" si="26"/>
        <v>100.56932</v>
      </c>
      <c r="H140" s="4">
        <v>225.00404</v>
      </c>
      <c r="I140" s="1">
        <v>67</v>
      </c>
      <c r="J140" s="3">
        <v>95.451250000000002</v>
      </c>
      <c r="K140" s="3">
        <f t="shared" si="27"/>
        <v>99.55883</v>
      </c>
      <c r="L140" s="1">
        <f t="shared" si="23"/>
        <v>1.0074637400955407E-2</v>
      </c>
      <c r="N140" s="4">
        <v>225.01349999999999</v>
      </c>
      <c r="O140" s="1">
        <v>67</v>
      </c>
      <c r="P140" s="3">
        <v>100.6978</v>
      </c>
      <c r="Q140" s="3">
        <f t="shared" si="28"/>
        <v>100.83338000000001</v>
      </c>
      <c r="T140" s="4">
        <v>250.00901999999999</v>
      </c>
      <c r="U140" s="1">
        <v>67</v>
      </c>
      <c r="V140" s="5">
        <v>95.158820000000006</v>
      </c>
      <c r="W140" s="3">
        <f t="shared" si="29"/>
        <v>99.316220000000001</v>
      </c>
      <c r="X140" s="1">
        <f t="shared" si="24"/>
        <v>1.5812224882615623E-2</v>
      </c>
      <c r="Z140" s="4">
        <v>250.01115999999999</v>
      </c>
      <c r="AA140" s="1">
        <v>67</v>
      </c>
      <c r="AB140" s="5">
        <v>100.76455</v>
      </c>
      <c r="AC140" s="3">
        <f t="shared" si="30"/>
        <v>100.68781</v>
      </c>
      <c r="AD140" s="1">
        <f t="shared" si="25"/>
        <v>4.6379770518734801E-3</v>
      </c>
      <c r="AF140" s="11">
        <v>439.87191999999999</v>
      </c>
      <c r="AG140" s="1">
        <v>67</v>
      </c>
      <c r="AH140" s="12">
        <v>16.33474</v>
      </c>
      <c r="AI140" s="3">
        <f t="shared" si="31"/>
        <v>19.342429999999993</v>
      </c>
      <c r="AJ140" s="1">
        <f t="shared" si="34"/>
        <v>0.97512491377435651</v>
      </c>
      <c r="AL140" s="11">
        <v>439.91131999999999</v>
      </c>
      <c r="AM140" s="1">
        <v>67</v>
      </c>
      <c r="AN140" s="12">
        <v>17.208839999999999</v>
      </c>
      <c r="AO140" s="3">
        <f t="shared" si="32"/>
        <v>20.302340000000001</v>
      </c>
      <c r="AP140" s="1">
        <f t="shared" si="35"/>
        <v>0.96367105783816653</v>
      </c>
      <c r="AR140" s="11">
        <v>306.26558</v>
      </c>
      <c r="AS140" s="1">
        <v>67</v>
      </c>
      <c r="AT140" s="12">
        <v>98.252330000000001</v>
      </c>
      <c r="AU140" s="3">
        <f t="shared" si="33"/>
        <v>98.906819999999996</v>
      </c>
    </row>
    <row r="141" spans="2:47" ht="16" x14ac:dyDescent="0.2">
      <c r="B141" s="2">
        <v>200.01924</v>
      </c>
      <c r="C141" s="1">
        <v>67.5</v>
      </c>
      <c r="D141" s="5">
        <v>99.862979999999993</v>
      </c>
      <c r="E141" s="3">
        <f t="shared" si="26"/>
        <v>100.57628</v>
      </c>
      <c r="H141" s="4">
        <v>225.00698</v>
      </c>
      <c r="I141" s="1">
        <v>67.5</v>
      </c>
      <c r="J141" s="5">
        <v>95.44923</v>
      </c>
      <c r="K141" s="3">
        <f t="shared" si="27"/>
        <v>99.556809999999999</v>
      </c>
      <c r="L141" s="1">
        <f t="shared" si="23"/>
        <v>1.0098960930602635E-2</v>
      </c>
      <c r="N141" s="4">
        <v>225.01507000000001</v>
      </c>
      <c r="O141" s="1">
        <v>67.5</v>
      </c>
      <c r="P141" s="5">
        <v>100.69656999999999</v>
      </c>
      <c r="Q141" s="3">
        <f t="shared" si="28"/>
        <v>100.83215</v>
      </c>
      <c r="T141" s="4">
        <v>250.00594000000001</v>
      </c>
      <c r="U141" s="1">
        <v>67.5</v>
      </c>
      <c r="V141" s="3">
        <v>95.122489999999999</v>
      </c>
      <c r="W141" s="3">
        <f t="shared" si="29"/>
        <v>99.279889999999995</v>
      </c>
      <c r="X141" s="1">
        <f t="shared" si="24"/>
        <v>1.6248656993281849E-2</v>
      </c>
      <c r="Z141" s="4">
        <v>250.00921</v>
      </c>
      <c r="AA141" s="1">
        <v>67.5</v>
      </c>
      <c r="AB141" s="3">
        <v>100.72796</v>
      </c>
      <c r="AC141" s="3">
        <f t="shared" si="30"/>
        <v>100.65122</v>
      </c>
      <c r="AD141" s="1">
        <f t="shared" si="25"/>
        <v>5.0756055534157615E-3</v>
      </c>
      <c r="AF141" s="11">
        <v>442.11354999999998</v>
      </c>
      <c r="AG141" s="1">
        <v>67.5</v>
      </c>
      <c r="AH141" s="13">
        <v>15.202540000000001</v>
      </c>
      <c r="AI141" s="3">
        <f t="shared" si="31"/>
        <v>18.210229999999996</v>
      </c>
      <c r="AJ141" s="1">
        <f t="shared" si="34"/>
        <v>0.98880868079329398</v>
      </c>
      <c r="AL141" s="11">
        <v>442.15048999999999</v>
      </c>
      <c r="AM141" s="1">
        <v>67.5</v>
      </c>
      <c r="AN141" s="13">
        <v>16.062100000000001</v>
      </c>
      <c r="AO141" s="3">
        <f t="shared" si="32"/>
        <v>19.155600000000007</v>
      </c>
      <c r="AP141" s="1">
        <f t="shared" si="35"/>
        <v>0.97752221753942103</v>
      </c>
      <c r="AR141" s="11">
        <v>307.75765000000001</v>
      </c>
      <c r="AS141" s="1">
        <v>67.5</v>
      </c>
      <c r="AT141" s="13">
        <v>98.147949999999994</v>
      </c>
      <c r="AU141" s="3">
        <f t="shared" si="33"/>
        <v>98.80243999999999</v>
      </c>
    </row>
    <row r="142" spans="2:47" ht="16" x14ac:dyDescent="0.2">
      <c r="B142" s="2">
        <v>200.02457000000001</v>
      </c>
      <c r="C142" s="1">
        <v>68</v>
      </c>
      <c r="D142" s="3">
        <v>99.909360000000007</v>
      </c>
      <c r="E142" s="3">
        <f t="shared" si="26"/>
        <v>100.62266000000001</v>
      </c>
      <c r="H142" s="4">
        <v>225.00390999999999</v>
      </c>
      <c r="I142" s="1">
        <v>68</v>
      </c>
      <c r="J142" s="3">
        <v>95.432649999999995</v>
      </c>
      <c r="K142" s="3">
        <f t="shared" si="27"/>
        <v>99.540229999999994</v>
      </c>
      <c r="L142" s="1">
        <f t="shared" si="23"/>
        <v>1.0298606535330771E-2</v>
      </c>
      <c r="N142" s="4">
        <v>225.01186999999999</v>
      </c>
      <c r="O142" s="1">
        <v>68</v>
      </c>
      <c r="P142" s="3">
        <v>100.69429</v>
      </c>
      <c r="Q142" s="3">
        <f t="shared" si="28"/>
        <v>100.82987</v>
      </c>
      <c r="T142" s="4">
        <v>250.00400999999999</v>
      </c>
      <c r="U142" s="1">
        <v>68</v>
      </c>
      <c r="V142" s="5">
        <v>95.112790000000004</v>
      </c>
      <c r="W142" s="3">
        <f t="shared" si="29"/>
        <v>99.270189999999999</v>
      </c>
      <c r="X142" s="1">
        <f t="shared" si="24"/>
        <v>1.6365183045400196E-2</v>
      </c>
      <c r="Z142" s="4">
        <v>250.00810999999999</v>
      </c>
      <c r="AA142" s="1">
        <v>68</v>
      </c>
      <c r="AB142" s="5">
        <v>100.70447</v>
      </c>
      <c r="AC142" s="3">
        <f t="shared" si="30"/>
        <v>100.62773</v>
      </c>
      <c r="AD142" s="1">
        <f t="shared" si="25"/>
        <v>5.3565537223478491E-3</v>
      </c>
      <c r="AF142" s="11">
        <v>444.48799000000002</v>
      </c>
      <c r="AG142" s="1">
        <v>68</v>
      </c>
      <c r="AH142" s="12">
        <v>14.426259999999999</v>
      </c>
      <c r="AI142" s="3">
        <f t="shared" si="31"/>
        <v>17.433949999999996</v>
      </c>
      <c r="AJ142" s="1">
        <f t="shared" si="34"/>
        <v>0.99819079937787347</v>
      </c>
      <c r="AL142" s="11">
        <v>444.51013</v>
      </c>
      <c r="AM142" s="1">
        <v>68</v>
      </c>
      <c r="AN142" s="12">
        <v>15.26272</v>
      </c>
      <c r="AO142" s="3">
        <f t="shared" si="32"/>
        <v>18.356220000000008</v>
      </c>
      <c r="AP142" s="1">
        <f t="shared" si="35"/>
        <v>0.98717771053869618</v>
      </c>
      <c r="AR142" s="11">
        <v>309.26465000000002</v>
      </c>
      <c r="AS142" s="1">
        <v>68</v>
      </c>
      <c r="AT142" s="12">
        <v>98.088790000000003</v>
      </c>
      <c r="AU142" s="3">
        <f t="shared" si="33"/>
        <v>98.743279999999999</v>
      </c>
    </row>
    <row r="143" spans="2:47" ht="16" x14ac:dyDescent="0.2">
      <c r="B143" s="2">
        <v>200.02350000000001</v>
      </c>
      <c r="C143" s="1">
        <v>68.5</v>
      </c>
      <c r="D143" s="5">
        <v>99.924999999999997</v>
      </c>
      <c r="E143" s="3">
        <f t="shared" si="26"/>
        <v>100.6383</v>
      </c>
      <c r="H143" s="4">
        <v>225.00509</v>
      </c>
      <c r="I143" s="1">
        <v>68.5</v>
      </c>
      <c r="J143" s="5">
        <v>95.417919999999995</v>
      </c>
      <c r="K143" s="3">
        <f t="shared" si="27"/>
        <v>99.525499999999994</v>
      </c>
      <c r="L143" s="1">
        <f t="shared" si="23"/>
        <v>1.0475975640134427E-2</v>
      </c>
      <c r="N143" s="4">
        <v>225.01088999999999</v>
      </c>
      <c r="O143" s="1">
        <v>68.5</v>
      </c>
      <c r="P143" s="5">
        <v>100.63583</v>
      </c>
      <c r="Q143" s="3">
        <f t="shared" si="28"/>
        <v>100.77141</v>
      </c>
      <c r="T143" s="4">
        <v>250.00501</v>
      </c>
      <c r="U143" s="1">
        <v>68.5</v>
      </c>
      <c r="V143" s="3">
        <v>95.100669999999994</v>
      </c>
      <c r="W143" s="3">
        <f t="shared" si="29"/>
        <v>99.258069999999989</v>
      </c>
      <c r="X143" s="1">
        <f t="shared" si="24"/>
        <v>1.6510780545573006E-2</v>
      </c>
      <c r="Z143" s="4">
        <v>250.00890999999999</v>
      </c>
      <c r="AA143" s="1">
        <v>68.5</v>
      </c>
      <c r="AB143" s="3">
        <v>100.67357</v>
      </c>
      <c r="AC143" s="3">
        <f t="shared" si="30"/>
        <v>100.59683</v>
      </c>
      <c r="AD143" s="1">
        <f t="shared" si="25"/>
        <v>5.7261279420159602E-3</v>
      </c>
      <c r="AF143" s="11">
        <v>446.97791000000001</v>
      </c>
      <c r="AG143" s="1">
        <v>68.5</v>
      </c>
      <c r="AH143" s="13">
        <v>13.79796</v>
      </c>
      <c r="AI143" s="3">
        <f t="shared" si="31"/>
        <v>16.80565</v>
      </c>
      <c r="AJ143" s="1">
        <f t="shared" si="34"/>
        <v>1.0057844319675207</v>
      </c>
      <c r="AL143" s="11">
        <v>446.97888999999998</v>
      </c>
      <c r="AM143" s="1">
        <v>68.5</v>
      </c>
      <c r="AN143" s="13">
        <v>14.64147</v>
      </c>
      <c r="AO143" s="3">
        <f t="shared" si="32"/>
        <v>17.734970000000004</v>
      </c>
      <c r="AP143" s="1">
        <f t="shared" si="35"/>
        <v>0.99468161985066261</v>
      </c>
      <c r="AR143" s="11">
        <v>310.76929999999999</v>
      </c>
      <c r="AS143" s="1">
        <v>68.5</v>
      </c>
      <c r="AT143" s="13">
        <v>97.994979999999998</v>
      </c>
      <c r="AU143" s="3">
        <f t="shared" si="33"/>
        <v>98.649469999999994</v>
      </c>
    </row>
    <row r="144" spans="2:47" ht="16" x14ac:dyDescent="0.2">
      <c r="B144" s="2">
        <v>200.01678000000001</v>
      </c>
      <c r="C144" s="1">
        <v>69</v>
      </c>
      <c r="D144" s="3">
        <v>99.71499</v>
      </c>
      <c r="E144" s="3">
        <f t="shared" si="26"/>
        <v>100.42829</v>
      </c>
      <c r="H144" s="4">
        <v>225.00684000000001</v>
      </c>
      <c r="I144" s="1">
        <v>69</v>
      </c>
      <c r="J144" s="3">
        <v>95.399190000000004</v>
      </c>
      <c r="K144" s="3">
        <f t="shared" si="27"/>
        <v>99.506770000000003</v>
      </c>
      <c r="L144" s="1">
        <f t="shared" si="23"/>
        <v>1.0701510150179968E-2</v>
      </c>
      <c r="N144" s="4">
        <v>225.01461</v>
      </c>
      <c r="O144" s="1">
        <v>69</v>
      </c>
      <c r="P144" s="3">
        <v>100.70665</v>
      </c>
      <c r="Q144" s="3">
        <f t="shared" si="28"/>
        <v>100.84223</v>
      </c>
      <c r="T144" s="4">
        <v>250.00596999999999</v>
      </c>
      <c r="U144" s="1">
        <v>69</v>
      </c>
      <c r="V144" s="5">
        <v>95.098280000000003</v>
      </c>
      <c r="W144" s="3">
        <f t="shared" si="29"/>
        <v>99.255679999999998</v>
      </c>
      <c r="X144" s="1">
        <f t="shared" si="24"/>
        <v>1.6539491603775269E-2</v>
      </c>
      <c r="Z144" s="4">
        <v>250.01105999999999</v>
      </c>
      <c r="AA144" s="1">
        <v>69</v>
      </c>
      <c r="AB144" s="5">
        <v>100.80641</v>
      </c>
      <c r="AC144" s="3">
        <f t="shared" si="30"/>
        <v>100.72967</v>
      </c>
      <c r="AD144" s="1">
        <f t="shared" si="25"/>
        <v>4.137317607365203E-3</v>
      </c>
      <c r="AF144" s="11">
        <v>449.55034000000001</v>
      </c>
      <c r="AG144" s="1">
        <v>69</v>
      </c>
      <c r="AH144" s="12">
        <v>13.35857</v>
      </c>
      <c r="AI144" s="3">
        <f t="shared" si="31"/>
        <v>16.366259999999997</v>
      </c>
      <c r="AJ144" s="1">
        <f t="shared" si="34"/>
        <v>1.0110948986610826</v>
      </c>
      <c r="AL144" s="11">
        <v>449.53778999999997</v>
      </c>
      <c r="AM144" s="1">
        <v>69</v>
      </c>
      <c r="AN144" s="12">
        <v>14.16891</v>
      </c>
      <c r="AO144" s="3">
        <f t="shared" si="32"/>
        <v>17.262410000000003</v>
      </c>
      <c r="AP144" s="1">
        <f t="shared" si="35"/>
        <v>1.0003895432059349</v>
      </c>
      <c r="AR144" s="11">
        <v>312.27024</v>
      </c>
      <c r="AS144" s="1">
        <v>69</v>
      </c>
      <c r="AT144" s="12">
        <v>97.892060000000001</v>
      </c>
      <c r="AU144" s="3">
        <f t="shared" si="33"/>
        <v>98.546549999999996</v>
      </c>
    </row>
    <row r="145" spans="2:47" ht="16" x14ac:dyDescent="0.2">
      <c r="B145" s="2">
        <v>200.01855</v>
      </c>
      <c r="C145" s="1">
        <v>69.5</v>
      </c>
      <c r="D145" s="5">
        <v>99.894729999999996</v>
      </c>
      <c r="E145" s="3">
        <f t="shared" si="26"/>
        <v>100.60803</v>
      </c>
      <c r="H145" s="4">
        <v>225.00402</v>
      </c>
      <c r="I145" s="1">
        <v>69.5</v>
      </c>
      <c r="J145" s="5">
        <v>95.420150000000007</v>
      </c>
      <c r="K145" s="3">
        <f t="shared" si="27"/>
        <v>99.527730000000005</v>
      </c>
      <c r="L145" s="1">
        <f t="shared" si="23"/>
        <v>1.0449123426711875E-2</v>
      </c>
      <c r="N145" s="4">
        <v>225.01589999999999</v>
      </c>
      <c r="O145" s="1">
        <v>69.5</v>
      </c>
      <c r="P145" s="5">
        <v>100.68622999999999</v>
      </c>
      <c r="Q145" s="3">
        <f t="shared" si="28"/>
        <v>100.82181</v>
      </c>
      <c r="T145" s="4">
        <v>250.00395</v>
      </c>
      <c r="U145" s="1">
        <v>69.5</v>
      </c>
      <c r="V145" s="3">
        <v>95.056309999999996</v>
      </c>
      <c r="W145" s="3">
        <f t="shared" si="29"/>
        <v>99.213709999999992</v>
      </c>
      <c r="X145" s="1">
        <f t="shared" si="24"/>
        <v>1.7043677006601064E-2</v>
      </c>
      <c r="Z145" s="4">
        <v>250.01251999999999</v>
      </c>
      <c r="AA145" s="1">
        <v>69.5</v>
      </c>
      <c r="AB145" s="3">
        <v>100.71606</v>
      </c>
      <c r="AC145" s="3">
        <f t="shared" si="30"/>
        <v>100.63932</v>
      </c>
      <c r="AD145" s="1">
        <f t="shared" si="25"/>
        <v>5.2179334891455063E-3</v>
      </c>
      <c r="AF145" s="11">
        <v>452.16780999999997</v>
      </c>
      <c r="AG145" s="1">
        <v>69.5</v>
      </c>
      <c r="AH145" s="13">
        <v>12.9476</v>
      </c>
      <c r="AI145" s="3">
        <f t="shared" si="31"/>
        <v>15.955289999999991</v>
      </c>
      <c r="AJ145" s="1">
        <f t="shared" si="34"/>
        <v>1.0160618812893929</v>
      </c>
      <c r="AL145" s="11">
        <v>452.13718999999998</v>
      </c>
      <c r="AM145" s="1">
        <v>69.5</v>
      </c>
      <c r="AN145" s="13">
        <v>13.76436</v>
      </c>
      <c r="AO145" s="3">
        <f t="shared" si="32"/>
        <v>16.857860000000002</v>
      </c>
      <c r="AP145" s="1">
        <f t="shared" si="35"/>
        <v>1.0052759923200694</v>
      </c>
      <c r="AR145" s="11">
        <v>313.78057999999999</v>
      </c>
      <c r="AS145" s="1">
        <v>69.5</v>
      </c>
      <c r="AT145" s="13">
        <v>97.785269999999997</v>
      </c>
      <c r="AU145" s="3">
        <f t="shared" si="33"/>
        <v>98.439759999999993</v>
      </c>
    </row>
    <row r="146" spans="2:47" ht="16" x14ac:dyDescent="0.2">
      <c r="B146" s="2">
        <v>200.01882000000001</v>
      </c>
      <c r="C146" s="1">
        <v>70</v>
      </c>
      <c r="D146" s="3">
        <v>99.934960000000004</v>
      </c>
      <c r="E146" s="3">
        <f t="shared" si="26"/>
        <v>100.64826000000001</v>
      </c>
      <c r="H146" s="4">
        <v>225.00700000000001</v>
      </c>
      <c r="I146" s="1">
        <v>70</v>
      </c>
      <c r="J146" s="3">
        <v>95.388040000000004</v>
      </c>
      <c r="K146" s="3">
        <f t="shared" si="27"/>
        <v>99.495620000000002</v>
      </c>
      <c r="L146" s="1">
        <f t="shared" si="23"/>
        <v>1.0835771217292043E-2</v>
      </c>
      <c r="N146" s="4">
        <v>225.01593</v>
      </c>
      <c r="O146" s="1">
        <v>70</v>
      </c>
      <c r="P146" s="3">
        <v>100.67462999999999</v>
      </c>
      <c r="Q146" s="3">
        <f t="shared" si="28"/>
        <v>100.81021</v>
      </c>
      <c r="T146" s="4">
        <v>250.00398000000001</v>
      </c>
      <c r="U146" s="1">
        <v>70</v>
      </c>
      <c r="V146" s="5">
        <v>95.028499999999994</v>
      </c>
      <c r="W146" s="3">
        <f t="shared" si="29"/>
        <v>99.18589999999999</v>
      </c>
      <c r="X146" s="1">
        <f t="shared" si="24"/>
        <v>1.7377758399324063E-2</v>
      </c>
      <c r="Z146" s="4">
        <v>250.01406</v>
      </c>
      <c r="AA146" s="1">
        <v>70</v>
      </c>
      <c r="AB146" s="5">
        <v>100.70717</v>
      </c>
      <c r="AC146" s="3">
        <f t="shared" si="30"/>
        <v>100.63043</v>
      </c>
      <c r="AD146" s="1">
        <f t="shared" si="25"/>
        <v>5.3242608293670906E-3</v>
      </c>
      <c r="AF146" s="11">
        <v>454.79279000000002</v>
      </c>
      <c r="AG146" s="1">
        <v>70</v>
      </c>
      <c r="AH146" s="12">
        <v>12.764060000000001</v>
      </c>
      <c r="AI146" s="3">
        <f t="shared" si="31"/>
        <v>15.771749999999997</v>
      </c>
      <c r="AJ146" s="1">
        <f t="shared" si="34"/>
        <v>1.0182801453758226</v>
      </c>
      <c r="AL146" s="11">
        <v>454.76204000000001</v>
      </c>
      <c r="AM146" s="1">
        <v>70</v>
      </c>
      <c r="AN146" s="12">
        <v>13.530239999999999</v>
      </c>
      <c r="AO146" s="3">
        <f t="shared" si="32"/>
        <v>16.623739999999998</v>
      </c>
      <c r="AP146" s="1">
        <f t="shared" si="35"/>
        <v>1.0081038639468181</v>
      </c>
      <c r="AR146" s="11">
        <v>315.28255999999999</v>
      </c>
      <c r="AS146" s="1">
        <v>70</v>
      </c>
      <c r="AT146" s="12">
        <v>97.679810000000003</v>
      </c>
      <c r="AU146" s="3">
        <f t="shared" si="33"/>
        <v>98.334299999999999</v>
      </c>
    </row>
    <row r="147" spans="2:47" ht="16" x14ac:dyDescent="0.2">
      <c r="B147" s="2">
        <v>200.01695000000001</v>
      </c>
      <c r="C147" s="1">
        <v>70.5</v>
      </c>
      <c r="D147" s="5">
        <v>99.942189999999997</v>
      </c>
      <c r="E147" s="3">
        <f t="shared" si="26"/>
        <v>100.65549</v>
      </c>
      <c r="H147" s="4">
        <v>225.00702999999999</v>
      </c>
      <c r="I147" s="1">
        <v>70.5</v>
      </c>
      <c r="J147" s="5">
        <v>95.397130000000004</v>
      </c>
      <c r="K147" s="3">
        <f t="shared" si="27"/>
        <v>99.504710000000003</v>
      </c>
      <c r="L147" s="1">
        <f t="shared" si="23"/>
        <v>1.0726315333879598E-2</v>
      </c>
      <c r="N147" s="4">
        <v>225.01573999999999</v>
      </c>
      <c r="O147" s="1">
        <v>70.5</v>
      </c>
      <c r="P147" s="5">
        <v>100.61924999999999</v>
      </c>
      <c r="Q147" s="3">
        <f t="shared" si="28"/>
        <v>100.75483</v>
      </c>
      <c r="T147" s="4">
        <v>250.00198</v>
      </c>
      <c r="U147" s="1">
        <v>70.5</v>
      </c>
      <c r="V147" s="3">
        <v>95.028599999999997</v>
      </c>
      <c r="W147" s="3">
        <f t="shared" si="29"/>
        <v>99.185999999999993</v>
      </c>
      <c r="X147" s="1">
        <f t="shared" si="24"/>
        <v>1.7376557099817648E-2</v>
      </c>
      <c r="Z147" s="4">
        <v>250.01298</v>
      </c>
      <c r="AA147" s="1">
        <v>70.5</v>
      </c>
      <c r="AB147" s="3">
        <v>100.79667000000001</v>
      </c>
      <c r="AC147" s="3">
        <f t="shared" si="30"/>
        <v>100.71993000000001</v>
      </c>
      <c r="AD147" s="1">
        <f t="shared" si="25"/>
        <v>4.2538112287103412E-3</v>
      </c>
      <c r="AF147" s="11">
        <v>457.41840000000002</v>
      </c>
      <c r="AG147" s="1">
        <v>70.5</v>
      </c>
      <c r="AH147" s="13">
        <v>12.534599999999999</v>
      </c>
      <c r="AI147" s="3">
        <f t="shared" si="31"/>
        <v>15.542289999999994</v>
      </c>
      <c r="AJ147" s="1">
        <f t="shared" si="34"/>
        <v>1.0210533984937924</v>
      </c>
      <c r="AL147" s="11">
        <v>457.39692000000002</v>
      </c>
      <c r="AM147" s="1">
        <v>70.5</v>
      </c>
      <c r="AN147" s="13">
        <v>13.34126</v>
      </c>
      <c r="AO147" s="3">
        <f t="shared" si="32"/>
        <v>16.434760000000011</v>
      </c>
      <c r="AP147" s="1">
        <f t="shared" si="35"/>
        <v>1.0103865018249272</v>
      </c>
      <c r="AR147" s="11">
        <v>316.78145000000001</v>
      </c>
      <c r="AS147" s="1">
        <v>70.5</v>
      </c>
      <c r="AT147" s="13">
        <v>97.568399999999997</v>
      </c>
      <c r="AU147" s="3">
        <f t="shared" si="33"/>
        <v>98.222889999999992</v>
      </c>
    </row>
    <row r="148" spans="2:47" ht="16" x14ac:dyDescent="0.2">
      <c r="B148" s="2">
        <v>200.01497000000001</v>
      </c>
      <c r="C148" s="1">
        <v>71</v>
      </c>
      <c r="D148" s="3">
        <v>99.87079</v>
      </c>
      <c r="E148" s="3">
        <f t="shared" si="26"/>
        <v>100.58409</v>
      </c>
      <c r="H148" s="4">
        <v>225.00785999999999</v>
      </c>
      <c r="I148" s="1">
        <v>71</v>
      </c>
      <c r="J148" s="3">
        <v>95.344269999999995</v>
      </c>
      <c r="K148" s="3">
        <f t="shared" si="27"/>
        <v>99.451849999999993</v>
      </c>
      <c r="L148" s="1">
        <f t="shared" si="23"/>
        <v>1.1362821164152707E-2</v>
      </c>
      <c r="N148" s="4">
        <v>225.01240999999999</v>
      </c>
      <c r="O148" s="1">
        <v>71</v>
      </c>
      <c r="P148" s="3">
        <v>100.68004000000001</v>
      </c>
      <c r="Q148" s="3">
        <f t="shared" si="28"/>
        <v>100.81562000000001</v>
      </c>
      <c r="T148" s="4">
        <v>250.00792999999999</v>
      </c>
      <c r="U148" s="1">
        <v>71</v>
      </c>
      <c r="V148" s="5">
        <v>95.014309999999995</v>
      </c>
      <c r="W148" s="3">
        <f t="shared" si="29"/>
        <v>99.17170999999999</v>
      </c>
      <c r="X148" s="1">
        <f t="shared" si="24"/>
        <v>1.7548222799278711E-2</v>
      </c>
      <c r="Z148" s="4">
        <v>250.01391000000001</v>
      </c>
      <c r="AA148" s="1">
        <v>71</v>
      </c>
      <c r="AB148" s="5">
        <v>100.71347</v>
      </c>
      <c r="AC148" s="3">
        <f t="shared" si="30"/>
        <v>100.63673</v>
      </c>
      <c r="AD148" s="1">
        <f t="shared" si="25"/>
        <v>5.2489107457454913E-3</v>
      </c>
      <c r="AF148" s="11">
        <v>460.02915999999999</v>
      </c>
      <c r="AG148" s="1">
        <v>71</v>
      </c>
      <c r="AH148" s="12">
        <v>12.40166</v>
      </c>
      <c r="AI148" s="3">
        <f t="shared" si="31"/>
        <v>15.409349999999989</v>
      </c>
      <c r="AJ148" s="1">
        <f t="shared" si="34"/>
        <v>1.0226601110776978</v>
      </c>
      <c r="AL148" s="11">
        <v>460.01974999999999</v>
      </c>
      <c r="AM148" s="1">
        <v>71</v>
      </c>
      <c r="AN148" s="12">
        <v>13.179460000000001</v>
      </c>
      <c r="AO148" s="3">
        <f t="shared" si="32"/>
        <v>16.272960000000012</v>
      </c>
      <c r="AP148" s="1">
        <f t="shared" si="35"/>
        <v>1.0123408398960356</v>
      </c>
      <c r="AR148" s="11">
        <v>318.28129999999999</v>
      </c>
      <c r="AS148" s="1">
        <v>71</v>
      </c>
      <c r="AT148" s="12">
        <v>97.448179999999994</v>
      </c>
      <c r="AU148" s="3">
        <f t="shared" si="33"/>
        <v>98.102669999999989</v>
      </c>
    </row>
    <row r="149" spans="2:47" ht="16" x14ac:dyDescent="0.2">
      <c r="B149" s="2">
        <v>200.01558</v>
      </c>
      <c r="C149" s="1">
        <v>71.5</v>
      </c>
      <c r="D149" s="5">
        <v>99.915409999999994</v>
      </c>
      <c r="E149" s="3">
        <f t="shared" si="26"/>
        <v>100.62871</v>
      </c>
      <c r="H149" s="4">
        <v>225.00900999999999</v>
      </c>
      <c r="I149" s="1">
        <v>71.5</v>
      </c>
      <c r="J149" s="5">
        <v>95.383870000000002</v>
      </c>
      <c r="K149" s="3">
        <f t="shared" si="27"/>
        <v>99.49145</v>
      </c>
      <c r="L149" s="1">
        <f t="shared" ref="L149:L212" si="36">($K$20-K149)/($K$20*(1-$M$1))</f>
        <v>1.0885983652256849E-2</v>
      </c>
      <c r="N149" s="4">
        <v>225.01129</v>
      </c>
      <c r="O149" s="1">
        <v>71.5</v>
      </c>
      <c r="P149" s="5">
        <v>100.5714</v>
      </c>
      <c r="Q149" s="3">
        <f t="shared" si="28"/>
        <v>100.70698</v>
      </c>
      <c r="T149" s="4">
        <v>250.00501</v>
      </c>
      <c r="U149" s="1">
        <v>71.5</v>
      </c>
      <c r="V149" s="3">
        <v>95.018249999999995</v>
      </c>
      <c r="W149" s="3">
        <f t="shared" si="29"/>
        <v>99.17564999999999</v>
      </c>
      <c r="X149" s="1">
        <f t="shared" si="24"/>
        <v>1.7500891598727523E-2</v>
      </c>
      <c r="Z149" s="4">
        <v>250.01931999999999</v>
      </c>
      <c r="AA149" s="1">
        <v>71.5</v>
      </c>
      <c r="AB149" s="3">
        <v>100.77288</v>
      </c>
      <c r="AC149" s="3">
        <f t="shared" si="30"/>
        <v>100.69614</v>
      </c>
      <c r="AD149" s="1">
        <f t="shared" si="25"/>
        <v>4.5383474968626256E-3</v>
      </c>
      <c r="AF149" s="11">
        <v>462.63450999999998</v>
      </c>
      <c r="AG149" s="1">
        <v>71.5</v>
      </c>
      <c r="AH149" s="13">
        <v>12.31915</v>
      </c>
      <c r="AI149" s="3">
        <f t="shared" si="31"/>
        <v>15.326840000000004</v>
      </c>
      <c r="AJ149" s="1">
        <f t="shared" si="34"/>
        <v>1.023657326778751</v>
      </c>
      <c r="AL149" s="11">
        <v>462.62934000000001</v>
      </c>
      <c r="AM149" s="1">
        <v>71.5</v>
      </c>
      <c r="AN149" s="13">
        <v>13.072839999999999</v>
      </c>
      <c r="AO149" s="3">
        <f t="shared" si="32"/>
        <v>16.166340000000005</v>
      </c>
      <c r="AP149" s="1">
        <f t="shared" si="35"/>
        <v>1.0136286737967872</v>
      </c>
      <c r="AR149" s="11">
        <v>319.79043000000001</v>
      </c>
      <c r="AS149" s="1">
        <v>71.5</v>
      </c>
      <c r="AT149" s="13">
        <v>97.30762</v>
      </c>
      <c r="AU149" s="3">
        <f t="shared" si="33"/>
        <v>97.962109999999996</v>
      </c>
    </row>
    <row r="150" spans="2:47" ht="16" x14ac:dyDescent="0.2">
      <c r="B150" s="2">
        <v>200.01635999999999</v>
      </c>
      <c r="C150" s="1">
        <v>72</v>
      </c>
      <c r="D150" s="3">
        <v>99.882890000000003</v>
      </c>
      <c r="E150" s="3">
        <f t="shared" si="26"/>
        <v>100.59619000000001</v>
      </c>
      <c r="H150" s="4">
        <v>225.00207</v>
      </c>
      <c r="I150" s="1">
        <v>72</v>
      </c>
      <c r="J150" s="3">
        <v>95.329740000000001</v>
      </c>
      <c r="K150" s="3">
        <f t="shared" si="27"/>
        <v>99.43732</v>
      </c>
      <c r="L150" s="1">
        <f t="shared" si="36"/>
        <v>1.1537781998694183E-2</v>
      </c>
      <c r="N150" s="4">
        <v>225.01073</v>
      </c>
      <c r="O150" s="1">
        <v>72</v>
      </c>
      <c r="P150" s="3">
        <v>100.73027999999999</v>
      </c>
      <c r="Q150" s="3">
        <f t="shared" si="28"/>
        <v>100.86586</v>
      </c>
      <c r="T150" s="4">
        <v>250.00597999999999</v>
      </c>
      <c r="U150" s="1">
        <v>72</v>
      </c>
      <c r="V150" s="5">
        <v>94.998440000000002</v>
      </c>
      <c r="W150" s="3">
        <f t="shared" si="29"/>
        <v>99.155839999999998</v>
      </c>
      <c r="X150" s="1">
        <f t="shared" ref="X150:X213" si="37">($W$21-W150)/($W$21*(1-$M$1))</f>
        <v>1.7738869030940383E-2</v>
      </c>
      <c r="Z150" s="4">
        <v>250.02085</v>
      </c>
      <c r="AA150" s="1">
        <v>72</v>
      </c>
      <c r="AB150" s="5">
        <v>100.70771999999999</v>
      </c>
      <c r="AC150" s="3">
        <f t="shared" si="30"/>
        <v>100.63097999999999</v>
      </c>
      <c r="AD150" s="1">
        <f t="shared" si="25"/>
        <v>5.3176826474637352E-3</v>
      </c>
      <c r="AF150" s="11">
        <v>465.22512</v>
      </c>
      <c r="AG150" s="1">
        <v>72</v>
      </c>
      <c r="AH150" s="12">
        <v>12.207369999999999</v>
      </c>
      <c r="AI150" s="3">
        <f t="shared" si="31"/>
        <v>15.215059999999994</v>
      </c>
      <c r="AJ150" s="1">
        <f t="shared" si="34"/>
        <v>1.0250082996434189</v>
      </c>
      <c r="AL150" s="11">
        <v>465.21888999999999</v>
      </c>
      <c r="AM150" s="1">
        <v>72</v>
      </c>
      <c r="AN150" s="12">
        <v>12.968830000000001</v>
      </c>
      <c r="AO150" s="3">
        <f t="shared" si="32"/>
        <v>16.062330000000003</v>
      </c>
      <c r="AP150" s="1">
        <f t="shared" si="35"/>
        <v>1.0148849822193831</v>
      </c>
      <c r="AR150" s="11">
        <v>321.28635000000003</v>
      </c>
      <c r="AS150" s="1">
        <v>72</v>
      </c>
      <c r="AT150" s="12">
        <v>97.173850000000002</v>
      </c>
      <c r="AU150" s="3">
        <f t="shared" si="33"/>
        <v>97.828339999999997</v>
      </c>
    </row>
    <row r="151" spans="2:47" ht="16" x14ac:dyDescent="0.2">
      <c r="B151" s="2">
        <v>200.01586</v>
      </c>
      <c r="C151" s="1">
        <v>72.5</v>
      </c>
      <c r="D151" s="5">
        <v>99.909139999999994</v>
      </c>
      <c r="E151" s="3">
        <f t="shared" si="26"/>
        <v>100.62244</v>
      </c>
      <c r="H151" s="4">
        <v>225.00502</v>
      </c>
      <c r="I151" s="1">
        <v>72.5</v>
      </c>
      <c r="J151" s="5">
        <v>95.335170000000005</v>
      </c>
      <c r="K151" s="3">
        <f t="shared" si="27"/>
        <v>99.442750000000004</v>
      </c>
      <c r="L151" s="1">
        <f t="shared" si="36"/>
        <v>1.1472397461078122E-2</v>
      </c>
      <c r="N151" s="4">
        <v>225.01166000000001</v>
      </c>
      <c r="O151" s="1">
        <v>72.5</v>
      </c>
      <c r="P151" s="5">
        <v>100.77829</v>
      </c>
      <c r="Q151" s="3">
        <f t="shared" si="28"/>
        <v>100.91387</v>
      </c>
      <c r="T151" s="4">
        <v>250.00398999999999</v>
      </c>
      <c r="U151" s="1">
        <v>72.5</v>
      </c>
      <c r="V151" s="3">
        <v>94.968090000000004</v>
      </c>
      <c r="W151" s="3">
        <f t="shared" si="29"/>
        <v>99.125489999999999</v>
      </c>
      <c r="X151" s="1">
        <f t="shared" si="37"/>
        <v>1.8103463431125271E-2</v>
      </c>
      <c r="Z151" s="4">
        <v>250.02160000000001</v>
      </c>
      <c r="AA151" s="1">
        <v>72.5</v>
      </c>
      <c r="AB151" s="3">
        <v>100.68642</v>
      </c>
      <c r="AC151" s="3">
        <f t="shared" si="30"/>
        <v>100.60968</v>
      </c>
      <c r="AD151" s="1">
        <f t="shared" si="25"/>
        <v>5.572437692089263E-3</v>
      </c>
      <c r="AF151" s="11">
        <v>467.78766999999999</v>
      </c>
      <c r="AG151" s="1">
        <v>72.5</v>
      </c>
      <c r="AH151" s="13">
        <v>12.1227</v>
      </c>
      <c r="AI151" s="3">
        <f t="shared" si="31"/>
        <v>15.130389999999991</v>
      </c>
      <c r="AJ151" s="1">
        <f t="shared" si="34"/>
        <v>1.0260316211003111</v>
      </c>
      <c r="AL151" s="11">
        <v>467.78957000000003</v>
      </c>
      <c r="AM151" s="1">
        <v>72.5</v>
      </c>
      <c r="AN151" s="13">
        <v>12.87149</v>
      </c>
      <c r="AO151" s="3">
        <f t="shared" si="32"/>
        <v>15.96499</v>
      </c>
      <c r="AP151" s="1">
        <f t="shared" si="35"/>
        <v>1.0160607255311365</v>
      </c>
      <c r="AR151" s="11">
        <v>322.78946999999999</v>
      </c>
      <c r="AS151" s="1">
        <v>72.5</v>
      </c>
      <c r="AT151" s="13">
        <v>97.054310000000001</v>
      </c>
      <c r="AU151" s="3">
        <f t="shared" si="33"/>
        <v>97.708799999999997</v>
      </c>
    </row>
    <row r="152" spans="2:47" ht="16" x14ac:dyDescent="0.2">
      <c r="B152" s="2">
        <v>200.01263</v>
      </c>
      <c r="C152" s="1">
        <v>73</v>
      </c>
      <c r="D152" s="3">
        <v>99.910730000000001</v>
      </c>
      <c r="E152" s="3">
        <f t="shared" si="26"/>
        <v>100.62403</v>
      </c>
      <c r="H152" s="4">
        <v>225.00509</v>
      </c>
      <c r="I152" s="1">
        <v>73</v>
      </c>
      <c r="J152" s="3">
        <v>95.354969999999994</v>
      </c>
      <c r="K152" s="3">
        <f t="shared" si="27"/>
        <v>99.462549999999993</v>
      </c>
      <c r="L152" s="1">
        <f t="shared" si="36"/>
        <v>1.1233978705130366E-2</v>
      </c>
      <c r="N152" s="4">
        <v>225.01114000000001</v>
      </c>
      <c r="O152" s="1">
        <v>73</v>
      </c>
      <c r="P152" s="3">
        <v>100.71665</v>
      </c>
      <c r="Q152" s="3">
        <f t="shared" si="28"/>
        <v>100.85223000000001</v>
      </c>
      <c r="T152" s="4">
        <v>250.00698</v>
      </c>
      <c r="U152" s="1">
        <v>73</v>
      </c>
      <c r="V152" s="5">
        <v>94.98039</v>
      </c>
      <c r="W152" s="3">
        <f t="shared" si="29"/>
        <v>99.137789999999995</v>
      </c>
      <c r="X152" s="1">
        <f t="shared" si="37"/>
        <v>1.7955703591841152E-2</v>
      </c>
      <c r="Z152" s="4">
        <v>250.01945000000001</v>
      </c>
      <c r="AA152" s="1">
        <v>73</v>
      </c>
      <c r="AB152" s="5">
        <v>100.63453</v>
      </c>
      <c r="AC152" s="3">
        <f t="shared" si="30"/>
        <v>100.55779</v>
      </c>
      <c r="AD152" s="1">
        <f t="shared" si="25"/>
        <v>6.1930592538555016E-3</v>
      </c>
      <c r="AF152" s="11">
        <v>470.33393999999998</v>
      </c>
      <c r="AG152" s="1">
        <v>73</v>
      </c>
      <c r="AH152" s="12">
        <v>12.086790000000001</v>
      </c>
      <c r="AI152" s="3">
        <f t="shared" si="31"/>
        <v>15.094480000000004</v>
      </c>
      <c r="AJ152" s="1">
        <f t="shared" si="34"/>
        <v>1.0264656292911343</v>
      </c>
      <c r="AL152" s="11">
        <v>470.33699999999999</v>
      </c>
      <c r="AM152" s="1">
        <v>73</v>
      </c>
      <c r="AN152" s="12">
        <v>12.791079999999999</v>
      </c>
      <c r="AO152" s="3">
        <f t="shared" si="32"/>
        <v>15.88458</v>
      </c>
      <c r="AP152" s="1">
        <f t="shared" si="35"/>
        <v>1.0170319759903319</v>
      </c>
      <c r="AR152" s="11">
        <v>324.29725999999999</v>
      </c>
      <c r="AS152" s="1">
        <v>73</v>
      </c>
      <c r="AT152" s="12">
        <v>96.899709999999999</v>
      </c>
      <c r="AU152" s="3">
        <f t="shared" si="33"/>
        <v>97.554199999999994</v>
      </c>
    </row>
    <row r="153" spans="2:47" ht="16" x14ac:dyDescent="0.2">
      <c r="B153" s="2">
        <v>200.01439999999999</v>
      </c>
      <c r="C153" s="1">
        <v>73.5</v>
      </c>
      <c r="D153" s="5">
        <v>100.05307999999999</v>
      </c>
      <c r="E153" s="3">
        <f t="shared" si="26"/>
        <v>100.76638</v>
      </c>
      <c r="H153" s="4">
        <v>225.00800000000001</v>
      </c>
      <c r="I153" s="1">
        <v>73.5</v>
      </c>
      <c r="J153" s="5">
        <v>95.320530000000005</v>
      </c>
      <c r="K153" s="3">
        <f t="shared" si="27"/>
        <v>99.428110000000004</v>
      </c>
      <c r="L153" s="1">
        <f t="shared" si="36"/>
        <v>1.1648682844263833E-2</v>
      </c>
      <c r="N153" s="4">
        <v>225.01281</v>
      </c>
      <c r="O153" s="1">
        <v>73.5</v>
      </c>
      <c r="P153" s="5">
        <v>100.75171</v>
      </c>
      <c r="Q153" s="3">
        <f t="shared" si="28"/>
        <v>100.88729000000001</v>
      </c>
      <c r="T153" s="4">
        <v>250.00695999999999</v>
      </c>
      <c r="U153" s="1">
        <v>73.5</v>
      </c>
      <c r="V153" s="3">
        <v>94.974670000000003</v>
      </c>
      <c r="W153" s="3">
        <f t="shared" si="29"/>
        <v>99.132069999999999</v>
      </c>
      <c r="X153" s="1">
        <f t="shared" si="37"/>
        <v>1.802441792360578E-2</v>
      </c>
      <c r="Z153" s="4">
        <v>250.01549</v>
      </c>
      <c r="AA153" s="1">
        <v>73.5</v>
      </c>
      <c r="AB153" s="3">
        <v>100.73520000000001</v>
      </c>
      <c r="AC153" s="3">
        <f t="shared" si="30"/>
        <v>100.65846000000001</v>
      </c>
      <c r="AD153" s="1">
        <f t="shared" si="25"/>
        <v>4.9890127589044143E-3</v>
      </c>
      <c r="AF153" s="11">
        <v>472.87527999999998</v>
      </c>
      <c r="AG153" s="1">
        <v>73.5</v>
      </c>
      <c r="AH153" s="13">
        <v>12.047739999999999</v>
      </c>
      <c r="AI153" s="3">
        <f t="shared" si="31"/>
        <v>15.055430000000001</v>
      </c>
      <c r="AJ153" s="1">
        <f t="shared" si="34"/>
        <v>1.0269375875159086</v>
      </c>
      <c r="AL153" s="11">
        <v>472.87236999999999</v>
      </c>
      <c r="AM153" s="1">
        <v>73.5</v>
      </c>
      <c r="AN153" s="13">
        <v>12.77055</v>
      </c>
      <c r="AO153" s="3">
        <f t="shared" si="32"/>
        <v>15.864050000000006</v>
      </c>
      <c r="AP153" s="1">
        <f t="shared" si="35"/>
        <v>1.0172799522610356</v>
      </c>
      <c r="AR153" s="11">
        <v>325.79340999999999</v>
      </c>
      <c r="AS153" s="1">
        <v>73.5</v>
      </c>
      <c r="AT153" s="13">
        <v>96.728859999999997</v>
      </c>
      <c r="AU153" s="3">
        <f t="shared" si="33"/>
        <v>97.383349999999993</v>
      </c>
    </row>
    <row r="154" spans="2:47" ht="16" x14ac:dyDescent="0.2">
      <c r="B154" s="2">
        <v>200.01691</v>
      </c>
      <c r="C154" s="1">
        <v>74</v>
      </c>
      <c r="D154" s="3">
        <v>99.957970000000003</v>
      </c>
      <c r="E154" s="3">
        <f t="shared" si="26"/>
        <v>100.67127000000001</v>
      </c>
      <c r="H154" s="4">
        <v>225.00703999999999</v>
      </c>
      <c r="I154" s="1">
        <v>74</v>
      </c>
      <c r="J154" s="3">
        <v>95.324969999999993</v>
      </c>
      <c r="K154" s="3">
        <f t="shared" si="27"/>
        <v>99.432549999999992</v>
      </c>
      <c r="L154" s="1">
        <f t="shared" si="36"/>
        <v>1.1595219244445357E-2</v>
      </c>
      <c r="N154" s="4">
        <v>225.01416</v>
      </c>
      <c r="O154" s="1">
        <v>74</v>
      </c>
      <c r="P154" s="3">
        <v>100.64462</v>
      </c>
      <c r="Q154" s="3">
        <f t="shared" si="28"/>
        <v>100.78020000000001</v>
      </c>
      <c r="T154" s="4">
        <v>250.00702000000001</v>
      </c>
      <c r="U154" s="1">
        <v>74</v>
      </c>
      <c r="V154" s="5">
        <v>94.960530000000006</v>
      </c>
      <c r="W154" s="3">
        <f t="shared" si="29"/>
        <v>99.117930000000001</v>
      </c>
      <c r="X154" s="1">
        <f t="shared" si="37"/>
        <v>1.8194281673807218E-2</v>
      </c>
      <c r="Z154" s="4">
        <v>250.01715999999999</v>
      </c>
      <c r="AA154" s="1">
        <v>74</v>
      </c>
      <c r="AB154" s="5">
        <v>100.71919</v>
      </c>
      <c r="AC154" s="3">
        <f t="shared" si="30"/>
        <v>100.64245</v>
      </c>
      <c r="AD154" s="1">
        <f t="shared" si="25"/>
        <v>5.1804976539493695E-3</v>
      </c>
      <c r="AF154" s="11">
        <v>475.39899000000003</v>
      </c>
      <c r="AG154" s="1">
        <v>74</v>
      </c>
      <c r="AH154" s="12">
        <v>12.013260000000001</v>
      </c>
      <c r="AI154" s="3">
        <f t="shared" si="31"/>
        <v>15.020949999999999</v>
      </c>
      <c r="AJ154" s="1">
        <f t="shared" si="34"/>
        <v>1.0273543127294866</v>
      </c>
      <c r="AL154" s="11">
        <v>475.39953000000003</v>
      </c>
      <c r="AM154" s="1">
        <v>74</v>
      </c>
      <c r="AN154" s="12">
        <v>12.720549999999999</v>
      </c>
      <c r="AO154" s="3">
        <f t="shared" si="32"/>
        <v>15.814050000000009</v>
      </c>
      <c r="AP154" s="1">
        <f t="shared" si="35"/>
        <v>1.0178838886241717</v>
      </c>
      <c r="AR154" s="11">
        <v>327.29451999999998</v>
      </c>
      <c r="AS154" s="1">
        <v>74</v>
      </c>
      <c r="AT154" s="12">
        <v>96.579470000000001</v>
      </c>
      <c r="AU154" s="3">
        <f t="shared" si="33"/>
        <v>97.233959999999996</v>
      </c>
    </row>
    <row r="155" spans="2:47" ht="16" x14ac:dyDescent="0.2">
      <c r="B155" s="2">
        <v>200.01733999999999</v>
      </c>
      <c r="C155" s="1">
        <v>74.5</v>
      </c>
      <c r="D155" s="5">
        <v>99.956980000000001</v>
      </c>
      <c r="E155" s="3">
        <f t="shared" si="26"/>
        <v>100.67028000000001</v>
      </c>
      <c r="H155" s="4">
        <v>225.005</v>
      </c>
      <c r="I155" s="1">
        <v>74.5</v>
      </c>
      <c r="J155" s="5">
        <v>95.314549999999997</v>
      </c>
      <c r="K155" s="3">
        <f t="shared" si="27"/>
        <v>99.422129999999996</v>
      </c>
      <c r="L155" s="1">
        <f t="shared" si="36"/>
        <v>1.1720690125100715E-2</v>
      </c>
      <c r="N155" s="4">
        <v>225.01447999999999</v>
      </c>
      <c r="O155" s="1">
        <v>74.5</v>
      </c>
      <c r="P155" s="5">
        <v>100.5947</v>
      </c>
      <c r="Q155" s="3">
        <f t="shared" si="28"/>
        <v>100.73028000000001</v>
      </c>
      <c r="T155" s="4">
        <v>250.00697</v>
      </c>
      <c r="U155" s="1">
        <v>74.5</v>
      </c>
      <c r="V155" s="3">
        <v>94.938450000000003</v>
      </c>
      <c r="W155" s="3">
        <f t="shared" si="29"/>
        <v>99.095849999999999</v>
      </c>
      <c r="X155" s="1">
        <f t="shared" si="37"/>
        <v>1.8459528604814916E-2</v>
      </c>
      <c r="Z155" s="4">
        <v>250.01635999999999</v>
      </c>
      <c r="AA155" s="1">
        <v>74.5</v>
      </c>
      <c r="AB155" s="3">
        <v>100.64676</v>
      </c>
      <c r="AC155" s="3">
        <f t="shared" si="30"/>
        <v>100.57002</v>
      </c>
      <c r="AD155" s="1">
        <f t="shared" si="25"/>
        <v>6.0467844089836078E-3</v>
      </c>
      <c r="AF155" s="11">
        <v>477.91354999999999</v>
      </c>
      <c r="AG155" s="1">
        <v>74.5</v>
      </c>
      <c r="AH155" s="13">
        <v>11.92437</v>
      </c>
      <c r="AI155" s="3">
        <f t="shared" si="31"/>
        <v>14.932059999999993</v>
      </c>
      <c r="AJ155" s="1">
        <f t="shared" si="34"/>
        <v>1.0284286370982496</v>
      </c>
      <c r="AL155" s="11">
        <v>477.91782000000001</v>
      </c>
      <c r="AM155" s="1">
        <v>74.5</v>
      </c>
      <c r="AN155" s="13">
        <v>12.604469999999999</v>
      </c>
      <c r="AO155" s="3">
        <f t="shared" si="32"/>
        <v>15.697969999999998</v>
      </c>
      <c r="AP155" s="1">
        <f t="shared" si="35"/>
        <v>1.0192859872848288</v>
      </c>
      <c r="AR155" s="11">
        <v>328.79930000000002</v>
      </c>
      <c r="AS155" s="1">
        <v>74.5</v>
      </c>
      <c r="AT155" s="13">
        <v>96.414540000000002</v>
      </c>
      <c r="AU155" s="3">
        <f t="shared" si="33"/>
        <v>97.069029999999998</v>
      </c>
    </row>
    <row r="156" spans="2:47" ht="16" x14ac:dyDescent="0.2">
      <c r="B156" s="2">
        <v>200.01596000000001</v>
      </c>
      <c r="C156" s="1">
        <v>75</v>
      </c>
      <c r="D156" s="3">
        <v>99.93356</v>
      </c>
      <c r="E156" s="3">
        <f t="shared" si="26"/>
        <v>100.64686</v>
      </c>
      <c r="H156" s="4">
        <v>225.00611000000001</v>
      </c>
      <c r="I156" s="1">
        <v>75</v>
      </c>
      <c r="J156" s="3">
        <v>95.28031</v>
      </c>
      <c r="K156" s="3">
        <f t="shared" si="27"/>
        <v>99.387889999999999</v>
      </c>
      <c r="L156" s="1">
        <f t="shared" si="36"/>
        <v>1.2132985993972174E-2</v>
      </c>
      <c r="N156" s="4">
        <v>225.01146</v>
      </c>
      <c r="O156" s="1">
        <v>75</v>
      </c>
      <c r="P156" s="3">
        <v>100.79826</v>
      </c>
      <c r="Q156" s="3">
        <f t="shared" si="28"/>
        <v>100.93384</v>
      </c>
      <c r="T156" s="4">
        <v>250.01298</v>
      </c>
      <c r="U156" s="1">
        <v>75</v>
      </c>
      <c r="V156" s="5">
        <v>94.921880000000002</v>
      </c>
      <c r="W156" s="3">
        <f t="shared" si="29"/>
        <v>99.079279999999997</v>
      </c>
      <c r="X156" s="1">
        <f t="shared" si="37"/>
        <v>1.8658583933021326E-2</v>
      </c>
      <c r="Z156" s="4">
        <v>250.01617999999999</v>
      </c>
      <c r="AA156" s="1">
        <v>75</v>
      </c>
      <c r="AB156" s="5">
        <v>100.70931</v>
      </c>
      <c r="AC156" s="3">
        <f t="shared" si="30"/>
        <v>100.63257</v>
      </c>
      <c r="AD156" s="1">
        <f t="shared" si="25"/>
        <v>5.2986657215972318E-3</v>
      </c>
      <c r="AF156" s="11">
        <v>480.42811</v>
      </c>
      <c r="AG156" s="1">
        <v>75</v>
      </c>
      <c r="AH156" s="12">
        <v>11.85399</v>
      </c>
      <c r="AI156" s="3">
        <f t="shared" si="31"/>
        <v>14.861679999999993</v>
      </c>
      <c r="AJ156" s="1">
        <f t="shared" si="34"/>
        <v>1.0292792496426699</v>
      </c>
      <c r="AL156" s="11">
        <v>480.43277</v>
      </c>
      <c r="AM156" s="1">
        <v>75</v>
      </c>
      <c r="AN156" s="12">
        <v>12.553050000000001</v>
      </c>
      <c r="AO156" s="3">
        <f t="shared" si="32"/>
        <v>15.646550000000005</v>
      </c>
      <c r="AP156" s="1">
        <f t="shared" si="35"/>
        <v>1.0199070754406778</v>
      </c>
      <c r="AR156" s="11">
        <v>330.30635999999998</v>
      </c>
      <c r="AS156" s="1">
        <v>75</v>
      </c>
      <c r="AT156" s="12">
        <v>96.198869999999999</v>
      </c>
      <c r="AU156" s="3">
        <f t="shared" si="33"/>
        <v>96.853359999999995</v>
      </c>
    </row>
    <row r="157" spans="2:47" ht="16" x14ac:dyDescent="0.2">
      <c r="B157" s="2">
        <v>200.01472000000001</v>
      </c>
      <c r="C157" s="1">
        <v>75.5</v>
      </c>
      <c r="D157" s="5">
        <v>99.807010000000005</v>
      </c>
      <c r="E157" s="3">
        <f t="shared" si="26"/>
        <v>100.52031000000001</v>
      </c>
      <c r="H157" s="4">
        <v>225.0061</v>
      </c>
      <c r="I157" s="1">
        <v>75.5</v>
      </c>
      <c r="J157" s="5">
        <v>95.270349999999993</v>
      </c>
      <c r="K157" s="3">
        <f t="shared" si="27"/>
        <v>99.377929999999992</v>
      </c>
      <c r="L157" s="1">
        <f t="shared" si="36"/>
        <v>1.2252917853024826E-2</v>
      </c>
      <c r="N157" s="4">
        <v>225.01147</v>
      </c>
      <c r="O157" s="1">
        <v>75.5</v>
      </c>
      <c r="P157" s="5">
        <v>100.70823</v>
      </c>
      <c r="Q157" s="3">
        <f t="shared" si="28"/>
        <v>100.84381</v>
      </c>
      <c r="T157" s="4">
        <v>250.00199000000001</v>
      </c>
      <c r="U157" s="1">
        <v>75.5</v>
      </c>
      <c r="V157" s="3">
        <v>94.865979999999993</v>
      </c>
      <c r="W157" s="3">
        <f t="shared" si="29"/>
        <v>99.023379999999989</v>
      </c>
      <c r="X157" s="1">
        <f t="shared" si="37"/>
        <v>1.933011035708522E-2</v>
      </c>
      <c r="Z157" s="4">
        <v>250.01242999999999</v>
      </c>
      <c r="AA157" s="1">
        <v>75.5</v>
      </c>
      <c r="AB157" s="3">
        <v>100.7056</v>
      </c>
      <c r="AC157" s="3">
        <f t="shared" si="30"/>
        <v>100.62886</v>
      </c>
      <c r="AD157" s="1">
        <f t="shared" si="25"/>
        <v>5.3430385486188461E-3</v>
      </c>
      <c r="AF157" s="11">
        <v>482.93997999999999</v>
      </c>
      <c r="AG157" s="1">
        <v>75.5</v>
      </c>
      <c r="AH157" s="13">
        <v>11.82438</v>
      </c>
      <c r="AI157" s="3">
        <f t="shared" si="31"/>
        <v>14.832070000000002</v>
      </c>
      <c r="AJ157" s="1">
        <f t="shared" si="34"/>
        <v>1.0296371160456295</v>
      </c>
      <c r="AL157" s="11">
        <v>482.94421</v>
      </c>
      <c r="AM157" s="1">
        <v>75.5</v>
      </c>
      <c r="AN157" s="13">
        <v>12.542809999999999</v>
      </c>
      <c r="AO157" s="3">
        <f t="shared" si="32"/>
        <v>15.636310000000009</v>
      </c>
      <c r="AP157" s="1">
        <f t="shared" si="35"/>
        <v>1.0200307616078481</v>
      </c>
      <c r="AR157" s="11">
        <v>331.80959999999999</v>
      </c>
      <c r="AS157" s="1">
        <v>75.5</v>
      </c>
      <c r="AT157" s="13">
        <v>96.018699999999995</v>
      </c>
      <c r="AU157" s="3">
        <f t="shared" si="33"/>
        <v>96.673189999999991</v>
      </c>
    </row>
    <row r="158" spans="2:47" ht="16" x14ac:dyDescent="0.2">
      <c r="B158" s="2">
        <v>200.01486</v>
      </c>
      <c r="C158" s="1">
        <v>76</v>
      </c>
      <c r="D158" s="3">
        <v>99.933869999999999</v>
      </c>
      <c r="E158" s="3">
        <f t="shared" si="26"/>
        <v>100.64717</v>
      </c>
      <c r="H158" s="4">
        <v>225.00801999999999</v>
      </c>
      <c r="I158" s="1">
        <v>76</v>
      </c>
      <c r="J158" s="3">
        <v>95.267480000000006</v>
      </c>
      <c r="K158" s="3">
        <f t="shared" si="27"/>
        <v>99.375060000000005</v>
      </c>
      <c r="L158" s="1">
        <f t="shared" si="36"/>
        <v>1.2287476531285806E-2</v>
      </c>
      <c r="N158" s="4">
        <v>225.01139000000001</v>
      </c>
      <c r="O158" s="1">
        <v>76</v>
      </c>
      <c r="P158" s="3">
        <v>100.72819</v>
      </c>
      <c r="Q158" s="3">
        <f t="shared" si="28"/>
        <v>100.86377</v>
      </c>
      <c r="T158" s="4">
        <v>250</v>
      </c>
      <c r="U158" s="1">
        <v>76</v>
      </c>
      <c r="V158" s="5">
        <v>94.884029999999996</v>
      </c>
      <c r="W158" s="3">
        <f t="shared" si="29"/>
        <v>99.041429999999991</v>
      </c>
      <c r="X158" s="1">
        <f t="shared" si="37"/>
        <v>1.9113275796184451E-2</v>
      </c>
      <c r="Z158" s="4">
        <v>250.01167000000001</v>
      </c>
      <c r="AA158" s="1">
        <v>76</v>
      </c>
      <c r="AB158" s="5">
        <v>100.65504</v>
      </c>
      <c r="AC158" s="3">
        <f t="shared" si="30"/>
        <v>100.5783</v>
      </c>
      <c r="AD158" s="1">
        <f t="shared" si="25"/>
        <v>5.9477528705094524E-3</v>
      </c>
      <c r="AF158" s="11">
        <v>485.44850000000002</v>
      </c>
      <c r="AG158" s="1">
        <v>76</v>
      </c>
      <c r="AH158" s="12">
        <v>11.77638</v>
      </c>
      <c r="AI158" s="3">
        <f t="shared" si="31"/>
        <v>14.78407</v>
      </c>
      <c r="AJ158" s="1">
        <f t="shared" si="34"/>
        <v>1.0302172439531625</v>
      </c>
      <c r="AL158" s="11">
        <v>485.45155</v>
      </c>
      <c r="AM158" s="1">
        <v>76</v>
      </c>
      <c r="AN158" s="12">
        <v>12.45661</v>
      </c>
      <c r="AO158" s="3">
        <f t="shared" si="32"/>
        <v>15.550110000000004</v>
      </c>
      <c r="AP158" s="1">
        <f t="shared" si="35"/>
        <v>1.0210719478978947</v>
      </c>
      <c r="AR158" s="11">
        <v>333.30962</v>
      </c>
      <c r="AS158" s="1">
        <v>76</v>
      </c>
      <c r="AT158" s="12">
        <v>95.84205</v>
      </c>
      <c r="AU158" s="3">
        <f t="shared" si="33"/>
        <v>96.496539999999996</v>
      </c>
    </row>
    <row r="159" spans="2:47" ht="16" x14ac:dyDescent="0.2">
      <c r="B159" s="2">
        <v>200.01418000000001</v>
      </c>
      <c r="C159" s="1">
        <v>76.5</v>
      </c>
      <c r="D159" s="5">
        <v>99.911929999999998</v>
      </c>
      <c r="E159" s="3">
        <f t="shared" si="26"/>
        <v>100.62523</v>
      </c>
      <c r="H159" s="4">
        <v>225.00493</v>
      </c>
      <c r="I159" s="1">
        <v>76.5</v>
      </c>
      <c r="J159" s="5">
        <v>95.265339999999995</v>
      </c>
      <c r="K159" s="3">
        <f t="shared" si="27"/>
        <v>99.372919999999993</v>
      </c>
      <c r="L159" s="1">
        <f t="shared" si="36"/>
        <v>1.2313245023090412E-2</v>
      </c>
      <c r="N159" s="4">
        <v>225.01143999999999</v>
      </c>
      <c r="O159" s="1">
        <v>76.5</v>
      </c>
      <c r="P159" s="5">
        <v>100.75376</v>
      </c>
      <c r="Q159" s="3">
        <f t="shared" si="28"/>
        <v>100.88934</v>
      </c>
      <c r="T159" s="4">
        <v>249.99800999999999</v>
      </c>
      <c r="U159" s="1">
        <v>76.5</v>
      </c>
      <c r="V159" s="3">
        <v>94.869730000000004</v>
      </c>
      <c r="W159" s="3">
        <f t="shared" si="29"/>
        <v>99.02713</v>
      </c>
      <c r="X159" s="1">
        <f t="shared" si="37"/>
        <v>1.9285061625596019E-2</v>
      </c>
      <c r="Z159" s="4">
        <v>250.01343</v>
      </c>
      <c r="AA159" s="1">
        <v>76.5</v>
      </c>
      <c r="AB159" s="3">
        <v>100.74969</v>
      </c>
      <c r="AC159" s="3">
        <f t="shared" si="30"/>
        <v>100.67295</v>
      </c>
      <c r="AD159" s="1">
        <f t="shared" si="25"/>
        <v>4.8157075665746845E-3</v>
      </c>
      <c r="AF159" s="11">
        <v>487.95594999999997</v>
      </c>
      <c r="AG159" s="1">
        <v>76.5</v>
      </c>
      <c r="AH159" s="13">
        <v>11.758509999999999</v>
      </c>
      <c r="AI159" s="3">
        <f t="shared" si="31"/>
        <v>14.766199999999998</v>
      </c>
      <c r="AJ159" s="1">
        <f t="shared" si="34"/>
        <v>1.0304332207387379</v>
      </c>
      <c r="AL159" s="11">
        <v>487.95742999999999</v>
      </c>
      <c r="AM159" s="1">
        <v>76.5</v>
      </c>
      <c r="AN159" s="13">
        <v>12.447100000000001</v>
      </c>
      <c r="AO159" s="3">
        <f t="shared" si="32"/>
        <v>15.540600000000012</v>
      </c>
      <c r="AP159" s="1">
        <f t="shared" si="35"/>
        <v>1.0211868165941631</v>
      </c>
      <c r="AR159" s="11">
        <v>334.8143</v>
      </c>
      <c r="AS159" s="1">
        <v>76.5</v>
      </c>
      <c r="AT159" s="13">
        <v>95.613410000000002</v>
      </c>
      <c r="AU159" s="3">
        <f t="shared" si="33"/>
        <v>96.267899999999997</v>
      </c>
    </row>
    <row r="160" spans="2:47" ht="16" x14ac:dyDescent="0.2">
      <c r="B160" s="2">
        <v>200.01228</v>
      </c>
      <c r="C160" s="1">
        <v>77</v>
      </c>
      <c r="D160" s="3">
        <v>99.797210000000007</v>
      </c>
      <c r="E160" s="3">
        <f t="shared" si="26"/>
        <v>100.51051000000001</v>
      </c>
      <c r="H160" s="4">
        <v>225.00201999999999</v>
      </c>
      <c r="I160" s="1">
        <v>77</v>
      </c>
      <c r="J160" s="3">
        <v>95.259230000000002</v>
      </c>
      <c r="K160" s="3">
        <f t="shared" si="27"/>
        <v>99.366810000000001</v>
      </c>
      <c r="L160" s="1">
        <f t="shared" si="36"/>
        <v>1.2386817679597472E-2</v>
      </c>
      <c r="N160" s="4">
        <v>225.01490000000001</v>
      </c>
      <c r="O160" s="1">
        <v>77</v>
      </c>
      <c r="P160" s="3">
        <v>100.64191</v>
      </c>
      <c r="Q160" s="3">
        <f t="shared" si="28"/>
        <v>100.77749</v>
      </c>
      <c r="T160" s="4">
        <v>250.00400999999999</v>
      </c>
      <c r="U160" s="1">
        <v>77</v>
      </c>
      <c r="V160" s="5">
        <v>94.835920000000002</v>
      </c>
      <c r="W160" s="3">
        <f t="shared" si="29"/>
        <v>98.993319999999997</v>
      </c>
      <c r="X160" s="1">
        <f t="shared" si="37"/>
        <v>1.969122098870154E-2</v>
      </c>
      <c r="Z160" s="4">
        <v>250.01361</v>
      </c>
      <c r="AA160" s="1">
        <v>77</v>
      </c>
      <c r="AB160" s="5">
        <v>100.64382000000001</v>
      </c>
      <c r="AC160" s="3">
        <f t="shared" si="30"/>
        <v>100.56708</v>
      </c>
      <c r="AD160" s="1">
        <f t="shared" si="25"/>
        <v>6.0819477813403204E-3</v>
      </c>
      <c r="AF160" s="11">
        <v>490.46537999999998</v>
      </c>
      <c r="AG160" s="1">
        <v>77</v>
      </c>
      <c r="AH160" s="12">
        <v>11.726940000000001</v>
      </c>
      <c r="AI160" s="3">
        <f t="shared" si="31"/>
        <v>14.734629999999996</v>
      </c>
      <c r="AJ160" s="1">
        <f t="shared" si="34"/>
        <v>1.0308147756979218</v>
      </c>
      <c r="AL160" s="11">
        <v>490.46262999999999</v>
      </c>
      <c r="AM160" s="1">
        <v>77</v>
      </c>
      <c r="AN160" s="12">
        <v>12.40479</v>
      </c>
      <c r="AO160" s="3">
        <f t="shared" si="32"/>
        <v>15.498290000000011</v>
      </c>
      <c r="AP160" s="1">
        <f t="shared" si="35"/>
        <v>1.0216978675446489</v>
      </c>
      <c r="AR160" s="11">
        <v>336.31556</v>
      </c>
      <c r="AS160" s="1">
        <v>77</v>
      </c>
      <c r="AT160" s="12">
        <v>95.253380000000007</v>
      </c>
      <c r="AU160" s="3">
        <f t="shared" si="33"/>
        <v>95.907870000000003</v>
      </c>
    </row>
    <row r="161" spans="2:47" ht="16" x14ac:dyDescent="0.2">
      <c r="B161" s="2">
        <v>200.01401999999999</v>
      </c>
      <c r="C161" s="1">
        <v>77.5</v>
      </c>
      <c r="D161" s="5">
        <v>99.788399999999996</v>
      </c>
      <c r="E161" s="3">
        <f t="shared" si="26"/>
        <v>100.5017</v>
      </c>
      <c r="H161" s="4">
        <v>225.00601</v>
      </c>
      <c r="I161" s="1">
        <v>77.5</v>
      </c>
      <c r="J161" s="5">
        <v>95.271900000000002</v>
      </c>
      <c r="K161" s="3">
        <f t="shared" si="27"/>
        <v>99.379480000000001</v>
      </c>
      <c r="L161" s="1">
        <f t="shared" si="36"/>
        <v>1.2234253758493446E-2</v>
      </c>
      <c r="N161" s="4">
        <v>225.01302000000001</v>
      </c>
      <c r="O161" s="1">
        <v>77.5</v>
      </c>
      <c r="P161" s="5">
        <v>100.60621</v>
      </c>
      <c r="Q161" s="3">
        <f t="shared" si="28"/>
        <v>100.74179000000001</v>
      </c>
      <c r="T161" s="4">
        <v>250.00601</v>
      </c>
      <c r="U161" s="1">
        <v>77.5</v>
      </c>
      <c r="V161" s="3">
        <v>94.840100000000007</v>
      </c>
      <c r="W161" s="3">
        <f t="shared" si="29"/>
        <v>98.997500000000002</v>
      </c>
      <c r="X161" s="1">
        <f t="shared" si="37"/>
        <v>1.9641006669334989E-2</v>
      </c>
      <c r="Z161" s="4">
        <v>250.01318000000001</v>
      </c>
      <c r="AA161" s="1">
        <v>77.5</v>
      </c>
      <c r="AB161" s="3">
        <v>100.6682</v>
      </c>
      <c r="AC161" s="3">
        <f t="shared" si="30"/>
        <v>100.59146</v>
      </c>
      <c r="AD161" s="1">
        <f t="shared" si="25"/>
        <v>5.790354918055355E-3</v>
      </c>
      <c r="AF161" s="11">
        <v>492.97152</v>
      </c>
      <c r="AG161" s="1">
        <v>77.5</v>
      </c>
      <c r="AH161" s="13">
        <v>11.67737</v>
      </c>
      <c r="AI161" s="3">
        <f t="shared" si="31"/>
        <v>14.685059999999993</v>
      </c>
      <c r="AJ161" s="1">
        <f t="shared" si="34"/>
        <v>1.0314138786224305</v>
      </c>
      <c r="AL161" s="11">
        <v>492.97206</v>
      </c>
      <c r="AM161" s="1">
        <v>77.5</v>
      </c>
      <c r="AN161" s="13">
        <v>12.37753</v>
      </c>
      <c r="AO161" s="3">
        <f t="shared" si="32"/>
        <v>15.471030000000013</v>
      </c>
      <c r="AP161" s="1">
        <f t="shared" si="35"/>
        <v>1.0220271336498308</v>
      </c>
      <c r="AR161" s="11">
        <v>337.83249000000001</v>
      </c>
      <c r="AS161" s="1">
        <v>77.5</v>
      </c>
      <c r="AT161" s="13">
        <v>95.128810000000001</v>
      </c>
      <c r="AU161" s="3">
        <f t="shared" si="33"/>
        <v>95.783299999999997</v>
      </c>
    </row>
    <row r="162" spans="2:47" ht="16" x14ac:dyDescent="0.2">
      <c r="B162" s="2">
        <v>200.01284000000001</v>
      </c>
      <c r="C162" s="1">
        <v>78</v>
      </c>
      <c r="D162" s="3">
        <v>100.02034</v>
      </c>
      <c r="E162" s="3">
        <f t="shared" si="26"/>
        <v>100.73364000000001</v>
      </c>
      <c r="H162" s="4">
        <v>225.00597999999999</v>
      </c>
      <c r="I162" s="1">
        <v>78</v>
      </c>
      <c r="J162" s="3">
        <v>95.24494</v>
      </c>
      <c r="K162" s="3">
        <f t="shared" si="27"/>
        <v>99.352519999999998</v>
      </c>
      <c r="L162" s="1">
        <f t="shared" si="36"/>
        <v>1.2558888589824537E-2</v>
      </c>
      <c r="N162" s="4">
        <v>225.01525000000001</v>
      </c>
      <c r="O162" s="1">
        <v>78</v>
      </c>
      <c r="P162" s="3">
        <v>100.71843</v>
      </c>
      <c r="Q162" s="3">
        <f t="shared" si="28"/>
        <v>100.85401</v>
      </c>
      <c r="T162" s="4">
        <v>250.00801000000001</v>
      </c>
      <c r="U162" s="1">
        <v>78</v>
      </c>
      <c r="V162" s="5">
        <v>94.823840000000004</v>
      </c>
      <c r="W162" s="3">
        <f t="shared" si="29"/>
        <v>98.98124</v>
      </c>
      <c r="X162" s="1">
        <f t="shared" si="37"/>
        <v>1.9836337969071645E-2</v>
      </c>
      <c r="Z162" s="4">
        <v>250.01206999999999</v>
      </c>
      <c r="AA162" s="1">
        <v>78</v>
      </c>
      <c r="AB162" s="5">
        <v>100.66656999999999</v>
      </c>
      <c r="AC162" s="3">
        <f t="shared" si="30"/>
        <v>100.58982999999999</v>
      </c>
      <c r="AD162" s="1">
        <f t="shared" si="25"/>
        <v>5.8098502571511832E-3</v>
      </c>
      <c r="AF162" s="11">
        <v>495.48455000000001</v>
      </c>
      <c r="AG162" s="1">
        <v>78</v>
      </c>
      <c r="AH162" s="12">
        <v>11.685370000000001</v>
      </c>
      <c r="AI162" s="3">
        <f t="shared" si="31"/>
        <v>14.693060000000003</v>
      </c>
      <c r="AJ162" s="1">
        <f t="shared" si="34"/>
        <v>1.0313171906378416</v>
      </c>
      <c r="AL162" s="11">
        <v>495.48084</v>
      </c>
      <c r="AM162" s="1">
        <v>78</v>
      </c>
      <c r="AN162" s="12">
        <v>12.345219999999999</v>
      </c>
      <c r="AO162" s="3">
        <f t="shared" si="32"/>
        <v>15.438720000000004</v>
      </c>
      <c r="AP162" s="1">
        <f t="shared" si="35"/>
        <v>1.0224173973276895</v>
      </c>
      <c r="AR162" s="11">
        <v>339.32843000000003</v>
      </c>
      <c r="AS162" s="1">
        <v>78</v>
      </c>
      <c r="AT162" s="12">
        <v>94.874560000000002</v>
      </c>
      <c r="AU162" s="3">
        <f t="shared" si="33"/>
        <v>95.529049999999998</v>
      </c>
    </row>
    <row r="163" spans="2:47" ht="16" x14ac:dyDescent="0.2">
      <c r="B163" s="2">
        <v>200.01313999999999</v>
      </c>
      <c r="C163" s="1">
        <v>78.5</v>
      </c>
      <c r="D163" s="5">
        <v>99.926169999999999</v>
      </c>
      <c r="E163" s="3">
        <f t="shared" si="26"/>
        <v>100.63947</v>
      </c>
      <c r="H163" s="4">
        <v>225.00601</v>
      </c>
      <c r="I163" s="1">
        <v>78.5</v>
      </c>
      <c r="J163" s="5">
        <v>95.235979999999998</v>
      </c>
      <c r="K163" s="3">
        <f t="shared" si="27"/>
        <v>99.343559999999997</v>
      </c>
      <c r="L163" s="1">
        <f t="shared" si="36"/>
        <v>1.2666779097566633E-2</v>
      </c>
      <c r="N163" s="4">
        <v>225.01796999999999</v>
      </c>
      <c r="O163" s="1">
        <v>78.5</v>
      </c>
      <c r="P163" s="5">
        <v>100.69952000000001</v>
      </c>
      <c r="Q163" s="3">
        <f t="shared" si="28"/>
        <v>100.83510000000001</v>
      </c>
      <c r="T163" s="4">
        <v>250.00199000000001</v>
      </c>
      <c r="U163" s="1">
        <v>78.5</v>
      </c>
      <c r="V163" s="3">
        <v>94.777839999999998</v>
      </c>
      <c r="W163" s="3">
        <f t="shared" si="29"/>
        <v>98.935239999999993</v>
      </c>
      <c r="X163" s="1">
        <f t="shared" si="37"/>
        <v>2.0388935742004365E-2</v>
      </c>
      <c r="Z163" s="4">
        <v>250.01328000000001</v>
      </c>
      <c r="AA163" s="1">
        <v>78.5</v>
      </c>
      <c r="AB163" s="3">
        <v>100.62522</v>
      </c>
      <c r="AC163" s="3">
        <f t="shared" si="30"/>
        <v>100.54848</v>
      </c>
      <c r="AD163" s="1">
        <f t="shared" si="25"/>
        <v>6.3044099329852606E-3</v>
      </c>
      <c r="AF163" s="11">
        <v>497.98205999999999</v>
      </c>
      <c r="AG163" s="1">
        <v>78.5</v>
      </c>
      <c r="AH163" s="13">
        <v>11.66859</v>
      </c>
      <c r="AI163" s="3">
        <f t="shared" si="31"/>
        <v>14.676279999999991</v>
      </c>
      <c r="AJ163" s="1">
        <f t="shared" si="34"/>
        <v>1.0315199936855168</v>
      </c>
      <c r="AL163" s="11">
        <v>497.98545000000001</v>
      </c>
      <c r="AM163" s="1">
        <v>78.5</v>
      </c>
      <c r="AN163" s="13">
        <v>12.349930000000001</v>
      </c>
      <c r="AO163" s="3">
        <f t="shared" si="32"/>
        <v>15.443430000000006</v>
      </c>
      <c r="AP163" s="1">
        <f t="shared" si="35"/>
        <v>1.0223605065222821</v>
      </c>
      <c r="AR163" s="11">
        <v>340.83046000000002</v>
      </c>
      <c r="AS163" s="1">
        <v>78.5</v>
      </c>
      <c r="AT163" s="13">
        <v>94.586340000000007</v>
      </c>
      <c r="AU163" s="3">
        <f t="shared" si="33"/>
        <v>95.240830000000003</v>
      </c>
    </row>
    <row r="164" spans="2:47" ht="16" x14ac:dyDescent="0.2">
      <c r="B164" s="2">
        <v>200.01319000000001</v>
      </c>
      <c r="C164" s="1">
        <v>79</v>
      </c>
      <c r="D164" s="3">
        <v>99.891930000000002</v>
      </c>
      <c r="E164" s="3">
        <f t="shared" si="26"/>
        <v>100.60523000000001</v>
      </c>
      <c r="H164" s="4">
        <v>225.00504000000001</v>
      </c>
      <c r="I164" s="1">
        <v>79</v>
      </c>
      <c r="J164" s="3">
        <v>95.225800000000007</v>
      </c>
      <c r="K164" s="3">
        <f t="shared" si="27"/>
        <v>99.333380000000005</v>
      </c>
      <c r="L164" s="1">
        <f t="shared" si="36"/>
        <v>1.2789360053907409E-2</v>
      </c>
      <c r="N164" s="4">
        <v>225.01376999999999</v>
      </c>
      <c r="O164" s="1">
        <v>79</v>
      </c>
      <c r="P164" s="3">
        <v>100.66516</v>
      </c>
      <c r="Q164" s="3">
        <f t="shared" si="28"/>
        <v>100.80074</v>
      </c>
      <c r="T164" s="4">
        <v>250.00402</v>
      </c>
      <c r="U164" s="1">
        <v>79</v>
      </c>
      <c r="V164" s="5">
        <v>94.807680000000005</v>
      </c>
      <c r="W164" s="3">
        <f t="shared" si="29"/>
        <v>98.96508</v>
      </c>
      <c r="X164" s="1">
        <f t="shared" si="37"/>
        <v>2.0030467969301888E-2</v>
      </c>
      <c r="Z164" s="4">
        <v>250.01320000000001</v>
      </c>
      <c r="AA164" s="1">
        <v>79</v>
      </c>
      <c r="AB164" s="5">
        <v>100.62908</v>
      </c>
      <c r="AC164" s="3">
        <f t="shared" si="30"/>
        <v>100.55234</v>
      </c>
      <c r="AD164" s="1">
        <f t="shared" si="25"/>
        <v>6.2582430563535478E-3</v>
      </c>
      <c r="AF164" s="11">
        <v>500.49047000000002</v>
      </c>
      <c r="AG164" s="1">
        <v>79</v>
      </c>
      <c r="AH164" s="12">
        <v>11.637740000000001</v>
      </c>
      <c r="AI164" s="3">
        <f t="shared" si="31"/>
        <v>14.645430000000005</v>
      </c>
      <c r="AJ164" s="1">
        <f t="shared" si="34"/>
        <v>1.0318928467260873</v>
      </c>
      <c r="AL164" s="11">
        <v>500.48496999999998</v>
      </c>
      <c r="AM164" s="1">
        <v>79</v>
      </c>
      <c r="AN164" s="12">
        <v>12.280989999999999</v>
      </c>
      <c r="AO164" s="3">
        <f t="shared" si="32"/>
        <v>15.374490000000009</v>
      </c>
      <c r="AP164" s="1">
        <f t="shared" si="35"/>
        <v>1.0231932139797741</v>
      </c>
      <c r="AR164" s="11">
        <v>342.32664999999997</v>
      </c>
      <c r="AS164" s="1">
        <v>79</v>
      </c>
      <c r="AT164" s="12">
        <v>94.300669999999997</v>
      </c>
      <c r="AU164" s="3">
        <f t="shared" si="33"/>
        <v>94.955159999999992</v>
      </c>
    </row>
    <row r="165" spans="2:47" ht="16" x14ac:dyDescent="0.2">
      <c r="B165" s="2">
        <v>200.01335</v>
      </c>
      <c r="C165" s="1">
        <v>79.5</v>
      </c>
      <c r="D165" s="5">
        <v>99.937799999999996</v>
      </c>
      <c r="E165" s="3">
        <f t="shared" si="26"/>
        <v>100.6511</v>
      </c>
      <c r="H165" s="4">
        <v>225.00504000000001</v>
      </c>
      <c r="I165" s="1">
        <v>79.5</v>
      </c>
      <c r="J165" s="5">
        <v>95.206909999999993</v>
      </c>
      <c r="K165" s="3">
        <f t="shared" si="27"/>
        <v>99.314489999999992</v>
      </c>
      <c r="L165" s="1">
        <f t="shared" si="36"/>
        <v>1.30168211801629E-2</v>
      </c>
      <c r="N165" s="4">
        <v>225.01187999999999</v>
      </c>
      <c r="O165" s="1">
        <v>79.5</v>
      </c>
      <c r="P165" s="5">
        <v>100.61818</v>
      </c>
      <c r="Q165" s="3">
        <f t="shared" si="28"/>
        <v>100.75376</v>
      </c>
      <c r="T165" s="4">
        <v>249.99999</v>
      </c>
      <c r="U165" s="1">
        <v>79.5</v>
      </c>
      <c r="V165" s="3">
        <v>94.777699999999996</v>
      </c>
      <c r="W165" s="3">
        <f t="shared" si="29"/>
        <v>98.935099999999991</v>
      </c>
      <c r="X165" s="1">
        <f t="shared" si="37"/>
        <v>2.0390617561313312E-2</v>
      </c>
      <c r="Z165" s="4">
        <v>250.01403999999999</v>
      </c>
      <c r="AA165" s="1">
        <v>79.5</v>
      </c>
      <c r="AB165" s="3">
        <v>100.59723</v>
      </c>
      <c r="AC165" s="3">
        <f t="shared" si="30"/>
        <v>100.52049</v>
      </c>
      <c r="AD165" s="1">
        <f t="shared" si="25"/>
        <v>6.6391795902186112E-3</v>
      </c>
      <c r="AF165" s="11">
        <v>502.99430999999998</v>
      </c>
      <c r="AG165" s="1">
        <v>79.5</v>
      </c>
      <c r="AH165" s="13">
        <v>11.583589999999999</v>
      </c>
      <c r="AI165" s="3">
        <f t="shared" si="31"/>
        <v>14.591279999999998</v>
      </c>
      <c r="AJ165" s="1">
        <f t="shared" si="34"/>
        <v>1.0325473035217732</v>
      </c>
      <c r="AL165" s="11">
        <v>503.00033000000002</v>
      </c>
      <c r="AM165" s="1">
        <v>79.5</v>
      </c>
      <c r="AN165" s="13">
        <v>12.237410000000001</v>
      </c>
      <c r="AO165" s="3">
        <f t="shared" si="32"/>
        <v>15.330910000000003</v>
      </c>
      <c r="AP165" s="1">
        <f t="shared" si="35"/>
        <v>1.0237196049138835</v>
      </c>
      <c r="AR165" s="11">
        <v>343.83661999999998</v>
      </c>
      <c r="AS165" s="1">
        <v>79.5</v>
      </c>
      <c r="AT165" s="13">
        <v>94.028319999999994</v>
      </c>
      <c r="AU165" s="3">
        <f t="shared" si="33"/>
        <v>94.682809999999989</v>
      </c>
    </row>
    <row r="166" spans="2:47" ht="16" x14ac:dyDescent="0.2">
      <c r="B166" s="2">
        <v>200.01403999999999</v>
      </c>
      <c r="C166" s="1">
        <v>80</v>
      </c>
      <c r="D166" s="3">
        <v>99.876369999999994</v>
      </c>
      <c r="E166" s="3">
        <f t="shared" si="26"/>
        <v>100.58967</v>
      </c>
      <c r="H166" s="4">
        <v>225.00386</v>
      </c>
      <c r="I166" s="1">
        <v>80</v>
      </c>
      <c r="J166" s="3">
        <v>95.185329999999993</v>
      </c>
      <c r="K166" s="3">
        <f t="shared" si="27"/>
        <v>99.292909999999992</v>
      </c>
      <c r="L166" s="1">
        <f t="shared" si="36"/>
        <v>1.3276673541443476E-2</v>
      </c>
      <c r="N166" s="4">
        <v>225.01392000000001</v>
      </c>
      <c r="O166" s="1">
        <v>80</v>
      </c>
      <c r="P166" s="3">
        <v>100.70789000000001</v>
      </c>
      <c r="Q166" s="3">
        <f t="shared" si="28"/>
        <v>100.84347000000001</v>
      </c>
      <c r="T166" s="4">
        <v>249.99901</v>
      </c>
      <c r="U166" s="1">
        <v>80</v>
      </c>
      <c r="V166" s="5">
        <v>94.777990000000003</v>
      </c>
      <c r="W166" s="3">
        <f t="shared" si="29"/>
        <v>98.935389999999998</v>
      </c>
      <c r="X166" s="1">
        <f t="shared" si="37"/>
        <v>2.0387133792744743E-2</v>
      </c>
      <c r="Z166" s="4">
        <v>250.01754</v>
      </c>
      <c r="AA166" s="1">
        <v>80</v>
      </c>
      <c r="AB166" s="5">
        <v>100.58884</v>
      </c>
      <c r="AC166" s="3">
        <f t="shared" si="30"/>
        <v>100.5121</v>
      </c>
      <c r="AD166" s="1">
        <f t="shared" si="25"/>
        <v>6.7395267650733701E-3</v>
      </c>
      <c r="AF166" s="11">
        <v>505.49853000000002</v>
      </c>
      <c r="AG166" s="1">
        <v>80</v>
      </c>
      <c r="AH166" s="12">
        <v>11.60914</v>
      </c>
      <c r="AI166" s="3">
        <f t="shared" si="31"/>
        <v>14.616829999999993</v>
      </c>
      <c r="AJ166" s="1">
        <f t="shared" si="34"/>
        <v>1.0322385062709927</v>
      </c>
      <c r="AL166" s="11">
        <v>505.50540000000001</v>
      </c>
      <c r="AM166" s="1">
        <v>80</v>
      </c>
      <c r="AN166" s="12">
        <v>12.26519</v>
      </c>
      <c r="AO166" s="3">
        <f t="shared" si="32"/>
        <v>15.35869000000001</v>
      </c>
      <c r="AP166" s="1">
        <f t="shared" si="35"/>
        <v>1.0233840578705251</v>
      </c>
      <c r="AR166" s="11">
        <v>345.34055999999998</v>
      </c>
      <c r="AS166" s="1">
        <v>80</v>
      </c>
      <c r="AT166" s="12">
        <v>93.709220000000002</v>
      </c>
      <c r="AU166" s="3">
        <f t="shared" si="33"/>
        <v>94.363709999999998</v>
      </c>
    </row>
    <row r="167" spans="2:47" ht="16" x14ac:dyDescent="0.2">
      <c r="B167" s="2">
        <v>200.01644999999999</v>
      </c>
      <c r="C167" s="1">
        <v>80.5</v>
      </c>
      <c r="D167" s="5">
        <v>99.8459</v>
      </c>
      <c r="E167" s="3">
        <f t="shared" si="26"/>
        <v>100.5592</v>
      </c>
      <c r="H167" s="4">
        <v>225.00601</v>
      </c>
      <c r="I167" s="1">
        <v>80.5</v>
      </c>
      <c r="J167" s="5">
        <v>95.185699999999997</v>
      </c>
      <c r="K167" s="3">
        <f t="shared" si="27"/>
        <v>99.293279999999996</v>
      </c>
      <c r="L167" s="1">
        <f t="shared" si="36"/>
        <v>1.3272218241458546E-2</v>
      </c>
      <c r="N167" s="4">
        <v>225.01503</v>
      </c>
      <c r="O167" s="1">
        <v>80.5</v>
      </c>
      <c r="P167" s="5">
        <v>100.67091000000001</v>
      </c>
      <c r="Q167" s="3">
        <f t="shared" si="28"/>
        <v>100.80649000000001</v>
      </c>
      <c r="T167" s="4">
        <v>250.00702999999999</v>
      </c>
      <c r="U167" s="1">
        <v>80.5</v>
      </c>
      <c r="V167" s="3">
        <v>94.729740000000007</v>
      </c>
      <c r="W167" s="3">
        <f t="shared" si="29"/>
        <v>98.887140000000002</v>
      </c>
      <c r="X167" s="1">
        <f t="shared" si="37"/>
        <v>2.0966760804570779E-2</v>
      </c>
      <c r="Z167" s="4">
        <v>250.01982000000001</v>
      </c>
      <c r="AA167" s="1">
        <v>80.5</v>
      </c>
      <c r="AB167" s="3">
        <v>100.66789</v>
      </c>
      <c r="AC167" s="3">
        <f t="shared" si="30"/>
        <v>100.59115</v>
      </c>
      <c r="AD167" s="1">
        <f t="shared" si="25"/>
        <v>5.7940626205827562E-3</v>
      </c>
      <c r="AF167" s="11">
        <v>507.99903999999998</v>
      </c>
      <c r="AG167" s="1">
        <v>80.5</v>
      </c>
      <c r="AH167" s="13">
        <v>11.545210000000001</v>
      </c>
      <c r="AI167" s="3">
        <f t="shared" si="31"/>
        <v>14.552899999999994</v>
      </c>
      <c r="AJ167" s="1">
        <f t="shared" si="34"/>
        <v>1.0330111641278383</v>
      </c>
      <c r="AL167" s="11">
        <v>508.00414999999998</v>
      </c>
      <c r="AM167" s="1">
        <v>80.5</v>
      </c>
      <c r="AN167" s="13">
        <v>12.20393</v>
      </c>
      <c r="AO167" s="3">
        <f t="shared" si="32"/>
        <v>15.297430000000006</v>
      </c>
      <c r="AP167" s="1">
        <f t="shared" si="35"/>
        <v>1.0241240007026395</v>
      </c>
      <c r="AR167" s="11">
        <v>346.84586999999999</v>
      </c>
      <c r="AS167" s="1">
        <v>80.5</v>
      </c>
      <c r="AT167" s="13">
        <v>93.409289999999999</v>
      </c>
      <c r="AU167" s="3">
        <f t="shared" si="33"/>
        <v>94.063779999999994</v>
      </c>
    </row>
    <row r="168" spans="2:47" ht="16" x14ac:dyDescent="0.2">
      <c r="B168" s="2">
        <v>200.01856000000001</v>
      </c>
      <c r="C168" s="1">
        <v>81</v>
      </c>
      <c r="D168" s="3">
        <v>99.893529999999998</v>
      </c>
      <c r="E168" s="3">
        <f t="shared" si="26"/>
        <v>100.60683</v>
      </c>
      <c r="H168" s="4">
        <v>225.00494</v>
      </c>
      <c r="I168" s="1">
        <v>81</v>
      </c>
      <c r="J168" s="3">
        <v>95.187529999999995</v>
      </c>
      <c r="K168" s="3">
        <f t="shared" si="27"/>
        <v>99.295109999999994</v>
      </c>
      <c r="L168" s="1">
        <f t="shared" si="36"/>
        <v>1.3250182568560354E-2</v>
      </c>
      <c r="N168" s="4">
        <v>225.01500999999999</v>
      </c>
      <c r="O168" s="1">
        <v>81</v>
      </c>
      <c r="P168" s="3">
        <v>100.72046</v>
      </c>
      <c r="Q168" s="3">
        <f t="shared" si="28"/>
        <v>100.85604000000001</v>
      </c>
      <c r="T168" s="4">
        <v>250.00399999999999</v>
      </c>
      <c r="U168" s="1">
        <v>81</v>
      </c>
      <c r="V168" s="5">
        <v>94.729470000000006</v>
      </c>
      <c r="W168" s="3">
        <f t="shared" si="29"/>
        <v>98.886870000000002</v>
      </c>
      <c r="X168" s="1">
        <f t="shared" si="37"/>
        <v>2.0970004313237998E-2</v>
      </c>
      <c r="Z168" s="4">
        <v>250.02202</v>
      </c>
      <c r="AA168" s="1">
        <v>81</v>
      </c>
      <c r="AB168" s="5">
        <v>100.59441</v>
      </c>
      <c r="AC168" s="3">
        <f t="shared" si="30"/>
        <v>100.51767</v>
      </c>
      <c r="AD168" s="1">
        <f t="shared" si="25"/>
        <v>6.6729077228873468E-3</v>
      </c>
      <c r="AF168" s="11">
        <v>510.50752</v>
      </c>
      <c r="AG168" s="1">
        <v>81</v>
      </c>
      <c r="AH168" s="12">
        <v>11.520210000000001</v>
      </c>
      <c r="AI168" s="3">
        <f t="shared" si="31"/>
        <v>14.527900000000002</v>
      </c>
      <c r="AJ168" s="1">
        <f t="shared" si="34"/>
        <v>1.0333133140796784</v>
      </c>
      <c r="AL168" s="11">
        <v>510.51067999999998</v>
      </c>
      <c r="AM168" s="1">
        <v>81</v>
      </c>
      <c r="AN168" s="12">
        <v>12.167120000000001</v>
      </c>
      <c r="AO168" s="3">
        <f t="shared" si="32"/>
        <v>15.260620000000003</v>
      </c>
      <c r="AP168" s="1">
        <f t="shared" si="35"/>
        <v>1.0245686186531804</v>
      </c>
      <c r="AR168" s="11">
        <v>348.35253999999998</v>
      </c>
      <c r="AS168" s="1">
        <v>81</v>
      </c>
      <c r="AT168" s="12">
        <v>93.026840000000007</v>
      </c>
      <c r="AU168" s="3">
        <f t="shared" si="33"/>
        <v>93.681330000000003</v>
      </c>
    </row>
    <row r="169" spans="2:47" ht="16" x14ac:dyDescent="0.2">
      <c r="B169" s="2">
        <v>200.01818</v>
      </c>
      <c r="C169" s="1">
        <v>81.5</v>
      </c>
      <c r="D169" s="5">
        <v>99.79119</v>
      </c>
      <c r="E169" s="3">
        <f t="shared" si="26"/>
        <v>100.50449</v>
      </c>
      <c r="H169" s="4">
        <v>225.00492</v>
      </c>
      <c r="I169" s="1">
        <v>81.5</v>
      </c>
      <c r="J169" s="5">
        <v>95.183329999999998</v>
      </c>
      <c r="K169" s="3">
        <f t="shared" si="27"/>
        <v>99.290909999999997</v>
      </c>
      <c r="L169" s="1">
        <f t="shared" si="36"/>
        <v>1.3300756244064418E-2</v>
      </c>
      <c r="N169" s="4">
        <v>225.01401000000001</v>
      </c>
      <c r="O169" s="1">
        <v>81.5</v>
      </c>
      <c r="P169" s="5">
        <v>100.71810000000001</v>
      </c>
      <c r="Q169" s="3">
        <f t="shared" si="28"/>
        <v>100.85368000000001</v>
      </c>
      <c r="T169" s="4">
        <v>250.00899999999999</v>
      </c>
      <c r="U169" s="1">
        <v>81.5</v>
      </c>
      <c r="V169" s="3">
        <v>94.72757</v>
      </c>
      <c r="W169" s="3">
        <f t="shared" si="29"/>
        <v>98.884969999999996</v>
      </c>
      <c r="X169" s="1">
        <f t="shared" si="37"/>
        <v>2.0992829003859202E-2</v>
      </c>
      <c r="Z169" s="4">
        <v>250.02153000000001</v>
      </c>
      <c r="AA169" s="1">
        <v>81.5</v>
      </c>
      <c r="AB169" s="3">
        <v>100.57265</v>
      </c>
      <c r="AC169" s="3">
        <f t="shared" si="30"/>
        <v>100.49590999999999</v>
      </c>
      <c r="AD169" s="1">
        <f t="shared" si="25"/>
        <v>6.9331645196503752E-3</v>
      </c>
      <c r="AF169" s="11">
        <v>513.01385000000005</v>
      </c>
      <c r="AG169" s="1">
        <v>81.5</v>
      </c>
      <c r="AH169" s="13">
        <v>11.56465</v>
      </c>
      <c r="AI169" s="3">
        <f t="shared" si="31"/>
        <v>14.572339999999997</v>
      </c>
      <c r="AJ169" s="1">
        <f t="shared" si="34"/>
        <v>1.0327762123252873</v>
      </c>
      <c r="AL169" s="11">
        <v>513.00675000000001</v>
      </c>
      <c r="AM169" s="1">
        <v>81.5</v>
      </c>
      <c r="AN169" s="13">
        <v>12.15484</v>
      </c>
      <c r="AO169" s="3">
        <f t="shared" si="32"/>
        <v>15.248340000000013</v>
      </c>
      <c r="AP169" s="1">
        <f t="shared" si="35"/>
        <v>1.0247169454239664</v>
      </c>
      <c r="AR169" s="11">
        <v>349.85932000000003</v>
      </c>
      <c r="AS169" s="1">
        <v>81.5</v>
      </c>
      <c r="AT169" s="13">
        <v>92.698599999999999</v>
      </c>
      <c r="AU169" s="3">
        <f t="shared" si="33"/>
        <v>93.353089999999995</v>
      </c>
    </row>
    <row r="170" spans="2:47" ht="16" x14ac:dyDescent="0.2">
      <c r="B170" s="2">
        <v>200.01830000000001</v>
      </c>
      <c r="C170" s="1">
        <v>82</v>
      </c>
      <c r="D170" s="3">
        <v>99.948599999999999</v>
      </c>
      <c r="E170" s="3">
        <f t="shared" si="26"/>
        <v>100.6619</v>
      </c>
      <c r="H170" s="4">
        <v>225.00512000000001</v>
      </c>
      <c r="I170" s="1">
        <v>82</v>
      </c>
      <c r="J170" s="3">
        <v>95.165729999999996</v>
      </c>
      <c r="K170" s="3">
        <f t="shared" si="27"/>
        <v>99.273309999999995</v>
      </c>
      <c r="L170" s="1">
        <f t="shared" si="36"/>
        <v>1.3512684027129225E-2</v>
      </c>
      <c r="N170" s="4">
        <v>225.01515000000001</v>
      </c>
      <c r="O170" s="1">
        <v>82</v>
      </c>
      <c r="P170" s="3">
        <v>100.74769000000001</v>
      </c>
      <c r="Q170" s="3">
        <f t="shared" si="28"/>
        <v>100.88327000000001</v>
      </c>
      <c r="T170" s="4">
        <v>250.01096999999999</v>
      </c>
      <c r="U170" s="1">
        <v>82</v>
      </c>
      <c r="V170" s="5">
        <v>94.725300000000004</v>
      </c>
      <c r="W170" s="3">
        <f t="shared" si="29"/>
        <v>98.8827</v>
      </c>
      <c r="X170" s="1">
        <f t="shared" si="37"/>
        <v>2.1020098502653871E-2</v>
      </c>
      <c r="Z170" s="4">
        <v>250.01969</v>
      </c>
      <c r="AA170" s="1">
        <v>82</v>
      </c>
      <c r="AB170" s="5">
        <v>100.54452999999999</v>
      </c>
      <c r="AC170" s="3">
        <f t="shared" si="30"/>
        <v>100.46778999999999</v>
      </c>
      <c r="AD170" s="1">
        <f t="shared" si="25"/>
        <v>7.2694890198790772E-3</v>
      </c>
      <c r="AF170" s="11">
        <v>515.51288999999997</v>
      </c>
      <c r="AG170" s="1">
        <v>82</v>
      </c>
      <c r="AH170" s="12">
        <v>11.477220000000001</v>
      </c>
      <c r="AI170" s="3">
        <f t="shared" si="31"/>
        <v>14.484909999999999</v>
      </c>
      <c r="AJ170" s="1">
        <f t="shared" si="34"/>
        <v>1.0338328911368628</v>
      </c>
      <c r="AL170" s="11">
        <v>515.51473999999996</v>
      </c>
      <c r="AM170" s="1">
        <v>82</v>
      </c>
      <c r="AN170" s="12">
        <v>12.10534</v>
      </c>
      <c r="AO170" s="3">
        <f t="shared" si="32"/>
        <v>15.198840000000004</v>
      </c>
      <c r="AP170" s="1">
        <f t="shared" si="35"/>
        <v>1.0253148424234713</v>
      </c>
      <c r="AR170" s="11">
        <v>351.3646</v>
      </c>
      <c r="AS170" s="1">
        <v>82</v>
      </c>
      <c r="AT170" s="12">
        <v>92.302599999999998</v>
      </c>
      <c r="AU170" s="3">
        <f t="shared" si="33"/>
        <v>92.957089999999994</v>
      </c>
    </row>
    <row r="171" spans="2:47" ht="16" x14ac:dyDescent="0.2">
      <c r="B171" s="2">
        <v>200.01719</v>
      </c>
      <c r="C171" s="1">
        <v>82.5</v>
      </c>
      <c r="D171" s="5">
        <v>99.939750000000004</v>
      </c>
      <c r="E171" s="3">
        <f t="shared" si="26"/>
        <v>100.65305000000001</v>
      </c>
      <c r="H171" s="4">
        <v>225.00303</v>
      </c>
      <c r="I171" s="1">
        <v>82.5</v>
      </c>
      <c r="J171" s="5">
        <v>95.160669999999996</v>
      </c>
      <c r="K171" s="3">
        <f t="shared" si="27"/>
        <v>99.268249999999995</v>
      </c>
      <c r="L171" s="1">
        <f t="shared" si="36"/>
        <v>1.3573613264760356E-2</v>
      </c>
      <c r="N171" s="4">
        <v>225.01777999999999</v>
      </c>
      <c r="O171" s="1">
        <v>82.5</v>
      </c>
      <c r="P171" s="5">
        <v>100.68986</v>
      </c>
      <c r="Q171" s="3">
        <f t="shared" si="28"/>
        <v>100.82544</v>
      </c>
      <c r="T171" s="4">
        <v>250.00498999999999</v>
      </c>
      <c r="U171" s="1">
        <v>82.5</v>
      </c>
      <c r="V171" s="3">
        <v>94.683400000000006</v>
      </c>
      <c r="W171" s="3">
        <f t="shared" si="29"/>
        <v>98.840800000000002</v>
      </c>
      <c r="X171" s="1">
        <f t="shared" si="37"/>
        <v>2.1523442995825107E-2</v>
      </c>
      <c r="Z171" s="4">
        <v>250.02026000000001</v>
      </c>
      <c r="AA171" s="1">
        <v>82.5</v>
      </c>
      <c r="AB171" s="3">
        <v>100.61623</v>
      </c>
      <c r="AC171" s="3">
        <f t="shared" si="30"/>
        <v>100.53949</v>
      </c>
      <c r="AD171" s="1">
        <f t="shared" si="25"/>
        <v>6.4119333062802441E-3</v>
      </c>
      <c r="AF171" s="11">
        <v>518.01715999999999</v>
      </c>
      <c r="AG171" s="1">
        <v>82.5</v>
      </c>
      <c r="AH171" s="13">
        <v>11.4011</v>
      </c>
      <c r="AI171" s="3">
        <f t="shared" si="31"/>
        <v>14.408789999999996</v>
      </c>
      <c r="AJ171" s="1">
        <f t="shared" si="34"/>
        <v>1.0347528773102257</v>
      </c>
      <c r="AL171" s="11">
        <v>518.02273000000002</v>
      </c>
      <c r="AM171" s="1">
        <v>82.5</v>
      </c>
      <c r="AN171" s="13">
        <v>12.066789999999999</v>
      </c>
      <c r="AO171" s="3">
        <f t="shared" si="32"/>
        <v>15.160290000000003</v>
      </c>
      <c r="AP171" s="1">
        <f t="shared" si="35"/>
        <v>1.0257804773594492</v>
      </c>
      <c r="AR171" s="11">
        <v>352.87734</v>
      </c>
      <c r="AS171" s="1">
        <v>82.5</v>
      </c>
      <c r="AT171" s="13">
        <v>91.914879999999997</v>
      </c>
      <c r="AU171" s="3">
        <f t="shared" si="33"/>
        <v>92.569369999999992</v>
      </c>
    </row>
    <row r="172" spans="2:47" ht="16" x14ac:dyDescent="0.2">
      <c r="B172" s="2">
        <v>200.01983000000001</v>
      </c>
      <c r="C172" s="1">
        <v>83</v>
      </c>
      <c r="D172" s="3">
        <v>99.800600000000003</v>
      </c>
      <c r="E172" s="3">
        <f t="shared" si="26"/>
        <v>100.51390000000001</v>
      </c>
      <c r="H172" s="4">
        <v>225.00802999999999</v>
      </c>
      <c r="I172" s="1">
        <v>83</v>
      </c>
      <c r="J172" s="3">
        <v>95.16592</v>
      </c>
      <c r="K172" s="3">
        <f t="shared" si="27"/>
        <v>99.273499999999999</v>
      </c>
      <c r="L172" s="1">
        <f t="shared" si="36"/>
        <v>1.3510396170380188E-2</v>
      </c>
      <c r="N172" s="4">
        <v>225.01742999999999</v>
      </c>
      <c r="O172" s="1">
        <v>83</v>
      </c>
      <c r="P172" s="3">
        <v>100.69394</v>
      </c>
      <c r="Q172" s="3">
        <f t="shared" si="28"/>
        <v>100.82952</v>
      </c>
      <c r="T172" s="4">
        <v>250.005</v>
      </c>
      <c r="U172" s="1">
        <v>83</v>
      </c>
      <c r="V172" s="5">
        <v>94.695279999999997</v>
      </c>
      <c r="W172" s="3">
        <f t="shared" si="29"/>
        <v>98.852679999999992</v>
      </c>
      <c r="X172" s="1">
        <f t="shared" si="37"/>
        <v>2.1380728614467829E-2</v>
      </c>
      <c r="Z172" s="4">
        <v>250.02032</v>
      </c>
      <c r="AA172" s="1">
        <v>83</v>
      </c>
      <c r="AB172" s="5">
        <v>100.56938</v>
      </c>
      <c r="AC172" s="3">
        <f t="shared" si="30"/>
        <v>100.49263999999999</v>
      </c>
      <c r="AD172" s="1">
        <f t="shared" si="25"/>
        <v>6.9722748011492369E-3</v>
      </c>
      <c r="AF172" s="11">
        <v>520.52269000000001</v>
      </c>
      <c r="AG172" s="1">
        <v>83</v>
      </c>
      <c r="AH172" s="12">
        <v>11.38175</v>
      </c>
      <c r="AI172" s="3">
        <f t="shared" si="31"/>
        <v>14.389439999999993</v>
      </c>
      <c r="AJ172" s="1">
        <f t="shared" si="34"/>
        <v>1.0349867413729501</v>
      </c>
      <c r="AL172" s="11">
        <v>520.52216999999996</v>
      </c>
      <c r="AM172" s="1">
        <v>83</v>
      </c>
      <c r="AN172" s="12">
        <v>12.05439</v>
      </c>
      <c r="AO172" s="3">
        <f t="shared" si="32"/>
        <v>15.147890000000004</v>
      </c>
      <c r="AP172" s="1">
        <f t="shared" si="35"/>
        <v>1.025930253577507</v>
      </c>
      <c r="AR172" s="11">
        <v>354.37655999999998</v>
      </c>
      <c r="AS172" s="1">
        <v>83</v>
      </c>
      <c r="AT172" s="12">
        <v>91.467590000000001</v>
      </c>
      <c r="AU172" s="3">
        <f t="shared" si="33"/>
        <v>92.122079999999997</v>
      </c>
    </row>
    <row r="173" spans="2:47" ht="16" x14ac:dyDescent="0.2">
      <c r="B173" s="2">
        <v>200.02100999999999</v>
      </c>
      <c r="C173" s="1">
        <v>83.5</v>
      </c>
      <c r="D173" s="5">
        <v>99.989859999999993</v>
      </c>
      <c r="E173" s="3">
        <f t="shared" si="26"/>
        <v>100.70316</v>
      </c>
      <c r="H173" s="4">
        <v>225.00892999999999</v>
      </c>
      <c r="I173" s="1">
        <v>83.5</v>
      </c>
      <c r="J173" s="5">
        <v>95.156009999999995</v>
      </c>
      <c r="K173" s="3">
        <f t="shared" si="27"/>
        <v>99.263589999999994</v>
      </c>
      <c r="L173" s="1">
        <f t="shared" si="36"/>
        <v>1.3629725961867296E-2</v>
      </c>
      <c r="N173" s="4">
        <v>225.01902000000001</v>
      </c>
      <c r="O173" s="1">
        <v>83.5</v>
      </c>
      <c r="P173" s="5">
        <v>100.82143000000001</v>
      </c>
      <c r="Q173" s="3">
        <f t="shared" si="28"/>
        <v>100.95701000000001</v>
      </c>
      <c r="T173" s="4">
        <v>250.01598000000001</v>
      </c>
      <c r="U173" s="1">
        <v>83.5</v>
      </c>
      <c r="V173" s="3">
        <v>94.677239999999998</v>
      </c>
      <c r="W173" s="3">
        <f t="shared" si="29"/>
        <v>98.834639999999993</v>
      </c>
      <c r="X173" s="1">
        <f t="shared" si="37"/>
        <v>2.1597443045417924E-2</v>
      </c>
      <c r="Z173" s="4">
        <v>250.01772</v>
      </c>
      <c r="AA173" s="1">
        <v>83.5</v>
      </c>
      <c r="AB173" s="3">
        <v>100.61667</v>
      </c>
      <c r="AC173" s="3">
        <f t="shared" si="30"/>
        <v>100.53993</v>
      </c>
      <c r="AD173" s="1">
        <f t="shared" si="25"/>
        <v>6.4066707607574923E-3</v>
      </c>
      <c r="AF173" s="11">
        <v>523.02445999999998</v>
      </c>
      <c r="AG173" s="1">
        <v>83.5</v>
      </c>
      <c r="AH173" s="13">
        <v>11.379860000000001</v>
      </c>
      <c r="AI173" s="3">
        <f t="shared" si="31"/>
        <v>14.387550000000005</v>
      </c>
      <c r="AJ173" s="1">
        <f t="shared" si="34"/>
        <v>1.035009583909309</v>
      </c>
      <c r="AL173" s="11">
        <v>523.02566000000002</v>
      </c>
      <c r="AM173" s="1">
        <v>83.5</v>
      </c>
      <c r="AN173" s="13">
        <v>12.06437</v>
      </c>
      <c r="AO173" s="3">
        <f t="shared" si="32"/>
        <v>15.157870000000003</v>
      </c>
      <c r="AP173" s="1">
        <f t="shared" si="35"/>
        <v>1.025809707879425</v>
      </c>
      <c r="AR173" s="11">
        <v>355.88058000000001</v>
      </c>
      <c r="AS173" s="1">
        <v>83.5</v>
      </c>
      <c r="AT173" s="13">
        <v>91.093909999999994</v>
      </c>
      <c r="AU173" s="3">
        <f t="shared" si="33"/>
        <v>91.74839999999999</v>
      </c>
    </row>
    <row r="174" spans="2:47" ht="16" x14ac:dyDescent="0.2">
      <c r="B174" s="2">
        <v>200.02375000000001</v>
      </c>
      <c r="C174" s="1">
        <v>84</v>
      </c>
      <c r="D174" s="3">
        <v>99.785430000000005</v>
      </c>
      <c r="E174" s="3">
        <f t="shared" si="26"/>
        <v>100.49873000000001</v>
      </c>
      <c r="H174" s="4">
        <v>225.00496999999999</v>
      </c>
      <c r="I174" s="1">
        <v>84</v>
      </c>
      <c r="J174" s="3">
        <v>95.124809999999997</v>
      </c>
      <c r="K174" s="3">
        <f t="shared" si="27"/>
        <v>99.232389999999995</v>
      </c>
      <c r="L174" s="1">
        <f t="shared" si="36"/>
        <v>1.4005416122754855E-2</v>
      </c>
      <c r="N174" s="4">
        <v>225.02276000000001</v>
      </c>
      <c r="O174" s="1">
        <v>84</v>
      </c>
      <c r="P174" s="3">
        <v>100.68115</v>
      </c>
      <c r="Q174" s="3">
        <f t="shared" si="28"/>
        <v>100.81673000000001</v>
      </c>
      <c r="T174" s="4">
        <v>250.01497000000001</v>
      </c>
      <c r="U174" s="1">
        <v>84</v>
      </c>
      <c r="V174" s="5">
        <v>94.677629999999994</v>
      </c>
      <c r="W174" s="3">
        <f t="shared" si="29"/>
        <v>98.835029999999989</v>
      </c>
      <c r="X174" s="1">
        <f t="shared" si="37"/>
        <v>2.159275797734311E-2</v>
      </c>
      <c r="Z174" s="4">
        <v>250.01544999999999</v>
      </c>
      <c r="AA174" s="1">
        <v>84</v>
      </c>
      <c r="AB174" s="5">
        <v>100.625</v>
      </c>
      <c r="AC174" s="3">
        <f t="shared" si="30"/>
        <v>100.54826</v>
      </c>
      <c r="AD174" s="1">
        <f t="shared" si="25"/>
        <v>6.307041205746637E-3</v>
      </c>
      <c r="AF174" s="11">
        <v>525.52608999999995</v>
      </c>
      <c r="AG174" s="1">
        <v>84</v>
      </c>
      <c r="AH174" s="12">
        <v>11.3642</v>
      </c>
      <c r="AI174" s="3">
        <f t="shared" si="31"/>
        <v>14.371889999999993</v>
      </c>
      <c r="AJ174" s="1">
        <f t="shared" si="34"/>
        <v>1.0351988506391419</v>
      </c>
      <c r="AL174" s="11">
        <v>525.52854000000002</v>
      </c>
      <c r="AM174" s="1">
        <v>84</v>
      </c>
      <c r="AN174" s="12">
        <v>12.0113</v>
      </c>
      <c r="AO174" s="3">
        <f t="shared" si="32"/>
        <v>15.104800000000012</v>
      </c>
      <c r="AP174" s="1">
        <f t="shared" si="35"/>
        <v>1.0264507259352578</v>
      </c>
      <c r="AR174" s="11">
        <v>357.38551000000001</v>
      </c>
      <c r="AS174" s="1">
        <v>84</v>
      </c>
      <c r="AT174" s="12">
        <v>90.617469999999997</v>
      </c>
      <c r="AU174" s="3">
        <f t="shared" si="33"/>
        <v>91.271959999999993</v>
      </c>
    </row>
    <row r="175" spans="2:47" ht="16" x14ac:dyDescent="0.2">
      <c r="B175" s="2">
        <v>200.02537000000001</v>
      </c>
      <c r="C175" s="1">
        <v>84.5</v>
      </c>
      <c r="D175" s="5">
        <v>99.941000000000003</v>
      </c>
      <c r="E175" s="3">
        <f t="shared" si="26"/>
        <v>100.65430000000001</v>
      </c>
      <c r="H175" s="4">
        <v>225.00196</v>
      </c>
      <c r="I175" s="1">
        <v>84.5</v>
      </c>
      <c r="J175" s="5">
        <v>95.144949999999994</v>
      </c>
      <c r="K175" s="3">
        <f t="shared" si="27"/>
        <v>99.252529999999993</v>
      </c>
      <c r="L175" s="1">
        <f t="shared" si="36"/>
        <v>1.3762903307361424E-2</v>
      </c>
      <c r="N175" s="4">
        <v>225.02006</v>
      </c>
      <c r="O175" s="1">
        <v>84.5</v>
      </c>
      <c r="P175" s="5">
        <v>100.66243</v>
      </c>
      <c r="Q175" s="3">
        <f t="shared" si="28"/>
        <v>100.79801</v>
      </c>
      <c r="T175" s="4">
        <v>249.99897000000001</v>
      </c>
      <c r="U175" s="1">
        <v>84.5</v>
      </c>
      <c r="V175" s="3">
        <v>94.657250000000005</v>
      </c>
      <c r="W175" s="3">
        <f t="shared" si="29"/>
        <v>98.81465</v>
      </c>
      <c r="X175" s="1">
        <f t="shared" si="37"/>
        <v>2.1837582816742262E-2</v>
      </c>
      <c r="Z175" s="4">
        <v>250.01365000000001</v>
      </c>
      <c r="AA175" s="1">
        <v>84.5</v>
      </c>
      <c r="AB175" s="3">
        <v>100.47875000000001</v>
      </c>
      <c r="AC175" s="3">
        <f t="shared" si="30"/>
        <v>100.40201</v>
      </c>
      <c r="AD175" s="1">
        <f t="shared" si="25"/>
        <v>8.0562395755348192E-3</v>
      </c>
      <c r="AF175" s="11">
        <v>528.02809999999999</v>
      </c>
      <c r="AG175" s="1">
        <v>84.5</v>
      </c>
      <c r="AH175" s="13">
        <v>11.31457</v>
      </c>
      <c r="AI175" s="3">
        <f t="shared" si="31"/>
        <v>14.32226</v>
      </c>
      <c r="AJ175" s="1">
        <f t="shared" si="34"/>
        <v>1.0357986787235349</v>
      </c>
      <c r="AL175" s="11">
        <v>528.03274999999996</v>
      </c>
      <c r="AM175" s="1">
        <v>84.5</v>
      </c>
      <c r="AN175" s="13">
        <v>11.97514</v>
      </c>
      <c r="AO175" s="3">
        <f t="shared" si="32"/>
        <v>15.068640000000002</v>
      </c>
      <c r="AP175" s="1">
        <f t="shared" si="35"/>
        <v>1.0268874927130778</v>
      </c>
      <c r="AR175" s="11">
        <v>358.89251999999999</v>
      </c>
      <c r="AS175" s="1">
        <v>84.5</v>
      </c>
      <c r="AT175" s="13">
        <v>90.139219999999995</v>
      </c>
      <c r="AU175" s="3">
        <f t="shared" si="33"/>
        <v>90.79370999999999</v>
      </c>
    </row>
    <row r="176" spans="2:47" ht="16" x14ac:dyDescent="0.2">
      <c r="B176" s="2">
        <v>200.02754999999999</v>
      </c>
      <c r="C176" s="1">
        <v>85</v>
      </c>
      <c r="D176" s="3">
        <v>99.733670000000004</v>
      </c>
      <c r="E176" s="3">
        <f t="shared" si="26"/>
        <v>100.44697000000001</v>
      </c>
      <c r="H176" s="4">
        <v>225.00702000000001</v>
      </c>
      <c r="I176" s="1">
        <v>85</v>
      </c>
      <c r="J176" s="3">
        <v>95.158180000000002</v>
      </c>
      <c r="K176" s="3">
        <f t="shared" si="27"/>
        <v>99.26576</v>
      </c>
      <c r="L176" s="1">
        <f t="shared" si="36"/>
        <v>1.3603596229523432E-2</v>
      </c>
      <c r="N176" s="4">
        <v>225.01821000000001</v>
      </c>
      <c r="O176" s="1">
        <v>85</v>
      </c>
      <c r="P176" s="3">
        <v>100.66889</v>
      </c>
      <c r="Q176" s="3">
        <f t="shared" si="28"/>
        <v>100.80447000000001</v>
      </c>
      <c r="T176" s="4">
        <v>250.00402</v>
      </c>
      <c r="U176" s="1">
        <v>85</v>
      </c>
      <c r="V176" s="5">
        <v>94.659210000000002</v>
      </c>
      <c r="W176" s="3">
        <f t="shared" si="29"/>
        <v>98.816609999999997</v>
      </c>
      <c r="X176" s="1">
        <f t="shared" si="37"/>
        <v>2.1814037346417344E-2</v>
      </c>
      <c r="Z176" s="4">
        <v>250.01320000000001</v>
      </c>
      <c r="AA176" s="1">
        <v>85</v>
      </c>
      <c r="AB176" s="5">
        <v>100.52195</v>
      </c>
      <c r="AC176" s="3">
        <f t="shared" si="30"/>
        <v>100.44521</v>
      </c>
      <c r="AD176" s="1">
        <f t="shared" si="25"/>
        <v>7.5395532878435373E-3</v>
      </c>
      <c r="AF176" s="11">
        <v>530.52731000000006</v>
      </c>
      <c r="AG176" s="1">
        <v>85</v>
      </c>
      <c r="AH176" s="12">
        <v>11.28519</v>
      </c>
      <c r="AI176" s="3">
        <f t="shared" si="31"/>
        <v>14.292879999999997</v>
      </c>
      <c r="AJ176" s="1">
        <f t="shared" si="34"/>
        <v>1.0361537653469375</v>
      </c>
      <c r="AL176" s="11">
        <v>530.53623000000005</v>
      </c>
      <c r="AM176" s="1">
        <v>85</v>
      </c>
      <c r="AN176" s="12">
        <v>11.93669</v>
      </c>
      <c r="AO176" s="3">
        <f t="shared" si="32"/>
        <v>15.030190000000005</v>
      </c>
      <c r="AP176" s="1">
        <f t="shared" si="35"/>
        <v>1.0273519197763294</v>
      </c>
      <c r="AR176" s="11">
        <v>360.40057999999999</v>
      </c>
      <c r="AS176" s="1">
        <v>85</v>
      </c>
      <c r="AT176" s="12">
        <v>89.595410000000001</v>
      </c>
      <c r="AU176" s="3">
        <f t="shared" si="33"/>
        <v>90.249899999999997</v>
      </c>
    </row>
    <row r="177" spans="2:47" ht="16" x14ac:dyDescent="0.2">
      <c r="B177" s="2">
        <v>200.02905999999999</v>
      </c>
      <c r="C177" s="1">
        <v>85.5</v>
      </c>
      <c r="D177" s="5">
        <v>99.918660000000003</v>
      </c>
      <c r="E177" s="3">
        <f t="shared" si="26"/>
        <v>100.63196000000001</v>
      </c>
      <c r="H177" s="4">
        <v>225.00493</v>
      </c>
      <c r="I177" s="1">
        <v>85.5</v>
      </c>
      <c r="J177" s="5">
        <v>95.155910000000006</v>
      </c>
      <c r="K177" s="3">
        <f t="shared" si="27"/>
        <v>99.263490000000004</v>
      </c>
      <c r="L177" s="1">
        <f t="shared" si="36"/>
        <v>1.3630930096998216E-2</v>
      </c>
      <c r="N177" s="4">
        <v>225.01783</v>
      </c>
      <c r="O177" s="1">
        <v>85.5</v>
      </c>
      <c r="P177" s="5">
        <v>100.75648</v>
      </c>
      <c r="Q177" s="3">
        <f t="shared" si="28"/>
        <v>100.89206</v>
      </c>
      <c r="T177" s="4">
        <v>250.00402</v>
      </c>
      <c r="U177" s="1">
        <v>85.5</v>
      </c>
      <c r="V177" s="3">
        <v>94.64331</v>
      </c>
      <c r="W177" s="3">
        <f t="shared" si="29"/>
        <v>98.800709999999995</v>
      </c>
      <c r="X177" s="1">
        <f t="shared" si="37"/>
        <v>2.2005043967931043E-2</v>
      </c>
      <c r="Z177" s="4">
        <v>250.01186000000001</v>
      </c>
      <c r="AA177" s="1">
        <v>85.5</v>
      </c>
      <c r="AB177" s="3">
        <v>100.51595</v>
      </c>
      <c r="AC177" s="3">
        <f t="shared" si="30"/>
        <v>100.43921</v>
      </c>
      <c r="AD177" s="1">
        <f t="shared" si="25"/>
        <v>7.6113152722451088E-3</v>
      </c>
      <c r="AF177" s="11">
        <v>533.03098</v>
      </c>
      <c r="AG177" s="1">
        <v>85.5</v>
      </c>
      <c r="AH177" s="13">
        <v>11.29208</v>
      </c>
      <c r="AI177" s="3">
        <f t="shared" si="31"/>
        <v>14.299769999999995</v>
      </c>
      <c r="AJ177" s="1">
        <f t="shared" si="34"/>
        <v>1.0360704928202105</v>
      </c>
      <c r="AL177" s="11">
        <v>533.03228999999999</v>
      </c>
      <c r="AM177" s="1">
        <v>85.5</v>
      </c>
      <c r="AN177" s="13">
        <v>11.93798</v>
      </c>
      <c r="AO177" s="3">
        <f t="shared" si="32"/>
        <v>15.031480000000002</v>
      </c>
      <c r="AP177" s="1">
        <f t="shared" si="35"/>
        <v>1.0273363382181606</v>
      </c>
      <c r="AR177" s="11">
        <v>361.90370999999999</v>
      </c>
      <c r="AS177" s="1">
        <v>85.5</v>
      </c>
      <c r="AT177" s="13">
        <v>89.08023</v>
      </c>
      <c r="AU177" s="3">
        <f t="shared" si="33"/>
        <v>89.734719999999996</v>
      </c>
    </row>
    <row r="178" spans="2:47" ht="16" x14ac:dyDescent="0.2">
      <c r="B178" s="2">
        <v>200.02815000000001</v>
      </c>
      <c r="C178" s="1">
        <v>86</v>
      </c>
      <c r="D178" s="3">
        <v>99.933689999999999</v>
      </c>
      <c r="E178" s="3">
        <f t="shared" si="26"/>
        <v>100.64699</v>
      </c>
      <c r="H178" s="4">
        <v>225.001</v>
      </c>
      <c r="I178" s="1">
        <v>86</v>
      </c>
      <c r="J178" s="3">
        <v>95.144890000000004</v>
      </c>
      <c r="K178" s="3">
        <f t="shared" si="27"/>
        <v>99.252470000000002</v>
      </c>
      <c r="L178" s="1">
        <f t="shared" si="36"/>
        <v>1.3763625788439942E-2</v>
      </c>
      <c r="N178" s="4">
        <v>225.0172</v>
      </c>
      <c r="O178" s="1">
        <v>86</v>
      </c>
      <c r="P178" s="3">
        <v>100.66824</v>
      </c>
      <c r="Q178" s="3">
        <f t="shared" si="28"/>
        <v>100.80382</v>
      </c>
      <c r="T178" s="4">
        <v>250.00398000000001</v>
      </c>
      <c r="U178" s="1">
        <v>86</v>
      </c>
      <c r="V178" s="5">
        <v>94.602720000000005</v>
      </c>
      <c r="W178" s="3">
        <f t="shared" si="29"/>
        <v>98.760120000000001</v>
      </c>
      <c r="X178" s="1">
        <f t="shared" si="37"/>
        <v>2.2492651437568716E-2</v>
      </c>
      <c r="Z178" s="4">
        <v>250.01411999999999</v>
      </c>
      <c r="AA178" s="1">
        <v>86</v>
      </c>
      <c r="AB178" s="5">
        <v>100.55407</v>
      </c>
      <c r="AC178" s="3">
        <f t="shared" si="30"/>
        <v>100.47732999999999</v>
      </c>
      <c r="AD178" s="1">
        <f t="shared" si="25"/>
        <v>7.1553874646805684E-3</v>
      </c>
      <c r="AF178" s="11">
        <v>535.53238999999996</v>
      </c>
      <c r="AG178" s="1">
        <v>86</v>
      </c>
      <c r="AH178" s="12">
        <v>11.2423</v>
      </c>
      <c r="AI178" s="3">
        <f t="shared" si="31"/>
        <v>14.249989999999997</v>
      </c>
      <c r="AJ178" s="1">
        <f t="shared" si="34"/>
        <v>1.0366721338043146</v>
      </c>
      <c r="AL178" s="11">
        <v>535.53228000000001</v>
      </c>
      <c r="AM178" s="1">
        <v>86</v>
      </c>
      <c r="AN178" s="12">
        <v>11.9102</v>
      </c>
      <c r="AO178" s="3">
        <f t="shared" si="32"/>
        <v>15.003700000000009</v>
      </c>
      <c r="AP178" s="1">
        <f t="shared" si="35"/>
        <v>1.027671885261519</v>
      </c>
      <c r="AR178" s="11">
        <v>363.41235</v>
      </c>
      <c r="AS178" s="1">
        <v>86</v>
      </c>
      <c r="AT178" s="12">
        <v>88.52901</v>
      </c>
      <c r="AU178" s="3">
        <f t="shared" si="33"/>
        <v>89.183499999999995</v>
      </c>
    </row>
    <row r="179" spans="2:47" ht="16" x14ac:dyDescent="0.2">
      <c r="B179" s="2">
        <v>200.02329</v>
      </c>
      <c r="C179" s="1">
        <v>86.5</v>
      </c>
      <c r="D179" s="5">
        <v>99.79307</v>
      </c>
      <c r="E179" s="3">
        <f t="shared" si="26"/>
        <v>100.50637</v>
      </c>
      <c r="H179" s="4">
        <v>225.00296</v>
      </c>
      <c r="I179" s="1">
        <v>86.5</v>
      </c>
      <c r="J179" s="5">
        <v>95.107410000000002</v>
      </c>
      <c r="K179" s="3">
        <f t="shared" si="27"/>
        <v>99.21499</v>
      </c>
      <c r="L179" s="1">
        <f t="shared" si="36"/>
        <v>1.4214935635557481E-2</v>
      </c>
      <c r="N179" s="4">
        <v>225.01414</v>
      </c>
      <c r="O179" s="1">
        <v>86.5</v>
      </c>
      <c r="P179" s="5">
        <v>100.84329</v>
      </c>
      <c r="Q179" s="3">
        <f t="shared" si="28"/>
        <v>100.97887</v>
      </c>
      <c r="T179" s="4">
        <v>250.005</v>
      </c>
      <c r="U179" s="1">
        <v>86.5</v>
      </c>
      <c r="V179" s="3">
        <v>94.60924</v>
      </c>
      <c r="W179" s="3">
        <f t="shared" si="29"/>
        <v>98.766639999999995</v>
      </c>
      <c r="X179" s="1">
        <f t="shared" si="37"/>
        <v>2.2414326709753109E-2</v>
      </c>
      <c r="Z179" s="4">
        <v>250.01451</v>
      </c>
      <c r="AA179" s="1">
        <v>86.5</v>
      </c>
      <c r="AB179" s="3">
        <v>100.59932999999999</v>
      </c>
      <c r="AC179" s="3">
        <f t="shared" si="30"/>
        <v>100.52258999999999</v>
      </c>
      <c r="AD179" s="1">
        <f t="shared" si="25"/>
        <v>6.6140628956780781E-3</v>
      </c>
      <c r="AF179" s="11">
        <v>538.03669000000002</v>
      </c>
      <c r="AG179" s="1">
        <v>86.5</v>
      </c>
      <c r="AH179" s="13">
        <v>11.22883</v>
      </c>
      <c r="AI179" s="3">
        <f t="shared" si="31"/>
        <v>14.236519999999999</v>
      </c>
      <c r="AJ179" s="1">
        <f t="shared" si="34"/>
        <v>1.0368349321983659</v>
      </c>
      <c r="AL179" s="11">
        <v>538.03624000000002</v>
      </c>
      <c r="AM179" s="1">
        <v>86.5</v>
      </c>
      <c r="AN179" s="13">
        <v>11.86205</v>
      </c>
      <c r="AO179" s="3">
        <f t="shared" si="32"/>
        <v>14.955550000000002</v>
      </c>
      <c r="AP179" s="1">
        <f t="shared" si="35"/>
        <v>1.0282534759792192</v>
      </c>
      <c r="AR179" s="11">
        <v>364.91622000000001</v>
      </c>
      <c r="AS179" s="1">
        <v>86.5</v>
      </c>
      <c r="AT179" s="13">
        <v>87.930080000000004</v>
      </c>
      <c r="AU179" s="3">
        <f t="shared" si="33"/>
        <v>88.584569999999999</v>
      </c>
    </row>
    <row r="180" spans="2:47" ht="16" x14ac:dyDescent="0.2">
      <c r="B180" s="2">
        <v>200.01862</v>
      </c>
      <c r="C180" s="1">
        <v>87</v>
      </c>
      <c r="D180" s="3">
        <v>99.936949999999996</v>
      </c>
      <c r="E180" s="3">
        <f t="shared" si="26"/>
        <v>100.65025</v>
      </c>
      <c r="H180" s="4">
        <v>225.00301999999999</v>
      </c>
      <c r="I180" s="1">
        <v>87</v>
      </c>
      <c r="J180" s="3">
        <v>95.12182</v>
      </c>
      <c r="K180" s="3">
        <f t="shared" si="27"/>
        <v>99.229399999999998</v>
      </c>
      <c r="L180" s="1">
        <f t="shared" si="36"/>
        <v>1.404141976317321E-2</v>
      </c>
      <c r="N180" s="4">
        <v>225.01018999999999</v>
      </c>
      <c r="O180" s="1">
        <v>87</v>
      </c>
      <c r="P180" s="3">
        <v>100.6559</v>
      </c>
      <c r="Q180" s="3">
        <f t="shared" si="28"/>
        <v>100.79148000000001</v>
      </c>
      <c r="T180" s="4">
        <v>250.00299999999999</v>
      </c>
      <c r="U180" s="1">
        <v>87</v>
      </c>
      <c r="V180" s="5">
        <v>94.569069999999996</v>
      </c>
      <c r="W180" s="3">
        <f t="shared" si="29"/>
        <v>98.726469999999992</v>
      </c>
      <c r="X180" s="1">
        <f t="shared" si="37"/>
        <v>2.2896888721464111E-2</v>
      </c>
      <c r="Z180" s="4">
        <v>250.01667</v>
      </c>
      <c r="AA180" s="1">
        <v>87</v>
      </c>
      <c r="AB180" s="5">
        <v>100.55694</v>
      </c>
      <c r="AC180" s="3">
        <f t="shared" si="30"/>
        <v>100.4802</v>
      </c>
      <c r="AD180" s="1">
        <f t="shared" si="25"/>
        <v>7.1210613154751327E-3</v>
      </c>
      <c r="AF180" s="11">
        <v>540.53696000000002</v>
      </c>
      <c r="AG180" s="1">
        <v>87</v>
      </c>
      <c r="AH180" s="12">
        <v>11.19258</v>
      </c>
      <c r="AI180" s="3">
        <f t="shared" si="31"/>
        <v>14.200269999999989</v>
      </c>
      <c r="AJ180" s="1">
        <f t="shared" si="34"/>
        <v>1.0372730496285343</v>
      </c>
      <c r="AL180" s="11">
        <v>540.54138999999998</v>
      </c>
      <c r="AM180" s="1">
        <v>87</v>
      </c>
      <c r="AN180" s="12">
        <v>11.830500000000001</v>
      </c>
      <c r="AO180" s="3">
        <f t="shared" si="32"/>
        <v>14.924000000000007</v>
      </c>
      <c r="AP180" s="1">
        <f t="shared" si="35"/>
        <v>1.028634559824358</v>
      </c>
      <c r="AR180" s="11">
        <v>366.42374999999998</v>
      </c>
      <c r="AS180" s="1">
        <v>87</v>
      </c>
      <c r="AT180" s="12">
        <v>87.341009999999997</v>
      </c>
      <c r="AU180" s="3">
        <f t="shared" si="33"/>
        <v>87.995499999999993</v>
      </c>
    </row>
    <row r="181" spans="2:47" ht="16" x14ac:dyDescent="0.2">
      <c r="B181" s="2">
        <v>200.0172</v>
      </c>
      <c r="C181" s="1">
        <v>87.5</v>
      </c>
      <c r="D181" s="5">
        <v>99.798190000000005</v>
      </c>
      <c r="E181" s="3">
        <f t="shared" si="26"/>
        <v>100.51149000000001</v>
      </c>
      <c r="H181" s="4">
        <v>225.01005000000001</v>
      </c>
      <c r="I181" s="1">
        <v>87.5</v>
      </c>
      <c r="J181" s="5">
        <v>95.118560000000002</v>
      </c>
      <c r="K181" s="3">
        <f t="shared" si="27"/>
        <v>99.226140000000001</v>
      </c>
      <c r="L181" s="1">
        <f t="shared" si="36"/>
        <v>1.4080674568445407E-2</v>
      </c>
      <c r="N181" s="4">
        <v>225.01166000000001</v>
      </c>
      <c r="O181" s="1">
        <v>87.5</v>
      </c>
      <c r="P181" s="5">
        <v>100.72144</v>
      </c>
      <c r="Q181" s="3">
        <f t="shared" si="28"/>
        <v>100.85702000000001</v>
      </c>
      <c r="T181" s="4">
        <v>250.00298000000001</v>
      </c>
      <c r="U181" s="1">
        <v>87.5</v>
      </c>
      <c r="V181" s="3">
        <v>94.552940000000007</v>
      </c>
      <c r="W181" s="3">
        <f t="shared" si="29"/>
        <v>98.710340000000002</v>
      </c>
      <c r="X181" s="1">
        <f t="shared" si="37"/>
        <v>2.3090658331842324E-2</v>
      </c>
      <c r="Z181" s="4">
        <v>250.01704000000001</v>
      </c>
      <c r="AA181" s="1">
        <v>87.5</v>
      </c>
      <c r="AB181" s="3">
        <v>100.57698000000001</v>
      </c>
      <c r="AC181" s="3">
        <f t="shared" si="30"/>
        <v>100.50024000000001</v>
      </c>
      <c r="AD181" s="1">
        <f t="shared" si="25"/>
        <v>6.8813762875737884E-3</v>
      </c>
      <c r="AF181" s="11">
        <v>543.04013999999995</v>
      </c>
      <c r="AG181" s="1">
        <v>87.5</v>
      </c>
      <c r="AH181" s="13">
        <v>11.171569999999999</v>
      </c>
      <c r="AI181" s="3">
        <f t="shared" si="31"/>
        <v>14.179259999999999</v>
      </c>
      <c r="AJ181" s="1">
        <f t="shared" si="34"/>
        <v>1.0375269764480606</v>
      </c>
      <c r="AL181" s="11">
        <v>543.04638</v>
      </c>
      <c r="AM181" s="1">
        <v>87.5</v>
      </c>
      <c r="AN181" s="13">
        <v>11.792070000000001</v>
      </c>
      <c r="AO181" s="3">
        <f t="shared" si="32"/>
        <v>14.885570000000001</v>
      </c>
      <c r="AP181" s="1">
        <f t="shared" si="35"/>
        <v>1.0290987453130644</v>
      </c>
      <c r="AR181" s="11">
        <v>367.92957000000001</v>
      </c>
      <c r="AS181" s="1">
        <v>87.5</v>
      </c>
      <c r="AT181" s="13">
        <v>86.706339999999997</v>
      </c>
      <c r="AU181" s="3">
        <f t="shared" si="33"/>
        <v>87.360829999999993</v>
      </c>
    </row>
    <row r="182" spans="2:47" ht="16" x14ac:dyDescent="0.2">
      <c r="B182" s="2">
        <v>200.01563999999999</v>
      </c>
      <c r="C182" s="1">
        <v>88</v>
      </c>
      <c r="D182" s="3">
        <v>99.957099999999997</v>
      </c>
      <c r="E182" s="3">
        <f t="shared" si="26"/>
        <v>100.6704</v>
      </c>
      <c r="H182" s="4">
        <v>225.00919999999999</v>
      </c>
      <c r="I182" s="1">
        <v>88</v>
      </c>
      <c r="J182" s="3">
        <v>95.094949999999997</v>
      </c>
      <c r="K182" s="3">
        <f t="shared" si="27"/>
        <v>99.202529999999996</v>
      </c>
      <c r="L182" s="1">
        <f t="shared" si="36"/>
        <v>1.4364970872886355E-2</v>
      </c>
      <c r="N182" s="4">
        <v>225.01650000000001</v>
      </c>
      <c r="O182" s="1">
        <v>88</v>
      </c>
      <c r="P182" s="3">
        <v>100.69166</v>
      </c>
      <c r="Q182" s="3">
        <f t="shared" si="28"/>
        <v>100.82724</v>
      </c>
      <c r="T182" s="4">
        <v>250.00301999999999</v>
      </c>
      <c r="U182" s="1">
        <v>88</v>
      </c>
      <c r="V182" s="5">
        <v>94.54907</v>
      </c>
      <c r="W182" s="3">
        <f t="shared" si="29"/>
        <v>98.706469999999996</v>
      </c>
      <c r="X182" s="1">
        <f t="shared" si="37"/>
        <v>2.3137148622739124E-2</v>
      </c>
      <c r="Z182" s="4">
        <v>250.01468</v>
      </c>
      <c r="AA182" s="1">
        <v>88</v>
      </c>
      <c r="AB182" s="5">
        <v>100.61072</v>
      </c>
      <c r="AC182" s="3">
        <f t="shared" si="30"/>
        <v>100.53398</v>
      </c>
      <c r="AD182" s="1">
        <f t="shared" si="25"/>
        <v>6.4778347286223639E-3</v>
      </c>
      <c r="AF182" s="11">
        <v>545.54204000000004</v>
      </c>
      <c r="AG182" s="1">
        <v>88</v>
      </c>
      <c r="AH182" s="12">
        <v>11.11478</v>
      </c>
      <c r="AI182" s="3">
        <f t="shared" si="31"/>
        <v>14.122469999999993</v>
      </c>
      <c r="AJ182" s="1">
        <f t="shared" si="34"/>
        <v>1.0382133402786609</v>
      </c>
      <c r="AL182" s="11">
        <v>545.54535999999996</v>
      </c>
      <c r="AM182" s="1">
        <v>88</v>
      </c>
      <c r="AN182" s="12">
        <v>11.74367</v>
      </c>
      <c r="AO182" s="3">
        <f t="shared" si="32"/>
        <v>14.83717</v>
      </c>
      <c r="AP182" s="1">
        <f t="shared" si="35"/>
        <v>1.0296833557125802</v>
      </c>
      <c r="AR182" s="11">
        <v>369.42950000000002</v>
      </c>
      <c r="AS182" s="1">
        <v>88</v>
      </c>
      <c r="AT182" s="12">
        <v>86.072999999999993</v>
      </c>
      <c r="AU182" s="3">
        <f t="shared" si="33"/>
        <v>86.727489999999989</v>
      </c>
    </row>
    <row r="183" spans="2:47" ht="16" x14ac:dyDescent="0.2">
      <c r="B183" s="2">
        <v>200.01444000000001</v>
      </c>
      <c r="C183" s="1">
        <v>88.5</v>
      </c>
      <c r="D183" s="5">
        <v>99.897120000000001</v>
      </c>
      <c r="E183" s="3">
        <f t="shared" si="26"/>
        <v>100.61042</v>
      </c>
      <c r="H183" s="4">
        <v>225.00502</v>
      </c>
      <c r="I183" s="1">
        <v>88.5</v>
      </c>
      <c r="J183" s="5">
        <v>95.105450000000005</v>
      </c>
      <c r="K183" s="3">
        <f t="shared" si="27"/>
        <v>99.213030000000003</v>
      </c>
      <c r="L183" s="1">
        <f t="shared" si="36"/>
        <v>1.4238536684126021E-2</v>
      </c>
      <c r="N183" s="4">
        <v>225.01969</v>
      </c>
      <c r="O183" s="1">
        <v>88.5</v>
      </c>
      <c r="P183" s="5">
        <v>100.69181</v>
      </c>
      <c r="Q183" s="3">
        <f t="shared" si="28"/>
        <v>100.82739000000001</v>
      </c>
      <c r="T183" s="4">
        <v>250.01003</v>
      </c>
      <c r="U183" s="1">
        <v>88.5</v>
      </c>
      <c r="V183" s="3">
        <v>94.549130000000005</v>
      </c>
      <c r="W183" s="3">
        <f t="shared" si="29"/>
        <v>98.706530000000001</v>
      </c>
      <c r="X183" s="1">
        <f t="shared" si="37"/>
        <v>2.313642784303524E-2</v>
      </c>
      <c r="Z183" s="4">
        <v>250.01142999999999</v>
      </c>
      <c r="AA183" s="1">
        <v>88.5</v>
      </c>
      <c r="AB183" s="3">
        <v>100.53086</v>
      </c>
      <c r="AC183" s="3">
        <f t="shared" si="30"/>
        <v>100.45412</v>
      </c>
      <c r="AD183" s="1">
        <f t="shared" si="25"/>
        <v>7.4329867410072052E-3</v>
      </c>
      <c r="AF183" s="11">
        <v>548.04832999999996</v>
      </c>
      <c r="AG183" s="1">
        <v>88.5</v>
      </c>
      <c r="AH183" s="13">
        <v>10.9961</v>
      </c>
      <c r="AI183" s="3">
        <f t="shared" si="31"/>
        <v>14.003789999999995</v>
      </c>
      <c r="AJ183" s="1">
        <f t="shared" si="34"/>
        <v>1.0396477065300365</v>
      </c>
      <c r="AL183" s="11">
        <v>548.04792999999995</v>
      </c>
      <c r="AM183" s="1">
        <v>88.5</v>
      </c>
      <c r="AN183" s="13">
        <v>11.677060000000001</v>
      </c>
      <c r="AO183" s="3">
        <f t="shared" si="32"/>
        <v>14.770560000000003</v>
      </c>
      <c r="AP183" s="1">
        <f t="shared" si="35"/>
        <v>1.0304879197355501</v>
      </c>
      <c r="AR183" s="11">
        <v>370.93162999999998</v>
      </c>
      <c r="AS183" s="1">
        <v>88.5</v>
      </c>
      <c r="AT183" s="13">
        <v>85.383849999999995</v>
      </c>
      <c r="AU183" s="3">
        <f t="shared" si="33"/>
        <v>86.038339999999991</v>
      </c>
    </row>
    <row r="184" spans="2:47" ht="16" x14ac:dyDescent="0.2">
      <c r="B184" s="2">
        <v>200.01436000000001</v>
      </c>
      <c r="C184" s="1">
        <v>89</v>
      </c>
      <c r="D184" s="3">
        <v>99.934439999999995</v>
      </c>
      <c r="E184" s="3">
        <f t="shared" si="26"/>
        <v>100.64774</v>
      </c>
      <c r="H184" s="4">
        <v>225.00299999999999</v>
      </c>
      <c r="I184" s="1">
        <v>89</v>
      </c>
      <c r="J184" s="3">
        <v>95.084419999999994</v>
      </c>
      <c r="K184" s="3">
        <f t="shared" si="27"/>
        <v>99.191999999999993</v>
      </c>
      <c r="L184" s="1">
        <f t="shared" si="36"/>
        <v>1.4491766302185946E-2</v>
      </c>
      <c r="N184" s="4">
        <v>225.01949999999999</v>
      </c>
      <c r="O184" s="1">
        <v>89</v>
      </c>
      <c r="P184" s="3">
        <v>100.71738000000001</v>
      </c>
      <c r="Q184" s="3">
        <f t="shared" si="28"/>
        <v>100.85296000000001</v>
      </c>
      <c r="T184" s="4">
        <v>250.01201</v>
      </c>
      <c r="U184" s="1">
        <v>89</v>
      </c>
      <c r="V184" s="5">
        <v>94.526870000000002</v>
      </c>
      <c r="W184" s="3">
        <f t="shared" si="29"/>
        <v>98.684269999999998</v>
      </c>
      <c r="X184" s="1">
        <f t="shared" si="37"/>
        <v>2.3403837113154417E-2</v>
      </c>
      <c r="Z184" s="4">
        <v>250.01122000000001</v>
      </c>
      <c r="AA184" s="1">
        <v>89</v>
      </c>
      <c r="AB184" s="5">
        <v>100.50353</v>
      </c>
      <c r="AC184" s="3">
        <f t="shared" si="30"/>
        <v>100.42679</v>
      </c>
      <c r="AD184" s="1">
        <f t="shared" si="25"/>
        <v>7.7598625799564268E-3</v>
      </c>
      <c r="AF184" s="11">
        <v>550.54749000000004</v>
      </c>
      <c r="AG184" s="1">
        <v>89</v>
      </c>
      <c r="AH184" s="12">
        <v>11.03267</v>
      </c>
      <c r="AI184" s="3">
        <f t="shared" si="31"/>
        <v>14.040359999999993</v>
      </c>
      <c r="AJ184" s="1">
        <f t="shared" si="34"/>
        <v>1.0392057215804846</v>
      </c>
      <c r="AL184" s="11">
        <v>550.54483000000005</v>
      </c>
      <c r="AM184" s="1">
        <v>89</v>
      </c>
      <c r="AN184" s="12">
        <v>11.674160000000001</v>
      </c>
      <c r="AO184" s="3">
        <f t="shared" si="32"/>
        <v>14.767660000000006</v>
      </c>
      <c r="AP184" s="1">
        <f t="shared" si="35"/>
        <v>1.0305229480446121</v>
      </c>
      <c r="AR184" s="11">
        <v>372.43862000000001</v>
      </c>
      <c r="AS184" s="1">
        <v>89</v>
      </c>
      <c r="AT184" s="12">
        <v>84.683800000000005</v>
      </c>
      <c r="AU184" s="3">
        <f t="shared" si="33"/>
        <v>85.338290000000001</v>
      </c>
    </row>
    <row r="185" spans="2:47" ht="16" x14ac:dyDescent="0.2">
      <c r="B185" s="2">
        <v>200.01617999999999</v>
      </c>
      <c r="C185" s="1">
        <v>89.5</v>
      </c>
      <c r="D185" s="5">
        <v>99.98</v>
      </c>
      <c r="E185" s="3">
        <f t="shared" si="26"/>
        <v>100.69330000000001</v>
      </c>
      <c r="H185" s="4">
        <v>225.00306</v>
      </c>
      <c r="I185" s="1">
        <v>89.5</v>
      </c>
      <c r="J185" s="5">
        <v>95.083860000000001</v>
      </c>
      <c r="K185" s="3">
        <f t="shared" si="27"/>
        <v>99.19144</v>
      </c>
      <c r="L185" s="1">
        <f t="shared" si="36"/>
        <v>1.449850945891974E-2</v>
      </c>
      <c r="N185" s="4">
        <v>225.01866000000001</v>
      </c>
      <c r="O185" s="1">
        <v>89.5</v>
      </c>
      <c r="P185" s="5">
        <v>100.73921</v>
      </c>
      <c r="Q185" s="3">
        <f t="shared" si="28"/>
        <v>100.87479</v>
      </c>
      <c r="T185" s="4">
        <v>250.00800000000001</v>
      </c>
      <c r="U185" s="1">
        <v>89.5</v>
      </c>
      <c r="V185" s="3">
        <v>94.547129999999996</v>
      </c>
      <c r="W185" s="3">
        <f t="shared" si="29"/>
        <v>98.704529999999991</v>
      </c>
      <c r="X185" s="1">
        <f t="shared" si="37"/>
        <v>2.3160453833162863E-2</v>
      </c>
      <c r="Z185" s="4">
        <v>250.01208</v>
      </c>
      <c r="AA185" s="1">
        <v>89.5</v>
      </c>
      <c r="AB185" s="3">
        <v>100.51215999999999</v>
      </c>
      <c r="AC185" s="3">
        <f t="shared" si="30"/>
        <v>100.43541999999999</v>
      </c>
      <c r="AD185" s="1">
        <f t="shared" si="25"/>
        <v>7.6566449257255446E-3</v>
      </c>
      <c r="AF185" s="11">
        <v>553.05110000000002</v>
      </c>
      <c r="AG185" s="1">
        <v>89.5</v>
      </c>
      <c r="AH185" s="13">
        <v>10.99572</v>
      </c>
      <c r="AI185" s="3">
        <f t="shared" si="31"/>
        <v>14.003410000000002</v>
      </c>
      <c r="AJ185" s="1">
        <f t="shared" si="34"/>
        <v>1.0396522992093045</v>
      </c>
      <c r="AL185" s="11">
        <v>553.05460000000005</v>
      </c>
      <c r="AM185" s="1">
        <v>89.5</v>
      </c>
      <c r="AN185" s="13">
        <v>11.65418</v>
      </c>
      <c r="AO185" s="3">
        <f t="shared" si="32"/>
        <v>14.747680000000003</v>
      </c>
      <c r="AP185" s="1">
        <f t="shared" si="35"/>
        <v>1.0307642810153212</v>
      </c>
      <c r="AR185" s="11">
        <v>373.93587000000002</v>
      </c>
      <c r="AS185" s="1">
        <v>89.5</v>
      </c>
      <c r="AT185" s="13">
        <v>83.741249999999994</v>
      </c>
      <c r="AU185" s="3">
        <f t="shared" si="33"/>
        <v>84.395739999999989</v>
      </c>
    </row>
    <row r="186" spans="2:47" ht="16" x14ac:dyDescent="0.2">
      <c r="B186" s="2">
        <v>200.01660999999999</v>
      </c>
      <c r="C186" s="1">
        <v>90</v>
      </c>
      <c r="D186" s="3">
        <v>99.933090000000007</v>
      </c>
      <c r="E186" s="3">
        <f t="shared" si="26"/>
        <v>100.64639000000001</v>
      </c>
      <c r="H186" s="4">
        <v>225.006</v>
      </c>
      <c r="I186" s="1">
        <v>90</v>
      </c>
      <c r="J186" s="3">
        <v>95.067019999999999</v>
      </c>
      <c r="K186" s="3">
        <f t="shared" si="27"/>
        <v>99.174599999999998</v>
      </c>
      <c r="L186" s="1">
        <f t="shared" si="36"/>
        <v>1.4701285814988573E-2</v>
      </c>
      <c r="N186" s="4">
        <v>225.01485</v>
      </c>
      <c r="O186" s="1">
        <v>90</v>
      </c>
      <c r="P186" s="3">
        <v>100.56326</v>
      </c>
      <c r="Q186" s="3">
        <f t="shared" si="28"/>
        <v>100.69884</v>
      </c>
      <c r="T186" s="4">
        <v>250.00398000000001</v>
      </c>
      <c r="U186" s="1">
        <v>90</v>
      </c>
      <c r="V186" s="5">
        <v>94.490799999999993</v>
      </c>
      <c r="W186" s="3">
        <f t="shared" si="29"/>
        <v>98.648199999999989</v>
      </c>
      <c r="X186" s="1">
        <f t="shared" si="37"/>
        <v>2.3837145845104105E-2</v>
      </c>
      <c r="Z186" s="4">
        <v>250.01364000000001</v>
      </c>
      <c r="AA186" s="1">
        <v>90</v>
      </c>
      <c r="AB186" s="5">
        <v>100.49516</v>
      </c>
      <c r="AC186" s="3">
        <f t="shared" si="30"/>
        <v>100.41842</v>
      </c>
      <c r="AD186" s="1">
        <f t="shared" si="25"/>
        <v>7.859970548196607E-3</v>
      </c>
      <c r="AF186" s="11">
        <v>555.55488000000003</v>
      </c>
      <c r="AG186" s="1">
        <v>90</v>
      </c>
      <c r="AH186" s="12">
        <v>10.95308</v>
      </c>
      <c r="AI186" s="3">
        <f t="shared" si="31"/>
        <v>13.960769999999997</v>
      </c>
      <c r="AJ186" s="1">
        <f t="shared" si="34"/>
        <v>1.040167646167163</v>
      </c>
      <c r="AL186" s="11">
        <v>555.55879000000004</v>
      </c>
      <c r="AM186" s="1">
        <v>90</v>
      </c>
      <c r="AN186" s="12">
        <v>11.59952</v>
      </c>
      <c r="AO186" s="3">
        <f t="shared" si="32"/>
        <v>14.693020000000004</v>
      </c>
      <c r="AP186" s="1">
        <f t="shared" si="35"/>
        <v>1.0314245042475017</v>
      </c>
      <c r="AR186" s="11">
        <v>375.43531999999999</v>
      </c>
      <c r="AS186" s="1">
        <v>90</v>
      </c>
      <c r="AT186" s="12">
        <v>83.137780000000006</v>
      </c>
      <c r="AU186" s="3">
        <f t="shared" si="33"/>
        <v>83.792270000000002</v>
      </c>
    </row>
    <row r="187" spans="2:47" ht="16" x14ac:dyDescent="0.2">
      <c r="B187" s="2">
        <v>200.01755</v>
      </c>
      <c r="C187" s="1">
        <v>90.5</v>
      </c>
      <c r="D187" s="5">
        <v>99.949060000000003</v>
      </c>
      <c r="E187" s="3">
        <f t="shared" si="26"/>
        <v>100.66236000000001</v>
      </c>
      <c r="H187" s="4">
        <v>225.00200000000001</v>
      </c>
      <c r="I187" s="1">
        <v>90.5</v>
      </c>
      <c r="J187" s="5">
        <v>95.065049999999999</v>
      </c>
      <c r="K187" s="3">
        <f t="shared" si="27"/>
        <v>99.172629999999998</v>
      </c>
      <c r="L187" s="1">
        <f t="shared" si="36"/>
        <v>1.4725007277070257E-2</v>
      </c>
      <c r="N187" s="4">
        <v>225.01321999999999</v>
      </c>
      <c r="O187" s="1">
        <v>90.5</v>
      </c>
      <c r="P187" s="5">
        <v>100.57552</v>
      </c>
      <c r="Q187" s="3">
        <f t="shared" si="28"/>
        <v>100.7111</v>
      </c>
      <c r="T187" s="4">
        <v>250.00801000000001</v>
      </c>
      <c r="U187" s="1">
        <v>90.5</v>
      </c>
      <c r="V187" s="3">
        <v>94.492850000000004</v>
      </c>
      <c r="W187" s="3">
        <f t="shared" si="29"/>
        <v>98.65025</v>
      </c>
      <c r="X187" s="1">
        <f t="shared" si="37"/>
        <v>2.3812519205223277E-2</v>
      </c>
      <c r="Z187" s="4">
        <v>250.01257000000001</v>
      </c>
      <c r="AA187" s="1">
        <v>90.5</v>
      </c>
      <c r="AB187" s="3">
        <v>100.48103999999999</v>
      </c>
      <c r="AC187" s="3">
        <f t="shared" si="30"/>
        <v>100.40429999999999</v>
      </c>
      <c r="AD187" s="1">
        <f t="shared" si="25"/>
        <v>8.028850418155032E-3</v>
      </c>
      <c r="AF187" s="11">
        <v>558.05685000000005</v>
      </c>
      <c r="AG187" s="1">
        <v>90.5</v>
      </c>
      <c r="AH187" s="13">
        <v>10.91635</v>
      </c>
      <c r="AI187" s="3">
        <f t="shared" si="31"/>
        <v>13.924039999999991</v>
      </c>
      <c r="AJ187" s="1">
        <f t="shared" si="34"/>
        <v>1.0406115648764067</v>
      </c>
      <c r="AL187" s="11">
        <v>558.05835000000002</v>
      </c>
      <c r="AM187" s="1">
        <v>90.5</v>
      </c>
      <c r="AN187" s="13">
        <v>11.567220000000001</v>
      </c>
      <c r="AO187" s="3">
        <f t="shared" si="32"/>
        <v>14.660720000000012</v>
      </c>
      <c r="AP187" s="1">
        <f t="shared" si="35"/>
        <v>1.0318146471380876</v>
      </c>
      <c r="AR187" s="11">
        <v>376.92649999999998</v>
      </c>
      <c r="AS187" s="1">
        <v>90.5</v>
      </c>
      <c r="AT187" s="13">
        <v>82.296319999999994</v>
      </c>
      <c r="AU187" s="3">
        <f t="shared" si="33"/>
        <v>82.95080999999999</v>
      </c>
    </row>
    <row r="188" spans="2:47" ht="16" x14ac:dyDescent="0.2">
      <c r="B188" s="2">
        <v>200.01676</v>
      </c>
      <c r="C188" s="1">
        <v>91</v>
      </c>
      <c r="D188" s="3">
        <v>99.87115</v>
      </c>
      <c r="E188" s="3">
        <f t="shared" si="26"/>
        <v>100.58445</v>
      </c>
      <c r="H188" s="4">
        <v>225.00886</v>
      </c>
      <c r="I188" s="1">
        <v>91</v>
      </c>
      <c r="J188" s="3">
        <v>95.048379999999995</v>
      </c>
      <c r="K188" s="3">
        <f t="shared" si="27"/>
        <v>99.155959999999993</v>
      </c>
      <c r="L188" s="1">
        <f t="shared" si="36"/>
        <v>1.4925736603416338E-2</v>
      </c>
      <c r="N188" s="4">
        <v>225.0137</v>
      </c>
      <c r="O188" s="1">
        <v>91</v>
      </c>
      <c r="P188" s="3">
        <v>100.52137</v>
      </c>
      <c r="Q188" s="3">
        <f t="shared" si="28"/>
        <v>100.65695000000001</v>
      </c>
      <c r="T188" s="4">
        <v>250.01195999999999</v>
      </c>
      <c r="U188" s="1">
        <v>91</v>
      </c>
      <c r="V188" s="5">
        <v>94.480760000000004</v>
      </c>
      <c r="W188" s="3">
        <f t="shared" si="29"/>
        <v>98.638159999999999</v>
      </c>
      <c r="X188" s="1">
        <f t="shared" si="37"/>
        <v>2.3957756315544056E-2</v>
      </c>
      <c r="Z188" s="4">
        <v>250.01253</v>
      </c>
      <c r="AA188" s="1">
        <v>91</v>
      </c>
      <c r="AB188" s="5">
        <v>100.541</v>
      </c>
      <c r="AC188" s="3">
        <f t="shared" si="30"/>
        <v>100.46426</v>
      </c>
      <c r="AD188" s="1">
        <f t="shared" si="25"/>
        <v>7.3117089873686409E-3</v>
      </c>
      <c r="AF188" s="11">
        <v>560.56164999999999</v>
      </c>
      <c r="AG188" s="1">
        <v>91</v>
      </c>
      <c r="AH188" s="12">
        <v>10.88083</v>
      </c>
      <c r="AI188" s="3">
        <f t="shared" si="31"/>
        <v>13.88852</v>
      </c>
      <c r="AJ188" s="1">
        <f t="shared" si="34"/>
        <v>1.0410408595279812</v>
      </c>
      <c r="AL188" s="11">
        <v>560.56322</v>
      </c>
      <c r="AM188" s="1">
        <v>91</v>
      </c>
      <c r="AN188" s="12">
        <v>11.53106</v>
      </c>
      <c r="AO188" s="3">
        <f t="shared" si="32"/>
        <v>14.624560000000002</v>
      </c>
      <c r="AP188" s="1">
        <f t="shared" si="35"/>
        <v>1.0322514139159078</v>
      </c>
      <c r="AR188" s="11">
        <v>378.41750000000002</v>
      </c>
      <c r="AS188" s="1">
        <v>91</v>
      </c>
      <c r="AT188" s="12">
        <v>81.462900000000005</v>
      </c>
      <c r="AU188" s="3">
        <f t="shared" si="33"/>
        <v>82.11739</v>
      </c>
    </row>
    <row r="189" spans="2:47" ht="16" x14ac:dyDescent="0.2">
      <c r="B189" s="2">
        <v>200.01643999999999</v>
      </c>
      <c r="C189" s="1">
        <v>91.5</v>
      </c>
      <c r="D189" s="5">
        <v>100.03026</v>
      </c>
      <c r="E189" s="3">
        <f t="shared" si="26"/>
        <v>100.74356</v>
      </c>
      <c r="H189" s="4">
        <v>225.00403</v>
      </c>
      <c r="I189" s="1">
        <v>91.5</v>
      </c>
      <c r="J189" s="5">
        <v>95.037689999999998</v>
      </c>
      <c r="K189" s="3">
        <f t="shared" si="27"/>
        <v>99.145269999999996</v>
      </c>
      <c r="L189" s="1">
        <f t="shared" si="36"/>
        <v>1.5054458648925536E-2</v>
      </c>
      <c r="N189" s="4">
        <v>225.01633000000001</v>
      </c>
      <c r="O189" s="1">
        <v>91.5</v>
      </c>
      <c r="P189" s="5">
        <v>100.71467</v>
      </c>
      <c r="Q189" s="3">
        <f t="shared" si="28"/>
        <v>100.85025</v>
      </c>
      <c r="T189" s="4">
        <v>250.00898000000001</v>
      </c>
      <c r="U189" s="1">
        <v>91.5</v>
      </c>
      <c r="V189" s="3">
        <v>94.454589999999996</v>
      </c>
      <c r="W189" s="3">
        <f t="shared" si="29"/>
        <v>98.611989999999992</v>
      </c>
      <c r="X189" s="1">
        <f t="shared" si="37"/>
        <v>2.4272136396362567E-2</v>
      </c>
      <c r="Z189" s="4">
        <v>250.017</v>
      </c>
      <c r="AA189" s="1">
        <v>91.5</v>
      </c>
      <c r="AB189" s="3">
        <v>100.37258</v>
      </c>
      <c r="AC189" s="3">
        <f t="shared" si="30"/>
        <v>100.29584</v>
      </c>
      <c r="AD189" s="1">
        <f t="shared" si="25"/>
        <v>9.3260678895206537E-3</v>
      </c>
      <c r="AF189" s="11">
        <v>563.05493000000001</v>
      </c>
      <c r="AG189" s="1">
        <v>91.5</v>
      </c>
      <c r="AH189" s="13">
        <v>10.86759</v>
      </c>
      <c r="AI189" s="3">
        <f t="shared" si="31"/>
        <v>13.875280000000004</v>
      </c>
      <c r="AJ189" s="1">
        <f t="shared" si="34"/>
        <v>1.0412008781424755</v>
      </c>
      <c r="AL189" s="11">
        <v>563.05793000000006</v>
      </c>
      <c r="AM189" s="1">
        <v>91.5</v>
      </c>
      <c r="AN189" s="13">
        <v>11.484999999999999</v>
      </c>
      <c r="AO189" s="3">
        <f t="shared" si="32"/>
        <v>14.578500000000005</v>
      </c>
      <c r="AP189" s="1">
        <f t="shared" si="35"/>
        <v>1.0328077600936287</v>
      </c>
      <c r="AR189" s="11">
        <v>379.89927999999998</v>
      </c>
      <c r="AS189" s="1">
        <v>91.5</v>
      </c>
      <c r="AT189" s="13">
        <v>80.614459999999994</v>
      </c>
      <c r="AU189" s="3">
        <f t="shared" si="33"/>
        <v>81.26894999999999</v>
      </c>
    </row>
    <row r="190" spans="2:47" ht="16" x14ac:dyDescent="0.2">
      <c r="B190" s="2">
        <v>200.01707999999999</v>
      </c>
      <c r="C190" s="1">
        <v>92</v>
      </c>
      <c r="D190" s="3">
        <v>99.945670000000007</v>
      </c>
      <c r="E190" s="3">
        <f t="shared" si="26"/>
        <v>100.65897000000001</v>
      </c>
      <c r="H190" s="4">
        <v>225.00606999999999</v>
      </c>
      <c r="I190" s="1">
        <v>92</v>
      </c>
      <c r="J190" s="3">
        <v>95.069180000000003</v>
      </c>
      <c r="K190" s="3">
        <f t="shared" si="27"/>
        <v>99.176760000000002</v>
      </c>
      <c r="L190" s="1">
        <f t="shared" si="36"/>
        <v>1.4675276496157852E-2</v>
      </c>
      <c r="N190" s="4">
        <v>225.01365000000001</v>
      </c>
      <c r="O190" s="1">
        <v>92</v>
      </c>
      <c r="P190" s="3">
        <v>100.69896</v>
      </c>
      <c r="Q190" s="3">
        <f t="shared" si="28"/>
        <v>100.83454</v>
      </c>
      <c r="T190" s="4">
        <v>250.00498999999999</v>
      </c>
      <c r="U190" s="1">
        <v>92</v>
      </c>
      <c r="V190" s="5">
        <v>94.448599999999999</v>
      </c>
      <c r="W190" s="3">
        <f t="shared" si="29"/>
        <v>98.605999999999995</v>
      </c>
      <c r="X190" s="1">
        <f t="shared" si="37"/>
        <v>2.4344094236794411E-2</v>
      </c>
      <c r="Z190" s="4">
        <v>250.01848000000001</v>
      </c>
      <c r="AA190" s="1">
        <v>92</v>
      </c>
      <c r="AB190" s="5">
        <v>100.42274999999999</v>
      </c>
      <c r="AC190" s="3">
        <f t="shared" si="30"/>
        <v>100.34600999999999</v>
      </c>
      <c r="AD190" s="1">
        <f t="shared" si="25"/>
        <v>8.7260180966162691E-3</v>
      </c>
      <c r="AF190" s="11">
        <v>565.55651</v>
      </c>
      <c r="AG190" s="1">
        <v>92</v>
      </c>
      <c r="AH190" s="12">
        <v>10.81765</v>
      </c>
      <c r="AI190" s="3">
        <f t="shared" si="31"/>
        <v>13.825339999999997</v>
      </c>
      <c r="AJ190" s="1">
        <f t="shared" si="34"/>
        <v>1.0418044528862715</v>
      </c>
      <c r="AL190" s="11">
        <v>565.56125999999995</v>
      </c>
      <c r="AM190" s="1">
        <v>92</v>
      </c>
      <c r="AN190" s="12">
        <v>11.46645</v>
      </c>
      <c r="AO190" s="3">
        <f t="shared" si="32"/>
        <v>14.559950000000001</v>
      </c>
      <c r="AP190" s="1">
        <f t="shared" si="35"/>
        <v>1.0330318204843523</v>
      </c>
      <c r="AR190" s="11">
        <v>381.38454000000002</v>
      </c>
      <c r="AS190" s="1">
        <v>92</v>
      </c>
      <c r="AT190" s="12">
        <v>79.702129999999997</v>
      </c>
      <c r="AU190" s="3">
        <f t="shared" si="33"/>
        <v>80.356619999999992</v>
      </c>
    </row>
    <row r="191" spans="2:47" ht="16" x14ac:dyDescent="0.2">
      <c r="B191" s="2">
        <v>200.01913999999999</v>
      </c>
      <c r="C191" s="1">
        <v>92.5</v>
      </c>
      <c r="D191" s="5">
        <v>99.978350000000006</v>
      </c>
      <c r="E191" s="3">
        <f t="shared" si="26"/>
        <v>100.69165000000001</v>
      </c>
      <c r="H191" s="4">
        <v>225.00297</v>
      </c>
      <c r="I191" s="1">
        <v>92.5</v>
      </c>
      <c r="J191" s="5">
        <v>95.035489999999996</v>
      </c>
      <c r="K191" s="3">
        <f t="shared" si="27"/>
        <v>99.143069999999994</v>
      </c>
      <c r="L191" s="1">
        <f t="shared" si="36"/>
        <v>1.5080949621808658E-2</v>
      </c>
      <c r="N191" s="4">
        <v>225.01580000000001</v>
      </c>
      <c r="O191" s="1">
        <v>92.5</v>
      </c>
      <c r="P191" s="5">
        <v>100.68894</v>
      </c>
      <c r="Q191" s="3">
        <f t="shared" si="28"/>
        <v>100.82452000000001</v>
      </c>
      <c r="T191" s="4">
        <v>249.99698000000001</v>
      </c>
      <c r="U191" s="1">
        <v>92.5</v>
      </c>
      <c r="V191" s="3">
        <v>94.444720000000004</v>
      </c>
      <c r="W191" s="3">
        <f t="shared" si="29"/>
        <v>98.602119999999999</v>
      </c>
      <c r="X191" s="1">
        <f t="shared" si="37"/>
        <v>2.4390704657641715E-2</v>
      </c>
      <c r="Z191" s="4">
        <v>250.01949999999999</v>
      </c>
      <c r="AA191" s="1">
        <v>92.5</v>
      </c>
      <c r="AB191" s="3">
        <v>100.48101</v>
      </c>
      <c r="AC191" s="3">
        <f t="shared" si="30"/>
        <v>100.40427</v>
      </c>
      <c r="AD191" s="1">
        <f t="shared" ref="AD191:AD254" si="38">($AC$62-AC191)/($AC$62*(1-$M$1))</f>
        <v>8.0292092280769833E-3</v>
      </c>
      <c r="AF191" s="11">
        <v>568.05739000000005</v>
      </c>
      <c r="AG191" s="1">
        <v>92.5</v>
      </c>
      <c r="AH191" s="13">
        <v>10.770849999999999</v>
      </c>
      <c r="AI191" s="3">
        <f t="shared" si="31"/>
        <v>13.778539999999992</v>
      </c>
      <c r="AJ191" s="1">
        <f t="shared" si="34"/>
        <v>1.0423700775961164</v>
      </c>
      <c r="AL191" s="11">
        <v>568.05614000000003</v>
      </c>
      <c r="AM191" s="1">
        <v>92.5</v>
      </c>
      <c r="AN191" s="13">
        <v>11.38968</v>
      </c>
      <c r="AO191" s="3">
        <f t="shared" si="32"/>
        <v>14.483180000000004</v>
      </c>
      <c r="AP191" s="1">
        <f t="shared" si="35"/>
        <v>1.0339591043763114</v>
      </c>
      <c r="AR191" s="11">
        <v>382.85845999999998</v>
      </c>
      <c r="AS191" s="1">
        <v>92.5</v>
      </c>
      <c r="AT191" s="13">
        <v>78.80538</v>
      </c>
      <c r="AU191" s="3">
        <f t="shared" si="33"/>
        <v>79.459869999999995</v>
      </c>
    </row>
    <row r="192" spans="2:47" ht="16" x14ac:dyDescent="0.2">
      <c r="B192" s="2">
        <v>200.01892000000001</v>
      </c>
      <c r="C192" s="1">
        <v>93</v>
      </c>
      <c r="D192" s="3">
        <v>99.992530000000002</v>
      </c>
      <c r="E192" s="3">
        <f t="shared" si="26"/>
        <v>100.70583000000001</v>
      </c>
      <c r="H192" s="4">
        <v>225.00783000000001</v>
      </c>
      <c r="I192" s="1">
        <v>93</v>
      </c>
      <c r="J192" s="3">
        <v>95.055679999999995</v>
      </c>
      <c r="K192" s="3">
        <f t="shared" si="27"/>
        <v>99.163259999999994</v>
      </c>
      <c r="L192" s="1">
        <f t="shared" si="36"/>
        <v>1.4837834738849684E-2</v>
      </c>
      <c r="N192" s="4">
        <v>225.01598000000001</v>
      </c>
      <c r="O192" s="1">
        <v>93</v>
      </c>
      <c r="P192" s="3">
        <v>100.79916</v>
      </c>
      <c r="Q192" s="3">
        <f t="shared" si="28"/>
        <v>100.93474000000001</v>
      </c>
      <c r="T192" s="4">
        <v>249.99997999999999</v>
      </c>
      <c r="U192" s="1">
        <v>93</v>
      </c>
      <c r="V192" s="5">
        <v>94.418549999999996</v>
      </c>
      <c r="W192" s="3">
        <f t="shared" si="29"/>
        <v>98.575949999999992</v>
      </c>
      <c r="X192" s="1">
        <f t="shared" si="37"/>
        <v>2.4705084738460226E-2</v>
      </c>
      <c r="Z192" s="4">
        <v>250.02047999999999</v>
      </c>
      <c r="AA192" s="1">
        <v>93</v>
      </c>
      <c r="AB192" s="5">
        <v>100.47774</v>
      </c>
      <c r="AC192" s="3">
        <f t="shared" si="30"/>
        <v>100.401</v>
      </c>
      <c r="AD192" s="1">
        <f t="shared" si="38"/>
        <v>8.0683195095758459E-3</v>
      </c>
      <c r="AF192" s="11">
        <v>570.55871999999999</v>
      </c>
      <c r="AG192" s="1">
        <v>93</v>
      </c>
      <c r="AH192" s="12">
        <v>10.7372</v>
      </c>
      <c r="AI192" s="3">
        <f t="shared" si="31"/>
        <v>13.744889999999998</v>
      </c>
      <c r="AJ192" s="1">
        <f t="shared" si="34"/>
        <v>1.0427767714312932</v>
      </c>
      <c r="AL192" s="11">
        <v>570.55493999999999</v>
      </c>
      <c r="AM192" s="1">
        <v>93</v>
      </c>
      <c r="AN192" s="12">
        <v>11.31588</v>
      </c>
      <c r="AO192" s="3">
        <f t="shared" si="32"/>
        <v>14.409379999999999</v>
      </c>
      <c r="AP192" s="1">
        <f t="shared" si="35"/>
        <v>1.0348505144483005</v>
      </c>
      <c r="AR192" s="11">
        <v>384.30410000000001</v>
      </c>
      <c r="AS192" s="1">
        <v>93</v>
      </c>
      <c r="AT192" s="12">
        <v>77.808000000000007</v>
      </c>
      <c r="AU192" s="3">
        <f t="shared" si="33"/>
        <v>78.462490000000003</v>
      </c>
    </row>
    <row r="193" spans="2:47" ht="16" x14ac:dyDescent="0.2">
      <c r="B193" s="2">
        <v>200.01678999999999</v>
      </c>
      <c r="C193" s="1">
        <v>93.5</v>
      </c>
      <c r="D193" s="5">
        <v>99.923299999999998</v>
      </c>
      <c r="E193" s="3">
        <f t="shared" si="26"/>
        <v>100.6366</v>
      </c>
      <c r="H193" s="4">
        <v>225.00196</v>
      </c>
      <c r="I193" s="1">
        <v>93.5</v>
      </c>
      <c r="J193" s="5">
        <v>95.03725</v>
      </c>
      <c r="K193" s="3">
        <f t="shared" si="27"/>
        <v>99.144829999999999</v>
      </c>
      <c r="L193" s="1">
        <f t="shared" si="36"/>
        <v>1.5059756843502126E-2</v>
      </c>
      <c r="N193" s="4">
        <v>225.01631</v>
      </c>
      <c r="O193" s="1">
        <v>93.5</v>
      </c>
      <c r="P193" s="5">
        <v>100.84729</v>
      </c>
      <c r="Q193" s="3">
        <f t="shared" si="28"/>
        <v>100.98287000000001</v>
      </c>
      <c r="T193" s="4">
        <v>249.99996999999999</v>
      </c>
      <c r="U193" s="1">
        <v>93.5</v>
      </c>
      <c r="V193" s="3">
        <v>94.404489999999996</v>
      </c>
      <c r="W193" s="3">
        <f t="shared" si="29"/>
        <v>98.561889999999991</v>
      </c>
      <c r="X193" s="1">
        <f t="shared" si="37"/>
        <v>2.4873987449056601E-2</v>
      </c>
      <c r="Z193" s="4">
        <v>250.01929000000001</v>
      </c>
      <c r="AA193" s="1">
        <v>93.5</v>
      </c>
      <c r="AB193" s="3">
        <v>100.50999</v>
      </c>
      <c r="AC193" s="3">
        <f t="shared" si="30"/>
        <v>100.43325</v>
      </c>
      <c r="AD193" s="1">
        <f t="shared" si="38"/>
        <v>7.6825988434173547E-3</v>
      </c>
      <c r="AF193" s="11">
        <v>573.05994999999996</v>
      </c>
      <c r="AG193" s="1">
        <v>93.5</v>
      </c>
      <c r="AH193" s="13">
        <v>10.73794</v>
      </c>
      <c r="AI193" s="3">
        <f t="shared" si="31"/>
        <v>13.745629999999991</v>
      </c>
      <c r="AJ193" s="1">
        <f t="shared" si="34"/>
        <v>1.0427678277927188</v>
      </c>
      <c r="AL193" s="11">
        <v>573.06421999999998</v>
      </c>
      <c r="AM193" s="1">
        <v>93.5</v>
      </c>
      <c r="AN193" s="13">
        <v>11.37209</v>
      </c>
      <c r="AO193" s="3">
        <f t="shared" si="32"/>
        <v>14.465590000000006</v>
      </c>
      <c r="AP193" s="1">
        <f t="shared" si="35"/>
        <v>1.0341715691888627</v>
      </c>
      <c r="AR193" s="11">
        <v>385.75234999999998</v>
      </c>
      <c r="AS193" s="1">
        <v>93.5</v>
      </c>
      <c r="AT193" s="13">
        <v>77.066779999999994</v>
      </c>
      <c r="AU193" s="3">
        <f t="shared" si="33"/>
        <v>77.72126999999999</v>
      </c>
    </row>
    <row r="194" spans="2:47" ht="16" x14ac:dyDescent="0.2">
      <c r="B194" s="2">
        <v>200.01358999999999</v>
      </c>
      <c r="C194" s="1">
        <v>94</v>
      </c>
      <c r="D194" s="3">
        <v>99.836609999999993</v>
      </c>
      <c r="E194" s="3">
        <f t="shared" si="26"/>
        <v>100.54991</v>
      </c>
      <c r="H194" s="4">
        <v>225.00496000000001</v>
      </c>
      <c r="I194" s="1">
        <v>94</v>
      </c>
      <c r="J194" s="3">
        <v>95.035309999999996</v>
      </c>
      <c r="K194" s="3">
        <f t="shared" si="27"/>
        <v>99.142889999999994</v>
      </c>
      <c r="L194" s="1">
        <f t="shared" si="36"/>
        <v>1.5083117065044551E-2</v>
      </c>
      <c r="N194" s="4">
        <v>225.01647</v>
      </c>
      <c r="O194" s="1">
        <v>94</v>
      </c>
      <c r="P194" s="3">
        <v>100.78017</v>
      </c>
      <c r="Q194" s="3">
        <f t="shared" si="28"/>
        <v>100.91575</v>
      </c>
      <c r="T194" s="4">
        <v>250.00206</v>
      </c>
      <c r="U194" s="1">
        <v>94</v>
      </c>
      <c r="V194" s="5">
        <v>94.394379999999998</v>
      </c>
      <c r="W194" s="3">
        <f t="shared" si="29"/>
        <v>98.551779999999994</v>
      </c>
      <c r="X194" s="1">
        <f t="shared" si="37"/>
        <v>2.4995438829151114E-2</v>
      </c>
      <c r="Z194" s="4">
        <v>250.02105</v>
      </c>
      <c r="AA194" s="1">
        <v>94</v>
      </c>
      <c r="AB194" s="5">
        <v>100.4374</v>
      </c>
      <c r="AC194" s="3">
        <f t="shared" si="30"/>
        <v>100.36066</v>
      </c>
      <c r="AD194" s="1">
        <f t="shared" si="38"/>
        <v>8.5507992513690675E-3</v>
      </c>
      <c r="AF194" s="11">
        <v>575.56372999999996</v>
      </c>
      <c r="AG194" s="1">
        <v>94</v>
      </c>
      <c r="AH194" s="12">
        <v>10.67709</v>
      </c>
      <c r="AI194" s="3">
        <f t="shared" si="31"/>
        <v>13.684779999999989</v>
      </c>
      <c r="AJ194" s="1">
        <f t="shared" si="34"/>
        <v>1.0435032607754979</v>
      </c>
      <c r="AL194" s="11">
        <v>575.56620999999996</v>
      </c>
      <c r="AM194" s="1">
        <v>94</v>
      </c>
      <c r="AN194" s="12">
        <v>11.31542</v>
      </c>
      <c r="AO194" s="3">
        <f t="shared" si="32"/>
        <v>14.408920000000009</v>
      </c>
      <c r="AP194" s="1">
        <f t="shared" si="35"/>
        <v>1.0348560706628411</v>
      </c>
      <c r="AR194" s="11">
        <v>387.19344000000001</v>
      </c>
      <c r="AS194" s="1">
        <v>94</v>
      </c>
      <c r="AT194" s="12">
        <v>76.094660000000005</v>
      </c>
      <c r="AU194" s="3">
        <f t="shared" si="33"/>
        <v>76.74915</v>
      </c>
    </row>
    <row r="195" spans="2:47" ht="16" x14ac:dyDescent="0.2">
      <c r="B195" s="2">
        <v>200.01393999999999</v>
      </c>
      <c r="C195" s="1">
        <v>94.5</v>
      </c>
      <c r="D195" s="5">
        <v>99.951729999999998</v>
      </c>
      <c r="E195" s="3">
        <f t="shared" si="26"/>
        <v>100.66503</v>
      </c>
      <c r="H195" s="4">
        <v>225.00906000000001</v>
      </c>
      <c r="I195" s="1">
        <v>94.5</v>
      </c>
      <c r="J195" s="5">
        <v>95.027079999999998</v>
      </c>
      <c r="K195" s="3">
        <f t="shared" si="27"/>
        <v>99.134659999999997</v>
      </c>
      <c r="L195" s="1">
        <f t="shared" si="36"/>
        <v>1.5182217386329931E-2</v>
      </c>
      <c r="N195" s="4">
        <v>225.01671999999999</v>
      </c>
      <c r="O195" s="1">
        <v>94.5</v>
      </c>
      <c r="P195" s="5">
        <v>100.78712</v>
      </c>
      <c r="Q195" s="3">
        <f t="shared" si="28"/>
        <v>100.92270000000001</v>
      </c>
      <c r="T195" s="4">
        <v>250.00806</v>
      </c>
      <c r="U195" s="1">
        <v>94.5</v>
      </c>
      <c r="V195" s="3">
        <v>94.378619999999998</v>
      </c>
      <c r="W195" s="3">
        <f t="shared" si="29"/>
        <v>98.536019999999994</v>
      </c>
      <c r="X195" s="1">
        <f t="shared" si="37"/>
        <v>2.5184763631355866E-2</v>
      </c>
      <c r="Z195" s="4">
        <v>250.01973000000001</v>
      </c>
      <c r="AA195" s="1">
        <v>94.5</v>
      </c>
      <c r="AB195" s="3">
        <v>100.514</v>
      </c>
      <c r="AC195" s="3">
        <f t="shared" si="30"/>
        <v>100.43725999999999</v>
      </c>
      <c r="AD195" s="1">
        <f t="shared" si="38"/>
        <v>7.6346379171757135E-3</v>
      </c>
      <c r="AF195" s="11">
        <v>578.06789000000003</v>
      </c>
      <c r="AG195" s="1">
        <v>94.5</v>
      </c>
      <c r="AH195" s="13">
        <v>10.6401</v>
      </c>
      <c r="AI195" s="3">
        <f t="shared" si="31"/>
        <v>13.647790000000001</v>
      </c>
      <c r="AJ195" s="1">
        <f t="shared" si="34"/>
        <v>1.0439503218442405</v>
      </c>
      <c r="AL195" s="11">
        <v>578.06575999999995</v>
      </c>
      <c r="AM195" s="1">
        <v>94.5</v>
      </c>
      <c r="AN195" s="13">
        <v>11.274620000000001</v>
      </c>
      <c r="AO195" s="3">
        <f t="shared" si="32"/>
        <v>14.368120000000005</v>
      </c>
      <c r="AP195" s="1">
        <f t="shared" si="35"/>
        <v>1.0353488827351602</v>
      </c>
      <c r="AR195" s="11">
        <v>388.63549999999998</v>
      </c>
      <c r="AS195" s="1">
        <v>94.5</v>
      </c>
      <c r="AT195" s="13">
        <v>75.219930000000005</v>
      </c>
      <c r="AU195" s="3">
        <f t="shared" si="33"/>
        <v>75.874420000000001</v>
      </c>
    </row>
    <row r="196" spans="2:47" ht="16" x14ac:dyDescent="0.2">
      <c r="B196" s="2">
        <v>200.01521</v>
      </c>
      <c r="C196" s="1">
        <v>95</v>
      </c>
      <c r="D196" s="3">
        <v>99.895070000000004</v>
      </c>
      <c r="E196" s="3">
        <f t="shared" si="26"/>
        <v>100.60837000000001</v>
      </c>
      <c r="H196" s="4">
        <v>225.00403</v>
      </c>
      <c r="I196" s="1">
        <v>95</v>
      </c>
      <c r="J196" s="3">
        <v>95.010339999999999</v>
      </c>
      <c r="K196" s="3">
        <f t="shared" si="27"/>
        <v>99.117919999999998</v>
      </c>
      <c r="L196" s="1">
        <f t="shared" si="36"/>
        <v>1.5383789607267672E-2</v>
      </c>
      <c r="N196" s="4">
        <v>225.0172</v>
      </c>
      <c r="O196" s="1">
        <v>95</v>
      </c>
      <c r="P196" s="3">
        <v>100.7129</v>
      </c>
      <c r="Q196" s="3">
        <f t="shared" si="28"/>
        <v>100.84848000000001</v>
      </c>
      <c r="T196" s="4">
        <v>250.00497999999999</v>
      </c>
      <c r="U196" s="1">
        <v>95</v>
      </c>
      <c r="V196" s="5">
        <v>94.354259999999996</v>
      </c>
      <c r="W196" s="3">
        <f t="shared" si="29"/>
        <v>98.511659999999992</v>
      </c>
      <c r="X196" s="1">
        <f t="shared" si="37"/>
        <v>2.5477400191108907E-2</v>
      </c>
      <c r="Z196" s="4">
        <v>250.01761999999999</v>
      </c>
      <c r="AA196" s="1">
        <v>95</v>
      </c>
      <c r="AB196" s="5">
        <v>100.4465</v>
      </c>
      <c r="AC196" s="3">
        <f t="shared" si="30"/>
        <v>100.36976</v>
      </c>
      <c r="AD196" s="1">
        <f t="shared" si="38"/>
        <v>8.4419602416933096E-3</v>
      </c>
      <c r="AF196" s="11">
        <v>580.56957999999997</v>
      </c>
      <c r="AG196" s="1">
        <v>95</v>
      </c>
      <c r="AH196" s="12">
        <v>10.594900000000001</v>
      </c>
      <c r="AI196" s="3">
        <f t="shared" si="31"/>
        <v>13.602589999999992</v>
      </c>
      <c r="AJ196" s="1">
        <f t="shared" si="34"/>
        <v>1.0444966089571677</v>
      </c>
      <c r="AL196" s="11">
        <v>580.57082000000003</v>
      </c>
      <c r="AM196" s="1">
        <v>95</v>
      </c>
      <c r="AN196" s="12">
        <v>11.236750000000001</v>
      </c>
      <c r="AO196" s="3">
        <f t="shared" si="32"/>
        <v>14.330250000000007</v>
      </c>
      <c r="AP196" s="1">
        <f t="shared" si="35"/>
        <v>1.0358063041365995</v>
      </c>
      <c r="AR196" s="11">
        <v>390.06241</v>
      </c>
      <c r="AS196" s="1">
        <v>95</v>
      </c>
      <c r="AT196" s="12">
        <v>74.380390000000006</v>
      </c>
      <c r="AU196" s="3">
        <f t="shared" si="33"/>
        <v>75.034880000000001</v>
      </c>
    </row>
    <row r="197" spans="2:47" ht="16" x14ac:dyDescent="0.2">
      <c r="B197" s="2">
        <v>200.01625999999999</v>
      </c>
      <c r="C197" s="1">
        <v>95.5</v>
      </c>
      <c r="D197" s="5">
        <v>99.929730000000006</v>
      </c>
      <c r="E197" s="3">
        <f t="shared" si="26"/>
        <v>100.64303000000001</v>
      </c>
      <c r="H197" s="4">
        <v>225.00497999999999</v>
      </c>
      <c r="I197" s="1">
        <v>95.5</v>
      </c>
      <c r="J197" s="5">
        <v>95.009820000000005</v>
      </c>
      <c r="K197" s="3">
        <f t="shared" si="27"/>
        <v>99.117400000000004</v>
      </c>
      <c r="L197" s="1">
        <f t="shared" si="36"/>
        <v>1.5390051109949066E-2</v>
      </c>
      <c r="N197" s="4">
        <v>225.01256000000001</v>
      </c>
      <c r="O197" s="1">
        <v>95.5</v>
      </c>
      <c r="P197" s="5">
        <v>100.72548999999999</v>
      </c>
      <c r="Q197" s="3">
        <f t="shared" si="28"/>
        <v>100.86107</v>
      </c>
      <c r="T197" s="4">
        <v>250.00700000000001</v>
      </c>
      <c r="U197" s="1">
        <v>95.5</v>
      </c>
      <c r="V197" s="3">
        <v>94.358350000000002</v>
      </c>
      <c r="W197" s="3">
        <f t="shared" si="29"/>
        <v>98.515749999999997</v>
      </c>
      <c r="X197" s="1">
        <f t="shared" si="37"/>
        <v>2.5428267041298098E-2</v>
      </c>
      <c r="Z197" s="4">
        <v>250.01884000000001</v>
      </c>
      <c r="AA197" s="1">
        <v>95.5</v>
      </c>
      <c r="AB197" s="3">
        <v>100.40779000000001</v>
      </c>
      <c r="AC197" s="3">
        <f t="shared" si="30"/>
        <v>100.33105</v>
      </c>
      <c r="AD197" s="1">
        <f t="shared" si="38"/>
        <v>8.904944644390702E-3</v>
      </c>
      <c r="AF197" s="11">
        <v>583.07204000000002</v>
      </c>
      <c r="AG197" s="1">
        <v>95.5</v>
      </c>
      <c r="AH197" s="13">
        <v>10.577540000000001</v>
      </c>
      <c r="AI197" s="3">
        <f t="shared" si="31"/>
        <v>13.585229999999996</v>
      </c>
      <c r="AJ197" s="1">
        <f t="shared" si="34"/>
        <v>1.0447064218837254</v>
      </c>
      <c r="AL197" s="11">
        <v>583.06934999999999</v>
      </c>
      <c r="AM197" s="1">
        <v>95.5</v>
      </c>
      <c r="AN197" s="13">
        <v>11.19397</v>
      </c>
      <c r="AO197" s="3">
        <f t="shared" si="32"/>
        <v>14.287470000000013</v>
      </c>
      <c r="AP197" s="1">
        <f t="shared" si="35"/>
        <v>1.0363230320888988</v>
      </c>
      <c r="AR197" s="11">
        <v>391.49941999999999</v>
      </c>
      <c r="AS197" s="1">
        <v>95.5</v>
      </c>
      <c r="AT197" s="13">
        <v>73.571209999999994</v>
      </c>
      <c r="AU197" s="3">
        <f t="shared" si="33"/>
        <v>74.225699999999989</v>
      </c>
    </row>
    <row r="198" spans="2:47" ht="16" x14ac:dyDescent="0.2">
      <c r="B198" s="2">
        <v>200.01657</v>
      </c>
      <c r="C198" s="1">
        <v>96</v>
      </c>
      <c r="D198" s="3">
        <v>100.01622999999999</v>
      </c>
      <c r="E198" s="3">
        <f t="shared" si="26"/>
        <v>100.72953</v>
      </c>
      <c r="H198" s="4">
        <v>225.00292999999999</v>
      </c>
      <c r="I198" s="1">
        <v>96</v>
      </c>
      <c r="J198" s="3">
        <v>94.987070000000003</v>
      </c>
      <c r="K198" s="3">
        <f t="shared" si="27"/>
        <v>99.094650000000001</v>
      </c>
      <c r="L198" s="1">
        <f t="shared" si="36"/>
        <v>1.566399185226295E-2</v>
      </c>
      <c r="N198" s="4">
        <v>225.0121</v>
      </c>
      <c r="O198" s="1">
        <v>96</v>
      </c>
      <c r="P198" s="3">
        <v>100.72508000000001</v>
      </c>
      <c r="Q198" s="3">
        <f t="shared" si="28"/>
        <v>100.86066000000001</v>
      </c>
      <c r="T198" s="4">
        <v>250.00697</v>
      </c>
      <c r="U198" s="1">
        <v>96</v>
      </c>
      <c r="V198" s="5">
        <v>94.338399999999993</v>
      </c>
      <c r="W198" s="3">
        <f t="shared" si="29"/>
        <v>98.495799999999988</v>
      </c>
      <c r="X198" s="1">
        <f t="shared" si="37"/>
        <v>2.5667926292820074E-2</v>
      </c>
      <c r="Z198" s="4">
        <v>250.02034</v>
      </c>
      <c r="AA198" s="1">
        <v>96</v>
      </c>
      <c r="AB198" s="5">
        <v>100.39001</v>
      </c>
      <c r="AC198" s="3">
        <f t="shared" si="30"/>
        <v>100.31327</v>
      </c>
      <c r="AD198" s="1">
        <f t="shared" si="38"/>
        <v>9.1175993248340421E-3</v>
      </c>
      <c r="AF198" s="11">
        <v>585.57270000000005</v>
      </c>
      <c r="AG198" s="1">
        <v>96</v>
      </c>
      <c r="AH198" s="12">
        <v>10.51946</v>
      </c>
      <c r="AI198" s="3">
        <f t="shared" si="31"/>
        <v>13.527149999999992</v>
      </c>
      <c r="AJ198" s="1">
        <f t="shared" si="34"/>
        <v>1.0454083766518405</v>
      </c>
      <c r="AL198" s="11">
        <v>585.57111999999995</v>
      </c>
      <c r="AM198" s="1">
        <v>96</v>
      </c>
      <c r="AN198" s="12">
        <v>11.17065</v>
      </c>
      <c r="AO198" s="3">
        <f t="shared" si="32"/>
        <v>14.264150000000001</v>
      </c>
      <c r="AP198" s="1">
        <f t="shared" si="35"/>
        <v>1.0366047080086656</v>
      </c>
      <c r="AR198" s="11">
        <v>392.93847</v>
      </c>
      <c r="AS198" s="1">
        <v>96</v>
      </c>
      <c r="AT198" s="12">
        <v>72.875780000000006</v>
      </c>
      <c r="AU198" s="3">
        <f t="shared" si="33"/>
        <v>73.530270000000002</v>
      </c>
    </row>
    <row r="199" spans="2:47" ht="16" x14ac:dyDescent="0.2">
      <c r="B199" s="2">
        <v>200.01804000000001</v>
      </c>
      <c r="C199" s="1">
        <v>96.5</v>
      </c>
      <c r="D199" s="5">
        <v>99.937899999999999</v>
      </c>
      <c r="E199" s="3">
        <f t="shared" ref="E199:E262" si="39">100-($D$6-D199)</f>
        <v>100.6512</v>
      </c>
      <c r="H199" s="4">
        <v>225.00805</v>
      </c>
      <c r="I199" s="1">
        <v>96.5</v>
      </c>
      <c r="J199" s="5">
        <v>95.004710000000003</v>
      </c>
      <c r="K199" s="3">
        <f t="shared" ref="K199:K262" si="40">100-($J$6-J199)</f>
        <v>99.112290000000002</v>
      </c>
      <c r="L199" s="1">
        <f t="shared" si="36"/>
        <v>1.5451582415145741E-2</v>
      </c>
      <c r="N199" s="4">
        <v>225.01418000000001</v>
      </c>
      <c r="O199" s="1">
        <v>96.5</v>
      </c>
      <c r="P199" s="5">
        <v>100.72475</v>
      </c>
      <c r="Q199" s="3">
        <f t="shared" ref="Q199:Q262" si="41">100-($P$6-P199)</f>
        <v>100.86033</v>
      </c>
      <c r="T199" s="4">
        <v>250.00297</v>
      </c>
      <c r="U199" s="1">
        <v>96.5</v>
      </c>
      <c r="V199" s="3">
        <v>94.344089999999994</v>
      </c>
      <c r="W199" s="3">
        <f t="shared" ref="W199:W262" si="42">100-($V$6-V199)</f>
        <v>98.50148999999999</v>
      </c>
      <c r="X199" s="1">
        <f t="shared" si="37"/>
        <v>2.5599572350907304E-2</v>
      </c>
      <c r="Z199" s="4">
        <v>250.02051</v>
      </c>
      <c r="AA199" s="1">
        <v>96.5</v>
      </c>
      <c r="AB199" s="3">
        <v>100.40849</v>
      </c>
      <c r="AC199" s="3">
        <f t="shared" ref="AC199:AC262" si="43">100-($AB$6-AB199)</f>
        <v>100.33175</v>
      </c>
      <c r="AD199" s="1">
        <f t="shared" si="38"/>
        <v>8.8965724128772482E-3</v>
      </c>
      <c r="AF199" s="11">
        <v>588.06813</v>
      </c>
      <c r="AG199" s="1">
        <v>96.5</v>
      </c>
      <c r="AH199" s="13">
        <v>10.54</v>
      </c>
      <c r="AI199" s="3">
        <f t="shared" ref="AI199:AI262" si="44">100-($AH$6-AH199)</f>
        <v>13.547689999999989</v>
      </c>
      <c r="AJ199" s="1">
        <f t="shared" si="34"/>
        <v>1.0451601302514086</v>
      </c>
      <c r="AL199" s="11">
        <v>588.07991000000004</v>
      </c>
      <c r="AM199" s="1">
        <v>96.5</v>
      </c>
      <c r="AN199" s="13">
        <v>11.167149999999999</v>
      </c>
      <c r="AO199" s="3">
        <f t="shared" ref="AO199:AO262" si="45">100-($AN$6-AN199)</f>
        <v>14.260649999999998</v>
      </c>
      <c r="AP199" s="1">
        <f t="shared" si="35"/>
        <v>1.0366469835540852</v>
      </c>
      <c r="AR199" s="11">
        <v>394.38639999999998</v>
      </c>
      <c r="AS199" s="1">
        <v>96.5</v>
      </c>
      <c r="AT199" s="13">
        <v>72.169690000000003</v>
      </c>
      <c r="AU199" s="3">
        <f t="shared" ref="AU199:AU262" si="46">100-($AT$6-AT199)</f>
        <v>72.824179999999998</v>
      </c>
    </row>
    <row r="200" spans="2:47" ht="16" x14ac:dyDescent="0.2">
      <c r="B200" s="2">
        <v>200.02151000000001</v>
      </c>
      <c r="C200" s="1">
        <v>97</v>
      </c>
      <c r="D200" s="3">
        <v>100.06074</v>
      </c>
      <c r="E200" s="3">
        <f t="shared" si="39"/>
        <v>100.77404</v>
      </c>
      <c r="H200" s="4">
        <v>225.00295</v>
      </c>
      <c r="I200" s="1">
        <v>97</v>
      </c>
      <c r="J200" s="3">
        <v>94.997630000000001</v>
      </c>
      <c r="K200" s="3">
        <f t="shared" si="40"/>
        <v>99.10521</v>
      </c>
      <c r="L200" s="1">
        <f t="shared" si="36"/>
        <v>1.5536835182424099E-2</v>
      </c>
      <c r="N200" s="4">
        <v>225.01392999999999</v>
      </c>
      <c r="O200" s="1">
        <v>97</v>
      </c>
      <c r="P200" s="3">
        <v>100.70259</v>
      </c>
      <c r="Q200" s="3">
        <f t="shared" si="41"/>
        <v>100.83817000000001</v>
      </c>
      <c r="T200" s="4">
        <v>250.00599</v>
      </c>
      <c r="U200" s="1">
        <v>97</v>
      </c>
      <c r="V200" s="5">
        <v>94.332120000000003</v>
      </c>
      <c r="W200" s="3">
        <f t="shared" si="42"/>
        <v>98.489519999999999</v>
      </c>
      <c r="X200" s="1">
        <f t="shared" si="37"/>
        <v>2.5743367901820319E-2</v>
      </c>
      <c r="Z200" s="4">
        <v>250.01969</v>
      </c>
      <c r="AA200" s="1">
        <v>97</v>
      </c>
      <c r="AB200" s="5">
        <v>100.51282</v>
      </c>
      <c r="AC200" s="3">
        <f t="shared" si="43"/>
        <v>100.43608</v>
      </c>
      <c r="AD200" s="1">
        <f t="shared" si="38"/>
        <v>7.6487511074412456E-3</v>
      </c>
      <c r="AF200" s="11">
        <v>590.57570999999996</v>
      </c>
      <c r="AG200" s="1">
        <v>97</v>
      </c>
      <c r="AH200" s="12">
        <v>10.51159</v>
      </c>
      <c r="AI200" s="3">
        <f t="shared" si="44"/>
        <v>13.519279999999995</v>
      </c>
      <c r="AJ200" s="1">
        <f t="shared" ref="AJ200:AJ263" si="47">($AI$7-AI200)/($AI$7*(1-$M$1))</f>
        <v>1.0455034934566798</v>
      </c>
      <c r="AL200" s="11">
        <v>590.56938000000002</v>
      </c>
      <c r="AM200" s="1">
        <v>97</v>
      </c>
      <c r="AN200" s="12">
        <v>11.12091</v>
      </c>
      <c r="AO200" s="3">
        <f t="shared" si="45"/>
        <v>14.214410000000001</v>
      </c>
      <c r="AP200" s="1">
        <f t="shared" si="35"/>
        <v>1.0372055039027135</v>
      </c>
      <c r="AR200" s="11">
        <v>395.84239000000002</v>
      </c>
      <c r="AS200" s="1">
        <v>97</v>
      </c>
      <c r="AT200" s="12">
        <v>71.458690000000004</v>
      </c>
      <c r="AU200" s="3">
        <f t="shared" si="46"/>
        <v>72.11318</v>
      </c>
    </row>
    <row r="201" spans="2:47" ht="16" x14ac:dyDescent="0.2">
      <c r="B201" s="2">
        <v>200.02144000000001</v>
      </c>
      <c r="C201" s="1">
        <v>97.5</v>
      </c>
      <c r="D201" s="5">
        <v>99.91122</v>
      </c>
      <c r="E201" s="3">
        <f t="shared" si="39"/>
        <v>100.62452</v>
      </c>
      <c r="H201" s="4">
        <v>225.00192000000001</v>
      </c>
      <c r="I201" s="1">
        <v>97.5</v>
      </c>
      <c r="J201" s="5">
        <v>94.989220000000003</v>
      </c>
      <c r="K201" s="3">
        <f t="shared" si="40"/>
        <v>99.096800000000002</v>
      </c>
      <c r="L201" s="1">
        <f t="shared" si="36"/>
        <v>1.5638102946945374E-2</v>
      </c>
      <c r="N201" s="4">
        <v>225.01337000000001</v>
      </c>
      <c r="O201" s="1">
        <v>97.5</v>
      </c>
      <c r="P201" s="5">
        <v>100.72016000000001</v>
      </c>
      <c r="Q201" s="3">
        <f t="shared" si="41"/>
        <v>100.85574000000001</v>
      </c>
      <c r="T201" s="4">
        <v>250.00595000000001</v>
      </c>
      <c r="U201" s="1">
        <v>97.5</v>
      </c>
      <c r="V201" s="3">
        <v>94.308139999999995</v>
      </c>
      <c r="W201" s="3">
        <f t="shared" si="42"/>
        <v>98.46553999999999</v>
      </c>
      <c r="X201" s="1">
        <f t="shared" si="37"/>
        <v>2.6031439523449221E-2</v>
      </c>
      <c r="Z201" s="4">
        <v>250.01982000000001</v>
      </c>
      <c r="AA201" s="1">
        <v>97.5</v>
      </c>
      <c r="AB201" s="3">
        <v>100.3982</v>
      </c>
      <c r="AC201" s="3">
        <f t="shared" si="43"/>
        <v>100.32146</v>
      </c>
      <c r="AD201" s="1">
        <f t="shared" si="38"/>
        <v>9.0196442161259108E-3</v>
      </c>
      <c r="AF201" s="11">
        <v>593.07975999999996</v>
      </c>
      <c r="AG201" s="1">
        <v>97.5</v>
      </c>
      <c r="AH201" s="13">
        <v>10.457000000000001</v>
      </c>
      <c r="AI201" s="3">
        <f t="shared" si="44"/>
        <v>13.46468999999999</v>
      </c>
      <c r="AJ201" s="1">
        <f t="shared" si="47"/>
        <v>1.0461632680915181</v>
      </c>
      <c r="AL201" s="11">
        <v>593.07036000000005</v>
      </c>
      <c r="AM201" s="1">
        <v>97.5</v>
      </c>
      <c r="AN201" s="13">
        <v>11.08717</v>
      </c>
      <c r="AO201" s="3">
        <f t="shared" si="45"/>
        <v>14.180670000000006</v>
      </c>
      <c r="AP201" s="1">
        <f t="shared" si="35"/>
        <v>1.0376130401605577</v>
      </c>
      <c r="AR201" s="11">
        <v>397.32139999999998</v>
      </c>
      <c r="AS201" s="1">
        <v>97.5</v>
      </c>
      <c r="AT201" s="13">
        <v>70.839740000000006</v>
      </c>
      <c r="AU201" s="3">
        <f t="shared" si="46"/>
        <v>71.494230000000002</v>
      </c>
    </row>
    <row r="202" spans="2:47" ht="16" x14ac:dyDescent="0.2">
      <c r="B202" s="2">
        <v>200.01871</v>
      </c>
      <c r="C202" s="1">
        <v>98</v>
      </c>
      <c r="D202" s="3">
        <v>99.998450000000005</v>
      </c>
      <c r="E202" s="3">
        <f t="shared" si="39"/>
        <v>100.71175000000001</v>
      </c>
      <c r="H202" s="4">
        <v>225.00495000000001</v>
      </c>
      <c r="I202" s="1">
        <v>98</v>
      </c>
      <c r="J202" s="3">
        <v>94.985140000000001</v>
      </c>
      <c r="K202" s="3">
        <f t="shared" si="40"/>
        <v>99.09272</v>
      </c>
      <c r="L202" s="1">
        <f t="shared" si="36"/>
        <v>1.568723166029223E-2</v>
      </c>
      <c r="N202" s="4">
        <v>225.01076</v>
      </c>
      <c r="O202" s="1">
        <v>98</v>
      </c>
      <c r="P202" s="3">
        <v>100.69486999999999</v>
      </c>
      <c r="Q202" s="3">
        <f t="shared" si="41"/>
        <v>100.83045</v>
      </c>
      <c r="T202" s="4">
        <v>250.01101</v>
      </c>
      <c r="U202" s="1">
        <v>98</v>
      </c>
      <c r="V202" s="5">
        <v>94.294399999999996</v>
      </c>
      <c r="W202" s="3">
        <f t="shared" si="42"/>
        <v>98.451799999999992</v>
      </c>
      <c r="X202" s="1">
        <f t="shared" si="37"/>
        <v>2.6196498075625171E-2</v>
      </c>
      <c r="Z202" s="4">
        <v>250.01898</v>
      </c>
      <c r="AA202" s="1">
        <v>98</v>
      </c>
      <c r="AB202" s="5">
        <v>100.4183</v>
      </c>
      <c r="AC202" s="3">
        <f t="shared" si="43"/>
        <v>100.34156</v>
      </c>
      <c r="AD202" s="1">
        <f t="shared" si="38"/>
        <v>8.7792415683806638E-3</v>
      </c>
      <c r="AF202" s="11">
        <v>595.57631000000003</v>
      </c>
      <c r="AG202" s="1">
        <v>98</v>
      </c>
      <c r="AH202" s="12">
        <v>10.433160000000001</v>
      </c>
      <c r="AI202" s="3">
        <f t="shared" si="44"/>
        <v>13.440849999999998</v>
      </c>
      <c r="AJ202" s="1">
        <f t="shared" si="47"/>
        <v>1.0464513982855927</v>
      </c>
      <c r="AL202" s="11">
        <v>595.57232999999997</v>
      </c>
      <c r="AM202" s="1">
        <v>98</v>
      </c>
      <c r="AN202" s="12">
        <v>11.038779999999999</v>
      </c>
      <c r="AO202" s="3">
        <f t="shared" si="45"/>
        <v>14.132280000000009</v>
      </c>
      <c r="AP202" s="1">
        <f t="shared" si="35"/>
        <v>1.0381975297728008</v>
      </c>
      <c r="AR202" s="11">
        <v>398.81245999999999</v>
      </c>
      <c r="AS202" s="1">
        <v>98</v>
      </c>
      <c r="AT202" s="12">
        <v>70.265079999999998</v>
      </c>
      <c r="AU202" s="3">
        <f t="shared" si="46"/>
        <v>70.919569999999993</v>
      </c>
    </row>
    <row r="203" spans="2:47" ht="16" x14ac:dyDescent="0.2">
      <c r="B203" s="2">
        <v>200.01883000000001</v>
      </c>
      <c r="C203" s="1">
        <v>98.5</v>
      </c>
      <c r="D203" s="5">
        <v>100.06950999999999</v>
      </c>
      <c r="E203" s="3">
        <f t="shared" si="39"/>
        <v>100.78281</v>
      </c>
      <c r="H203" s="4">
        <v>225.00785999999999</v>
      </c>
      <c r="I203" s="1">
        <v>98.5</v>
      </c>
      <c r="J203" s="5">
        <v>94.976590000000002</v>
      </c>
      <c r="K203" s="3">
        <f t="shared" si="40"/>
        <v>99.08417</v>
      </c>
      <c r="L203" s="1">
        <f t="shared" si="36"/>
        <v>1.5790185213996995E-2</v>
      </c>
      <c r="N203" s="4">
        <v>225.00916000000001</v>
      </c>
      <c r="O203" s="1">
        <v>98.5</v>
      </c>
      <c r="P203" s="5">
        <v>100.70497</v>
      </c>
      <c r="Q203" s="3">
        <f t="shared" si="41"/>
        <v>100.84055000000001</v>
      </c>
      <c r="T203" s="4">
        <v>250.01201</v>
      </c>
      <c r="U203" s="1">
        <v>98.5</v>
      </c>
      <c r="V203" s="3">
        <v>94.280180000000001</v>
      </c>
      <c r="W203" s="3">
        <f t="shared" si="42"/>
        <v>98.437579999999997</v>
      </c>
      <c r="X203" s="1">
        <f t="shared" si="37"/>
        <v>2.6367322865431676E-2</v>
      </c>
      <c r="Z203" s="4">
        <v>250.01627999999999</v>
      </c>
      <c r="AA203" s="1">
        <v>98.5</v>
      </c>
      <c r="AB203" s="3">
        <v>100.36348</v>
      </c>
      <c r="AC203" s="3">
        <f t="shared" si="43"/>
        <v>100.28673999999999</v>
      </c>
      <c r="AD203" s="1">
        <f t="shared" si="38"/>
        <v>9.4349068991964099E-3</v>
      </c>
      <c r="AF203" s="11">
        <v>598.08018000000004</v>
      </c>
      <c r="AG203" s="1">
        <v>98.5</v>
      </c>
      <c r="AH203" s="13">
        <v>10.371270000000001</v>
      </c>
      <c r="AI203" s="3">
        <f t="shared" si="44"/>
        <v>13.378959999999992</v>
      </c>
      <c r="AJ203" s="1">
        <f t="shared" si="47"/>
        <v>1.0471994007063683</v>
      </c>
      <c r="AL203" s="11">
        <v>598.08103000000006</v>
      </c>
      <c r="AM203" s="1">
        <v>98.5</v>
      </c>
      <c r="AN203" s="13">
        <v>11.009729999999999</v>
      </c>
      <c r="AO203" s="3">
        <f t="shared" si="45"/>
        <v>14.103230000000011</v>
      </c>
      <c r="AP203" s="1">
        <f t="shared" ref="AP203:AP266" si="48">($AO$10-AO203)/($AO$10*(1-$M$1))</f>
        <v>1.0385484167997827</v>
      </c>
      <c r="AR203" s="11">
        <v>400.30356</v>
      </c>
      <c r="AS203" s="1">
        <v>98.5</v>
      </c>
      <c r="AT203" s="13">
        <v>69.762680000000003</v>
      </c>
      <c r="AU203" s="3">
        <f t="shared" si="46"/>
        <v>70.417169999999999</v>
      </c>
    </row>
    <row r="204" spans="2:47" ht="16" x14ac:dyDescent="0.2">
      <c r="B204" s="2">
        <v>200.01691</v>
      </c>
      <c r="C204" s="1">
        <v>99</v>
      </c>
      <c r="D204" s="3">
        <v>99.865160000000003</v>
      </c>
      <c r="E204" s="3">
        <f t="shared" si="39"/>
        <v>100.57846000000001</v>
      </c>
      <c r="H204" s="4">
        <v>225.00805</v>
      </c>
      <c r="I204" s="1">
        <v>99</v>
      </c>
      <c r="J204" s="3">
        <v>94.948409999999996</v>
      </c>
      <c r="K204" s="3">
        <f t="shared" si="40"/>
        <v>99.055989999999994</v>
      </c>
      <c r="L204" s="1">
        <f t="shared" si="36"/>
        <v>1.6129510493926937E-2</v>
      </c>
      <c r="N204" s="4">
        <v>225.00708</v>
      </c>
      <c r="O204" s="1">
        <v>99</v>
      </c>
      <c r="P204" s="3">
        <v>100.62553</v>
      </c>
      <c r="Q204" s="3">
        <f t="shared" si="41"/>
        <v>100.76111</v>
      </c>
      <c r="T204" s="4">
        <v>250.00399999999999</v>
      </c>
      <c r="U204" s="1">
        <v>99</v>
      </c>
      <c r="V204" s="5">
        <v>94.245999999999995</v>
      </c>
      <c r="W204" s="3">
        <f t="shared" si="42"/>
        <v>98.403399999999991</v>
      </c>
      <c r="X204" s="1">
        <f t="shared" si="37"/>
        <v>2.6777927036710832E-2</v>
      </c>
      <c r="Z204" s="4">
        <v>250.01497000000001</v>
      </c>
      <c r="AA204" s="1">
        <v>99</v>
      </c>
      <c r="AB204" s="5">
        <v>100.38055</v>
      </c>
      <c r="AC204" s="3">
        <f t="shared" si="43"/>
        <v>100.30381</v>
      </c>
      <c r="AD204" s="1">
        <f t="shared" si="38"/>
        <v>9.2307440535738996E-3</v>
      </c>
      <c r="AF204" s="11">
        <v>600.58694000000003</v>
      </c>
      <c r="AG204" s="1">
        <v>99</v>
      </c>
      <c r="AH204" s="12">
        <v>10.355880000000001</v>
      </c>
      <c r="AI204" s="3">
        <f t="shared" si="44"/>
        <v>13.363569999999996</v>
      </c>
      <c r="AJ204" s="1">
        <f t="shared" si="47"/>
        <v>1.047385404216721</v>
      </c>
      <c r="AL204" s="11">
        <v>600.57552999999996</v>
      </c>
      <c r="AM204" s="1">
        <v>99</v>
      </c>
      <c r="AN204" s="12">
        <v>10.962529999999999</v>
      </c>
      <c r="AO204" s="3">
        <f t="shared" si="45"/>
        <v>14.056030000000007</v>
      </c>
      <c r="AP204" s="1">
        <f t="shared" si="48"/>
        <v>1.0391185327265833</v>
      </c>
      <c r="AR204" s="11">
        <v>401.82254999999998</v>
      </c>
      <c r="AS204" s="1">
        <v>99</v>
      </c>
      <c r="AT204" s="12">
        <v>69.338070000000002</v>
      </c>
      <c r="AU204" s="3">
        <f t="shared" si="46"/>
        <v>69.992559999999997</v>
      </c>
    </row>
    <row r="205" spans="2:47" ht="16" x14ac:dyDescent="0.2">
      <c r="B205" s="2">
        <v>200.01469</v>
      </c>
      <c r="C205" s="1">
        <v>99.5</v>
      </c>
      <c r="D205" s="5">
        <v>99.993620000000007</v>
      </c>
      <c r="E205" s="3">
        <f t="shared" si="39"/>
        <v>100.70692000000001</v>
      </c>
      <c r="H205" s="4">
        <v>225.00605999999999</v>
      </c>
      <c r="I205" s="1">
        <v>99.5</v>
      </c>
      <c r="J205" s="5">
        <v>94.961439999999996</v>
      </c>
      <c r="K205" s="3">
        <f t="shared" si="40"/>
        <v>99.069019999999995</v>
      </c>
      <c r="L205" s="1">
        <f t="shared" si="36"/>
        <v>1.5972611686351126E-2</v>
      </c>
      <c r="N205" s="4">
        <v>225.00707</v>
      </c>
      <c r="O205" s="1">
        <v>99.5</v>
      </c>
      <c r="P205" s="5">
        <v>100.64066</v>
      </c>
      <c r="Q205" s="3">
        <f t="shared" si="41"/>
        <v>100.77624</v>
      </c>
      <c r="T205" s="4">
        <v>250.00599</v>
      </c>
      <c r="U205" s="1">
        <v>99.5</v>
      </c>
      <c r="V205" s="3">
        <v>94.249840000000006</v>
      </c>
      <c r="W205" s="3">
        <f t="shared" si="42"/>
        <v>98.407240000000002</v>
      </c>
      <c r="X205" s="1">
        <f t="shared" si="37"/>
        <v>2.673179713566589E-2</v>
      </c>
      <c r="Z205" s="4">
        <v>250.01435000000001</v>
      </c>
      <c r="AA205" s="1">
        <v>99.5</v>
      </c>
      <c r="AB205" s="3">
        <v>100.35653000000001</v>
      </c>
      <c r="AC205" s="3">
        <f t="shared" si="43"/>
        <v>100.27979000000001</v>
      </c>
      <c r="AD205" s="1">
        <f t="shared" si="38"/>
        <v>9.5180311977947647E-3</v>
      </c>
      <c r="AF205" s="11">
        <v>603.08130000000006</v>
      </c>
      <c r="AG205" s="1">
        <v>99.5</v>
      </c>
      <c r="AH205" s="13">
        <v>10.348179999999999</v>
      </c>
      <c r="AI205" s="3">
        <f t="shared" si="44"/>
        <v>13.355869999999996</v>
      </c>
      <c r="AJ205" s="1">
        <f t="shared" si="47"/>
        <v>1.0474784664018877</v>
      </c>
      <c r="AL205" s="11">
        <v>603.08456000000001</v>
      </c>
      <c r="AM205" s="1">
        <v>99.5</v>
      </c>
      <c r="AN205" s="13">
        <v>10.982379999999999</v>
      </c>
      <c r="AO205" s="3">
        <f t="shared" si="45"/>
        <v>14.075880000000012</v>
      </c>
      <c r="AP205" s="1">
        <f t="shared" si="48"/>
        <v>1.0388787699904183</v>
      </c>
      <c r="AR205" s="11">
        <v>403.35068000000001</v>
      </c>
      <c r="AS205" s="1">
        <v>99.5</v>
      </c>
      <c r="AT205" s="13">
        <v>68.856650000000002</v>
      </c>
      <c r="AU205" s="3">
        <f t="shared" si="46"/>
        <v>69.511139999999997</v>
      </c>
    </row>
    <row r="206" spans="2:47" ht="16" x14ac:dyDescent="0.2">
      <c r="B206" s="2">
        <v>200.01345000000001</v>
      </c>
      <c r="C206" s="1">
        <v>100</v>
      </c>
      <c r="D206" s="3">
        <v>99.824399999999997</v>
      </c>
      <c r="E206" s="3">
        <f t="shared" si="39"/>
        <v>100.5377</v>
      </c>
      <c r="H206" s="4">
        <v>225.00595999999999</v>
      </c>
      <c r="I206" s="1">
        <v>100</v>
      </c>
      <c r="J206" s="3">
        <v>94.953620000000001</v>
      </c>
      <c r="K206" s="3">
        <f t="shared" si="40"/>
        <v>99.061199999999999</v>
      </c>
      <c r="L206" s="1">
        <f t="shared" si="36"/>
        <v>1.6066775053599176E-2</v>
      </c>
      <c r="N206" s="4">
        <v>225.01022</v>
      </c>
      <c r="O206" s="1">
        <v>100</v>
      </c>
      <c r="P206" s="3">
        <v>100.65197999999999</v>
      </c>
      <c r="Q206" s="3">
        <f t="shared" si="41"/>
        <v>100.78756</v>
      </c>
      <c r="T206" s="4">
        <v>250.00695999999999</v>
      </c>
      <c r="U206" s="1">
        <v>100</v>
      </c>
      <c r="V206" s="5">
        <v>94.215999999999994</v>
      </c>
      <c r="W206" s="3">
        <f t="shared" si="42"/>
        <v>98.37339999999999</v>
      </c>
      <c r="X206" s="1">
        <f t="shared" si="37"/>
        <v>2.7138316888623438E-2</v>
      </c>
      <c r="Z206" s="4">
        <v>250.01682</v>
      </c>
      <c r="AA206" s="1">
        <v>100</v>
      </c>
      <c r="AB206" s="5">
        <v>100.31073000000001</v>
      </c>
      <c r="AC206" s="3">
        <f t="shared" si="43"/>
        <v>100.23399000000001</v>
      </c>
      <c r="AD206" s="1">
        <f t="shared" si="38"/>
        <v>1.0065814345393406E-2</v>
      </c>
      <c r="AF206" s="11">
        <v>605.58536000000004</v>
      </c>
      <c r="AG206" s="1">
        <v>100</v>
      </c>
      <c r="AH206" s="12">
        <v>10.293469999999999</v>
      </c>
      <c r="AI206" s="3">
        <f t="shared" si="44"/>
        <v>13.301159999999996</v>
      </c>
      <c r="AJ206" s="1">
        <f t="shared" si="47"/>
        <v>1.0481396913564949</v>
      </c>
      <c r="AL206" s="11">
        <v>605.58234000000004</v>
      </c>
      <c r="AM206" s="1">
        <v>100</v>
      </c>
      <c r="AN206" s="12">
        <v>10.90968</v>
      </c>
      <c r="AO206" s="3">
        <f t="shared" si="45"/>
        <v>14.00318</v>
      </c>
      <c r="AP206" s="1">
        <f t="shared" si="48"/>
        <v>1.0397568934624184</v>
      </c>
      <c r="AR206" s="11">
        <v>404.91147000000001</v>
      </c>
      <c r="AS206" s="1">
        <v>100</v>
      </c>
      <c r="AT206" s="12">
        <v>68.456590000000006</v>
      </c>
      <c r="AU206" s="3">
        <f t="shared" si="46"/>
        <v>69.111080000000001</v>
      </c>
    </row>
    <row r="207" spans="2:47" ht="16" x14ac:dyDescent="0.2">
      <c r="B207" s="2">
        <v>200.01078000000001</v>
      </c>
      <c r="C207" s="1">
        <v>100.5</v>
      </c>
      <c r="D207" s="5">
        <v>99.941770000000005</v>
      </c>
      <c r="E207" s="3">
        <f t="shared" si="39"/>
        <v>100.65507000000001</v>
      </c>
      <c r="H207" s="4">
        <v>225.00188</v>
      </c>
      <c r="I207" s="1">
        <v>100.5</v>
      </c>
      <c r="J207" s="5">
        <v>94.955609999999993</v>
      </c>
      <c r="K207" s="3">
        <f t="shared" si="40"/>
        <v>99.063189999999992</v>
      </c>
      <c r="L207" s="1">
        <f t="shared" si="36"/>
        <v>1.6042812764491376E-2</v>
      </c>
      <c r="N207" s="4">
        <v>225.01322999999999</v>
      </c>
      <c r="O207" s="1">
        <v>100.5</v>
      </c>
      <c r="P207" s="5">
        <v>100.86019</v>
      </c>
      <c r="Q207" s="3">
        <f t="shared" si="41"/>
        <v>100.99577000000001</v>
      </c>
      <c r="T207" s="4">
        <v>249.99798999999999</v>
      </c>
      <c r="U207" s="1">
        <v>100.5</v>
      </c>
      <c r="V207" s="3">
        <v>94.20411</v>
      </c>
      <c r="W207" s="3">
        <f t="shared" si="42"/>
        <v>98.361509999999996</v>
      </c>
      <c r="X207" s="1">
        <f t="shared" si="37"/>
        <v>2.728115139993139E-2</v>
      </c>
      <c r="Z207" s="4">
        <v>250.01777999999999</v>
      </c>
      <c r="AA207" s="1">
        <v>100.5</v>
      </c>
      <c r="AB207" s="3">
        <v>100.41498</v>
      </c>
      <c r="AC207" s="3">
        <f t="shared" si="43"/>
        <v>100.33824</v>
      </c>
      <c r="AD207" s="1">
        <f t="shared" si="38"/>
        <v>8.8189498664162248E-3</v>
      </c>
      <c r="AF207" s="11">
        <v>608.08636000000001</v>
      </c>
      <c r="AG207" s="1">
        <v>100.5</v>
      </c>
      <c r="AH207" s="13">
        <v>10.26858</v>
      </c>
      <c r="AI207" s="3">
        <f t="shared" si="44"/>
        <v>13.276269999999997</v>
      </c>
      <c r="AJ207" s="1">
        <f t="shared" si="47"/>
        <v>1.0484405118485469</v>
      </c>
      <c r="AL207" s="11">
        <v>608.09286999999995</v>
      </c>
      <c r="AM207" s="1">
        <v>100.5</v>
      </c>
      <c r="AN207" s="13">
        <v>10.89245</v>
      </c>
      <c r="AO207" s="3">
        <f t="shared" si="45"/>
        <v>13.985950000000003</v>
      </c>
      <c r="AP207" s="1">
        <f t="shared" si="48"/>
        <v>1.039965009933155</v>
      </c>
      <c r="AR207" s="11">
        <v>406.47732999999999</v>
      </c>
      <c r="AS207" s="1">
        <v>100.5</v>
      </c>
      <c r="AT207" s="13">
        <v>68.082070000000002</v>
      </c>
      <c r="AU207" s="3">
        <f t="shared" si="46"/>
        <v>68.736559999999997</v>
      </c>
    </row>
    <row r="208" spans="2:47" ht="16" x14ac:dyDescent="0.2">
      <c r="B208" s="2">
        <v>200.01644999999999</v>
      </c>
      <c r="C208" s="1">
        <v>101</v>
      </c>
      <c r="D208" s="3">
        <v>99.928579999999997</v>
      </c>
      <c r="E208" s="3">
        <f t="shared" si="39"/>
        <v>100.64188</v>
      </c>
      <c r="H208" s="4">
        <v>225.00203999999999</v>
      </c>
      <c r="I208" s="1">
        <v>101</v>
      </c>
      <c r="J208" s="3">
        <v>94.931970000000007</v>
      </c>
      <c r="K208" s="3">
        <f t="shared" si="40"/>
        <v>99.039550000000006</v>
      </c>
      <c r="L208" s="1">
        <f t="shared" si="36"/>
        <v>1.632747030947141E-2</v>
      </c>
      <c r="N208" s="4">
        <v>225.01384999999999</v>
      </c>
      <c r="O208" s="1">
        <v>101</v>
      </c>
      <c r="P208" s="3">
        <v>100.64851</v>
      </c>
      <c r="Q208" s="3">
        <f t="shared" si="41"/>
        <v>100.78409000000001</v>
      </c>
      <c r="T208" s="4">
        <v>250.00400999999999</v>
      </c>
      <c r="U208" s="1">
        <v>101</v>
      </c>
      <c r="V208" s="5">
        <v>94.199770000000001</v>
      </c>
      <c r="W208" s="3">
        <f t="shared" si="42"/>
        <v>98.357169999999996</v>
      </c>
      <c r="X208" s="1">
        <f t="shared" si="37"/>
        <v>2.7333287798508066E-2</v>
      </c>
      <c r="Z208" s="4">
        <v>250.01418000000001</v>
      </c>
      <c r="AA208" s="1">
        <v>101</v>
      </c>
      <c r="AB208" s="5">
        <v>100.34038</v>
      </c>
      <c r="AC208" s="3">
        <f t="shared" si="43"/>
        <v>100.26364</v>
      </c>
      <c r="AD208" s="1">
        <f t="shared" si="38"/>
        <v>9.711190539142444E-3</v>
      </c>
      <c r="AF208" s="11">
        <v>610.59342000000004</v>
      </c>
      <c r="AG208" s="1">
        <v>101</v>
      </c>
      <c r="AH208" s="12">
        <v>10.24747</v>
      </c>
      <c r="AI208" s="3">
        <f t="shared" si="44"/>
        <v>13.255159999999989</v>
      </c>
      <c r="AJ208" s="1">
        <f t="shared" si="47"/>
        <v>1.0486956472678808</v>
      </c>
      <c r="AL208" s="11">
        <v>610.59785999999997</v>
      </c>
      <c r="AM208" s="1">
        <v>101</v>
      </c>
      <c r="AN208" s="12">
        <v>10.856540000000001</v>
      </c>
      <c r="AO208" s="3">
        <f t="shared" si="45"/>
        <v>13.950040000000001</v>
      </c>
      <c r="AP208" s="1">
        <f t="shared" si="48"/>
        <v>1.0403987570291593</v>
      </c>
      <c r="AR208" s="11">
        <v>408.06684999999999</v>
      </c>
      <c r="AS208" s="1">
        <v>101</v>
      </c>
      <c r="AT208" s="12">
        <v>67.688550000000006</v>
      </c>
      <c r="AU208" s="3">
        <f t="shared" si="46"/>
        <v>68.343040000000002</v>
      </c>
    </row>
    <row r="209" spans="2:47" ht="16" x14ac:dyDescent="0.2">
      <c r="B209" s="2">
        <v>200.01799</v>
      </c>
      <c r="C209" s="1">
        <v>101.5</v>
      </c>
      <c r="D209" s="5">
        <v>99.872450000000001</v>
      </c>
      <c r="E209" s="3">
        <f t="shared" si="39"/>
        <v>100.58575</v>
      </c>
      <c r="H209" s="4">
        <v>225.00295</v>
      </c>
      <c r="I209" s="1">
        <v>101.5</v>
      </c>
      <c r="J209" s="5">
        <v>94.934309999999996</v>
      </c>
      <c r="K209" s="3">
        <f t="shared" si="40"/>
        <v>99.041889999999995</v>
      </c>
      <c r="L209" s="1">
        <f t="shared" si="36"/>
        <v>1.6299293547404968E-2</v>
      </c>
      <c r="N209" s="4">
        <v>225.01206999999999</v>
      </c>
      <c r="O209" s="1">
        <v>101.5</v>
      </c>
      <c r="P209" s="5">
        <v>100.70471000000001</v>
      </c>
      <c r="Q209" s="3">
        <f t="shared" si="41"/>
        <v>100.84029000000001</v>
      </c>
      <c r="T209" s="4">
        <v>249.99897000000001</v>
      </c>
      <c r="U209" s="1">
        <v>101.5</v>
      </c>
      <c r="V209" s="3">
        <v>94.179820000000007</v>
      </c>
      <c r="W209" s="3">
        <f t="shared" si="42"/>
        <v>98.337220000000002</v>
      </c>
      <c r="X209" s="1">
        <f t="shared" si="37"/>
        <v>2.7572947050029873E-2</v>
      </c>
      <c r="Z209" s="4">
        <v>250.01494</v>
      </c>
      <c r="AA209" s="1">
        <v>101.5</v>
      </c>
      <c r="AB209" s="3">
        <v>100.36415</v>
      </c>
      <c r="AC209" s="3">
        <f t="shared" si="43"/>
        <v>100.28740999999999</v>
      </c>
      <c r="AD209" s="1">
        <f t="shared" si="38"/>
        <v>9.4268934776049074E-3</v>
      </c>
      <c r="AF209" s="11">
        <v>613.09361999999999</v>
      </c>
      <c r="AG209" s="1">
        <v>101.5</v>
      </c>
      <c r="AH209" s="13">
        <v>10.21569</v>
      </c>
      <c r="AI209" s="3">
        <f t="shared" si="44"/>
        <v>13.223379999999992</v>
      </c>
      <c r="AJ209" s="1">
        <f t="shared" si="47"/>
        <v>1.0490797402866601</v>
      </c>
      <c r="AL209" s="11">
        <v>613.09466999999995</v>
      </c>
      <c r="AM209" s="1">
        <v>101.5</v>
      </c>
      <c r="AN209" s="13">
        <v>10.844530000000001</v>
      </c>
      <c r="AO209" s="3">
        <f t="shared" si="45"/>
        <v>13.938030000000012</v>
      </c>
      <c r="AP209" s="1">
        <f t="shared" si="48"/>
        <v>1.0405438225435846</v>
      </c>
      <c r="AR209" s="11">
        <v>409.67793999999998</v>
      </c>
      <c r="AS209" s="1">
        <v>101.5</v>
      </c>
      <c r="AT209" s="13">
        <v>67.332639999999998</v>
      </c>
      <c r="AU209" s="3">
        <f t="shared" si="46"/>
        <v>67.987129999999993</v>
      </c>
    </row>
    <row r="210" spans="2:47" ht="16" x14ac:dyDescent="0.2">
      <c r="B210" s="2">
        <v>200.01929999999999</v>
      </c>
      <c r="C210" s="1">
        <v>102</v>
      </c>
      <c r="D210" s="3">
        <v>99.97475</v>
      </c>
      <c r="E210" s="3">
        <f t="shared" si="39"/>
        <v>100.68805</v>
      </c>
      <c r="H210" s="4">
        <v>225.00691</v>
      </c>
      <c r="I210" s="1">
        <v>102</v>
      </c>
      <c r="J210" s="3">
        <v>94.937899999999999</v>
      </c>
      <c r="K210" s="3">
        <f t="shared" si="40"/>
        <v>99.045479999999998</v>
      </c>
      <c r="L210" s="1">
        <f t="shared" si="36"/>
        <v>1.6256065096200242E-2</v>
      </c>
      <c r="N210" s="4">
        <v>225.01416</v>
      </c>
      <c r="O210" s="1">
        <v>102</v>
      </c>
      <c r="P210" s="3">
        <v>100.64152</v>
      </c>
      <c r="Q210" s="3">
        <f t="shared" si="41"/>
        <v>100.7771</v>
      </c>
      <c r="T210" s="4">
        <v>249.99999</v>
      </c>
      <c r="U210" s="1">
        <v>102</v>
      </c>
      <c r="V210" s="5">
        <v>94.16592</v>
      </c>
      <c r="W210" s="3">
        <f t="shared" si="42"/>
        <v>98.323319999999995</v>
      </c>
      <c r="X210" s="1">
        <f t="shared" si="37"/>
        <v>2.7739927681416122E-2</v>
      </c>
      <c r="Z210" s="4">
        <v>250.01168000000001</v>
      </c>
      <c r="AA210" s="1">
        <v>102</v>
      </c>
      <c r="AB210" s="5">
        <v>100.36530999999999</v>
      </c>
      <c r="AC210" s="3">
        <f t="shared" si="43"/>
        <v>100.28856999999999</v>
      </c>
      <c r="AD210" s="1">
        <f t="shared" si="38"/>
        <v>9.4130194939539523E-3</v>
      </c>
      <c r="AF210" s="11">
        <v>615.59748000000002</v>
      </c>
      <c r="AG210" s="1">
        <v>102</v>
      </c>
      <c r="AH210" s="12">
        <v>10.20632</v>
      </c>
      <c r="AI210" s="3">
        <f t="shared" si="44"/>
        <v>13.214010000000002</v>
      </c>
      <c r="AJ210" s="1">
        <f t="shared" si="47"/>
        <v>1.0491929860886096</v>
      </c>
      <c r="AL210" s="11">
        <v>615.59460000000001</v>
      </c>
      <c r="AM210" s="1">
        <v>102</v>
      </c>
      <c r="AN210" s="12">
        <v>10.82272</v>
      </c>
      <c r="AO210" s="3">
        <f t="shared" si="45"/>
        <v>13.91622000000001</v>
      </c>
      <c r="AP210" s="1">
        <f t="shared" si="48"/>
        <v>1.0408072595851845</v>
      </c>
      <c r="AR210" s="11">
        <v>411.28967999999998</v>
      </c>
      <c r="AS210" s="1">
        <v>102</v>
      </c>
      <c r="AT210" s="12">
        <v>66.885310000000004</v>
      </c>
      <c r="AU210" s="3">
        <f t="shared" si="46"/>
        <v>67.5398</v>
      </c>
    </row>
    <row r="211" spans="2:47" ht="16" x14ac:dyDescent="0.2">
      <c r="B211" s="2">
        <v>200.01766000000001</v>
      </c>
      <c r="C211" s="1">
        <v>102.5</v>
      </c>
      <c r="D211" s="5">
        <v>99.826419999999999</v>
      </c>
      <c r="E211" s="3">
        <f t="shared" si="39"/>
        <v>100.53972</v>
      </c>
      <c r="H211" s="4">
        <v>225.00602000000001</v>
      </c>
      <c r="I211" s="1">
        <v>102.5</v>
      </c>
      <c r="J211" s="5">
        <v>94.915559999999999</v>
      </c>
      <c r="K211" s="3">
        <f t="shared" si="40"/>
        <v>99.023139999999998</v>
      </c>
      <c r="L211" s="1">
        <f t="shared" si="36"/>
        <v>1.6525068884476794E-2</v>
      </c>
      <c r="N211" s="4">
        <v>225.02010999999999</v>
      </c>
      <c r="O211" s="1">
        <v>102.5</v>
      </c>
      <c r="P211" s="5">
        <v>100.79235</v>
      </c>
      <c r="Q211" s="3">
        <f t="shared" si="41"/>
        <v>100.92793</v>
      </c>
      <c r="T211" s="4">
        <v>250.005</v>
      </c>
      <c r="U211" s="1">
        <v>102.5</v>
      </c>
      <c r="V211" s="3">
        <v>94.153729999999996</v>
      </c>
      <c r="W211" s="3">
        <f t="shared" si="42"/>
        <v>98.311129999999991</v>
      </c>
      <c r="X211" s="1">
        <f t="shared" si="37"/>
        <v>2.7886366091243318E-2</v>
      </c>
      <c r="Z211" s="4">
        <v>250.01249999999999</v>
      </c>
      <c r="AA211" s="1">
        <v>102.5</v>
      </c>
      <c r="AB211" s="3">
        <v>100.42632</v>
      </c>
      <c r="AC211" s="3">
        <f t="shared" si="43"/>
        <v>100.34958</v>
      </c>
      <c r="AD211" s="1">
        <f t="shared" si="38"/>
        <v>8.6833197158972097E-3</v>
      </c>
      <c r="AF211" s="11">
        <v>618.10041000000001</v>
      </c>
      <c r="AG211" s="1">
        <v>102.5</v>
      </c>
      <c r="AH211" s="13">
        <v>10.200089999999999</v>
      </c>
      <c r="AI211" s="3">
        <f t="shared" si="44"/>
        <v>13.20778</v>
      </c>
      <c r="AJ211" s="1">
        <f t="shared" si="47"/>
        <v>1.0492682818566081</v>
      </c>
      <c r="AL211" s="11">
        <v>618.09751000000006</v>
      </c>
      <c r="AM211" s="1">
        <v>102.5</v>
      </c>
      <c r="AN211" s="13">
        <v>10.81132</v>
      </c>
      <c r="AO211" s="3">
        <f t="shared" si="45"/>
        <v>13.904820000000001</v>
      </c>
      <c r="AP211" s="1">
        <f t="shared" si="48"/>
        <v>1.0409449570759797</v>
      </c>
      <c r="AR211" s="11">
        <v>412.8845</v>
      </c>
      <c r="AS211" s="1">
        <v>102.5</v>
      </c>
      <c r="AT211" s="13">
        <v>66.4589</v>
      </c>
      <c r="AU211" s="3">
        <f t="shared" si="46"/>
        <v>67.113389999999995</v>
      </c>
    </row>
    <row r="212" spans="2:47" ht="16" x14ac:dyDescent="0.2">
      <c r="B212" s="2">
        <v>200.01951</v>
      </c>
      <c r="C212" s="1">
        <v>103</v>
      </c>
      <c r="D212" s="3">
        <v>100.26156</v>
      </c>
      <c r="E212" s="3">
        <f t="shared" si="39"/>
        <v>100.97486000000001</v>
      </c>
      <c r="H212" s="4">
        <v>225.00809000000001</v>
      </c>
      <c r="I212" s="1">
        <v>103</v>
      </c>
      <c r="J212" s="3">
        <v>94.906440000000003</v>
      </c>
      <c r="K212" s="3">
        <f t="shared" si="40"/>
        <v>99.014020000000002</v>
      </c>
      <c r="L212" s="1">
        <f t="shared" si="36"/>
        <v>1.6634886008428499E-2</v>
      </c>
      <c r="N212" s="4">
        <v>225.01826</v>
      </c>
      <c r="O212" s="1">
        <v>103</v>
      </c>
      <c r="P212" s="3">
        <v>100.77551</v>
      </c>
      <c r="Q212" s="3">
        <f t="shared" si="41"/>
        <v>100.91109</v>
      </c>
      <c r="T212" s="4">
        <v>250.00897000000001</v>
      </c>
      <c r="U212" s="1">
        <v>103</v>
      </c>
      <c r="V212" s="5">
        <v>94.139690000000002</v>
      </c>
      <c r="W212" s="3">
        <f t="shared" si="42"/>
        <v>98.297089999999997</v>
      </c>
      <c r="X212" s="1">
        <f t="shared" si="37"/>
        <v>2.8055028541938344E-2</v>
      </c>
      <c r="Z212" s="4">
        <v>250.01374999999999</v>
      </c>
      <c r="AA212" s="1">
        <v>103</v>
      </c>
      <c r="AB212" s="5">
        <v>100.33485</v>
      </c>
      <c r="AC212" s="3">
        <f t="shared" si="43"/>
        <v>100.25811</v>
      </c>
      <c r="AD212" s="1">
        <f t="shared" si="38"/>
        <v>9.7773311680991407E-3</v>
      </c>
      <c r="AF212" s="11">
        <v>620.60384999999997</v>
      </c>
      <c r="AG212" s="1">
        <v>103</v>
      </c>
      <c r="AH212" s="12">
        <v>10.154949999999999</v>
      </c>
      <c r="AI212" s="3">
        <f t="shared" si="44"/>
        <v>13.162639999999996</v>
      </c>
      <c r="AJ212" s="1">
        <f t="shared" si="47"/>
        <v>1.0498138438096509</v>
      </c>
      <c r="AL212" s="11">
        <v>620.60808999999995</v>
      </c>
      <c r="AM212" s="1">
        <v>103</v>
      </c>
      <c r="AN212" s="12">
        <v>10.775370000000001</v>
      </c>
      <c r="AO212" s="3">
        <f t="shared" si="45"/>
        <v>13.868870000000001</v>
      </c>
      <c r="AP212" s="1">
        <f t="shared" si="48"/>
        <v>1.0413791873210745</v>
      </c>
      <c r="AR212" s="11">
        <v>414.45159999999998</v>
      </c>
      <c r="AS212" s="1">
        <v>103</v>
      </c>
      <c r="AT212" s="12">
        <v>66.062039999999996</v>
      </c>
      <c r="AU212" s="3">
        <f t="shared" si="46"/>
        <v>66.716529999999992</v>
      </c>
    </row>
    <row r="213" spans="2:47" ht="16" x14ac:dyDescent="0.2">
      <c r="B213" s="2">
        <v>200.02345</v>
      </c>
      <c r="C213" s="1">
        <v>103.5</v>
      </c>
      <c r="D213" s="5">
        <v>99.867729999999995</v>
      </c>
      <c r="E213" s="3">
        <f t="shared" si="39"/>
        <v>100.58103</v>
      </c>
      <c r="H213" s="4">
        <v>225.00604000000001</v>
      </c>
      <c r="I213" s="1">
        <v>103.5</v>
      </c>
      <c r="J213" s="5">
        <v>94.908969999999997</v>
      </c>
      <c r="K213" s="3">
        <f t="shared" si="40"/>
        <v>99.016549999999995</v>
      </c>
      <c r="L213" s="1">
        <f t="shared" ref="L213:L276" si="49">($K$20-K213)/($K$20*(1-$M$1))</f>
        <v>1.660442138961302E-2</v>
      </c>
      <c r="N213" s="4">
        <v>225.01732999999999</v>
      </c>
      <c r="O213" s="1">
        <v>103.5</v>
      </c>
      <c r="P213" s="5">
        <v>100.66737000000001</v>
      </c>
      <c r="Q213" s="3">
        <f t="shared" si="41"/>
        <v>100.80295000000001</v>
      </c>
      <c r="T213" s="4">
        <v>250.01398</v>
      </c>
      <c r="U213" s="1">
        <v>103.5</v>
      </c>
      <c r="V213" s="3">
        <v>94.135639999999995</v>
      </c>
      <c r="W213" s="3">
        <f t="shared" si="42"/>
        <v>98.293039999999991</v>
      </c>
      <c r="X213" s="1">
        <f t="shared" si="37"/>
        <v>2.8103681171946622E-2</v>
      </c>
      <c r="Z213" s="4">
        <v>250.01476</v>
      </c>
      <c r="AA213" s="1">
        <v>103.5</v>
      </c>
      <c r="AB213" s="3">
        <v>100.34958</v>
      </c>
      <c r="AC213" s="3">
        <f t="shared" si="43"/>
        <v>100.27284</v>
      </c>
      <c r="AD213" s="1">
        <f t="shared" si="38"/>
        <v>9.6011554963932877E-3</v>
      </c>
      <c r="AF213" s="11">
        <v>623.11247000000003</v>
      </c>
      <c r="AG213" s="1">
        <v>103.5</v>
      </c>
      <c r="AH213" s="13">
        <v>10.214549999999999</v>
      </c>
      <c r="AI213" s="3">
        <f t="shared" si="44"/>
        <v>13.222239999999999</v>
      </c>
      <c r="AJ213" s="1">
        <f t="shared" si="47"/>
        <v>1.0490935183244638</v>
      </c>
      <c r="AL213" s="11">
        <v>623.10411999999997</v>
      </c>
      <c r="AM213" s="1">
        <v>103.5</v>
      </c>
      <c r="AN213" s="13">
        <v>10.72756</v>
      </c>
      <c r="AO213" s="3">
        <f t="shared" si="45"/>
        <v>13.821060000000003</v>
      </c>
      <c r="AP213" s="1">
        <f t="shared" si="48"/>
        <v>1.0419566712715054</v>
      </c>
      <c r="AR213" s="11">
        <v>415.98867999999999</v>
      </c>
      <c r="AS213" s="1">
        <v>103.5</v>
      </c>
      <c r="AT213" s="13">
        <v>65.481650000000002</v>
      </c>
      <c r="AU213" s="3">
        <f t="shared" si="46"/>
        <v>66.136139999999997</v>
      </c>
    </row>
    <row r="214" spans="2:47" ht="16" x14ac:dyDescent="0.2">
      <c r="B214" s="2">
        <v>200.02606</v>
      </c>
      <c r="C214" s="1">
        <v>104</v>
      </c>
      <c r="D214" s="3">
        <v>99.914779999999993</v>
      </c>
      <c r="E214" s="3">
        <f t="shared" si="39"/>
        <v>100.62808</v>
      </c>
      <c r="H214" s="4">
        <v>225.00700000000001</v>
      </c>
      <c r="I214" s="1">
        <v>104</v>
      </c>
      <c r="J214" s="3">
        <v>94.93432</v>
      </c>
      <c r="K214" s="3">
        <f t="shared" si="40"/>
        <v>99.041899999999998</v>
      </c>
      <c r="L214" s="1">
        <f t="shared" si="49"/>
        <v>1.6299173133891825E-2</v>
      </c>
      <c r="N214" s="4">
        <v>225.01866999999999</v>
      </c>
      <c r="O214" s="1">
        <v>104</v>
      </c>
      <c r="P214" s="3">
        <v>100.83201</v>
      </c>
      <c r="Q214" s="3">
        <f t="shared" si="41"/>
        <v>100.96759</v>
      </c>
      <c r="T214" s="4">
        <v>250.01002</v>
      </c>
      <c r="U214" s="1">
        <v>104</v>
      </c>
      <c r="V214" s="5">
        <v>94.099710000000002</v>
      </c>
      <c r="W214" s="3">
        <f t="shared" si="42"/>
        <v>98.257109999999997</v>
      </c>
      <c r="X214" s="1">
        <f t="shared" ref="X214:X277" si="50">($W$21-W214)/($W$21*(1-$M$1))</f>
        <v>2.853530808458719E-2</v>
      </c>
      <c r="Z214" s="4">
        <v>250.01322999999999</v>
      </c>
      <c r="AA214" s="1">
        <v>104</v>
      </c>
      <c r="AB214" s="5">
        <v>100.35325</v>
      </c>
      <c r="AC214" s="3">
        <f t="shared" si="43"/>
        <v>100.27651</v>
      </c>
      <c r="AD214" s="1">
        <f t="shared" si="38"/>
        <v>9.5572610826009999E-3</v>
      </c>
      <c r="AF214" s="11">
        <v>625.60289999999998</v>
      </c>
      <c r="AG214" s="1">
        <v>104</v>
      </c>
      <c r="AH214" s="12">
        <v>10.10347</v>
      </c>
      <c r="AI214" s="3">
        <f t="shared" si="44"/>
        <v>13.111159999999998</v>
      </c>
      <c r="AJ214" s="1">
        <f t="shared" si="47"/>
        <v>1.0504360309904801</v>
      </c>
      <c r="AL214" s="11">
        <v>625.60852</v>
      </c>
      <c r="AM214" s="1">
        <v>104</v>
      </c>
      <c r="AN214" s="12">
        <v>10.74563</v>
      </c>
      <c r="AO214" s="3">
        <f t="shared" si="45"/>
        <v>13.839130000000011</v>
      </c>
      <c r="AP214" s="1">
        <f t="shared" si="48"/>
        <v>1.0417384086698678</v>
      </c>
      <c r="AR214" s="11">
        <v>417.50758999999999</v>
      </c>
      <c r="AS214" s="1">
        <v>104</v>
      </c>
      <c r="AT214" s="12">
        <v>65.020160000000004</v>
      </c>
      <c r="AU214" s="3">
        <f t="shared" si="46"/>
        <v>65.67465</v>
      </c>
    </row>
    <row r="215" spans="2:47" ht="16" x14ac:dyDescent="0.2">
      <c r="B215" s="2">
        <v>200.02216000000001</v>
      </c>
      <c r="C215" s="1">
        <v>104.5</v>
      </c>
      <c r="D215" s="5">
        <v>99.973370000000003</v>
      </c>
      <c r="E215" s="3">
        <f t="shared" si="39"/>
        <v>100.68667000000001</v>
      </c>
      <c r="H215" s="4">
        <v>225.00397000000001</v>
      </c>
      <c r="I215" s="1">
        <v>104.5</v>
      </c>
      <c r="J215" s="5">
        <v>94.891490000000005</v>
      </c>
      <c r="K215" s="3">
        <f t="shared" si="40"/>
        <v>98.999070000000003</v>
      </c>
      <c r="L215" s="1">
        <f t="shared" si="49"/>
        <v>1.681490421052045E-2</v>
      </c>
      <c r="N215" s="4">
        <v>225.01534000000001</v>
      </c>
      <c r="O215" s="1">
        <v>104.5</v>
      </c>
      <c r="P215" s="5">
        <v>100.71901</v>
      </c>
      <c r="Q215" s="3">
        <f t="shared" si="41"/>
        <v>100.85459</v>
      </c>
      <c r="T215" s="4">
        <v>250.00599</v>
      </c>
      <c r="U215" s="1">
        <v>104.5</v>
      </c>
      <c r="V215" s="3">
        <v>94.109530000000007</v>
      </c>
      <c r="W215" s="3">
        <f t="shared" si="42"/>
        <v>98.266930000000002</v>
      </c>
      <c r="X215" s="1">
        <f t="shared" si="50"/>
        <v>2.8417340473061076E-2</v>
      </c>
      <c r="Z215" s="4">
        <v>250.01411999999999</v>
      </c>
      <c r="AA215" s="1">
        <v>104.5</v>
      </c>
      <c r="AB215" s="3">
        <v>100.34083</v>
      </c>
      <c r="AC215" s="3">
        <f t="shared" si="43"/>
        <v>100.26409</v>
      </c>
      <c r="AD215" s="1">
        <f t="shared" si="38"/>
        <v>9.705808390312317E-3</v>
      </c>
      <c r="AF215" s="11">
        <v>628.10644000000002</v>
      </c>
      <c r="AG215" s="1">
        <v>104.5</v>
      </c>
      <c r="AH215" s="13">
        <v>10.130710000000001</v>
      </c>
      <c r="AI215" s="3">
        <f t="shared" si="44"/>
        <v>13.13839999999999</v>
      </c>
      <c r="AJ215" s="1">
        <f t="shared" si="47"/>
        <v>1.0501068084029552</v>
      </c>
      <c r="AL215" s="11">
        <v>628.10672</v>
      </c>
      <c r="AM215" s="1">
        <v>104.5</v>
      </c>
      <c r="AN215" s="13">
        <v>10.724909999999999</v>
      </c>
      <c r="AO215" s="3">
        <f t="shared" si="45"/>
        <v>13.81841</v>
      </c>
      <c r="AP215" s="1">
        <f t="shared" si="48"/>
        <v>1.0419886798987517</v>
      </c>
      <c r="AR215" s="11">
        <v>418.98550999999998</v>
      </c>
      <c r="AS215" s="1">
        <v>104.5</v>
      </c>
      <c r="AT215" s="13">
        <v>64.450829999999996</v>
      </c>
      <c r="AU215" s="3">
        <f t="shared" si="46"/>
        <v>65.105319999999992</v>
      </c>
    </row>
    <row r="216" spans="2:47" ht="16" x14ac:dyDescent="0.2">
      <c r="B216" s="2">
        <v>200.02375000000001</v>
      </c>
      <c r="C216" s="1">
        <v>105</v>
      </c>
      <c r="D216" s="3">
        <v>100.04136</v>
      </c>
      <c r="E216" s="3">
        <f t="shared" si="39"/>
        <v>100.75466</v>
      </c>
      <c r="H216" s="4">
        <v>225.00403</v>
      </c>
      <c r="I216" s="1">
        <v>105</v>
      </c>
      <c r="J216" s="3">
        <v>94.886349999999993</v>
      </c>
      <c r="K216" s="3">
        <f t="shared" si="40"/>
        <v>98.993929999999992</v>
      </c>
      <c r="L216" s="1">
        <f t="shared" si="49"/>
        <v>1.6876796756256553E-2</v>
      </c>
      <c r="N216" s="4">
        <v>225.0181</v>
      </c>
      <c r="O216" s="1">
        <v>105</v>
      </c>
      <c r="P216" s="3">
        <v>100.76101</v>
      </c>
      <c r="Q216" s="3">
        <f t="shared" si="41"/>
        <v>100.89659</v>
      </c>
      <c r="T216" s="4">
        <v>250.00998999999999</v>
      </c>
      <c r="U216" s="1">
        <v>105</v>
      </c>
      <c r="V216" s="5">
        <v>94.077590000000001</v>
      </c>
      <c r="W216" s="3">
        <f t="shared" si="42"/>
        <v>98.234989999999996</v>
      </c>
      <c r="X216" s="1">
        <f t="shared" si="50"/>
        <v>2.880103553539742E-2</v>
      </c>
      <c r="Z216" s="4">
        <v>250.01743999999999</v>
      </c>
      <c r="AA216" s="1">
        <v>105</v>
      </c>
      <c r="AB216" s="5">
        <v>100.33623</v>
      </c>
      <c r="AC216" s="3">
        <f t="shared" si="43"/>
        <v>100.25949</v>
      </c>
      <c r="AD216" s="1">
        <f t="shared" si="38"/>
        <v>9.7608259116868101E-3</v>
      </c>
      <c r="AF216" s="11">
        <v>630.60945000000004</v>
      </c>
      <c r="AG216" s="1">
        <v>105</v>
      </c>
      <c r="AH216" s="12">
        <v>10.076269999999999</v>
      </c>
      <c r="AI216" s="3">
        <f t="shared" si="44"/>
        <v>13.08395999999999</v>
      </c>
      <c r="AJ216" s="1">
        <f t="shared" si="47"/>
        <v>1.0507647701380822</v>
      </c>
      <c r="AL216" s="11">
        <v>630.60861999999997</v>
      </c>
      <c r="AM216" s="1">
        <v>105</v>
      </c>
      <c r="AN216" s="12">
        <v>10.69952</v>
      </c>
      <c r="AO216" s="3">
        <f t="shared" si="45"/>
        <v>13.793020000000013</v>
      </c>
      <c r="AP216" s="1">
        <f t="shared" si="48"/>
        <v>1.0422953587839519</v>
      </c>
      <c r="AR216" s="11">
        <v>420.42351000000002</v>
      </c>
      <c r="AS216" s="1">
        <v>105</v>
      </c>
      <c r="AT216" s="12">
        <v>63.950069999999997</v>
      </c>
      <c r="AU216" s="3">
        <f t="shared" si="46"/>
        <v>64.604559999999992</v>
      </c>
    </row>
    <row r="217" spans="2:47" ht="16" x14ac:dyDescent="0.2">
      <c r="B217" s="2">
        <v>200.02218999999999</v>
      </c>
      <c r="C217" s="1">
        <v>105.5</v>
      </c>
      <c r="D217" s="5">
        <v>99.897229999999993</v>
      </c>
      <c r="E217" s="3">
        <f t="shared" si="39"/>
        <v>100.61053</v>
      </c>
      <c r="H217" s="4">
        <v>225.00505999999999</v>
      </c>
      <c r="I217" s="1">
        <v>105.5</v>
      </c>
      <c r="J217" s="5">
        <v>94.876810000000006</v>
      </c>
      <c r="K217" s="3">
        <f t="shared" si="40"/>
        <v>98.984390000000005</v>
      </c>
      <c r="L217" s="1">
        <f t="shared" si="49"/>
        <v>1.699167124775856E-2</v>
      </c>
      <c r="N217" s="4">
        <v>225.02231</v>
      </c>
      <c r="O217" s="1">
        <v>105.5</v>
      </c>
      <c r="P217" s="5">
        <v>100.80548</v>
      </c>
      <c r="Q217" s="3">
        <f t="shared" si="41"/>
        <v>100.94106000000001</v>
      </c>
      <c r="T217" s="4">
        <v>250.00300999999999</v>
      </c>
      <c r="U217" s="1">
        <v>105.5</v>
      </c>
      <c r="V217" s="3">
        <v>94.063400000000001</v>
      </c>
      <c r="W217" s="3">
        <f t="shared" si="42"/>
        <v>98.220799999999997</v>
      </c>
      <c r="X217" s="1">
        <f t="shared" si="50"/>
        <v>2.8971499935352068E-2</v>
      </c>
      <c r="Z217" s="4">
        <v>250.02011999999999</v>
      </c>
      <c r="AA217" s="1">
        <v>105.5</v>
      </c>
      <c r="AB217" s="3">
        <v>100.38383</v>
      </c>
      <c r="AC217" s="3">
        <f t="shared" si="43"/>
        <v>100.30709</v>
      </c>
      <c r="AD217" s="1">
        <f t="shared" si="38"/>
        <v>9.1915141687676644E-3</v>
      </c>
      <c r="AF217" s="11">
        <v>633.10927000000004</v>
      </c>
      <c r="AG217" s="1">
        <v>105.5</v>
      </c>
      <c r="AH217" s="13">
        <v>10.063090000000001</v>
      </c>
      <c r="AI217" s="3">
        <f t="shared" si="44"/>
        <v>13.070779999999999</v>
      </c>
      <c r="AJ217" s="1">
        <f t="shared" si="47"/>
        <v>1.0509240635926924</v>
      </c>
      <c r="AL217" s="11">
        <v>633.11036000000001</v>
      </c>
      <c r="AM217" s="1">
        <v>105.5</v>
      </c>
      <c r="AN217" s="13">
        <v>10.67231</v>
      </c>
      <c r="AO217" s="3">
        <f t="shared" si="45"/>
        <v>13.765810000000002</v>
      </c>
      <c r="AP217" s="1">
        <f t="shared" si="48"/>
        <v>1.0426240209527708</v>
      </c>
      <c r="AR217" s="11">
        <v>421.84832</v>
      </c>
      <c r="AS217" s="1">
        <v>105.5</v>
      </c>
      <c r="AT217" s="13">
        <v>63.374270000000003</v>
      </c>
      <c r="AU217" s="3">
        <f t="shared" si="46"/>
        <v>64.028760000000005</v>
      </c>
    </row>
    <row r="218" spans="2:47" ht="16" x14ac:dyDescent="0.2">
      <c r="B218" s="2">
        <v>200.02180000000001</v>
      </c>
      <c r="C218" s="1">
        <v>106</v>
      </c>
      <c r="D218" s="3">
        <v>99.881180000000001</v>
      </c>
      <c r="E218" s="3">
        <f t="shared" si="39"/>
        <v>100.59448</v>
      </c>
      <c r="H218" s="4">
        <v>225.00789</v>
      </c>
      <c r="I218" s="1">
        <v>106</v>
      </c>
      <c r="J218" s="3">
        <v>94.860420000000005</v>
      </c>
      <c r="K218" s="3">
        <f t="shared" si="40"/>
        <v>98.968000000000004</v>
      </c>
      <c r="L218" s="1">
        <f t="shared" si="49"/>
        <v>1.7189028995737658E-2</v>
      </c>
      <c r="N218" s="4">
        <v>225.01990000000001</v>
      </c>
      <c r="O218" s="1">
        <v>106</v>
      </c>
      <c r="P218" s="3">
        <v>100.87651</v>
      </c>
      <c r="Q218" s="7">
        <f t="shared" si="41"/>
        <v>101.01209</v>
      </c>
      <c r="R218" s="1">
        <f t="shared" ref="R218:R281" si="51">($Q$218-Q218)/($Q$218*(1-$M$1))</f>
        <v>0</v>
      </c>
      <c r="T218" s="4">
        <v>250.00599</v>
      </c>
      <c r="U218" s="1">
        <v>106</v>
      </c>
      <c r="V218" s="5">
        <v>94.053389999999993</v>
      </c>
      <c r="W218" s="3">
        <f t="shared" si="42"/>
        <v>98.210789999999989</v>
      </c>
      <c r="X218" s="1">
        <f t="shared" si="50"/>
        <v>2.9091750015940335E-2</v>
      </c>
      <c r="Z218" s="4">
        <v>250.02128999999999</v>
      </c>
      <c r="AA218" s="1">
        <v>106</v>
      </c>
      <c r="AB218" s="5">
        <v>100.33516</v>
      </c>
      <c r="AC218" s="3">
        <f t="shared" si="43"/>
        <v>100.25842</v>
      </c>
      <c r="AD218" s="1">
        <f t="shared" si="38"/>
        <v>9.7736234655717395E-3</v>
      </c>
      <c r="AF218" s="11">
        <v>635.59834000000001</v>
      </c>
      <c r="AG218" s="1">
        <v>106</v>
      </c>
      <c r="AH218" s="12">
        <v>10.02534</v>
      </c>
      <c r="AI218" s="3">
        <f t="shared" si="44"/>
        <v>13.033029999999997</v>
      </c>
      <c r="AJ218" s="1">
        <f t="shared" si="47"/>
        <v>1.051380310019971</v>
      </c>
      <c r="AL218" s="11">
        <v>635.58794</v>
      </c>
      <c r="AM218" s="1">
        <v>106</v>
      </c>
      <c r="AN218" s="12">
        <v>10.65499</v>
      </c>
      <c r="AO218" s="3">
        <f t="shared" si="45"/>
        <v>13.748490000000004</v>
      </c>
      <c r="AP218" s="1">
        <f t="shared" si="48"/>
        <v>1.0428332245089611</v>
      </c>
      <c r="AR218" s="11">
        <v>423.29975999999999</v>
      </c>
      <c r="AS218" s="1">
        <v>106</v>
      </c>
      <c r="AT218" s="12">
        <v>62.884279999999997</v>
      </c>
      <c r="AU218" s="3">
        <f t="shared" si="46"/>
        <v>63.538769999999992</v>
      </c>
    </row>
    <row r="219" spans="2:47" ht="16" x14ac:dyDescent="0.2">
      <c r="B219" s="2">
        <v>200.02025</v>
      </c>
      <c r="C219" s="1">
        <v>106.5</v>
      </c>
      <c r="D219" s="5">
        <v>99.934790000000007</v>
      </c>
      <c r="E219" s="3">
        <f t="shared" si="39"/>
        <v>100.64809000000001</v>
      </c>
      <c r="H219" s="4">
        <v>225.00798</v>
      </c>
      <c r="I219" s="1">
        <v>106.5</v>
      </c>
      <c r="J219" s="5">
        <v>94.862970000000004</v>
      </c>
      <c r="K219" s="3">
        <f t="shared" si="40"/>
        <v>98.970550000000003</v>
      </c>
      <c r="L219" s="1">
        <f t="shared" si="49"/>
        <v>1.7158323549895892E-2</v>
      </c>
      <c r="N219" s="4">
        <v>225.01866000000001</v>
      </c>
      <c r="O219" s="1">
        <v>106.5</v>
      </c>
      <c r="P219" s="5">
        <v>100.64503999999999</v>
      </c>
      <c r="Q219" s="3">
        <f t="shared" si="41"/>
        <v>100.78062</v>
      </c>
      <c r="R219" s="1">
        <f t="shared" si="51"/>
        <v>2.7701981116034719E-3</v>
      </c>
      <c r="T219" s="4">
        <v>250.00801999999999</v>
      </c>
      <c r="U219" s="1">
        <v>106.5</v>
      </c>
      <c r="V219" s="3">
        <v>94.067220000000006</v>
      </c>
      <c r="W219" s="3">
        <f t="shared" si="42"/>
        <v>98.224620000000002</v>
      </c>
      <c r="X219" s="1">
        <f t="shared" si="50"/>
        <v>2.8925610294208474E-2</v>
      </c>
      <c r="Z219" s="4">
        <v>250.02307999999999</v>
      </c>
      <c r="AA219" s="1">
        <v>106.5</v>
      </c>
      <c r="AB219" s="3">
        <v>100.33532</v>
      </c>
      <c r="AC219" s="3">
        <f t="shared" si="43"/>
        <v>100.25857999999999</v>
      </c>
      <c r="AD219" s="1">
        <f t="shared" si="38"/>
        <v>9.7717098126544367E-3</v>
      </c>
      <c r="AF219" s="11">
        <v>638.09108000000003</v>
      </c>
      <c r="AG219" s="1">
        <v>106.5</v>
      </c>
      <c r="AH219" s="13">
        <v>9.9978999999999996</v>
      </c>
      <c r="AI219" s="3">
        <f t="shared" si="44"/>
        <v>13.005589999999998</v>
      </c>
      <c r="AJ219" s="1">
        <f t="shared" si="47"/>
        <v>1.0517119498071108</v>
      </c>
      <c r="AL219" s="11">
        <v>638.09379000000001</v>
      </c>
      <c r="AM219" s="1">
        <v>106.5</v>
      </c>
      <c r="AN219" s="13">
        <v>10.620570000000001</v>
      </c>
      <c r="AO219" s="3">
        <f t="shared" si="45"/>
        <v>13.714070000000007</v>
      </c>
      <c r="AP219" s="1">
        <f t="shared" si="48"/>
        <v>1.043248974301344</v>
      </c>
      <c r="AR219" s="11">
        <v>424.73736000000002</v>
      </c>
      <c r="AS219" s="1">
        <v>106.5</v>
      </c>
      <c r="AT219" s="13">
        <v>62.408639999999998</v>
      </c>
      <c r="AU219" s="3">
        <f t="shared" si="46"/>
        <v>63.063129999999994</v>
      </c>
    </row>
    <row r="220" spans="2:47" ht="16" x14ac:dyDescent="0.2">
      <c r="B220" s="2">
        <v>200.02144000000001</v>
      </c>
      <c r="C220" s="1">
        <v>107</v>
      </c>
      <c r="D220" s="3">
        <v>100.00721</v>
      </c>
      <c r="E220" s="3">
        <f t="shared" si="39"/>
        <v>100.72051</v>
      </c>
      <c r="H220" s="4">
        <v>225.00402</v>
      </c>
      <c r="I220" s="1">
        <v>107</v>
      </c>
      <c r="J220" s="3">
        <v>94.847369999999998</v>
      </c>
      <c r="K220" s="3">
        <f t="shared" si="40"/>
        <v>98.954949999999997</v>
      </c>
      <c r="L220" s="1">
        <f t="shared" si="49"/>
        <v>1.7346168630339758E-2</v>
      </c>
      <c r="N220" s="4">
        <v>225.01852</v>
      </c>
      <c r="O220" s="1">
        <v>107</v>
      </c>
      <c r="P220" s="3">
        <v>100.72874</v>
      </c>
      <c r="Q220" s="3">
        <f t="shared" si="41"/>
        <v>100.86432000000001</v>
      </c>
      <c r="R220" s="1">
        <f t="shared" si="51"/>
        <v>1.7684891128510222E-3</v>
      </c>
      <c r="T220" s="4">
        <v>250.00494</v>
      </c>
      <c r="U220" s="1">
        <v>107</v>
      </c>
      <c r="V220" s="5">
        <v>94.041240000000002</v>
      </c>
      <c r="W220" s="3">
        <f t="shared" si="42"/>
        <v>98.198639999999997</v>
      </c>
      <c r="X220" s="1">
        <f t="shared" si="50"/>
        <v>2.9237707905964829E-2</v>
      </c>
      <c r="Z220" s="4">
        <v>250.01903999999999</v>
      </c>
      <c r="AA220" s="1">
        <v>107</v>
      </c>
      <c r="AB220" s="5">
        <v>100.35803</v>
      </c>
      <c r="AC220" s="3">
        <f t="shared" si="43"/>
        <v>100.28129</v>
      </c>
      <c r="AD220" s="1">
        <f t="shared" si="38"/>
        <v>9.5000907016944552E-3</v>
      </c>
      <c r="AF220" s="11">
        <v>640.59401000000003</v>
      </c>
      <c r="AG220" s="1">
        <v>107</v>
      </c>
      <c r="AH220" s="12">
        <v>10.000859999999999</v>
      </c>
      <c r="AI220" s="3">
        <f t="shared" si="44"/>
        <v>13.00855</v>
      </c>
      <c r="AJ220" s="1">
        <f t="shared" si="47"/>
        <v>1.0516761752528128</v>
      </c>
      <c r="AL220" s="11">
        <v>640.60253</v>
      </c>
      <c r="AM220" s="1">
        <v>107</v>
      </c>
      <c r="AN220" s="12">
        <v>10.642580000000001</v>
      </c>
      <c r="AO220" s="3">
        <f t="shared" si="45"/>
        <v>13.736080000000001</v>
      </c>
      <c r="AP220" s="1">
        <f t="shared" si="48"/>
        <v>1.0429831215142915</v>
      </c>
      <c r="AR220" s="11">
        <v>426.16728999999998</v>
      </c>
      <c r="AS220" s="1">
        <v>107</v>
      </c>
      <c r="AT220" s="12">
        <v>61.941090000000003</v>
      </c>
      <c r="AU220" s="3">
        <f t="shared" si="46"/>
        <v>62.595579999999998</v>
      </c>
    </row>
    <row r="221" spans="2:47" ht="16" x14ac:dyDescent="0.2">
      <c r="B221" s="2">
        <v>200.02001999999999</v>
      </c>
      <c r="C221" s="1">
        <v>107.5</v>
      </c>
      <c r="D221" s="5">
        <v>99.926659999999998</v>
      </c>
      <c r="E221" s="3">
        <f t="shared" si="39"/>
        <v>100.63996</v>
      </c>
      <c r="H221" s="4">
        <v>225.00591</v>
      </c>
      <c r="I221" s="1">
        <v>107.5</v>
      </c>
      <c r="J221" s="5">
        <v>94.858090000000004</v>
      </c>
      <c r="K221" s="3">
        <f t="shared" si="40"/>
        <v>98.965670000000003</v>
      </c>
      <c r="L221" s="1">
        <f t="shared" si="49"/>
        <v>1.721708534429113E-2</v>
      </c>
      <c r="N221" s="4">
        <v>225.01467</v>
      </c>
      <c r="O221" s="1">
        <v>107.5</v>
      </c>
      <c r="P221" s="5">
        <v>100.69535</v>
      </c>
      <c r="Q221" s="3">
        <f t="shared" si="41"/>
        <v>100.83093000000001</v>
      </c>
      <c r="R221" s="1">
        <f t="shared" si="51"/>
        <v>2.168095605901661E-3</v>
      </c>
      <c r="T221" s="4">
        <v>250.00102000000001</v>
      </c>
      <c r="U221" s="1">
        <v>107.5</v>
      </c>
      <c r="V221" s="3">
        <v>94.013229999999993</v>
      </c>
      <c r="W221" s="3">
        <f t="shared" si="42"/>
        <v>98.170629999999989</v>
      </c>
      <c r="X221" s="1">
        <f t="shared" si="50"/>
        <v>2.957419189770066E-2</v>
      </c>
      <c r="Z221" s="4">
        <v>250.01653999999999</v>
      </c>
      <c r="AA221" s="1">
        <v>107.5</v>
      </c>
      <c r="AB221" s="3">
        <v>100.24123</v>
      </c>
      <c r="AC221" s="3">
        <f t="shared" si="43"/>
        <v>100.16449</v>
      </c>
      <c r="AD221" s="1">
        <f t="shared" si="38"/>
        <v>1.0897057331378305E-2</v>
      </c>
      <c r="AF221" s="11">
        <v>643.10398999999995</v>
      </c>
      <c r="AG221" s="1">
        <v>107.5</v>
      </c>
      <c r="AH221" s="13">
        <v>9.9296199999999999</v>
      </c>
      <c r="AI221" s="3">
        <f t="shared" si="44"/>
        <v>12.937309999999997</v>
      </c>
      <c r="AJ221" s="1">
        <f t="shared" si="47"/>
        <v>1.0525371817555766</v>
      </c>
      <c r="AL221" s="11">
        <v>643.09965</v>
      </c>
      <c r="AM221" s="1">
        <v>107.5</v>
      </c>
      <c r="AN221" s="13">
        <v>10.566929999999999</v>
      </c>
      <c r="AO221" s="3">
        <f t="shared" si="45"/>
        <v>13.660430000000005</v>
      </c>
      <c r="AP221" s="1">
        <f t="shared" si="48"/>
        <v>1.0438968772317163</v>
      </c>
      <c r="AR221" s="11">
        <v>427.52217999999999</v>
      </c>
      <c r="AS221" s="1">
        <v>107.5</v>
      </c>
      <c r="AT221" s="13">
        <v>61.479030000000002</v>
      </c>
      <c r="AU221" s="3">
        <f t="shared" si="46"/>
        <v>62.133519999999997</v>
      </c>
    </row>
    <row r="222" spans="2:47" ht="16" x14ac:dyDescent="0.2">
      <c r="B222" s="2">
        <v>200.02164999999999</v>
      </c>
      <c r="C222" s="1">
        <v>108</v>
      </c>
      <c r="D222" s="3">
        <v>100.01646</v>
      </c>
      <c r="E222" s="3">
        <f t="shared" si="39"/>
        <v>100.72976</v>
      </c>
      <c r="H222" s="4">
        <v>225.00707</v>
      </c>
      <c r="I222" s="1">
        <v>108</v>
      </c>
      <c r="J222" s="3">
        <v>94.847089999999994</v>
      </c>
      <c r="K222" s="3">
        <f t="shared" si="40"/>
        <v>98.954669999999993</v>
      </c>
      <c r="L222" s="1">
        <f t="shared" si="49"/>
        <v>1.7349540208706739E-2</v>
      </c>
      <c r="N222" s="4">
        <v>225.01648</v>
      </c>
      <c r="O222" s="1">
        <v>108</v>
      </c>
      <c r="P222" s="3">
        <v>100.58591</v>
      </c>
      <c r="Q222" s="3">
        <f t="shared" si="41"/>
        <v>100.72149</v>
      </c>
      <c r="R222" s="1">
        <f t="shared" si="51"/>
        <v>3.4778570494317066E-3</v>
      </c>
      <c r="T222" s="4">
        <v>249.99903</v>
      </c>
      <c r="U222" s="1">
        <v>108</v>
      </c>
      <c r="V222" s="5">
        <v>94.015069999999994</v>
      </c>
      <c r="W222" s="3">
        <f t="shared" si="42"/>
        <v>98.17246999999999</v>
      </c>
      <c r="X222" s="1">
        <f t="shared" si="50"/>
        <v>2.9552087986783337E-2</v>
      </c>
      <c r="Z222" s="4">
        <v>250.01947999999999</v>
      </c>
      <c r="AA222" s="1">
        <v>108</v>
      </c>
      <c r="AB222" s="5">
        <v>100.22165</v>
      </c>
      <c r="AC222" s="3">
        <f t="shared" si="43"/>
        <v>100.14491</v>
      </c>
      <c r="AD222" s="1">
        <f t="shared" si="38"/>
        <v>1.113124060714215E-2</v>
      </c>
      <c r="AF222" s="11">
        <v>645.57921999999996</v>
      </c>
      <c r="AG222" s="1">
        <v>108</v>
      </c>
      <c r="AH222" s="12">
        <v>9.9749800000000004</v>
      </c>
      <c r="AI222" s="3">
        <f t="shared" si="44"/>
        <v>12.982669999999999</v>
      </c>
      <c r="AJ222" s="1">
        <f t="shared" si="47"/>
        <v>1.0519889608829578</v>
      </c>
      <c r="AL222" s="11">
        <v>645.60835999999995</v>
      </c>
      <c r="AM222" s="1">
        <v>108</v>
      </c>
      <c r="AN222" s="12">
        <v>10.584429999999999</v>
      </c>
      <c r="AO222" s="3">
        <f t="shared" si="45"/>
        <v>13.677930000000003</v>
      </c>
      <c r="AP222" s="1">
        <f t="shared" si="48"/>
        <v>1.0436854995046188</v>
      </c>
      <c r="AR222" s="11">
        <v>428.89945</v>
      </c>
      <c r="AS222" s="1">
        <v>108</v>
      </c>
      <c r="AT222" s="12">
        <v>61.156399999999998</v>
      </c>
      <c r="AU222" s="3">
        <f t="shared" si="46"/>
        <v>61.810889999999993</v>
      </c>
    </row>
    <row r="223" spans="2:47" ht="16" x14ac:dyDescent="0.2">
      <c r="B223" s="2">
        <v>200.01826</v>
      </c>
      <c r="C223" s="1">
        <v>108.5</v>
      </c>
      <c r="D223" s="5">
        <v>100.08278</v>
      </c>
      <c r="E223" s="3">
        <f t="shared" si="39"/>
        <v>100.79608</v>
      </c>
      <c r="H223" s="4">
        <v>225.01204999999999</v>
      </c>
      <c r="I223" s="1">
        <v>108.5</v>
      </c>
      <c r="J223" s="5">
        <v>94.848370000000003</v>
      </c>
      <c r="K223" s="3">
        <f t="shared" si="40"/>
        <v>98.955950000000001</v>
      </c>
      <c r="L223" s="1">
        <f t="shared" si="49"/>
        <v>1.73341272790292E-2</v>
      </c>
      <c r="N223" s="4">
        <v>225.01657</v>
      </c>
      <c r="O223" s="1">
        <v>108.5</v>
      </c>
      <c r="P223" s="5">
        <v>100.77172</v>
      </c>
      <c r="Q223" s="3">
        <f t="shared" si="41"/>
        <v>100.90730000000001</v>
      </c>
      <c r="R223" s="1">
        <f t="shared" si="51"/>
        <v>1.2541109435992121E-3</v>
      </c>
      <c r="T223" s="4">
        <v>250.00398000000001</v>
      </c>
      <c r="U223" s="1">
        <v>108.5</v>
      </c>
      <c r="V223" s="3">
        <v>93.991010000000003</v>
      </c>
      <c r="W223" s="3">
        <f t="shared" si="42"/>
        <v>98.148409999999998</v>
      </c>
      <c r="X223" s="1">
        <f t="shared" si="50"/>
        <v>2.9841120648017135E-2</v>
      </c>
      <c r="Z223" s="4">
        <v>250.02341999999999</v>
      </c>
      <c r="AA223" s="1">
        <v>108.5</v>
      </c>
      <c r="AB223" s="3">
        <v>100.31271</v>
      </c>
      <c r="AC223" s="3">
        <f t="shared" si="43"/>
        <v>100.23596999999999</v>
      </c>
      <c r="AD223" s="1">
        <f t="shared" si="38"/>
        <v>1.004213289054102E-2</v>
      </c>
      <c r="AF223" s="11">
        <v>648.09117000000003</v>
      </c>
      <c r="AG223" s="1">
        <v>108.5</v>
      </c>
      <c r="AH223" s="13">
        <v>9.9123800000000006</v>
      </c>
      <c r="AI223" s="3">
        <f t="shared" si="44"/>
        <v>12.920069999999996</v>
      </c>
      <c r="AJ223" s="1">
        <f t="shared" si="47"/>
        <v>1.0527455443623657</v>
      </c>
      <c r="AL223" s="11">
        <v>648.08488</v>
      </c>
      <c r="AM223" s="1">
        <v>108.5</v>
      </c>
      <c r="AN223" s="13">
        <v>10.55898</v>
      </c>
      <c r="AO223" s="3">
        <f t="shared" si="45"/>
        <v>13.652480000000011</v>
      </c>
      <c r="AP223" s="1">
        <f t="shared" si="48"/>
        <v>1.0439929031134549</v>
      </c>
      <c r="AR223" s="11">
        <v>430.32234999999997</v>
      </c>
      <c r="AS223" s="1">
        <v>108.5</v>
      </c>
      <c r="AT223" s="13">
        <v>60.826160000000002</v>
      </c>
      <c r="AU223" s="3">
        <f t="shared" si="46"/>
        <v>61.480649999999997</v>
      </c>
    </row>
    <row r="224" spans="2:47" ht="16" x14ac:dyDescent="0.2">
      <c r="B224" s="2">
        <v>200.01469</v>
      </c>
      <c r="C224" s="1">
        <v>109</v>
      </c>
      <c r="D224" s="3">
        <v>99.970309999999998</v>
      </c>
      <c r="E224" s="3">
        <f t="shared" si="39"/>
        <v>100.68361</v>
      </c>
      <c r="H224" s="4">
        <v>225.00587999999999</v>
      </c>
      <c r="I224" s="1">
        <v>109</v>
      </c>
      <c r="J224" s="3">
        <v>94.845590000000001</v>
      </c>
      <c r="K224" s="3">
        <f t="shared" si="40"/>
        <v>98.95317</v>
      </c>
      <c r="L224" s="1">
        <f t="shared" si="49"/>
        <v>1.7367602235672405E-2</v>
      </c>
      <c r="N224" s="4">
        <v>225.01882000000001</v>
      </c>
      <c r="O224" s="1">
        <v>109</v>
      </c>
      <c r="P224" s="3">
        <v>100.63587</v>
      </c>
      <c r="Q224" s="3">
        <f t="shared" si="41"/>
        <v>100.77145</v>
      </c>
      <c r="R224" s="1">
        <f t="shared" si="51"/>
        <v>2.8799432910366456E-3</v>
      </c>
      <c r="T224" s="4">
        <v>250.00398999999999</v>
      </c>
      <c r="U224" s="1">
        <v>109</v>
      </c>
      <c r="V224" s="5">
        <v>93.987359999999995</v>
      </c>
      <c r="W224" s="3">
        <f t="shared" si="42"/>
        <v>98.144759999999991</v>
      </c>
      <c r="X224" s="1">
        <f t="shared" si="50"/>
        <v>2.9884968079999925E-2</v>
      </c>
      <c r="Z224" s="4">
        <v>250.02341000000001</v>
      </c>
      <c r="AA224" s="1">
        <v>109</v>
      </c>
      <c r="AB224" s="5">
        <v>100.22123999999999</v>
      </c>
      <c r="AC224" s="3">
        <f t="shared" si="43"/>
        <v>100.14449999999999</v>
      </c>
      <c r="AD224" s="1">
        <f t="shared" si="38"/>
        <v>1.1136144342742951E-2</v>
      </c>
      <c r="AF224" s="11">
        <v>650.60308999999995</v>
      </c>
      <c r="AG224" s="1">
        <v>109</v>
      </c>
      <c r="AH224" s="12">
        <v>9.9242500000000007</v>
      </c>
      <c r="AI224" s="3">
        <f t="shared" si="44"/>
        <v>12.931939999999997</v>
      </c>
      <c r="AJ224" s="1">
        <f t="shared" si="47"/>
        <v>1.0526020835652319</v>
      </c>
      <c r="AL224" s="11">
        <v>650.59974999999997</v>
      </c>
      <c r="AM224" s="1">
        <v>109</v>
      </c>
      <c r="AN224" s="12">
        <v>10.548819999999999</v>
      </c>
      <c r="AO224" s="3">
        <f t="shared" si="45"/>
        <v>13.642320000000012</v>
      </c>
      <c r="AP224" s="1">
        <f t="shared" si="48"/>
        <v>1.0441156229824442</v>
      </c>
      <c r="AR224" s="11">
        <v>431.78133000000003</v>
      </c>
      <c r="AS224" s="1">
        <v>109</v>
      </c>
      <c r="AT224" s="12">
        <v>60.554479999999998</v>
      </c>
      <c r="AU224" s="3">
        <f t="shared" si="46"/>
        <v>61.208969999999994</v>
      </c>
    </row>
    <row r="225" spans="2:47" ht="16" x14ac:dyDescent="0.2">
      <c r="B225" s="2">
        <v>200.01513</v>
      </c>
      <c r="C225" s="1">
        <v>109.5</v>
      </c>
      <c r="D225" s="5">
        <v>99.91189</v>
      </c>
      <c r="E225" s="3">
        <f t="shared" si="39"/>
        <v>100.62519</v>
      </c>
      <c r="H225" s="4">
        <v>225.00398000000001</v>
      </c>
      <c r="I225" s="1">
        <v>109.5</v>
      </c>
      <c r="J225" s="5">
        <v>94.817620000000005</v>
      </c>
      <c r="K225" s="3">
        <f t="shared" si="40"/>
        <v>98.925200000000004</v>
      </c>
      <c r="L225" s="1">
        <f t="shared" si="49"/>
        <v>1.7704398831827024E-2</v>
      </c>
      <c r="N225" s="4">
        <v>225.01817</v>
      </c>
      <c r="O225" s="1">
        <v>109.5</v>
      </c>
      <c r="P225" s="5">
        <v>100.68173</v>
      </c>
      <c r="Q225" s="3">
        <f t="shared" si="41"/>
        <v>100.81731000000001</v>
      </c>
      <c r="R225" s="1">
        <f t="shared" si="51"/>
        <v>2.3310977153760963E-3</v>
      </c>
      <c r="T225" s="4">
        <v>250.00303</v>
      </c>
      <c r="U225" s="1">
        <v>109.5</v>
      </c>
      <c r="V225" s="3">
        <v>93.981089999999995</v>
      </c>
      <c r="W225" s="3">
        <f t="shared" si="42"/>
        <v>98.13848999999999</v>
      </c>
      <c r="X225" s="1">
        <f t="shared" si="50"/>
        <v>2.9960289559049665E-2</v>
      </c>
      <c r="Z225" s="4">
        <v>250.02068</v>
      </c>
      <c r="AA225" s="1">
        <v>109.5</v>
      </c>
      <c r="AB225" s="3">
        <v>100.27073</v>
      </c>
      <c r="AC225" s="3">
        <f t="shared" si="43"/>
        <v>100.19399</v>
      </c>
      <c r="AD225" s="1">
        <f t="shared" si="38"/>
        <v>1.0544227574737273E-2</v>
      </c>
      <c r="AF225" s="11">
        <v>653.11512000000005</v>
      </c>
      <c r="AG225" s="1">
        <v>109.5</v>
      </c>
      <c r="AH225" s="13">
        <v>9.8973899999999997</v>
      </c>
      <c r="AI225" s="3">
        <f t="shared" si="44"/>
        <v>12.905079999999998</v>
      </c>
      <c r="AJ225" s="1">
        <f t="shared" si="47"/>
        <v>1.052926713473489</v>
      </c>
      <c r="AL225" s="11">
        <v>653.10411999999997</v>
      </c>
      <c r="AM225" s="1">
        <v>109.5</v>
      </c>
      <c r="AN225" s="13">
        <v>10.505890000000001</v>
      </c>
      <c r="AO225" s="3">
        <f t="shared" si="45"/>
        <v>13.59939</v>
      </c>
      <c r="AP225" s="1">
        <f t="shared" si="48"/>
        <v>1.0446341627438331</v>
      </c>
      <c r="AR225" s="11">
        <v>433.26445999999999</v>
      </c>
      <c r="AS225" s="1">
        <v>109.5</v>
      </c>
      <c r="AT225" s="13">
        <v>60.321629999999999</v>
      </c>
      <c r="AU225" s="3">
        <f t="shared" si="46"/>
        <v>60.976119999999995</v>
      </c>
    </row>
    <row r="226" spans="2:47" ht="16" x14ac:dyDescent="0.2">
      <c r="B226" s="2">
        <v>200.01217</v>
      </c>
      <c r="C226" s="1">
        <v>110</v>
      </c>
      <c r="D226" s="3">
        <v>99.863889999999998</v>
      </c>
      <c r="E226" s="3">
        <f t="shared" si="39"/>
        <v>100.57719</v>
      </c>
      <c r="H226" s="4">
        <v>225.00698</v>
      </c>
      <c r="I226" s="1">
        <v>110</v>
      </c>
      <c r="J226" s="3">
        <v>94.841409999999996</v>
      </c>
      <c r="K226" s="3">
        <f t="shared" si="40"/>
        <v>98.948989999999995</v>
      </c>
      <c r="L226" s="1">
        <f t="shared" si="49"/>
        <v>1.7417935084150352E-2</v>
      </c>
      <c r="N226" s="4">
        <v>225.01315</v>
      </c>
      <c r="O226" s="1">
        <v>110</v>
      </c>
      <c r="P226" s="3">
        <v>100.71635000000001</v>
      </c>
      <c r="Q226" s="3">
        <f t="shared" si="41"/>
        <v>100.85193000000001</v>
      </c>
      <c r="R226" s="1">
        <f t="shared" si="51"/>
        <v>1.9167707675050018E-3</v>
      </c>
      <c r="T226" s="4">
        <v>250.00303</v>
      </c>
      <c r="U226" s="1">
        <v>110</v>
      </c>
      <c r="V226" s="5">
        <v>93.965209999999999</v>
      </c>
      <c r="W226" s="3">
        <f t="shared" si="42"/>
        <v>98.122609999999995</v>
      </c>
      <c r="X226" s="1">
        <f t="shared" si="50"/>
        <v>3.0151055920662011E-2</v>
      </c>
      <c r="Z226" s="4">
        <v>250.01731000000001</v>
      </c>
      <c r="AA226" s="1">
        <v>110</v>
      </c>
      <c r="AB226" s="5">
        <v>100.27312999999999</v>
      </c>
      <c r="AC226" s="3">
        <f t="shared" si="43"/>
        <v>100.19638999999999</v>
      </c>
      <c r="AD226" s="1">
        <f t="shared" si="38"/>
        <v>1.0515522780976713E-2</v>
      </c>
      <c r="AF226" s="11">
        <v>655.61221999999998</v>
      </c>
      <c r="AG226" s="1">
        <v>110</v>
      </c>
      <c r="AH226" s="12">
        <v>9.8445499999999999</v>
      </c>
      <c r="AI226" s="3">
        <f t="shared" si="44"/>
        <v>12.852239999999995</v>
      </c>
      <c r="AJ226" s="1">
        <f t="shared" si="47"/>
        <v>1.0535653376116985</v>
      </c>
      <c r="AL226" s="11">
        <v>655.60641999999996</v>
      </c>
      <c r="AM226" s="1">
        <v>110</v>
      </c>
      <c r="AN226" s="12">
        <v>10.45627</v>
      </c>
      <c r="AO226" s="3">
        <f t="shared" si="45"/>
        <v>13.549770000000009</v>
      </c>
      <c r="AP226" s="1">
        <f t="shared" si="48"/>
        <v>1.0452335091906093</v>
      </c>
      <c r="AR226" s="11">
        <v>434.78061000000002</v>
      </c>
      <c r="AS226" s="1">
        <v>110</v>
      </c>
      <c r="AT226" s="12">
        <v>60.229109999999999</v>
      </c>
      <c r="AU226" s="3">
        <f t="shared" si="46"/>
        <v>60.883599999999994</v>
      </c>
    </row>
    <row r="227" spans="2:47" ht="16" x14ac:dyDescent="0.2">
      <c r="B227" s="2">
        <v>200.01428000000001</v>
      </c>
      <c r="C227" s="1">
        <v>110.5</v>
      </c>
      <c r="D227" s="5">
        <v>99.975009999999997</v>
      </c>
      <c r="E227" s="3">
        <f t="shared" si="39"/>
        <v>100.68831</v>
      </c>
      <c r="H227" s="4">
        <v>225.00798</v>
      </c>
      <c r="I227" s="1">
        <v>110.5</v>
      </c>
      <c r="J227" s="5">
        <v>94.826340000000002</v>
      </c>
      <c r="K227" s="3">
        <f t="shared" si="40"/>
        <v>98.933920000000001</v>
      </c>
      <c r="L227" s="1">
        <f t="shared" si="49"/>
        <v>1.7599398248399508E-2</v>
      </c>
      <c r="N227" s="4">
        <v>225.01387</v>
      </c>
      <c r="O227" s="1">
        <v>110.5</v>
      </c>
      <c r="P227" s="5">
        <v>100.7255</v>
      </c>
      <c r="Q227" s="3">
        <f t="shared" si="41"/>
        <v>100.86108</v>
      </c>
      <c r="R227" s="1">
        <f t="shared" si="51"/>
        <v>1.8072649450608536E-3</v>
      </c>
      <c r="T227" s="4">
        <v>250.00399999999999</v>
      </c>
      <c r="U227" s="1">
        <v>110.5</v>
      </c>
      <c r="V227" s="3">
        <v>93.9572</v>
      </c>
      <c r="W227" s="3">
        <f t="shared" si="42"/>
        <v>98.114599999999996</v>
      </c>
      <c r="X227" s="1">
        <f t="shared" si="50"/>
        <v>3.024728001112266E-2</v>
      </c>
      <c r="Z227" s="4">
        <v>250.01652000000001</v>
      </c>
      <c r="AA227" s="1">
        <v>110.5</v>
      </c>
      <c r="AB227" s="3">
        <v>100.28045</v>
      </c>
      <c r="AC227" s="3">
        <f t="shared" si="43"/>
        <v>100.20371</v>
      </c>
      <c r="AD227" s="1">
        <f t="shared" si="38"/>
        <v>1.0427973160006713E-2</v>
      </c>
      <c r="AF227" s="11">
        <v>658.15512999999999</v>
      </c>
      <c r="AG227" s="1">
        <v>110.5</v>
      </c>
      <c r="AH227" s="13">
        <v>9.8442000000000007</v>
      </c>
      <c r="AI227" s="3">
        <f t="shared" si="44"/>
        <v>12.851889999999997</v>
      </c>
      <c r="AJ227" s="1">
        <f t="shared" si="47"/>
        <v>1.0535695677110242</v>
      </c>
      <c r="AL227" s="11">
        <v>658.14264000000003</v>
      </c>
      <c r="AM227" s="1">
        <v>110.5</v>
      </c>
      <c r="AN227" s="13">
        <v>10.45368</v>
      </c>
      <c r="AO227" s="3">
        <f t="shared" si="45"/>
        <v>13.547180000000012</v>
      </c>
      <c r="AP227" s="1">
        <f t="shared" si="48"/>
        <v>1.0452647930942196</v>
      </c>
      <c r="AR227" s="11">
        <v>436.30448000000001</v>
      </c>
      <c r="AS227" s="1">
        <v>110.5</v>
      </c>
      <c r="AT227" s="13">
        <v>60.064839999999997</v>
      </c>
      <c r="AU227" s="3">
        <f t="shared" si="46"/>
        <v>60.719329999999992</v>
      </c>
    </row>
    <row r="228" spans="2:47" ht="16" x14ac:dyDescent="0.2">
      <c r="B228" s="2">
        <v>200.01563999999999</v>
      </c>
      <c r="C228" s="1">
        <v>111</v>
      </c>
      <c r="D228" s="3">
        <v>99.982929999999996</v>
      </c>
      <c r="E228" s="3">
        <f t="shared" si="39"/>
        <v>100.69623</v>
      </c>
      <c r="H228" s="4">
        <v>225.00397000000001</v>
      </c>
      <c r="I228" s="1">
        <v>111</v>
      </c>
      <c r="J228" s="3">
        <v>94.807659999999998</v>
      </c>
      <c r="K228" s="3">
        <f t="shared" si="40"/>
        <v>98.915239999999997</v>
      </c>
      <c r="L228" s="1">
        <f t="shared" si="49"/>
        <v>1.7824330690879676E-2</v>
      </c>
      <c r="N228" s="4">
        <v>225.01799</v>
      </c>
      <c r="O228" s="1">
        <v>111</v>
      </c>
      <c r="P228" s="3">
        <v>100.72528</v>
      </c>
      <c r="Q228" s="3">
        <f t="shared" si="41"/>
        <v>100.86086</v>
      </c>
      <c r="R228" s="1">
        <f t="shared" si="51"/>
        <v>1.8098978719392801E-3</v>
      </c>
      <c r="T228" s="4">
        <v>250.00998999999999</v>
      </c>
      <c r="U228" s="1">
        <v>111</v>
      </c>
      <c r="V228" s="5">
        <v>93.948999999999998</v>
      </c>
      <c r="W228" s="3">
        <f t="shared" si="42"/>
        <v>98.106399999999994</v>
      </c>
      <c r="X228" s="1">
        <f t="shared" si="50"/>
        <v>3.0345786570645461E-2</v>
      </c>
      <c r="Z228" s="4">
        <v>250.01740000000001</v>
      </c>
      <c r="AA228" s="1">
        <v>111</v>
      </c>
      <c r="AB228" s="5">
        <v>100.28406</v>
      </c>
      <c r="AC228" s="3">
        <f t="shared" si="43"/>
        <v>100.20732</v>
      </c>
      <c r="AD228" s="1">
        <f t="shared" si="38"/>
        <v>1.0384796366058498E-2</v>
      </c>
      <c r="AF228" s="11">
        <v>660.64873</v>
      </c>
      <c r="AG228" s="1">
        <v>111</v>
      </c>
      <c r="AH228" s="12">
        <v>9.8139599999999998</v>
      </c>
      <c r="AI228" s="3">
        <f t="shared" si="44"/>
        <v>12.821649999999991</v>
      </c>
      <c r="AJ228" s="1">
        <f t="shared" si="47"/>
        <v>1.0539350482927701</v>
      </c>
      <c r="AL228" s="11">
        <v>660.63364999999999</v>
      </c>
      <c r="AM228" s="1">
        <v>111</v>
      </c>
      <c r="AN228" s="12">
        <v>10.42393</v>
      </c>
      <c r="AO228" s="3">
        <f t="shared" si="45"/>
        <v>13.517430000000004</v>
      </c>
      <c r="AP228" s="1">
        <f t="shared" si="48"/>
        <v>1.0456241352302857</v>
      </c>
      <c r="AR228" s="11">
        <v>437.85280999999998</v>
      </c>
      <c r="AS228" s="1">
        <v>111</v>
      </c>
      <c r="AT228" s="12">
        <v>59.993899999999996</v>
      </c>
      <c r="AU228" s="3">
        <f t="shared" si="46"/>
        <v>60.648389999999992</v>
      </c>
    </row>
    <row r="229" spans="2:47" ht="16" x14ac:dyDescent="0.2">
      <c r="B229" s="2">
        <v>200.01214999999999</v>
      </c>
      <c r="C229" s="1">
        <v>111.5</v>
      </c>
      <c r="D229" s="5">
        <v>100.01819</v>
      </c>
      <c r="E229" s="3">
        <f t="shared" si="39"/>
        <v>100.73149000000001</v>
      </c>
      <c r="H229" s="4">
        <v>225.00385</v>
      </c>
      <c r="I229" s="1">
        <v>111.5</v>
      </c>
      <c r="J229" s="5">
        <v>94.8262</v>
      </c>
      <c r="K229" s="3">
        <f t="shared" si="40"/>
        <v>98.933779999999999</v>
      </c>
      <c r="L229" s="1">
        <f t="shared" si="49"/>
        <v>1.7601084037583002E-2</v>
      </c>
      <c r="N229" s="4">
        <v>225.02153999999999</v>
      </c>
      <c r="O229" s="1">
        <v>111.5</v>
      </c>
      <c r="P229" s="5">
        <v>100.73965</v>
      </c>
      <c r="Q229" s="3">
        <f t="shared" si="41"/>
        <v>100.87523</v>
      </c>
      <c r="R229" s="1">
        <f t="shared" si="51"/>
        <v>1.6379198753792923E-3</v>
      </c>
      <c r="T229" s="4">
        <v>250.011</v>
      </c>
      <c r="U229" s="1">
        <v>111.5</v>
      </c>
      <c r="V229" s="3">
        <v>93.929109999999994</v>
      </c>
      <c r="W229" s="3">
        <f t="shared" si="42"/>
        <v>98.08650999999999</v>
      </c>
      <c r="X229" s="1">
        <f t="shared" si="50"/>
        <v>3.0584725042463554E-2</v>
      </c>
      <c r="Z229" s="4">
        <v>250.01944</v>
      </c>
      <c r="AA229" s="1">
        <v>111.5</v>
      </c>
      <c r="AB229" s="3">
        <v>100.23613</v>
      </c>
      <c r="AC229" s="3">
        <f t="shared" si="43"/>
        <v>100.15939</v>
      </c>
      <c r="AD229" s="1">
        <f t="shared" si="38"/>
        <v>1.0958055018119625E-2</v>
      </c>
      <c r="AF229" s="11">
        <v>663.14164000000005</v>
      </c>
      <c r="AG229" s="1">
        <v>111.5</v>
      </c>
      <c r="AH229" s="13">
        <v>9.7911900000000003</v>
      </c>
      <c r="AI229" s="3">
        <f t="shared" si="44"/>
        <v>12.798879999999997</v>
      </c>
      <c r="AJ229" s="1">
        <f t="shared" si="47"/>
        <v>1.054210246468906</v>
      </c>
      <c r="AL229" s="11">
        <v>663.13630000000001</v>
      </c>
      <c r="AM229" s="1">
        <v>111.5</v>
      </c>
      <c r="AN229" s="13">
        <v>10.398260000000001</v>
      </c>
      <c r="AO229" s="3">
        <f t="shared" si="45"/>
        <v>13.491759999999999</v>
      </c>
      <c r="AP229" s="1">
        <f t="shared" si="48"/>
        <v>1.04593419615912</v>
      </c>
      <c r="AR229" s="11">
        <v>439.40877</v>
      </c>
      <c r="AS229" s="1">
        <v>111.5</v>
      </c>
      <c r="AT229" s="13">
        <v>59.875239999999998</v>
      </c>
      <c r="AU229" s="3">
        <f t="shared" si="46"/>
        <v>60.529729999999994</v>
      </c>
    </row>
    <row r="230" spans="2:47" ht="16" x14ac:dyDescent="0.2">
      <c r="B230" s="2">
        <v>200.01627999999999</v>
      </c>
      <c r="C230" s="1">
        <v>112</v>
      </c>
      <c r="D230" s="3">
        <v>100.26282999999999</v>
      </c>
      <c r="E230" s="3">
        <f t="shared" si="39"/>
        <v>100.97613</v>
      </c>
      <c r="H230" s="4">
        <v>225.00489999999999</v>
      </c>
      <c r="I230" s="1">
        <v>112</v>
      </c>
      <c r="J230" s="3">
        <v>94.796930000000003</v>
      </c>
      <c r="K230" s="3">
        <f t="shared" si="40"/>
        <v>98.904510000000002</v>
      </c>
      <c r="L230" s="1">
        <f t="shared" si="49"/>
        <v>1.7953534390441277E-2</v>
      </c>
      <c r="N230" s="4">
        <v>225.02242000000001</v>
      </c>
      <c r="O230" s="1">
        <v>112</v>
      </c>
      <c r="P230" s="3">
        <v>100.71035999999999</v>
      </c>
      <c r="Q230" s="3">
        <f t="shared" si="41"/>
        <v>100.84594</v>
      </c>
      <c r="R230" s="1">
        <f t="shared" si="51"/>
        <v>1.9884581856954189E-3</v>
      </c>
      <c r="T230" s="4">
        <v>250.00400999999999</v>
      </c>
      <c r="U230" s="1">
        <v>112</v>
      </c>
      <c r="V230" s="5">
        <v>93.893219999999999</v>
      </c>
      <c r="W230" s="3">
        <f t="shared" si="42"/>
        <v>98.050619999999995</v>
      </c>
      <c r="X230" s="1">
        <f t="shared" si="50"/>
        <v>3.101587143530159E-2</v>
      </c>
      <c r="Z230" s="4">
        <v>250.01748000000001</v>
      </c>
      <c r="AA230" s="1">
        <v>112</v>
      </c>
      <c r="AB230" s="5">
        <v>100.29913000000001</v>
      </c>
      <c r="AC230" s="3">
        <f t="shared" si="43"/>
        <v>100.22239</v>
      </c>
      <c r="AD230" s="1">
        <f t="shared" si="38"/>
        <v>1.0204554181903122E-2</v>
      </c>
      <c r="AF230" s="11">
        <v>665.65058999999997</v>
      </c>
      <c r="AG230" s="1">
        <v>112</v>
      </c>
      <c r="AH230" s="12">
        <v>9.7560500000000001</v>
      </c>
      <c r="AI230" s="3">
        <f t="shared" si="44"/>
        <v>12.763739999999999</v>
      </c>
      <c r="AJ230" s="1">
        <f t="shared" si="47"/>
        <v>1.0546349484412125</v>
      </c>
      <c r="AL230" s="11">
        <v>665.62672999999995</v>
      </c>
      <c r="AM230" s="1">
        <v>112</v>
      </c>
      <c r="AN230" s="12">
        <v>10.37567</v>
      </c>
      <c r="AO230" s="3">
        <f t="shared" si="45"/>
        <v>13.469170000000005</v>
      </c>
      <c r="AP230" s="1">
        <f t="shared" si="48"/>
        <v>1.0462070546079847</v>
      </c>
      <c r="AR230" s="11">
        <v>440.97275000000002</v>
      </c>
      <c r="AS230" s="1">
        <v>112</v>
      </c>
      <c r="AT230" s="12">
        <v>59.875030000000002</v>
      </c>
      <c r="AU230" s="3">
        <f t="shared" si="46"/>
        <v>60.529519999999998</v>
      </c>
    </row>
    <row r="231" spans="2:47" ht="16" x14ac:dyDescent="0.2">
      <c r="B231" s="2">
        <v>200.0154</v>
      </c>
      <c r="C231" s="1">
        <v>112.5</v>
      </c>
      <c r="D231" s="5">
        <v>99.800820000000002</v>
      </c>
      <c r="E231" s="3">
        <f t="shared" si="39"/>
        <v>100.51412000000001</v>
      </c>
      <c r="H231" s="4">
        <v>225.00602000000001</v>
      </c>
      <c r="I231" s="1">
        <v>112.5</v>
      </c>
      <c r="J231" s="5">
        <v>94.822460000000007</v>
      </c>
      <c r="K231" s="3">
        <f t="shared" si="40"/>
        <v>98.930040000000005</v>
      </c>
      <c r="L231" s="1">
        <f t="shared" si="49"/>
        <v>1.7646118691484188E-2</v>
      </c>
      <c r="N231" s="4">
        <v>225.02106000000001</v>
      </c>
      <c r="O231" s="1">
        <v>112.5</v>
      </c>
      <c r="P231" s="5">
        <v>100.80967</v>
      </c>
      <c r="Q231" s="3">
        <f t="shared" si="41"/>
        <v>100.94525</v>
      </c>
      <c r="R231" s="1">
        <f t="shared" si="51"/>
        <v>7.9993105706818311E-4</v>
      </c>
      <c r="T231" s="4">
        <v>249.99905999999999</v>
      </c>
      <c r="U231" s="1">
        <v>112.5</v>
      </c>
      <c r="V231" s="3">
        <v>93.87679</v>
      </c>
      <c r="W231" s="3">
        <f t="shared" si="42"/>
        <v>98.034189999999995</v>
      </c>
      <c r="X231" s="1">
        <f t="shared" si="50"/>
        <v>3.121324494419905E-2</v>
      </c>
      <c r="Z231" s="4">
        <v>250.01609999999999</v>
      </c>
      <c r="AA231" s="1">
        <v>112.5</v>
      </c>
      <c r="AB231" s="3">
        <v>100.26391</v>
      </c>
      <c r="AC231" s="3">
        <f t="shared" si="43"/>
        <v>100.18716999999999</v>
      </c>
      <c r="AD231" s="1">
        <f t="shared" si="38"/>
        <v>1.0625797030340446E-2</v>
      </c>
      <c r="AF231" s="11">
        <v>668.10896000000002</v>
      </c>
      <c r="AG231" s="1">
        <v>112.5</v>
      </c>
      <c r="AH231" s="13">
        <v>9.7509099999999993</v>
      </c>
      <c r="AI231" s="3">
        <f t="shared" si="44"/>
        <v>12.758600000000001</v>
      </c>
      <c r="AJ231" s="1">
        <f t="shared" si="47"/>
        <v>1.0546970704713108</v>
      </c>
      <c r="AL231" s="11">
        <v>668.10396000000003</v>
      </c>
      <c r="AM231" s="1">
        <v>112.5</v>
      </c>
      <c r="AN231" s="13">
        <v>10.35261</v>
      </c>
      <c r="AO231" s="3">
        <f t="shared" si="45"/>
        <v>13.446110000000004</v>
      </c>
      <c r="AP231" s="1">
        <f t="shared" si="48"/>
        <v>1.0464855900586632</v>
      </c>
      <c r="AR231" s="11">
        <v>442.53142000000003</v>
      </c>
      <c r="AS231" s="1">
        <v>112.5</v>
      </c>
      <c r="AT231" s="13">
        <v>59.79759</v>
      </c>
      <c r="AU231" s="3">
        <f t="shared" si="46"/>
        <v>60.452079999999995</v>
      </c>
    </row>
    <row r="232" spans="2:47" ht="16" x14ac:dyDescent="0.2">
      <c r="B232" s="2">
        <v>200.01548</v>
      </c>
      <c r="C232" s="1">
        <v>113</v>
      </c>
      <c r="D232" s="3">
        <v>99.878990000000002</v>
      </c>
      <c r="E232" s="3">
        <f t="shared" si="39"/>
        <v>100.59229000000001</v>
      </c>
      <c r="H232" s="4">
        <v>225.00215</v>
      </c>
      <c r="I232" s="1">
        <v>113</v>
      </c>
      <c r="J232" s="3">
        <v>94.818780000000004</v>
      </c>
      <c r="K232" s="3">
        <f t="shared" si="40"/>
        <v>98.926360000000003</v>
      </c>
      <c r="L232" s="1">
        <f t="shared" si="49"/>
        <v>1.7690430864306859E-2</v>
      </c>
      <c r="N232" s="4">
        <v>225.02072999999999</v>
      </c>
      <c r="O232" s="1">
        <v>113</v>
      </c>
      <c r="P232" s="3">
        <v>100.76282</v>
      </c>
      <c r="Q232" s="3">
        <f t="shared" si="41"/>
        <v>100.89840000000001</v>
      </c>
      <c r="R232" s="1">
        <f t="shared" si="51"/>
        <v>1.3606248036815661E-3</v>
      </c>
      <c r="T232" s="4">
        <v>250.00700000000001</v>
      </c>
      <c r="U232" s="1">
        <v>113</v>
      </c>
      <c r="V232" s="5">
        <v>93.872879999999995</v>
      </c>
      <c r="W232" s="3">
        <f t="shared" si="42"/>
        <v>98.030279999999991</v>
      </c>
      <c r="X232" s="1">
        <f t="shared" si="50"/>
        <v>3.1260215754898381E-2</v>
      </c>
      <c r="Z232" s="4">
        <v>250.01279</v>
      </c>
      <c r="AA232" s="1">
        <v>113</v>
      </c>
      <c r="AB232" s="5">
        <v>100.21127</v>
      </c>
      <c r="AC232" s="3">
        <f t="shared" si="43"/>
        <v>100.13453</v>
      </c>
      <c r="AD232" s="1">
        <f t="shared" si="38"/>
        <v>1.1255388840156838E-2</v>
      </c>
      <c r="AF232" s="11">
        <v>670.60215000000005</v>
      </c>
      <c r="AG232" s="1">
        <v>113</v>
      </c>
      <c r="AH232" s="12">
        <v>9.7058099999999996</v>
      </c>
      <c r="AI232" s="3">
        <f t="shared" si="44"/>
        <v>12.713499999999996</v>
      </c>
      <c r="AJ232" s="1">
        <f t="shared" si="47"/>
        <v>1.0552421489844306</v>
      </c>
      <c r="AL232" s="11">
        <v>670.61057000000005</v>
      </c>
      <c r="AM232" s="1">
        <v>113</v>
      </c>
      <c r="AN232" s="12">
        <v>10.31048</v>
      </c>
      <c r="AO232" s="3">
        <f t="shared" si="45"/>
        <v>13.403980000000004</v>
      </c>
      <c r="AP232" s="1">
        <f t="shared" si="48"/>
        <v>1.0469944668382416</v>
      </c>
      <c r="AR232" s="11">
        <v>444.08172999999999</v>
      </c>
      <c r="AS232" s="1">
        <v>113</v>
      </c>
      <c r="AT232" s="12">
        <v>59.76435</v>
      </c>
      <c r="AU232" s="3">
        <f t="shared" si="46"/>
        <v>60.418839999999996</v>
      </c>
    </row>
    <row r="233" spans="2:47" ht="16" x14ac:dyDescent="0.2">
      <c r="B233" s="2">
        <v>200.0138</v>
      </c>
      <c r="C233" s="1">
        <v>113.5</v>
      </c>
      <c r="D233" s="5">
        <v>99.946330000000003</v>
      </c>
      <c r="E233" s="3">
        <f t="shared" si="39"/>
        <v>100.65963000000001</v>
      </c>
      <c r="H233" s="4">
        <v>225.00308999999999</v>
      </c>
      <c r="I233" s="1">
        <v>113.5</v>
      </c>
      <c r="J233" s="5">
        <v>94.807720000000003</v>
      </c>
      <c r="K233" s="3">
        <f t="shared" si="40"/>
        <v>98.915300000000002</v>
      </c>
      <c r="L233" s="1">
        <f t="shared" si="49"/>
        <v>1.782360820980099E-2</v>
      </c>
      <c r="N233" s="4">
        <v>225.01808</v>
      </c>
      <c r="O233" s="1">
        <v>113.5</v>
      </c>
      <c r="P233" s="5">
        <v>100.73469</v>
      </c>
      <c r="Q233" s="3">
        <f t="shared" si="41"/>
        <v>100.87027</v>
      </c>
      <c r="R233" s="1">
        <f t="shared" si="51"/>
        <v>1.6972804086386553E-3</v>
      </c>
      <c r="T233" s="4">
        <v>250.00604000000001</v>
      </c>
      <c r="U233" s="1">
        <v>113.5</v>
      </c>
      <c r="V233" s="3">
        <v>93.856890000000007</v>
      </c>
      <c r="W233" s="3">
        <f t="shared" si="42"/>
        <v>98.014290000000003</v>
      </c>
      <c r="X233" s="1">
        <f t="shared" si="50"/>
        <v>3.1452303545967647E-2</v>
      </c>
      <c r="Z233" s="4">
        <v>250.01043999999999</v>
      </c>
      <c r="AA233" s="1">
        <v>113.5</v>
      </c>
      <c r="AB233" s="3">
        <v>100.27749</v>
      </c>
      <c r="AC233" s="3">
        <f t="shared" si="43"/>
        <v>100.20075</v>
      </c>
      <c r="AD233" s="1">
        <f t="shared" si="38"/>
        <v>1.0463375738978174E-2</v>
      </c>
      <c r="AF233" s="11">
        <v>673.10545000000002</v>
      </c>
      <c r="AG233" s="1">
        <v>113.5</v>
      </c>
      <c r="AH233" s="13">
        <v>9.6365300000000005</v>
      </c>
      <c r="AI233" s="3">
        <f t="shared" si="44"/>
        <v>12.64421999999999</v>
      </c>
      <c r="AJ233" s="1">
        <f t="shared" si="47"/>
        <v>1.0560794669309701</v>
      </c>
      <c r="AL233" s="11">
        <v>673.09973000000002</v>
      </c>
      <c r="AM233" s="1">
        <v>113.5</v>
      </c>
      <c r="AN233" s="13">
        <v>10.257379999999999</v>
      </c>
      <c r="AO233" s="3">
        <f t="shared" si="45"/>
        <v>13.350880000000004</v>
      </c>
      <c r="AP233" s="1">
        <f t="shared" si="48"/>
        <v>1.0476358472558922</v>
      </c>
      <c r="AR233" s="11">
        <v>445.62887000000001</v>
      </c>
      <c r="AS233" s="1">
        <v>113.5</v>
      </c>
      <c r="AT233" s="13">
        <v>59.734200000000001</v>
      </c>
      <c r="AU233" s="3">
        <f t="shared" si="46"/>
        <v>60.388689999999997</v>
      </c>
    </row>
    <row r="234" spans="2:47" ht="16" x14ac:dyDescent="0.2">
      <c r="B234" s="2">
        <v>200.01438999999999</v>
      </c>
      <c r="C234" s="1">
        <v>114</v>
      </c>
      <c r="D234" s="3">
        <v>100.05924</v>
      </c>
      <c r="E234" s="3">
        <f t="shared" si="39"/>
        <v>100.77254000000001</v>
      </c>
      <c r="H234" s="4">
        <v>225.00488000000001</v>
      </c>
      <c r="I234" s="1">
        <v>114</v>
      </c>
      <c r="J234" s="3">
        <v>94.784499999999994</v>
      </c>
      <c r="K234" s="3">
        <f t="shared" si="40"/>
        <v>98.892079999999993</v>
      </c>
      <c r="L234" s="1">
        <f t="shared" si="49"/>
        <v>1.8103208387230892E-2</v>
      </c>
      <c r="N234" s="4">
        <v>225.01840000000001</v>
      </c>
      <c r="O234" s="1">
        <v>114</v>
      </c>
      <c r="P234" s="3">
        <v>100.69334000000001</v>
      </c>
      <c r="Q234" s="3">
        <f t="shared" si="41"/>
        <v>100.82892000000001</v>
      </c>
      <c r="R234" s="1">
        <f t="shared" si="51"/>
        <v>2.1921509832910366E-3</v>
      </c>
      <c r="T234" s="4">
        <v>250.00800000000001</v>
      </c>
      <c r="U234" s="1">
        <v>114</v>
      </c>
      <c r="V234" s="5">
        <v>93.844750000000005</v>
      </c>
      <c r="W234" s="3">
        <f t="shared" si="42"/>
        <v>98.00215</v>
      </c>
      <c r="X234" s="1">
        <f t="shared" si="50"/>
        <v>3.159814130604164E-2</v>
      </c>
      <c r="Z234" s="4">
        <v>250.0164</v>
      </c>
      <c r="AA234" s="1">
        <v>114</v>
      </c>
      <c r="AB234" s="5">
        <v>100.2321</v>
      </c>
      <c r="AC234" s="3">
        <f t="shared" si="43"/>
        <v>100.15536</v>
      </c>
      <c r="AD234" s="1">
        <f t="shared" si="38"/>
        <v>1.1006255150976014E-2</v>
      </c>
      <c r="AF234" s="11">
        <v>675.61269000000004</v>
      </c>
      <c r="AG234" s="1">
        <v>114</v>
      </c>
      <c r="AH234" s="12">
        <v>9.6053700000000006</v>
      </c>
      <c r="AI234" s="3">
        <f t="shared" si="44"/>
        <v>12.61305999999999</v>
      </c>
      <c r="AJ234" s="1">
        <f t="shared" si="47"/>
        <v>1.0564560666309437</v>
      </c>
      <c r="AL234" s="11">
        <v>675.61013000000003</v>
      </c>
      <c r="AM234" s="1">
        <v>114</v>
      </c>
      <c r="AN234" s="12">
        <v>10.212580000000001</v>
      </c>
      <c r="AO234" s="3">
        <f t="shared" si="45"/>
        <v>13.306080000000009</v>
      </c>
      <c r="AP234" s="1">
        <f t="shared" si="48"/>
        <v>1.0481769742372622</v>
      </c>
      <c r="AR234" s="11">
        <v>447.15956999999997</v>
      </c>
      <c r="AS234" s="1">
        <v>114</v>
      </c>
      <c r="AT234" s="12">
        <v>59.697749999999999</v>
      </c>
      <c r="AU234" s="3">
        <f t="shared" si="46"/>
        <v>60.352239999999995</v>
      </c>
    </row>
    <row r="235" spans="2:47" ht="16" x14ac:dyDescent="0.2">
      <c r="B235" s="2">
        <v>200.01849999999999</v>
      </c>
      <c r="C235" s="1">
        <v>114.5</v>
      </c>
      <c r="D235" s="5">
        <v>100.03873</v>
      </c>
      <c r="E235" s="3">
        <f t="shared" si="39"/>
        <v>100.75203</v>
      </c>
      <c r="H235" s="4">
        <v>225.00904</v>
      </c>
      <c r="I235" s="1">
        <v>114.5</v>
      </c>
      <c r="J235" s="5">
        <v>94.807699999999997</v>
      </c>
      <c r="K235" s="3">
        <f t="shared" si="40"/>
        <v>98.915279999999996</v>
      </c>
      <c r="L235" s="1">
        <f t="shared" si="49"/>
        <v>1.7823849036827277E-2</v>
      </c>
      <c r="N235" s="4">
        <v>225.01841999999999</v>
      </c>
      <c r="O235" s="1">
        <v>114.5</v>
      </c>
      <c r="P235" s="5">
        <v>100.74317000000001</v>
      </c>
      <c r="Q235" s="3">
        <f t="shared" si="41"/>
        <v>100.87875000000001</v>
      </c>
      <c r="R235" s="1">
        <f t="shared" si="51"/>
        <v>1.5957930453241289E-3</v>
      </c>
      <c r="T235" s="4">
        <v>250.01000999999999</v>
      </c>
      <c r="U235" s="1">
        <v>114.5</v>
      </c>
      <c r="V235" s="3">
        <v>93.814729999999997</v>
      </c>
      <c r="W235" s="3">
        <f t="shared" si="42"/>
        <v>97.972129999999993</v>
      </c>
      <c r="X235" s="1">
        <f t="shared" si="50"/>
        <v>3.1958771417855594E-2</v>
      </c>
      <c r="Z235" s="4">
        <v>250.01942</v>
      </c>
      <c r="AA235" s="1">
        <v>114.5</v>
      </c>
      <c r="AB235" s="3">
        <v>100.19365000000001</v>
      </c>
      <c r="AC235" s="3">
        <f t="shared" si="43"/>
        <v>100.11691</v>
      </c>
      <c r="AD235" s="1">
        <f t="shared" si="38"/>
        <v>1.1466129867682705E-2</v>
      </c>
      <c r="AF235" s="11">
        <v>678.12217999999996</v>
      </c>
      <c r="AG235" s="1">
        <v>114.5</v>
      </c>
      <c r="AH235" s="13">
        <v>9.5640199999999993</v>
      </c>
      <c r="AI235" s="3">
        <f t="shared" si="44"/>
        <v>12.571709999999996</v>
      </c>
      <c r="AJ235" s="1">
        <f t="shared" si="47"/>
        <v>1.0569558226512872</v>
      </c>
      <c r="AL235" s="11">
        <v>678.12411999999995</v>
      </c>
      <c r="AM235" s="1">
        <v>114.5</v>
      </c>
      <c r="AN235" s="13">
        <v>10.160450000000001</v>
      </c>
      <c r="AO235" s="3">
        <f t="shared" si="45"/>
        <v>13.253950000000003</v>
      </c>
      <c r="AP235" s="1">
        <f t="shared" si="48"/>
        <v>1.0488066382894679</v>
      </c>
      <c r="AR235" s="11">
        <v>448.67768000000001</v>
      </c>
      <c r="AS235" s="1">
        <v>114.5</v>
      </c>
      <c r="AT235" s="13">
        <v>59.639919999999996</v>
      </c>
      <c r="AU235" s="3">
        <f t="shared" si="46"/>
        <v>60.294409999999992</v>
      </c>
    </row>
    <row r="236" spans="2:47" ht="16" x14ac:dyDescent="0.2">
      <c r="B236" s="2">
        <v>200.01635999999999</v>
      </c>
      <c r="C236" s="1">
        <v>115</v>
      </c>
      <c r="D236" s="3">
        <v>99.852109999999996</v>
      </c>
      <c r="E236" s="3">
        <f t="shared" si="39"/>
        <v>100.56541</v>
      </c>
      <c r="H236" s="4">
        <v>225.00699</v>
      </c>
      <c r="I236" s="1">
        <v>115</v>
      </c>
      <c r="J236" s="3">
        <v>94.781760000000006</v>
      </c>
      <c r="K236" s="3">
        <f t="shared" si="40"/>
        <v>98.889340000000004</v>
      </c>
      <c r="L236" s="1">
        <f t="shared" si="49"/>
        <v>1.8136201689821524E-2</v>
      </c>
      <c r="N236" s="4">
        <v>225.01723000000001</v>
      </c>
      <c r="O236" s="1">
        <v>115</v>
      </c>
      <c r="P236" s="3">
        <v>100.68283</v>
      </c>
      <c r="Q236" s="3">
        <f t="shared" si="41"/>
        <v>100.81841</v>
      </c>
      <c r="R236" s="1">
        <f t="shared" si="51"/>
        <v>2.3179330809839642E-3</v>
      </c>
      <c r="T236" s="4">
        <v>250.01197999999999</v>
      </c>
      <c r="U236" s="1">
        <v>115</v>
      </c>
      <c r="V236" s="5">
        <v>93.822550000000007</v>
      </c>
      <c r="W236" s="3">
        <f t="shared" si="42"/>
        <v>97.979950000000002</v>
      </c>
      <c r="X236" s="1">
        <f t="shared" si="50"/>
        <v>3.1864829796456932E-2</v>
      </c>
      <c r="Z236" s="4">
        <v>250.02016</v>
      </c>
      <c r="AA236" s="1">
        <v>115</v>
      </c>
      <c r="AB236" s="5">
        <v>100.17701</v>
      </c>
      <c r="AC236" s="3">
        <f t="shared" si="43"/>
        <v>100.10026999999999</v>
      </c>
      <c r="AD236" s="1">
        <f t="shared" si="38"/>
        <v>1.1665149771089837E-2</v>
      </c>
      <c r="AF236" s="11">
        <v>680.62158999999997</v>
      </c>
      <c r="AG236" s="1">
        <v>115</v>
      </c>
      <c r="AH236" s="12">
        <v>9.5791299999999993</v>
      </c>
      <c r="AI236" s="3">
        <f t="shared" si="44"/>
        <v>12.586819999999989</v>
      </c>
      <c r="AJ236" s="1">
        <f t="shared" si="47"/>
        <v>1.0567732032203951</v>
      </c>
      <c r="AL236" s="11">
        <v>680.63439000000005</v>
      </c>
      <c r="AM236" s="1">
        <v>115</v>
      </c>
      <c r="AN236" s="12">
        <v>10.16844</v>
      </c>
      <c r="AO236" s="3">
        <f t="shared" si="45"/>
        <v>13.26194000000001</v>
      </c>
      <c r="AP236" s="1">
        <f t="shared" si="48"/>
        <v>1.0487101292586387</v>
      </c>
      <c r="AR236" s="11">
        <v>450.19760000000002</v>
      </c>
      <c r="AS236" s="1">
        <v>115</v>
      </c>
      <c r="AT236" s="12">
        <v>59.634050000000002</v>
      </c>
      <c r="AU236" s="3">
        <f t="shared" si="46"/>
        <v>60.288539999999998</v>
      </c>
    </row>
    <row r="237" spans="2:47" ht="16" x14ac:dyDescent="0.2">
      <c r="B237" s="2">
        <v>200.0136</v>
      </c>
      <c r="C237" s="1">
        <v>115.5</v>
      </c>
      <c r="D237" s="5">
        <v>100.01302</v>
      </c>
      <c r="E237" s="3">
        <f t="shared" si="39"/>
        <v>100.72632</v>
      </c>
      <c r="H237" s="4">
        <v>225.00700000000001</v>
      </c>
      <c r="I237" s="1">
        <v>115.5</v>
      </c>
      <c r="J237" s="5">
        <v>94.784279999999995</v>
      </c>
      <c r="K237" s="3">
        <f t="shared" si="40"/>
        <v>98.891859999999994</v>
      </c>
      <c r="L237" s="1">
        <f t="shared" si="49"/>
        <v>1.8105857484519188E-2</v>
      </c>
      <c r="N237" s="4">
        <v>225.01482999999999</v>
      </c>
      <c r="O237" s="1">
        <v>115.5</v>
      </c>
      <c r="P237" s="5">
        <v>100.72443</v>
      </c>
      <c r="Q237" s="3">
        <f t="shared" si="41"/>
        <v>100.86001</v>
      </c>
      <c r="R237" s="1">
        <f t="shared" si="51"/>
        <v>1.8200705439696183E-3</v>
      </c>
      <c r="T237" s="4">
        <v>250.00398999999999</v>
      </c>
      <c r="U237" s="1">
        <v>115.5</v>
      </c>
      <c r="V237" s="3">
        <v>93.79271</v>
      </c>
      <c r="W237" s="3">
        <f t="shared" si="42"/>
        <v>97.950109999999995</v>
      </c>
      <c r="X237" s="1">
        <f t="shared" si="50"/>
        <v>3.2223297569159412E-2</v>
      </c>
      <c r="Z237" s="4">
        <v>250.02090999999999</v>
      </c>
      <c r="AA237" s="1">
        <v>115.5</v>
      </c>
      <c r="AB237" s="3">
        <v>100.16099</v>
      </c>
      <c r="AC237" s="3">
        <f t="shared" si="43"/>
        <v>100.08425</v>
      </c>
      <c r="AD237" s="1">
        <f t="shared" si="38"/>
        <v>1.1856754269441995E-2</v>
      </c>
      <c r="AF237" s="11">
        <v>683.12288000000001</v>
      </c>
      <c r="AG237" s="1">
        <v>115.5</v>
      </c>
      <c r="AH237" s="13">
        <v>9.5748800000000003</v>
      </c>
      <c r="AI237" s="3">
        <f t="shared" si="44"/>
        <v>12.582570000000004</v>
      </c>
      <c r="AJ237" s="1">
        <f t="shared" si="47"/>
        <v>1.0568245687122078</v>
      </c>
      <c r="AL237" s="11">
        <v>683.12356</v>
      </c>
      <c r="AM237" s="1">
        <v>115.5</v>
      </c>
      <c r="AN237" s="13">
        <v>10.15512</v>
      </c>
      <c r="AO237" s="3">
        <f t="shared" si="45"/>
        <v>13.248620000000003</v>
      </c>
      <c r="AP237" s="1">
        <f t="shared" si="48"/>
        <v>1.0488710179057783</v>
      </c>
      <c r="AR237" s="11">
        <v>451.70537000000002</v>
      </c>
      <c r="AS237" s="1">
        <v>115.5</v>
      </c>
      <c r="AT237" s="13">
        <v>59.668709999999997</v>
      </c>
      <c r="AU237" s="3">
        <f t="shared" si="46"/>
        <v>60.323199999999993</v>
      </c>
    </row>
    <row r="238" spans="2:47" ht="16" x14ac:dyDescent="0.2">
      <c r="B238" s="2">
        <v>200.01376999999999</v>
      </c>
      <c r="C238" s="1">
        <v>116</v>
      </c>
      <c r="D238" s="3">
        <v>99.980440000000002</v>
      </c>
      <c r="E238" s="3">
        <f t="shared" si="39"/>
        <v>100.69374000000001</v>
      </c>
      <c r="H238" s="4">
        <v>225.00691</v>
      </c>
      <c r="I238" s="1">
        <v>116</v>
      </c>
      <c r="J238" s="3">
        <v>94.777720000000002</v>
      </c>
      <c r="K238" s="3">
        <f t="shared" si="40"/>
        <v>98.885300000000001</v>
      </c>
      <c r="L238" s="1">
        <f t="shared" si="49"/>
        <v>1.8184848749115981E-2</v>
      </c>
      <c r="N238" s="4">
        <v>225.00984</v>
      </c>
      <c r="O238" s="1">
        <v>116</v>
      </c>
      <c r="P238" s="3">
        <v>100.76839</v>
      </c>
      <c r="Q238" s="3">
        <f t="shared" si="41"/>
        <v>100.90397</v>
      </c>
      <c r="R238" s="1">
        <f t="shared" si="51"/>
        <v>1.2939638822593168E-3</v>
      </c>
      <c r="T238" s="4">
        <v>250.00502</v>
      </c>
      <c r="U238" s="1">
        <v>116</v>
      </c>
      <c r="V238" s="5">
        <v>93.788719999999998</v>
      </c>
      <c r="W238" s="3">
        <f t="shared" si="42"/>
        <v>97.946119999999993</v>
      </c>
      <c r="X238" s="1">
        <f t="shared" si="50"/>
        <v>3.2271229419463802E-2</v>
      </c>
      <c r="Z238" s="4">
        <v>250.017</v>
      </c>
      <c r="AA238" s="1">
        <v>116</v>
      </c>
      <c r="AB238" s="5">
        <v>100.27724000000001</v>
      </c>
      <c r="AC238" s="3">
        <f t="shared" si="43"/>
        <v>100.20050000000001</v>
      </c>
      <c r="AD238" s="1">
        <f t="shared" si="38"/>
        <v>1.0466365821661501E-2</v>
      </c>
      <c r="AF238" s="11">
        <v>685.63409999999999</v>
      </c>
      <c r="AG238" s="1">
        <v>116</v>
      </c>
      <c r="AH238" s="12">
        <v>9.5730599999999999</v>
      </c>
      <c r="AI238" s="3">
        <f t="shared" si="44"/>
        <v>12.580749999999995</v>
      </c>
      <c r="AJ238" s="1">
        <f t="shared" si="47"/>
        <v>1.0568465652287018</v>
      </c>
      <c r="AL238" s="11">
        <v>685.62253999999996</v>
      </c>
      <c r="AM238" s="1">
        <v>116</v>
      </c>
      <c r="AN238" s="12">
        <v>10.13613</v>
      </c>
      <c r="AO238" s="3">
        <f t="shared" si="45"/>
        <v>13.22963</v>
      </c>
      <c r="AP238" s="1">
        <f t="shared" si="48"/>
        <v>1.0491003929364975</v>
      </c>
      <c r="AR238" s="11">
        <v>453.2176</v>
      </c>
      <c r="AS238" s="1">
        <v>116</v>
      </c>
      <c r="AT238" s="12">
        <v>59.637860000000003</v>
      </c>
      <c r="AU238" s="3">
        <f t="shared" si="46"/>
        <v>60.292349999999999</v>
      </c>
    </row>
    <row r="239" spans="2:47" ht="16" x14ac:dyDescent="0.2">
      <c r="B239" s="2">
        <v>200.01757000000001</v>
      </c>
      <c r="C239" s="1">
        <v>116.5</v>
      </c>
      <c r="D239" s="5">
        <v>99.944789999999998</v>
      </c>
      <c r="E239" s="3">
        <f t="shared" si="39"/>
        <v>100.65809</v>
      </c>
      <c r="H239" s="4">
        <v>225.00807</v>
      </c>
      <c r="I239" s="1">
        <v>116.5</v>
      </c>
      <c r="J239" s="5">
        <v>94.770099999999999</v>
      </c>
      <c r="K239" s="3">
        <f t="shared" si="40"/>
        <v>98.877679999999998</v>
      </c>
      <c r="L239" s="1">
        <f t="shared" si="49"/>
        <v>1.8276603846102021E-2</v>
      </c>
      <c r="N239" s="4">
        <v>225.00676000000001</v>
      </c>
      <c r="O239" s="1">
        <v>116.5</v>
      </c>
      <c r="P239" s="5">
        <v>100.76765</v>
      </c>
      <c r="Q239" s="3">
        <f t="shared" si="41"/>
        <v>100.90323000000001</v>
      </c>
      <c r="R239" s="1">
        <f t="shared" si="51"/>
        <v>1.3028200908503566E-3</v>
      </c>
      <c r="T239" s="4">
        <v>250.00402</v>
      </c>
      <c r="U239" s="1">
        <v>116.5</v>
      </c>
      <c r="V239" s="3">
        <v>93.758629999999997</v>
      </c>
      <c r="W239" s="3">
        <f t="shared" si="42"/>
        <v>97.916029999999992</v>
      </c>
      <c r="X239" s="1">
        <f t="shared" si="50"/>
        <v>3.2632700440932152E-2</v>
      </c>
      <c r="Z239" s="4">
        <v>250.01536999999999</v>
      </c>
      <c r="AA239" s="1">
        <v>116.5</v>
      </c>
      <c r="AB239" s="3">
        <v>100.12062</v>
      </c>
      <c r="AC239" s="3">
        <f t="shared" si="43"/>
        <v>100.04388</v>
      </c>
      <c r="AD239" s="1">
        <f t="shared" si="38"/>
        <v>1.2339592821157168E-2</v>
      </c>
      <c r="AF239" s="11">
        <v>688.13283999999999</v>
      </c>
      <c r="AG239" s="1">
        <v>116.5</v>
      </c>
      <c r="AH239" s="13">
        <v>9.4987300000000001</v>
      </c>
      <c r="AI239" s="3">
        <f t="shared" si="44"/>
        <v>12.506419999999991</v>
      </c>
      <c r="AJ239" s="1">
        <f t="shared" si="47"/>
        <v>1.0577449174655131</v>
      </c>
      <c r="AL239" s="11">
        <v>688.13403000000005</v>
      </c>
      <c r="AM239" s="1">
        <v>116.5</v>
      </c>
      <c r="AN239" s="13">
        <v>10.1052</v>
      </c>
      <c r="AO239" s="3">
        <f t="shared" si="45"/>
        <v>13.198700000000002</v>
      </c>
      <c r="AP239" s="1">
        <f t="shared" si="48"/>
        <v>1.0494739879707333</v>
      </c>
      <c r="AR239" s="11">
        <v>454.72764000000001</v>
      </c>
      <c r="AS239" s="1">
        <v>116.5</v>
      </c>
      <c r="AT239" s="13">
        <v>59.604640000000003</v>
      </c>
      <c r="AU239" s="3">
        <f t="shared" si="46"/>
        <v>60.259129999999999</v>
      </c>
    </row>
    <row r="240" spans="2:47" ht="16" x14ac:dyDescent="0.2">
      <c r="B240" s="2">
        <v>200.01655</v>
      </c>
      <c r="C240" s="1">
        <v>117</v>
      </c>
      <c r="D240" s="3">
        <v>99.9255</v>
      </c>
      <c r="E240" s="3">
        <f t="shared" si="39"/>
        <v>100.6388</v>
      </c>
      <c r="H240" s="4">
        <v>225.00308999999999</v>
      </c>
      <c r="I240" s="1">
        <v>117</v>
      </c>
      <c r="J240" s="3">
        <v>94.731189999999998</v>
      </c>
      <c r="K240" s="3">
        <f t="shared" si="40"/>
        <v>98.838769999999997</v>
      </c>
      <c r="L240" s="1">
        <f t="shared" si="49"/>
        <v>1.8745132825593563E-2</v>
      </c>
      <c r="N240" s="4">
        <v>225.01109</v>
      </c>
      <c r="O240" s="1">
        <v>117</v>
      </c>
      <c r="P240" s="3">
        <v>100.57980999999999</v>
      </c>
      <c r="Q240" s="3">
        <f t="shared" si="41"/>
        <v>100.71539</v>
      </c>
      <c r="R240" s="1">
        <f t="shared" si="51"/>
        <v>3.5508609310612518E-3</v>
      </c>
      <c r="T240" s="4">
        <v>250.00900999999999</v>
      </c>
      <c r="U240" s="1">
        <v>117</v>
      </c>
      <c r="V240" s="5">
        <v>93.764619999999994</v>
      </c>
      <c r="W240" s="3">
        <f t="shared" si="42"/>
        <v>97.922019999999989</v>
      </c>
      <c r="X240" s="1">
        <f t="shared" si="50"/>
        <v>3.2560742600500306E-2</v>
      </c>
      <c r="Z240" s="4">
        <v>250.01258000000001</v>
      </c>
      <c r="AA240" s="1">
        <v>117</v>
      </c>
      <c r="AB240" s="5">
        <v>100.23417000000001</v>
      </c>
      <c r="AC240" s="3">
        <f t="shared" si="43"/>
        <v>100.15743000000001</v>
      </c>
      <c r="AD240" s="1">
        <f t="shared" si="38"/>
        <v>1.0981497266357432E-2</v>
      </c>
      <c r="AF240" s="11">
        <v>690.63337000000001</v>
      </c>
      <c r="AG240" s="1">
        <v>117</v>
      </c>
      <c r="AH240" s="12">
        <v>9.4594000000000005</v>
      </c>
      <c r="AI240" s="3">
        <f t="shared" si="44"/>
        <v>12.467089999999999</v>
      </c>
      <c r="AJ240" s="1">
        <f t="shared" si="47"/>
        <v>1.0582202597697481</v>
      </c>
      <c r="AL240" s="11">
        <v>690.64022</v>
      </c>
      <c r="AM240" s="1">
        <v>117</v>
      </c>
      <c r="AN240" s="12">
        <v>10.049440000000001</v>
      </c>
      <c r="AO240" s="3">
        <f t="shared" si="45"/>
        <v>13.14294000000001</v>
      </c>
      <c r="AP240" s="1">
        <f t="shared" si="48"/>
        <v>1.0501474978029026</v>
      </c>
      <c r="AR240" s="11">
        <v>456.23262999999997</v>
      </c>
      <c r="AS240" s="1">
        <v>117</v>
      </c>
      <c r="AT240" s="12">
        <v>59.618099999999998</v>
      </c>
      <c r="AU240" s="3">
        <f t="shared" si="46"/>
        <v>60.272589999999994</v>
      </c>
    </row>
    <row r="241" spans="2:47" ht="16" x14ac:dyDescent="0.2">
      <c r="B241" s="2">
        <v>200.01590999999999</v>
      </c>
      <c r="C241" s="1">
        <v>117.5</v>
      </c>
      <c r="D241" s="5">
        <v>100.07792999999999</v>
      </c>
      <c r="E241" s="3">
        <f t="shared" si="39"/>
        <v>100.79123</v>
      </c>
      <c r="H241" s="4">
        <v>225.00901999999999</v>
      </c>
      <c r="I241" s="1">
        <v>117.5</v>
      </c>
      <c r="J241" s="5">
        <v>94.748469999999998</v>
      </c>
      <c r="K241" s="3">
        <f t="shared" si="40"/>
        <v>98.856049999999996</v>
      </c>
      <c r="L241" s="1">
        <f t="shared" si="49"/>
        <v>1.8537058274948139E-2</v>
      </c>
      <c r="N241" s="4">
        <v>225.01128</v>
      </c>
      <c r="O241" s="1">
        <v>117.5</v>
      </c>
      <c r="P241" s="5">
        <v>100.74933</v>
      </c>
      <c r="Q241" s="3">
        <f t="shared" si="41"/>
        <v>100.88491</v>
      </c>
      <c r="R241" s="1">
        <f t="shared" si="51"/>
        <v>1.5220710927278482E-3</v>
      </c>
      <c r="T241" s="4">
        <v>250.00997000000001</v>
      </c>
      <c r="U241" s="1">
        <v>117.5</v>
      </c>
      <c r="V241" s="3">
        <v>93.756510000000006</v>
      </c>
      <c r="W241" s="3">
        <f t="shared" si="42"/>
        <v>97.913910000000001</v>
      </c>
      <c r="X241" s="1">
        <f t="shared" si="50"/>
        <v>3.2658167990467196E-2</v>
      </c>
      <c r="Z241" s="4">
        <v>250.01249999999999</v>
      </c>
      <c r="AA241" s="1">
        <v>117.5</v>
      </c>
      <c r="AB241" s="3">
        <v>100.14914</v>
      </c>
      <c r="AC241" s="3">
        <f t="shared" si="43"/>
        <v>100.0724</v>
      </c>
      <c r="AD241" s="1">
        <f t="shared" si="38"/>
        <v>1.199848418863504E-2</v>
      </c>
      <c r="AF241" s="11">
        <v>693.13400999999999</v>
      </c>
      <c r="AG241" s="1">
        <v>117.5</v>
      </c>
      <c r="AH241" s="13">
        <v>9.4247399999999999</v>
      </c>
      <c r="AI241" s="3">
        <f t="shared" si="44"/>
        <v>12.432429999999997</v>
      </c>
      <c r="AJ241" s="1">
        <f t="shared" si="47"/>
        <v>1.0586391604629792</v>
      </c>
      <c r="AL241" s="11">
        <v>693.13810000000001</v>
      </c>
      <c r="AM241" s="1">
        <v>117.5</v>
      </c>
      <c r="AN241" s="13">
        <v>10.048579999999999</v>
      </c>
      <c r="AO241" s="3">
        <f t="shared" si="45"/>
        <v>13.142080000000007</v>
      </c>
      <c r="AP241" s="1">
        <f t="shared" si="48"/>
        <v>1.0501578855083487</v>
      </c>
      <c r="AR241" s="11">
        <v>457.74155999999999</v>
      </c>
      <c r="AS241" s="1">
        <v>117.5</v>
      </c>
      <c r="AT241" s="13">
        <v>59.609349999999999</v>
      </c>
      <c r="AU241" s="3">
        <f t="shared" si="46"/>
        <v>60.263839999999995</v>
      </c>
    </row>
    <row r="242" spans="2:47" ht="16" x14ac:dyDescent="0.2">
      <c r="B242" s="2">
        <v>200.01831000000001</v>
      </c>
      <c r="C242" s="1">
        <v>118</v>
      </c>
      <c r="D242" s="3">
        <v>100.03803000000001</v>
      </c>
      <c r="E242" s="3">
        <f t="shared" si="39"/>
        <v>100.75133000000001</v>
      </c>
      <c r="H242" s="4">
        <v>225.00493</v>
      </c>
      <c r="I242" s="1">
        <v>118</v>
      </c>
      <c r="J242" s="3">
        <v>94.744759999999999</v>
      </c>
      <c r="K242" s="3">
        <f t="shared" si="40"/>
        <v>98.852339999999998</v>
      </c>
      <c r="L242" s="1">
        <f t="shared" si="49"/>
        <v>1.8581731688310069E-2</v>
      </c>
      <c r="N242" s="4">
        <v>225.01233999999999</v>
      </c>
      <c r="O242" s="1">
        <v>118</v>
      </c>
      <c r="P242" s="3">
        <v>100.74517</v>
      </c>
      <c r="Q242" s="3">
        <f t="shared" si="41"/>
        <v>100.88075000000001</v>
      </c>
      <c r="R242" s="1">
        <f t="shared" si="51"/>
        <v>1.5718573464292658E-3</v>
      </c>
      <c r="T242" s="4">
        <v>250.00300999999999</v>
      </c>
      <c r="U242" s="1">
        <v>118</v>
      </c>
      <c r="V242" s="5">
        <v>93.740549999999999</v>
      </c>
      <c r="W242" s="3">
        <f t="shared" si="42"/>
        <v>97.897949999999994</v>
      </c>
      <c r="X242" s="1">
        <f t="shared" si="50"/>
        <v>3.2849895391684779E-2</v>
      </c>
      <c r="Z242" s="4">
        <v>250.01361</v>
      </c>
      <c r="AA242" s="1">
        <v>118</v>
      </c>
      <c r="AB242" s="5">
        <v>100.15515000000001</v>
      </c>
      <c r="AC242" s="3">
        <f t="shared" si="43"/>
        <v>100.07841000000001</v>
      </c>
      <c r="AD242" s="1">
        <f t="shared" si="38"/>
        <v>1.1926602600926095E-2</v>
      </c>
      <c r="AF242" s="11">
        <v>695.63651000000004</v>
      </c>
      <c r="AG242" s="1">
        <v>118</v>
      </c>
      <c r="AH242" s="12">
        <v>9.4001699999999992</v>
      </c>
      <c r="AI242" s="3">
        <f t="shared" si="44"/>
        <v>12.407859999999999</v>
      </c>
      <c r="AJ242" s="1">
        <f t="shared" si="47"/>
        <v>1.0589361134356476</v>
      </c>
      <c r="AL242" s="11">
        <v>695.63319000000001</v>
      </c>
      <c r="AM242" s="1">
        <v>118</v>
      </c>
      <c r="AN242" s="12">
        <v>9.9641300000000008</v>
      </c>
      <c r="AO242" s="3">
        <f t="shared" si="45"/>
        <v>13.057630000000003</v>
      </c>
      <c r="AP242" s="1">
        <f t="shared" si="48"/>
        <v>1.0511779340256857</v>
      </c>
      <c r="AR242" s="11">
        <v>459.24840999999998</v>
      </c>
      <c r="AS242" s="1">
        <v>118</v>
      </c>
      <c r="AT242" s="12">
        <v>59.592550000000003</v>
      </c>
      <c r="AU242" s="3">
        <f t="shared" si="46"/>
        <v>60.247039999999998</v>
      </c>
    </row>
    <row r="243" spans="2:47" ht="16" x14ac:dyDescent="0.2">
      <c r="B243" s="2">
        <v>200.02096</v>
      </c>
      <c r="C243" s="1">
        <v>118.5</v>
      </c>
      <c r="D243" s="5">
        <v>100.12591999999999</v>
      </c>
      <c r="E243" s="3">
        <f t="shared" si="39"/>
        <v>100.83922</v>
      </c>
      <c r="H243" s="4">
        <v>225.00405000000001</v>
      </c>
      <c r="I243" s="1">
        <v>118.5</v>
      </c>
      <c r="J243" s="5">
        <v>94.758899999999997</v>
      </c>
      <c r="K243" s="3">
        <f t="shared" si="40"/>
        <v>98.866479999999996</v>
      </c>
      <c r="L243" s="1">
        <f t="shared" si="49"/>
        <v>1.8411466980779639E-2</v>
      </c>
      <c r="N243" s="4">
        <v>225.01369</v>
      </c>
      <c r="O243" s="1">
        <v>118.5</v>
      </c>
      <c r="P243" s="5">
        <v>100.53117</v>
      </c>
      <c r="Q243" s="3">
        <f t="shared" si="41"/>
        <v>100.66675000000001</v>
      </c>
      <c r="R243" s="1">
        <f t="shared" si="51"/>
        <v>4.1329771281855849E-3</v>
      </c>
      <c r="T243" s="4">
        <v>250.00604999999999</v>
      </c>
      <c r="U243" s="1">
        <v>118.5</v>
      </c>
      <c r="V243" s="3">
        <v>93.700389999999999</v>
      </c>
      <c r="W243" s="3">
        <f t="shared" si="42"/>
        <v>97.857789999999994</v>
      </c>
      <c r="X243" s="1">
        <f t="shared" si="50"/>
        <v>3.3332337273445103E-2</v>
      </c>
      <c r="Z243" s="4">
        <v>250.01221000000001</v>
      </c>
      <c r="AA243" s="1">
        <v>118.5</v>
      </c>
      <c r="AB243" s="3">
        <v>100.08183</v>
      </c>
      <c r="AC243" s="3">
        <f t="shared" si="43"/>
        <v>100.00509</v>
      </c>
      <c r="AD243" s="1">
        <f t="shared" si="38"/>
        <v>1.2803534050313382E-2</v>
      </c>
      <c r="AF243" s="11">
        <v>698.13410999999996</v>
      </c>
      <c r="AG243" s="1">
        <v>118.5</v>
      </c>
      <c r="AH243" s="13">
        <v>9.3349499999999992</v>
      </c>
      <c r="AI243" s="3">
        <f t="shared" si="44"/>
        <v>12.342639999999989</v>
      </c>
      <c r="AJ243" s="1">
        <f t="shared" si="47"/>
        <v>1.0597243622300085</v>
      </c>
      <c r="AL243" s="11">
        <v>698.14104999999995</v>
      </c>
      <c r="AM243" s="1">
        <v>118.5</v>
      </c>
      <c r="AN243" s="13">
        <v>9.8910699999999991</v>
      </c>
      <c r="AO243" s="3">
        <f t="shared" si="45"/>
        <v>12.984570000000005</v>
      </c>
      <c r="AP243" s="1">
        <f t="shared" si="48"/>
        <v>1.0520604058395002</v>
      </c>
      <c r="AR243" s="11">
        <v>460.74838999999997</v>
      </c>
      <c r="AS243" s="1">
        <v>118.5</v>
      </c>
      <c r="AT243" s="13">
        <v>59.556699999999999</v>
      </c>
      <c r="AU243" s="3">
        <f t="shared" si="46"/>
        <v>60.211189999999995</v>
      </c>
    </row>
    <row r="244" spans="2:47" ht="16" x14ac:dyDescent="0.2">
      <c r="B244" s="2">
        <v>200.02283</v>
      </c>
      <c r="C244" s="1">
        <v>119</v>
      </c>
      <c r="D244" s="3">
        <v>99.963790000000003</v>
      </c>
      <c r="E244" s="3">
        <f t="shared" si="39"/>
        <v>100.67709000000001</v>
      </c>
      <c r="H244" s="4">
        <v>225.0051</v>
      </c>
      <c r="I244" s="1">
        <v>119</v>
      </c>
      <c r="J244" s="3">
        <v>94.725099999999998</v>
      </c>
      <c r="K244" s="3">
        <f t="shared" si="40"/>
        <v>98.832679999999996</v>
      </c>
      <c r="L244" s="1">
        <f t="shared" si="49"/>
        <v>1.8818464655074509E-2</v>
      </c>
      <c r="N244" s="4">
        <v>225.01651000000001</v>
      </c>
      <c r="O244" s="1">
        <v>119</v>
      </c>
      <c r="P244" s="3">
        <v>100.68675</v>
      </c>
      <c r="Q244" s="3">
        <f t="shared" si="41"/>
        <v>100.82233000000001</v>
      </c>
      <c r="R244" s="1">
        <f t="shared" si="51"/>
        <v>2.271019111149828E-3</v>
      </c>
      <c r="T244" s="4">
        <v>250.00398999999999</v>
      </c>
      <c r="U244" s="1">
        <v>119</v>
      </c>
      <c r="V244" s="5">
        <v>93.718299999999999</v>
      </c>
      <c r="W244" s="3">
        <f t="shared" si="42"/>
        <v>97.875699999999995</v>
      </c>
      <c r="X244" s="1">
        <f t="shared" si="50"/>
        <v>3.3117184531853278E-2</v>
      </c>
      <c r="Z244" s="4">
        <v>250.01187999999999</v>
      </c>
      <c r="AA244" s="1">
        <v>119</v>
      </c>
      <c r="AB244" s="5">
        <v>100.21164</v>
      </c>
      <c r="AC244" s="3">
        <f t="shared" si="43"/>
        <v>100.1349</v>
      </c>
      <c r="AD244" s="1">
        <f t="shared" si="38"/>
        <v>1.1250963517785364E-2</v>
      </c>
      <c r="AF244" s="11">
        <v>700.64094999999998</v>
      </c>
      <c r="AG244" s="1">
        <v>119</v>
      </c>
      <c r="AH244" s="12">
        <v>9.3335100000000004</v>
      </c>
      <c r="AI244" s="3">
        <f t="shared" si="44"/>
        <v>12.341200000000001</v>
      </c>
      <c r="AJ244" s="1">
        <f t="shared" si="47"/>
        <v>1.0597417660672344</v>
      </c>
      <c r="AL244" s="11">
        <v>700.63594999999998</v>
      </c>
      <c r="AM244" s="1">
        <v>119</v>
      </c>
      <c r="AN244" s="12">
        <v>9.8851399999999998</v>
      </c>
      <c r="AO244" s="3">
        <f t="shared" si="45"/>
        <v>12.978640000000013</v>
      </c>
      <c r="AP244" s="1">
        <f t="shared" si="48"/>
        <v>1.0521320326921679</v>
      </c>
      <c r="AR244" s="11">
        <v>462.25071000000003</v>
      </c>
      <c r="AS244" s="1">
        <v>119</v>
      </c>
      <c r="AT244" s="12">
        <v>59.506740000000001</v>
      </c>
      <c r="AU244" s="3">
        <f t="shared" si="46"/>
        <v>60.161229999999996</v>
      </c>
    </row>
    <row r="245" spans="2:47" ht="16" x14ac:dyDescent="0.2">
      <c r="B245" s="2">
        <v>200.02342999999999</v>
      </c>
      <c r="C245" s="1">
        <v>119.5</v>
      </c>
      <c r="D245" s="5">
        <v>100.04009000000001</v>
      </c>
      <c r="E245" s="3">
        <f t="shared" si="39"/>
        <v>100.75339000000001</v>
      </c>
      <c r="H245" s="4">
        <v>225.00599</v>
      </c>
      <c r="I245" s="1">
        <v>119.5</v>
      </c>
      <c r="J245" s="5">
        <v>94.736130000000003</v>
      </c>
      <c r="K245" s="3">
        <f t="shared" si="40"/>
        <v>98.843710000000002</v>
      </c>
      <c r="L245" s="1">
        <f t="shared" si="49"/>
        <v>1.8685648550119636E-2</v>
      </c>
      <c r="N245" s="4">
        <v>225.02086</v>
      </c>
      <c r="O245" s="1">
        <v>119.5</v>
      </c>
      <c r="P245" s="5">
        <v>100.85231</v>
      </c>
      <c r="Q245" s="3">
        <f t="shared" si="41"/>
        <v>100.98789000000001</v>
      </c>
      <c r="R245" s="1">
        <f t="shared" si="51"/>
        <v>2.8962195662844041E-4</v>
      </c>
      <c r="T245" s="4">
        <v>250.00200000000001</v>
      </c>
      <c r="U245" s="1">
        <v>119.5</v>
      </c>
      <c r="V245" s="3">
        <v>93.692239999999998</v>
      </c>
      <c r="W245" s="3">
        <f t="shared" si="42"/>
        <v>97.849639999999994</v>
      </c>
      <c r="X245" s="1">
        <f t="shared" si="50"/>
        <v>3.3430243183214699E-2</v>
      </c>
      <c r="Z245" s="4">
        <v>250.01354000000001</v>
      </c>
      <c r="AA245" s="1">
        <v>119.5</v>
      </c>
      <c r="AB245" s="3">
        <v>100.19540000000001</v>
      </c>
      <c r="AC245" s="3">
        <f t="shared" si="43"/>
        <v>100.11866000000001</v>
      </c>
      <c r="AD245" s="1">
        <f t="shared" si="38"/>
        <v>1.1445199288898899E-2</v>
      </c>
      <c r="AF245" s="11">
        <v>703.14122999999995</v>
      </c>
      <c r="AG245" s="1">
        <v>119.5</v>
      </c>
      <c r="AH245" s="13">
        <v>9.2722200000000008</v>
      </c>
      <c r="AI245" s="3">
        <f t="shared" si="44"/>
        <v>12.279910000000001</v>
      </c>
      <c r="AJ245" s="1">
        <f t="shared" si="47"/>
        <v>1.0604825168891656</v>
      </c>
      <c r="AL245" s="11">
        <v>703.14403000000004</v>
      </c>
      <c r="AM245" s="1">
        <v>119.5</v>
      </c>
      <c r="AN245" s="13">
        <v>9.8590900000000001</v>
      </c>
      <c r="AO245" s="3">
        <f t="shared" si="45"/>
        <v>12.952590000000001</v>
      </c>
      <c r="AP245" s="1">
        <f t="shared" si="48"/>
        <v>1.052446683537362</v>
      </c>
      <c r="AR245" s="11">
        <v>463.74928999999997</v>
      </c>
      <c r="AS245" s="1">
        <v>119.5</v>
      </c>
      <c r="AT245" s="13">
        <v>59.528559999999999</v>
      </c>
      <c r="AU245" s="3">
        <f t="shared" si="46"/>
        <v>60.183049999999994</v>
      </c>
    </row>
    <row r="246" spans="2:47" ht="16" x14ac:dyDescent="0.2">
      <c r="B246" s="2">
        <v>200.01938000000001</v>
      </c>
      <c r="C246" s="1">
        <v>120</v>
      </c>
      <c r="D246" s="3">
        <v>100.00432000000001</v>
      </c>
      <c r="E246" s="3">
        <f t="shared" si="39"/>
        <v>100.71762000000001</v>
      </c>
      <c r="H246" s="4">
        <v>225.00806</v>
      </c>
      <c r="I246" s="1">
        <v>120</v>
      </c>
      <c r="J246" s="3">
        <v>94.727649999999997</v>
      </c>
      <c r="K246" s="3">
        <f t="shared" si="40"/>
        <v>98.835229999999996</v>
      </c>
      <c r="L246" s="1">
        <f t="shared" si="49"/>
        <v>1.8787759209232743E-2</v>
      </c>
      <c r="N246" s="4">
        <v>225.01846</v>
      </c>
      <c r="O246" s="1">
        <v>120</v>
      </c>
      <c r="P246" s="3">
        <v>100.7539</v>
      </c>
      <c r="Q246" s="3">
        <f t="shared" si="41"/>
        <v>100.88948000000001</v>
      </c>
      <c r="R246" s="1">
        <f t="shared" si="51"/>
        <v>1.4673780207529452E-3</v>
      </c>
      <c r="T246" s="4">
        <v>250.00601</v>
      </c>
      <c r="U246" s="1">
        <v>120</v>
      </c>
      <c r="V246" s="5">
        <v>93.66816</v>
      </c>
      <c r="W246" s="3">
        <f t="shared" si="42"/>
        <v>97.825559999999996</v>
      </c>
      <c r="X246" s="1">
        <f t="shared" si="50"/>
        <v>3.3719516104349846E-2</v>
      </c>
      <c r="Z246" s="4">
        <v>250.01184000000001</v>
      </c>
      <c r="AA246" s="1">
        <v>120</v>
      </c>
      <c r="AB246" s="5">
        <v>100.18033</v>
      </c>
      <c r="AC246" s="3">
        <f t="shared" si="43"/>
        <v>100.10359</v>
      </c>
      <c r="AD246" s="1">
        <f t="shared" si="38"/>
        <v>1.1625441473054275E-2</v>
      </c>
      <c r="AF246" s="11">
        <v>705.64508999999998</v>
      </c>
      <c r="AG246" s="1">
        <v>120</v>
      </c>
      <c r="AH246" s="12">
        <v>9.2256099999999996</v>
      </c>
      <c r="AI246" s="3">
        <f t="shared" si="44"/>
        <v>12.2333</v>
      </c>
      <c r="AJ246" s="1">
        <f t="shared" si="47"/>
        <v>1.0610458452593765</v>
      </c>
      <c r="AL246" s="11">
        <v>705.64210000000003</v>
      </c>
      <c r="AM246" s="1">
        <v>120</v>
      </c>
      <c r="AN246" s="12">
        <v>9.8220399999999994</v>
      </c>
      <c r="AO246" s="3">
        <f t="shared" si="45"/>
        <v>12.915540000000007</v>
      </c>
      <c r="AP246" s="1">
        <f t="shared" si="48"/>
        <v>1.0528942003824457</v>
      </c>
      <c r="AR246" s="11">
        <v>465.24367000000001</v>
      </c>
      <c r="AS246" s="1">
        <v>120</v>
      </c>
      <c r="AT246" s="12">
        <v>59.474080000000001</v>
      </c>
      <c r="AU246" s="3">
        <f t="shared" si="46"/>
        <v>60.128569999999996</v>
      </c>
    </row>
    <row r="247" spans="2:47" ht="16" x14ac:dyDescent="0.2">
      <c r="B247" s="2">
        <v>200.01424</v>
      </c>
      <c r="C247" s="1">
        <v>120.5</v>
      </c>
      <c r="D247" s="5">
        <v>100.01864999999999</v>
      </c>
      <c r="E247" s="3">
        <f t="shared" si="39"/>
        <v>100.73195</v>
      </c>
      <c r="H247" s="4">
        <v>225.00702000000001</v>
      </c>
      <c r="I247" s="1">
        <v>120.5</v>
      </c>
      <c r="J247" s="5">
        <v>94.721509999999995</v>
      </c>
      <c r="K247" s="3">
        <f t="shared" si="40"/>
        <v>98.829089999999994</v>
      </c>
      <c r="L247" s="1">
        <f t="shared" si="49"/>
        <v>1.8861693106279231E-2</v>
      </c>
      <c r="N247" s="4">
        <v>225.01674</v>
      </c>
      <c r="O247" s="1">
        <v>120.5</v>
      </c>
      <c r="P247" s="5">
        <v>100.83064</v>
      </c>
      <c r="Q247" s="3">
        <f t="shared" si="41"/>
        <v>100.96622000000001</v>
      </c>
      <c r="R247" s="1">
        <f t="shared" si="51"/>
        <v>5.4896525415489158E-4</v>
      </c>
      <c r="T247" s="4">
        <v>250.00803999999999</v>
      </c>
      <c r="U247" s="1">
        <v>120.5</v>
      </c>
      <c r="V247" s="3">
        <v>93.670119999999997</v>
      </c>
      <c r="W247" s="3">
        <f t="shared" si="42"/>
        <v>97.827519999999993</v>
      </c>
      <c r="X247" s="1">
        <f t="shared" si="50"/>
        <v>3.3695970634024928E-2</v>
      </c>
      <c r="Z247" s="4">
        <v>250.01500999999999</v>
      </c>
      <c r="AA247" s="1">
        <v>120.5</v>
      </c>
      <c r="AB247" s="3">
        <v>100.10042</v>
      </c>
      <c r="AC247" s="3">
        <f t="shared" si="43"/>
        <v>100.02368</v>
      </c>
      <c r="AD247" s="1">
        <f t="shared" si="38"/>
        <v>1.2581191501975815E-2</v>
      </c>
      <c r="AF247" s="11">
        <v>708.14824999999996</v>
      </c>
      <c r="AG247" s="1">
        <v>120.5</v>
      </c>
      <c r="AH247" s="13">
        <v>9.1735000000000007</v>
      </c>
      <c r="AI247" s="3">
        <f t="shared" si="44"/>
        <v>12.181190000000001</v>
      </c>
      <c r="AJ247" s="1">
        <f t="shared" si="47"/>
        <v>1.0616756466189921</v>
      </c>
      <c r="AL247" s="11">
        <v>708.14272000000005</v>
      </c>
      <c r="AM247" s="1">
        <v>120.5</v>
      </c>
      <c r="AN247" s="13">
        <v>9.7227499999999996</v>
      </c>
      <c r="AO247" s="3">
        <f t="shared" si="45"/>
        <v>12.816250000000011</v>
      </c>
      <c r="AP247" s="1">
        <f t="shared" si="48"/>
        <v>1.0540934972123615</v>
      </c>
      <c r="AR247" s="11">
        <v>466.75736000000001</v>
      </c>
      <c r="AS247" s="1">
        <v>120.5</v>
      </c>
      <c r="AT247" s="13">
        <v>59.524679999999996</v>
      </c>
      <c r="AU247" s="3">
        <f t="shared" si="46"/>
        <v>60.179169999999992</v>
      </c>
    </row>
    <row r="248" spans="2:47" ht="16" x14ac:dyDescent="0.2">
      <c r="B248" s="2">
        <v>200.01477</v>
      </c>
      <c r="C248" s="1">
        <v>121</v>
      </c>
      <c r="D248" s="3">
        <v>99.967659999999995</v>
      </c>
      <c r="E248" s="3">
        <f t="shared" si="39"/>
        <v>100.68096</v>
      </c>
      <c r="H248" s="4">
        <v>225.00695999999999</v>
      </c>
      <c r="I248" s="1">
        <v>121</v>
      </c>
      <c r="J248" s="3">
        <v>94.712199999999996</v>
      </c>
      <c r="K248" s="3">
        <f t="shared" si="40"/>
        <v>98.819779999999994</v>
      </c>
      <c r="L248" s="1">
        <f t="shared" si="49"/>
        <v>1.8973798086979972E-2</v>
      </c>
      <c r="N248" s="4">
        <v>225.01624000000001</v>
      </c>
      <c r="O248" s="1">
        <v>121</v>
      </c>
      <c r="P248" s="3">
        <v>100.73896999999999</v>
      </c>
      <c r="Q248" s="3">
        <f t="shared" si="41"/>
        <v>100.87455</v>
      </c>
      <c r="R248" s="1">
        <f t="shared" si="51"/>
        <v>1.6460580130035968E-3</v>
      </c>
      <c r="T248" s="4">
        <v>250.00801000000001</v>
      </c>
      <c r="U248" s="1">
        <v>121</v>
      </c>
      <c r="V248" s="5">
        <v>93.645960000000002</v>
      </c>
      <c r="W248" s="3">
        <f t="shared" si="42"/>
        <v>97.803359999999998</v>
      </c>
      <c r="X248" s="1">
        <f t="shared" si="50"/>
        <v>3.3986204594765139E-2</v>
      </c>
      <c r="Z248" s="4">
        <v>250.02089000000001</v>
      </c>
      <c r="AA248" s="1">
        <v>121</v>
      </c>
      <c r="AB248" s="5">
        <v>100.11593000000001</v>
      </c>
      <c r="AC248" s="3">
        <f t="shared" si="43"/>
        <v>100.03919</v>
      </c>
      <c r="AD248" s="1">
        <f t="shared" si="38"/>
        <v>1.2395686772297687E-2</v>
      </c>
      <c r="AF248" s="11">
        <v>710.64394000000004</v>
      </c>
      <c r="AG248" s="1">
        <v>121</v>
      </c>
      <c r="AH248" s="12">
        <v>9.1150699999999993</v>
      </c>
      <c r="AI248" s="3">
        <f t="shared" si="44"/>
        <v>12.12276</v>
      </c>
      <c r="AJ248" s="1">
        <f t="shared" si="47"/>
        <v>1.0623818314864331</v>
      </c>
      <c r="AL248" s="11">
        <v>710.64727000000005</v>
      </c>
      <c r="AM248" s="1">
        <v>121</v>
      </c>
      <c r="AN248" s="12">
        <v>9.6134000000000004</v>
      </c>
      <c r="AO248" s="3">
        <f t="shared" si="45"/>
        <v>12.706900000000005</v>
      </c>
      <c r="AP248" s="1">
        <f t="shared" si="48"/>
        <v>1.0554143060385404</v>
      </c>
      <c r="AR248" s="11">
        <v>468.25846999999999</v>
      </c>
      <c r="AS248" s="1">
        <v>121</v>
      </c>
      <c r="AT248" s="12">
        <v>59.5428</v>
      </c>
      <c r="AU248" s="3">
        <f t="shared" si="46"/>
        <v>60.197289999999995</v>
      </c>
    </row>
    <row r="249" spans="2:47" ht="16" x14ac:dyDescent="0.2">
      <c r="B249" s="2">
        <v>200.01602</v>
      </c>
      <c r="C249" s="1">
        <v>121.5</v>
      </c>
      <c r="D249" s="5">
        <v>100.06581</v>
      </c>
      <c r="E249" s="3">
        <f t="shared" si="39"/>
        <v>100.77911</v>
      </c>
      <c r="H249" s="4">
        <v>225.00188</v>
      </c>
      <c r="I249" s="1">
        <v>121.5</v>
      </c>
      <c r="J249" s="5">
        <v>94.700429999999997</v>
      </c>
      <c r="K249" s="3">
        <f t="shared" si="40"/>
        <v>98.808009999999996</v>
      </c>
      <c r="L249" s="1">
        <f t="shared" si="49"/>
        <v>1.911552479190453E-2</v>
      </c>
      <c r="N249" s="4">
        <v>225.01841999999999</v>
      </c>
      <c r="O249" s="1">
        <v>121.5</v>
      </c>
      <c r="P249" s="5">
        <v>100.66367</v>
      </c>
      <c r="Q249" s="3">
        <f t="shared" si="41"/>
        <v>100.79925</v>
      </c>
      <c r="R249" s="1">
        <f t="shared" si="51"/>
        <v>2.5472370763972812E-3</v>
      </c>
      <c r="T249" s="4">
        <v>250.00502</v>
      </c>
      <c r="U249" s="1">
        <v>121.5</v>
      </c>
      <c r="V249" s="3">
        <v>93.640060000000005</v>
      </c>
      <c r="W249" s="3">
        <f t="shared" si="42"/>
        <v>97.797460000000001</v>
      </c>
      <c r="X249" s="1">
        <f t="shared" si="50"/>
        <v>3.4057081265641248E-2</v>
      </c>
      <c r="Z249" s="4">
        <v>250.01786999999999</v>
      </c>
      <c r="AA249" s="1">
        <v>121.5</v>
      </c>
      <c r="AB249" s="3">
        <v>100.17044</v>
      </c>
      <c r="AC249" s="3">
        <f t="shared" si="43"/>
        <v>100.0937</v>
      </c>
      <c r="AD249" s="1">
        <f t="shared" si="38"/>
        <v>1.1743729144009512E-2</v>
      </c>
      <c r="AF249" s="11">
        <v>713.14989000000003</v>
      </c>
      <c r="AG249" s="1">
        <v>121.5</v>
      </c>
      <c r="AH249" s="13">
        <v>9.0604899999999997</v>
      </c>
      <c r="AI249" s="3">
        <f t="shared" si="44"/>
        <v>12.068179999999998</v>
      </c>
      <c r="AJ249" s="1">
        <f t="shared" si="47"/>
        <v>1.0630414852612904</v>
      </c>
      <c r="AL249" s="11">
        <v>713.14855</v>
      </c>
      <c r="AM249" s="1">
        <v>121.5</v>
      </c>
      <c r="AN249" s="13">
        <v>9.6258999999999997</v>
      </c>
      <c r="AO249" s="3">
        <f t="shared" si="45"/>
        <v>12.719400000000007</v>
      </c>
      <c r="AP249" s="1">
        <f t="shared" si="48"/>
        <v>1.0552633219477563</v>
      </c>
      <c r="AR249" s="11">
        <v>469.77046999999999</v>
      </c>
      <c r="AS249" s="1">
        <v>121.5</v>
      </c>
      <c r="AT249" s="13">
        <v>59.514339999999997</v>
      </c>
      <c r="AU249" s="3">
        <f t="shared" si="46"/>
        <v>60.168829999999993</v>
      </c>
    </row>
    <row r="250" spans="2:47" ht="16" x14ac:dyDescent="0.2">
      <c r="B250" s="2">
        <v>200.01758000000001</v>
      </c>
      <c r="C250" s="1">
        <v>122</v>
      </c>
      <c r="D250" s="3">
        <v>99.874709999999993</v>
      </c>
      <c r="E250" s="3">
        <f t="shared" si="39"/>
        <v>100.58801</v>
      </c>
      <c r="H250" s="4">
        <v>225.00587999999999</v>
      </c>
      <c r="I250" s="1">
        <v>122</v>
      </c>
      <c r="J250" s="3">
        <v>94.713750000000005</v>
      </c>
      <c r="K250" s="3">
        <f t="shared" si="40"/>
        <v>98.821330000000003</v>
      </c>
      <c r="L250" s="1">
        <f t="shared" si="49"/>
        <v>1.8955133992448591E-2</v>
      </c>
      <c r="N250" s="4">
        <v>225.02028999999999</v>
      </c>
      <c r="O250" s="1">
        <v>122</v>
      </c>
      <c r="P250" s="3">
        <v>100.76118</v>
      </c>
      <c r="Q250" s="3">
        <f t="shared" si="41"/>
        <v>100.89676</v>
      </c>
      <c r="R250" s="1">
        <f t="shared" si="51"/>
        <v>1.3802520767755072E-3</v>
      </c>
      <c r="T250" s="4">
        <v>250.00800000000001</v>
      </c>
      <c r="U250" s="1">
        <v>122</v>
      </c>
      <c r="V250" s="5">
        <v>93.628100000000003</v>
      </c>
      <c r="W250" s="3">
        <f t="shared" si="42"/>
        <v>97.785499999999999</v>
      </c>
      <c r="X250" s="1">
        <f t="shared" si="50"/>
        <v>3.4200756686603759E-2</v>
      </c>
      <c r="Z250" s="4">
        <v>250.01925</v>
      </c>
      <c r="AA250" s="1">
        <v>122</v>
      </c>
      <c r="AB250" s="5">
        <v>100.10897</v>
      </c>
      <c r="AC250" s="3">
        <f t="shared" si="43"/>
        <v>100.03223</v>
      </c>
      <c r="AD250" s="1">
        <f t="shared" si="38"/>
        <v>1.2478930674203585E-2</v>
      </c>
      <c r="AF250" s="11">
        <v>715.64967999999999</v>
      </c>
      <c r="AG250" s="1">
        <v>122</v>
      </c>
      <c r="AH250" s="12">
        <v>9.0518999999999998</v>
      </c>
      <c r="AI250" s="3">
        <f t="shared" si="44"/>
        <v>12.05959</v>
      </c>
      <c r="AJ250" s="1">
        <f t="shared" si="47"/>
        <v>1.0631453039847427</v>
      </c>
      <c r="AL250" s="11">
        <v>715.65282000000002</v>
      </c>
      <c r="AM250" s="1">
        <v>122</v>
      </c>
      <c r="AN250" s="12">
        <v>9.58718</v>
      </c>
      <c r="AO250" s="3">
        <f t="shared" si="45"/>
        <v>12.680680000000009</v>
      </c>
      <c r="AP250" s="1">
        <f t="shared" si="48"/>
        <v>1.0557310102673689</v>
      </c>
      <c r="AR250" s="11">
        <v>471.27573999999998</v>
      </c>
      <c r="AS250" s="1">
        <v>122</v>
      </c>
      <c r="AT250" s="12">
        <v>59.545969999999997</v>
      </c>
      <c r="AU250" s="3">
        <f t="shared" si="46"/>
        <v>60.200459999999993</v>
      </c>
    </row>
    <row r="251" spans="2:47" ht="16" x14ac:dyDescent="0.2">
      <c r="B251" s="2">
        <v>200.01697999999999</v>
      </c>
      <c r="C251" s="1">
        <v>122.5</v>
      </c>
      <c r="D251" s="5">
        <v>100.14059</v>
      </c>
      <c r="E251" s="3">
        <f t="shared" si="39"/>
        <v>100.85389000000001</v>
      </c>
      <c r="H251" s="4">
        <v>225.00297</v>
      </c>
      <c r="I251" s="1">
        <v>122.5</v>
      </c>
      <c r="J251" s="5">
        <v>94.700389999999999</v>
      </c>
      <c r="K251" s="3">
        <f t="shared" si="40"/>
        <v>98.807969999999997</v>
      </c>
      <c r="L251" s="1">
        <f t="shared" si="49"/>
        <v>1.9116006445956932E-2</v>
      </c>
      <c r="N251" s="4">
        <v>225.02656999999999</v>
      </c>
      <c r="O251" s="1">
        <v>122.5</v>
      </c>
      <c r="P251" s="5">
        <v>100.7766</v>
      </c>
      <c r="Q251" s="3">
        <f t="shared" si="41"/>
        <v>100.91218000000001</v>
      </c>
      <c r="R251" s="1">
        <f t="shared" si="51"/>
        <v>1.1957078382956099E-3</v>
      </c>
      <c r="T251" s="4">
        <v>250.00597999999999</v>
      </c>
      <c r="U251" s="1">
        <v>122.5</v>
      </c>
      <c r="V251" s="3">
        <v>93.620180000000005</v>
      </c>
      <c r="W251" s="3">
        <f t="shared" si="42"/>
        <v>97.77758</v>
      </c>
      <c r="X251" s="1">
        <f t="shared" si="50"/>
        <v>3.4295899607508666E-2</v>
      </c>
      <c r="Z251" s="4">
        <v>250.02209999999999</v>
      </c>
      <c r="AA251" s="1">
        <v>122.5</v>
      </c>
      <c r="AB251" s="3">
        <v>100.06623999999999</v>
      </c>
      <c r="AC251" s="3">
        <f t="shared" si="43"/>
        <v>99.989499999999992</v>
      </c>
      <c r="AD251" s="1">
        <f t="shared" si="38"/>
        <v>1.2989995606450163E-2</v>
      </c>
      <c r="AF251" s="11">
        <v>718.15009999999995</v>
      </c>
      <c r="AG251" s="1">
        <v>122.5</v>
      </c>
      <c r="AH251" s="13">
        <v>8.9733400000000003</v>
      </c>
      <c r="AI251" s="3">
        <f t="shared" si="44"/>
        <v>11.981030000000004</v>
      </c>
      <c r="AJ251" s="1">
        <f t="shared" si="47"/>
        <v>1.0640947799934053</v>
      </c>
      <c r="AL251" s="11">
        <v>718.15177000000006</v>
      </c>
      <c r="AM251" s="1">
        <v>122.5</v>
      </c>
      <c r="AN251" s="13">
        <v>9.5077999999999996</v>
      </c>
      <c r="AO251" s="3">
        <f t="shared" si="45"/>
        <v>12.601300000000009</v>
      </c>
      <c r="AP251" s="1">
        <f t="shared" si="48"/>
        <v>1.0566898196374839</v>
      </c>
      <c r="AR251" s="11">
        <v>472.77168999999998</v>
      </c>
      <c r="AS251" s="1">
        <v>122.5</v>
      </c>
      <c r="AT251" s="13">
        <v>59.529730000000001</v>
      </c>
      <c r="AU251" s="3">
        <f t="shared" si="46"/>
        <v>60.184219999999996</v>
      </c>
    </row>
    <row r="252" spans="2:47" ht="16" x14ac:dyDescent="0.2">
      <c r="B252" s="2">
        <v>200.01961</v>
      </c>
      <c r="C252" s="1">
        <v>123</v>
      </c>
      <c r="D252" s="3">
        <v>99.784379999999999</v>
      </c>
      <c r="E252" s="3">
        <f t="shared" si="39"/>
        <v>100.49768</v>
      </c>
      <c r="H252" s="4">
        <v>225.00791000000001</v>
      </c>
      <c r="I252" s="1">
        <v>123</v>
      </c>
      <c r="J252" s="3">
        <v>94.703969999999998</v>
      </c>
      <c r="K252" s="3">
        <f t="shared" si="40"/>
        <v>98.811549999999997</v>
      </c>
      <c r="L252" s="1">
        <f t="shared" si="49"/>
        <v>1.907289840826535E-2</v>
      </c>
      <c r="N252" s="4">
        <v>225.02628999999999</v>
      </c>
      <c r="O252" s="1">
        <v>123</v>
      </c>
      <c r="P252" s="3">
        <v>100.66339000000001</v>
      </c>
      <c r="Q252" s="3">
        <f t="shared" si="41"/>
        <v>100.79897000000001</v>
      </c>
      <c r="R252" s="1">
        <f t="shared" si="51"/>
        <v>2.5505880742424428E-3</v>
      </c>
      <c r="T252" s="4">
        <v>250.00299999999999</v>
      </c>
      <c r="U252" s="1">
        <v>123</v>
      </c>
      <c r="V252" s="5">
        <v>93.596140000000005</v>
      </c>
      <c r="W252" s="3">
        <f t="shared" si="42"/>
        <v>97.753540000000001</v>
      </c>
      <c r="X252" s="1">
        <f t="shared" si="50"/>
        <v>3.4584692008841282E-2</v>
      </c>
      <c r="Z252" s="4">
        <v>250.02394000000001</v>
      </c>
      <c r="AA252" s="1">
        <v>123</v>
      </c>
      <c r="AB252" s="5">
        <v>100.10809</v>
      </c>
      <c r="AC252" s="3">
        <f t="shared" si="43"/>
        <v>100.03135</v>
      </c>
      <c r="AD252" s="1">
        <f t="shared" si="38"/>
        <v>1.248945576524909E-2</v>
      </c>
      <c r="AF252" s="11">
        <v>720.65018999999995</v>
      </c>
      <c r="AG252" s="1">
        <v>123</v>
      </c>
      <c r="AH252" s="12">
        <v>8.9303399999999993</v>
      </c>
      <c r="AI252" s="3">
        <f t="shared" si="44"/>
        <v>11.938029999999998</v>
      </c>
      <c r="AJ252" s="1">
        <f t="shared" si="47"/>
        <v>1.0646144779105704</v>
      </c>
      <c r="AL252" s="11">
        <v>720.65380000000005</v>
      </c>
      <c r="AM252" s="1">
        <v>123</v>
      </c>
      <c r="AN252" s="12">
        <v>9.4586199999999998</v>
      </c>
      <c r="AO252" s="3">
        <f t="shared" si="45"/>
        <v>12.552120000000002</v>
      </c>
      <c r="AP252" s="1">
        <f t="shared" si="48"/>
        <v>1.0572838514442646</v>
      </c>
      <c r="AR252" s="11">
        <v>474.26963999999998</v>
      </c>
      <c r="AS252" s="1">
        <v>123</v>
      </c>
      <c r="AT252" s="12">
        <v>59.515439999999998</v>
      </c>
      <c r="AU252" s="3">
        <f t="shared" si="46"/>
        <v>60.169929999999994</v>
      </c>
    </row>
    <row r="253" spans="2:47" ht="16" x14ac:dyDescent="0.2">
      <c r="B253" s="2">
        <v>200.02234999999999</v>
      </c>
      <c r="C253" s="1">
        <v>123.5</v>
      </c>
      <c r="D253" s="5">
        <v>99.911829999999995</v>
      </c>
      <c r="E253" s="3">
        <f t="shared" si="39"/>
        <v>100.62513</v>
      </c>
      <c r="H253" s="4">
        <v>225.00891999999999</v>
      </c>
      <c r="I253" s="1">
        <v>123.5</v>
      </c>
      <c r="J253" s="5">
        <v>94.67398</v>
      </c>
      <c r="K253" s="3">
        <f t="shared" si="40"/>
        <v>98.781559999999999</v>
      </c>
      <c r="L253" s="1">
        <f t="shared" si="49"/>
        <v>1.9434018534067198E-2</v>
      </c>
      <c r="N253" s="4">
        <v>225.02244999999999</v>
      </c>
      <c r="O253" s="1">
        <v>123.5</v>
      </c>
      <c r="P253" s="5">
        <v>100.74012999999999</v>
      </c>
      <c r="Q253" s="3">
        <f t="shared" si="41"/>
        <v>100.87571</v>
      </c>
      <c r="R253" s="1">
        <f t="shared" si="51"/>
        <v>1.6321753076445592E-3</v>
      </c>
      <c r="T253" s="4">
        <v>250.00200000000001</v>
      </c>
      <c r="U253" s="1">
        <v>123.5</v>
      </c>
      <c r="V253" s="3">
        <v>93.578100000000006</v>
      </c>
      <c r="W253" s="3">
        <f t="shared" si="42"/>
        <v>97.735500000000002</v>
      </c>
      <c r="X253" s="1">
        <f t="shared" si="50"/>
        <v>3.4801406439791377E-2</v>
      </c>
      <c r="Z253" s="4">
        <v>250.02158</v>
      </c>
      <c r="AA253" s="1">
        <v>123.5</v>
      </c>
      <c r="AB253" s="3">
        <v>100.10939999999999</v>
      </c>
      <c r="AC253" s="3">
        <f t="shared" si="43"/>
        <v>100.03265999999999</v>
      </c>
      <c r="AD253" s="1">
        <f t="shared" si="38"/>
        <v>1.2473787731988206E-2</v>
      </c>
      <c r="AF253" s="11">
        <v>723.15806999999995</v>
      </c>
      <c r="AG253" s="1">
        <v>123.5</v>
      </c>
      <c r="AH253" s="13">
        <v>8.8815899999999992</v>
      </c>
      <c r="AI253" s="3">
        <f t="shared" si="44"/>
        <v>11.889279999999999</v>
      </c>
      <c r="AJ253" s="1">
        <f t="shared" si="47"/>
        <v>1.0652036703166587</v>
      </c>
      <c r="AL253" s="11">
        <v>723.15521000000001</v>
      </c>
      <c r="AM253" s="1">
        <v>123.5</v>
      </c>
      <c r="AN253" s="13">
        <v>9.43581</v>
      </c>
      <c r="AO253" s="3">
        <f t="shared" si="45"/>
        <v>12.529310000000009</v>
      </c>
      <c r="AP253" s="1">
        <f t="shared" si="48"/>
        <v>1.0575593672131272</v>
      </c>
      <c r="AR253" s="11">
        <v>475.77345000000003</v>
      </c>
      <c r="AS253" s="1">
        <v>123.5</v>
      </c>
      <c r="AT253" s="13">
        <v>59.52984</v>
      </c>
      <c r="AU253" s="3">
        <f t="shared" si="46"/>
        <v>60.184329999999996</v>
      </c>
    </row>
    <row r="254" spans="2:47" ht="16" x14ac:dyDescent="0.2">
      <c r="B254" s="2">
        <v>200.02340000000001</v>
      </c>
      <c r="C254" s="1">
        <v>124</v>
      </c>
      <c r="D254" s="3">
        <v>100.0347</v>
      </c>
      <c r="E254" s="3">
        <f t="shared" si="39"/>
        <v>100.748</v>
      </c>
      <c r="H254" s="4">
        <v>225.00612000000001</v>
      </c>
      <c r="I254" s="1">
        <v>124</v>
      </c>
      <c r="J254" s="3">
        <v>94.655820000000006</v>
      </c>
      <c r="K254" s="3">
        <f t="shared" si="40"/>
        <v>98.763400000000004</v>
      </c>
      <c r="L254" s="1">
        <f t="shared" si="49"/>
        <v>1.9652689473865802E-2</v>
      </c>
      <c r="N254" s="4">
        <v>225.02293</v>
      </c>
      <c r="O254" s="1">
        <v>124</v>
      </c>
      <c r="P254" s="3">
        <v>100.7681</v>
      </c>
      <c r="Q254" s="3">
        <f t="shared" si="41"/>
        <v>100.90368000000001</v>
      </c>
      <c r="R254" s="1">
        <f t="shared" si="51"/>
        <v>1.2974345585989912E-3</v>
      </c>
      <c r="T254" s="4">
        <v>250.00201000000001</v>
      </c>
      <c r="U254" s="1">
        <v>124</v>
      </c>
      <c r="V254" s="5">
        <v>93.575829999999996</v>
      </c>
      <c r="W254" s="3">
        <f t="shared" si="42"/>
        <v>97.733229999999992</v>
      </c>
      <c r="X254" s="1">
        <f t="shared" si="50"/>
        <v>3.4828675938586219E-2</v>
      </c>
      <c r="Z254" s="4">
        <v>250.01515000000001</v>
      </c>
      <c r="AA254" s="1">
        <v>124</v>
      </c>
      <c r="AB254" s="5">
        <v>100.12264999999999</v>
      </c>
      <c r="AC254" s="3">
        <f t="shared" si="43"/>
        <v>100.04590999999999</v>
      </c>
      <c r="AD254" s="1">
        <f t="shared" si="38"/>
        <v>1.2315313349768084E-2</v>
      </c>
      <c r="AF254" s="11">
        <v>725.66249000000005</v>
      </c>
      <c r="AG254" s="1">
        <v>124</v>
      </c>
      <c r="AH254" s="12">
        <v>8.7794299999999996</v>
      </c>
      <c r="AI254" s="3">
        <f t="shared" si="44"/>
        <v>11.787120000000002</v>
      </c>
      <c r="AJ254" s="1">
        <f t="shared" si="47"/>
        <v>1.0664383758798583</v>
      </c>
      <c r="AL254" s="11">
        <v>725.65785000000005</v>
      </c>
      <c r="AM254" s="1">
        <v>124</v>
      </c>
      <c r="AN254" s="12">
        <v>9.3238800000000008</v>
      </c>
      <c r="AO254" s="3">
        <f t="shared" si="45"/>
        <v>12.417380000000009</v>
      </c>
      <c r="AP254" s="1">
        <f t="shared" si="48"/>
        <v>1.0589113391556437</v>
      </c>
      <c r="AR254" s="11">
        <v>477.26528000000002</v>
      </c>
      <c r="AS254" s="1">
        <v>124</v>
      </c>
      <c r="AT254" s="12">
        <v>59.479559999999999</v>
      </c>
      <c r="AU254" s="3">
        <f t="shared" si="46"/>
        <v>60.134049999999995</v>
      </c>
    </row>
    <row r="255" spans="2:47" ht="16" x14ac:dyDescent="0.2">
      <c r="B255" s="2">
        <v>200.02825999999999</v>
      </c>
      <c r="C255" s="1">
        <v>124.5</v>
      </c>
      <c r="D255" s="5">
        <v>99.976650000000006</v>
      </c>
      <c r="E255" s="3">
        <f t="shared" si="39"/>
        <v>100.68995000000001</v>
      </c>
      <c r="H255" s="4">
        <v>225.00299000000001</v>
      </c>
      <c r="I255" s="1">
        <v>124.5</v>
      </c>
      <c r="J255" s="5">
        <v>94.647199999999998</v>
      </c>
      <c r="K255" s="3">
        <f t="shared" si="40"/>
        <v>98.754779999999997</v>
      </c>
      <c r="L255" s="1">
        <f t="shared" si="49"/>
        <v>1.9756485922162396E-2</v>
      </c>
      <c r="N255" s="4">
        <v>225.02172999999999</v>
      </c>
      <c r="O255" s="1">
        <v>124.5</v>
      </c>
      <c r="P255" s="5">
        <v>100.56461</v>
      </c>
      <c r="Q255" s="3">
        <f t="shared" si="41"/>
        <v>100.70019000000001</v>
      </c>
      <c r="R255" s="1">
        <f t="shared" si="51"/>
        <v>3.7327722426625529E-3</v>
      </c>
      <c r="T255" s="4">
        <v>250.00397000000001</v>
      </c>
      <c r="U255" s="1">
        <v>124.5</v>
      </c>
      <c r="V255" s="3">
        <v>93.561869999999999</v>
      </c>
      <c r="W255" s="3">
        <f t="shared" si="42"/>
        <v>97.719269999999995</v>
      </c>
      <c r="X255" s="1">
        <f t="shared" si="50"/>
        <v>3.4996377349676179E-2</v>
      </c>
      <c r="Z255" s="4">
        <v>250.01139000000001</v>
      </c>
      <c r="AA255" s="1">
        <v>124.5</v>
      </c>
      <c r="AB255" s="3">
        <v>100.09963</v>
      </c>
      <c r="AC255" s="3">
        <f t="shared" si="43"/>
        <v>100.02289</v>
      </c>
      <c r="AD255" s="1">
        <f t="shared" ref="AD255:AD318" si="52">($AC$62-AC255)/($AC$62*(1-$M$1))</f>
        <v>1.2590640163255297E-2</v>
      </c>
      <c r="AF255" s="11">
        <v>728.16272000000004</v>
      </c>
      <c r="AG255" s="1">
        <v>124.5</v>
      </c>
      <c r="AH255" s="13">
        <v>8.7363599999999995</v>
      </c>
      <c r="AI255" s="3">
        <f t="shared" si="44"/>
        <v>11.744050000000001</v>
      </c>
      <c r="AJ255" s="1">
        <f t="shared" si="47"/>
        <v>1.0669589198168885</v>
      </c>
      <c r="AL255" s="11">
        <v>728.16728000000001</v>
      </c>
      <c r="AM255" s="1">
        <v>124.5</v>
      </c>
      <c r="AN255" s="13">
        <v>9.2803000000000004</v>
      </c>
      <c r="AO255" s="3">
        <f t="shared" si="45"/>
        <v>12.373800000000003</v>
      </c>
      <c r="AP255" s="1">
        <f t="shared" si="48"/>
        <v>1.0594377300897533</v>
      </c>
      <c r="AR255" s="11">
        <v>478.77240999999998</v>
      </c>
      <c r="AS255" s="1">
        <v>124.5</v>
      </c>
      <c r="AT255" s="13">
        <v>59.516739999999999</v>
      </c>
      <c r="AU255" s="3">
        <f t="shared" si="46"/>
        <v>60.171229999999994</v>
      </c>
    </row>
    <row r="256" spans="2:47" ht="16" x14ac:dyDescent="0.2">
      <c r="B256" s="2">
        <v>200.02016</v>
      </c>
      <c r="C256" s="1">
        <v>125</v>
      </c>
      <c r="D256" s="3">
        <v>100.00812000000001</v>
      </c>
      <c r="E256" s="3">
        <f t="shared" si="39"/>
        <v>100.72142000000001</v>
      </c>
      <c r="H256" s="4">
        <v>225.00693999999999</v>
      </c>
      <c r="I256" s="1">
        <v>125</v>
      </c>
      <c r="J256" s="3">
        <v>94.653689999999997</v>
      </c>
      <c r="K256" s="3">
        <f t="shared" si="40"/>
        <v>98.761269999999996</v>
      </c>
      <c r="L256" s="1">
        <f t="shared" si="49"/>
        <v>1.9678337552157265E-2</v>
      </c>
      <c r="N256" s="4">
        <v>225.02448000000001</v>
      </c>
      <c r="O256" s="1">
        <v>125</v>
      </c>
      <c r="P256" s="3">
        <v>100.66907</v>
      </c>
      <c r="Q256" s="3">
        <f t="shared" si="41"/>
        <v>100.80465000000001</v>
      </c>
      <c r="R256" s="1">
        <f t="shared" si="51"/>
        <v>2.4826106893808954E-3</v>
      </c>
      <c r="T256" s="4">
        <v>250.01096999999999</v>
      </c>
      <c r="U256" s="1">
        <v>125</v>
      </c>
      <c r="V256" s="5">
        <v>93.559799999999996</v>
      </c>
      <c r="W256" s="3">
        <f t="shared" si="42"/>
        <v>97.717199999999991</v>
      </c>
      <c r="X256" s="1">
        <f t="shared" si="50"/>
        <v>3.5021244249458183E-2</v>
      </c>
      <c r="Z256" s="4">
        <v>250.01315</v>
      </c>
      <c r="AA256" s="1">
        <v>125</v>
      </c>
      <c r="AB256" s="5">
        <v>100.06963</v>
      </c>
      <c r="AC256" s="3">
        <f t="shared" si="43"/>
        <v>99.992890000000003</v>
      </c>
      <c r="AD256" s="1">
        <f t="shared" si="52"/>
        <v>1.2949450085263154E-2</v>
      </c>
      <c r="AF256" s="11">
        <v>730.66790000000003</v>
      </c>
      <c r="AG256" s="1">
        <v>125</v>
      </c>
      <c r="AH256" s="12">
        <v>8.6502700000000008</v>
      </c>
      <c r="AI256" s="3">
        <f t="shared" si="44"/>
        <v>11.657960000000003</v>
      </c>
      <c r="AJ256" s="1">
        <f t="shared" si="47"/>
        <v>1.0679994033910454</v>
      </c>
      <c r="AL256" s="11">
        <v>730.66332</v>
      </c>
      <c r="AM256" s="1">
        <v>125</v>
      </c>
      <c r="AN256" s="12">
        <v>9.1915800000000001</v>
      </c>
      <c r="AO256" s="3">
        <f t="shared" si="45"/>
        <v>12.285080000000008</v>
      </c>
      <c r="AP256" s="1">
        <f t="shared" si="48"/>
        <v>1.060509354772502</v>
      </c>
      <c r="AR256" s="11">
        <v>480.27244999999999</v>
      </c>
      <c r="AS256" s="1">
        <v>125</v>
      </c>
      <c r="AT256" s="12">
        <v>59.48133</v>
      </c>
      <c r="AU256" s="3">
        <f t="shared" si="46"/>
        <v>60.135819999999995</v>
      </c>
    </row>
    <row r="257" spans="2:47" ht="16" x14ac:dyDescent="0.2">
      <c r="B257" s="2">
        <v>200.01432</v>
      </c>
      <c r="C257" s="1">
        <v>125.5</v>
      </c>
      <c r="D257" s="5">
        <v>100.03388</v>
      </c>
      <c r="E257" s="3">
        <f t="shared" si="39"/>
        <v>100.74718</v>
      </c>
      <c r="H257" s="4">
        <v>225.00897000000001</v>
      </c>
      <c r="I257" s="1">
        <v>125.5</v>
      </c>
      <c r="J257" s="5">
        <v>94.640950000000004</v>
      </c>
      <c r="K257" s="3">
        <f t="shared" si="40"/>
        <v>98.748530000000002</v>
      </c>
      <c r="L257" s="1">
        <f t="shared" si="49"/>
        <v>1.9831744367852948E-2</v>
      </c>
      <c r="N257" s="4">
        <v>225.02215000000001</v>
      </c>
      <c r="O257" s="1">
        <v>125.5</v>
      </c>
      <c r="P257" s="5">
        <v>100.63634999999999</v>
      </c>
      <c r="Q257" s="3">
        <f t="shared" si="41"/>
        <v>100.77193</v>
      </c>
      <c r="R257" s="1">
        <f t="shared" si="51"/>
        <v>2.8741987233019124E-3</v>
      </c>
      <c r="T257" s="4">
        <v>250.00398000000001</v>
      </c>
      <c r="U257" s="1">
        <v>125.5</v>
      </c>
      <c r="V257" s="3">
        <v>93.544030000000006</v>
      </c>
      <c r="W257" s="3">
        <f t="shared" si="42"/>
        <v>97.701430000000002</v>
      </c>
      <c r="X257" s="1">
        <f t="shared" si="50"/>
        <v>3.5210689181613443E-2</v>
      </c>
      <c r="Z257" s="4">
        <v>250.01412999999999</v>
      </c>
      <c r="AA257" s="1">
        <v>125.5</v>
      </c>
      <c r="AB257" s="3">
        <v>100.02356</v>
      </c>
      <c r="AC257" s="3">
        <f t="shared" si="43"/>
        <v>99.946820000000002</v>
      </c>
      <c r="AD257" s="1">
        <f t="shared" si="52"/>
        <v>1.3500462522159872E-2</v>
      </c>
      <c r="AF257" s="11">
        <v>733.16633999999999</v>
      </c>
      <c r="AG257" s="1">
        <v>125.5</v>
      </c>
      <c r="AH257" s="13">
        <v>8.5881900000000009</v>
      </c>
      <c r="AI257" s="3">
        <f t="shared" si="44"/>
        <v>11.595879999999994</v>
      </c>
      <c r="AJ257" s="1">
        <f t="shared" si="47"/>
        <v>1.0687497021514549</v>
      </c>
      <c r="AL257" s="11">
        <v>733.16836000000001</v>
      </c>
      <c r="AM257" s="1">
        <v>125.5</v>
      </c>
      <c r="AN257" s="13">
        <v>9.1115999999999993</v>
      </c>
      <c r="AO257" s="3">
        <f t="shared" si="45"/>
        <v>12.205100000000002</v>
      </c>
      <c r="AP257" s="1">
        <f t="shared" si="48"/>
        <v>1.0614754113789746</v>
      </c>
      <c r="AR257" s="11">
        <v>481.77166999999997</v>
      </c>
      <c r="AS257" s="1">
        <v>125.5</v>
      </c>
      <c r="AT257" s="13">
        <v>59.467979999999997</v>
      </c>
      <c r="AU257" s="3">
        <f t="shared" si="46"/>
        <v>60.122469999999993</v>
      </c>
    </row>
    <row r="258" spans="2:47" ht="16" x14ac:dyDescent="0.2">
      <c r="B258" s="2">
        <v>200.01615000000001</v>
      </c>
      <c r="C258" s="1">
        <v>126</v>
      </c>
      <c r="D258" s="3">
        <v>99.980289999999997</v>
      </c>
      <c r="E258" s="3">
        <f t="shared" si="39"/>
        <v>100.69359</v>
      </c>
      <c r="H258" s="4">
        <v>225.01003</v>
      </c>
      <c r="I258" s="1">
        <v>126</v>
      </c>
      <c r="J258" s="3">
        <v>94.668850000000006</v>
      </c>
      <c r="K258" s="3">
        <f t="shared" si="40"/>
        <v>98.776430000000005</v>
      </c>
      <c r="L258" s="1">
        <f t="shared" si="49"/>
        <v>1.9495790666289991E-2</v>
      </c>
      <c r="N258" s="4">
        <v>225.01772</v>
      </c>
      <c r="O258" s="1">
        <v>126</v>
      </c>
      <c r="P258" s="3">
        <v>100.73823</v>
      </c>
      <c r="Q258" s="3">
        <f t="shared" si="41"/>
        <v>100.87381000000001</v>
      </c>
      <c r="R258" s="1">
        <f t="shared" si="51"/>
        <v>1.6549142215946367E-3</v>
      </c>
      <c r="T258" s="4">
        <v>249.999</v>
      </c>
      <c r="U258" s="1">
        <v>126</v>
      </c>
      <c r="V258" s="5">
        <v>93.509709999999998</v>
      </c>
      <c r="W258" s="3">
        <f t="shared" si="42"/>
        <v>97.667109999999994</v>
      </c>
      <c r="X258" s="1">
        <f t="shared" si="50"/>
        <v>3.5622975172201546E-2</v>
      </c>
      <c r="Z258" s="4">
        <v>250.01308</v>
      </c>
      <c r="AA258" s="1">
        <v>126</v>
      </c>
      <c r="AB258" s="5">
        <v>100.13924</v>
      </c>
      <c r="AC258" s="3">
        <f t="shared" si="43"/>
        <v>100.0625</v>
      </c>
      <c r="AD258" s="1">
        <f t="shared" si="52"/>
        <v>1.211689146289765E-2</v>
      </c>
      <c r="AF258" s="11">
        <v>735.67048999999997</v>
      </c>
      <c r="AG258" s="1">
        <v>126</v>
      </c>
      <c r="AH258" s="12">
        <v>8.5407600000000006</v>
      </c>
      <c r="AI258" s="3">
        <f t="shared" si="44"/>
        <v>11.548450000000003</v>
      </c>
      <c r="AJ258" s="1">
        <f t="shared" si="47"/>
        <v>1.069322941040086</v>
      </c>
      <c r="AL258" s="11">
        <v>735.66179</v>
      </c>
      <c r="AM258" s="1">
        <v>126</v>
      </c>
      <c r="AN258" s="12">
        <v>9.08188</v>
      </c>
      <c r="AO258" s="3">
        <f t="shared" si="45"/>
        <v>12.175380000000004</v>
      </c>
      <c r="AP258" s="1">
        <f t="shared" si="48"/>
        <v>1.0618343911532226</v>
      </c>
      <c r="AR258" s="11">
        <v>483.27479</v>
      </c>
      <c r="AS258" s="1">
        <v>126</v>
      </c>
      <c r="AT258" s="12">
        <v>59.482939999999999</v>
      </c>
      <c r="AU258" s="3">
        <f t="shared" si="46"/>
        <v>60.137429999999995</v>
      </c>
    </row>
    <row r="259" spans="2:47" ht="16" x14ac:dyDescent="0.2">
      <c r="B259" s="2">
        <v>200.01338999999999</v>
      </c>
      <c r="C259" s="1">
        <v>126.5</v>
      </c>
      <c r="D259" s="5">
        <v>99.878960000000006</v>
      </c>
      <c r="E259" s="3">
        <f t="shared" si="39"/>
        <v>100.59226000000001</v>
      </c>
      <c r="H259" s="4">
        <v>225.0051</v>
      </c>
      <c r="I259" s="1">
        <v>126.5</v>
      </c>
      <c r="J259" s="5">
        <v>94.624520000000004</v>
      </c>
      <c r="K259" s="3">
        <f t="shared" si="40"/>
        <v>98.732100000000003</v>
      </c>
      <c r="L259" s="1">
        <f t="shared" si="49"/>
        <v>2.0029583769884448E-2</v>
      </c>
      <c r="N259" s="4">
        <v>225.01688999999999</v>
      </c>
      <c r="O259" s="1">
        <v>126.5</v>
      </c>
      <c r="P259" s="5">
        <v>100.70123</v>
      </c>
      <c r="Q259" s="3">
        <f t="shared" si="41"/>
        <v>100.83681</v>
      </c>
      <c r="R259" s="1">
        <f t="shared" si="51"/>
        <v>2.0977246511507119E-3</v>
      </c>
      <c r="T259" s="4">
        <v>250.00501</v>
      </c>
      <c r="U259" s="1">
        <v>126.5</v>
      </c>
      <c r="V259" s="3">
        <v>93.507549999999995</v>
      </c>
      <c r="W259" s="3">
        <f t="shared" si="42"/>
        <v>97.66494999999999</v>
      </c>
      <c r="X259" s="1">
        <f t="shared" si="50"/>
        <v>3.5648923241539295E-2</v>
      </c>
      <c r="Z259" s="4">
        <v>250.01154</v>
      </c>
      <c r="AA259" s="1">
        <v>126.5</v>
      </c>
      <c r="AB259" s="3">
        <v>100.05882</v>
      </c>
      <c r="AC259" s="3">
        <f t="shared" si="43"/>
        <v>99.982079999999996</v>
      </c>
      <c r="AD259" s="1">
        <f t="shared" si="52"/>
        <v>1.307874126049339E-2</v>
      </c>
      <c r="AF259" s="11">
        <v>738.17039</v>
      </c>
      <c r="AG259" s="1">
        <v>126.5</v>
      </c>
      <c r="AH259" s="13">
        <v>8.4583700000000004</v>
      </c>
      <c r="AI259" s="3">
        <f t="shared" si="44"/>
        <v>11.466059999999999</v>
      </c>
      <c r="AJ259" s="1">
        <f t="shared" si="47"/>
        <v>1.0703187064213706</v>
      </c>
      <c r="AL259" s="11">
        <v>738.16592000000003</v>
      </c>
      <c r="AM259" s="1">
        <v>126.5</v>
      </c>
      <c r="AN259" s="13">
        <v>9.0117200000000004</v>
      </c>
      <c r="AO259" s="3">
        <f t="shared" si="45"/>
        <v>12.105220000000003</v>
      </c>
      <c r="AP259" s="1">
        <f t="shared" si="48"/>
        <v>1.0626818346579754</v>
      </c>
      <c r="AR259" s="11">
        <v>484.77629999999999</v>
      </c>
      <c r="AS259" s="1">
        <v>126.5</v>
      </c>
      <c r="AT259" s="13">
        <v>59.489370000000001</v>
      </c>
      <c r="AU259" s="3">
        <f t="shared" si="46"/>
        <v>60.143859999999997</v>
      </c>
    </row>
    <row r="260" spans="2:47" ht="16" x14ac:dyDescent="0.2">
      <c r="B260" s="2">
        <v>200.01331999999999</v>
      </c>
      <c r="C260" s="1">
        <v>127</v>
      </c>
      <c r="D260" s="3">
        <v>100.06158000000001</v>
      </c>
      <c r="E260" s="3">
        <f t="shared" si="39"/>
        <v>100.77488000000001</v>
      </c>
      <c r="H260" s="4">
        <v>225.00395</v>
      </c>
      <c r="I260" s="1">
        <v>127</v>
      </c>
      <c r="J260" s="3">
        <v>94.631919999999994</v>
      </c>
      <c r="K260" s="3">
        <f t="shared" si="40"/>
        <v>98.739499999999992</v>
      </c>
      <c r="L260" s="1">
        <f t="shared" si="49"/>
        <v>1.9940477770186878E-2</v>
      </c>
      <c r="N260" s="4">
        <v>225.01642000000001</v>
      </c>
      <c r="O260" s="1">
        <v>127</v>
      </c>
      <c r="P260" s="3">
        <v>100.71946</v>
      </c>
      <c r="Q260" s="3">
        <f t="shared" si="41"/>
        <v>100.85504</v>
      </c>
      <c r="R260" s="1">
        <f t="shared" si="51"/>
        <v>1.8795507557234938E-3</v>
      </c>
      <c r="T260" s="4">
        <v>250.00900999999999</v>
      </c>
      <c r="U260" s="1">
        <v>127</v>
      </c>
      <c r="V260" s="5">
        <v>93.505799999999994</v>
      </c>
      <c r="W260" s="3">
        <f t="shared" si="42"/>
        <v>97.663199999999989</v>
      </c>
      <c r="X260" s="1">
        <f t="shared" si="50"/>
        <v>3.566994598290088E-2</v>
      </c>
      <c r="Z260" s="4">
        <v>250.01283000000001</v>
      </c>
      <c r="AA260" s="1">
        <v>127</v>
      </c>
      <c r="AB260" s="5">
        <v>100.05068</v>
      </c>
      <c r="AC260" s="3">
        <f t="shared" si="43"/>
        <v>99.973939999999999</v>
      </c>
      <c r="AD260" s="1">
        <f t="shared" si="52"/>
        <v>1.3176098352664822E-2</v>
      </c>
      <c r="AF260" s="11">
        <v>740.66905999999994</v>
      </c>
      <c r="AG260" s="1">
        <v>127</v>
      </c>
      <c r="AH260" s="12">
        <v>8.4082799999999995</v>
      </c>
      <c r="AI260" s="3">
        <f t="shared" si="44"/>
        <v>11.415970000000002</v>
      </c>
      <c r="AJ260" s="1">
        <f t="shared" si="47"/>
        <v>1.0709240940648774</v>
      </c>
      <c r="AL260" s="11">
        <v>740.66900999999996</v>
      </c>
      <c r="AM260" s="1">
        <v>127</v>
      </c>
      <c r="AN260" s="12">
        <v>8.9188700000000001</v>
      </c>
      <c r="AO260" s="3">
        <f t="shared" si="45"/>
        <v>12.012370000000004</v>
      </c>
      <c r="AP260" s="1">
        <f t="shared" si="48"/>
        <v>1.0638033444843191</v>
      </c>
      <c r="AR260" s="11">
        <v>486.26952999999997</v>
      </c>
      <c r="AS260" s="1">
        <v>127</v>
      </c>
      <c r="AT260" s="12">
        <v>59.428359999999998</v>
      </c>
      <c r="AU260" s="3">
        <f t="shared" si="46"/>
        <v>60.082849999999993</v>
      </c>
    </row>
    <row r="261" spans="2:47" ht="16" x14ac:dyDescent="0.2">
      <c r="B261" s="2">
        <v>200.01829000000001</v>
      </c>
      <c r="C261" s="1">
        <v>127.5</v>
      </c>
      <c r="D261" s="5">
        <v>99.784499999999994</v>
      </c>
      <c r="E261" s="3">
        <f t="shared" si="39"/>
        <v>100.4978</v>
      </c>
      <c r="H261" s="4">
        <v>225.00602000000001</v>
      </c>
      <c r="I261" s="1">
        <v>127.5</v>
      </c>
      <c r="J261" s="5">
        <v>94.65119</v>
      </c>
      <c r="K261" s="3">
        <f t="shared" si="40"/>
        <v>98.758769999999998</v>
      </c>
      <c r="L261" s="1">
        <f t="shared" si="49"/>
        <v>1.9708440930433484E-2</v>
      </c>
      <c r="N261" s="4">
        <v>225.0153</v>
      </c>
      <c r="O261" s="1">
        <v>127.5</v>
      </c>
      <c r="P261" s="5">
        <v>100.87558</v>
      </c>
      <c r="Q261" s="3">
        <f t="shared" si="41"/>
        <v>101.01116</v>
      </c>
      <c r="R261" s="1">
        <f t="shared" si="51"/>
        <v>1.1130099986098648E-5</v>
      </c>
      <c r="T261" s="4">
        <v>250.00699</v>
      </c>
      <c r="U261" s="1">
        <v>127.5</v>
      </c>
      <c r="V261" s="3">
        <v>93.483760000000004</v>
      </c>
      <c r="W261" s="3">
        <f t="shared" si="42"/>
        <v>97.641159999999999</v>
      </c>
      <c r="X261" s="1">
        <f t="shared" si="50"/>
        <v>3.5934712394105874E-2</v>
      </c>
      <c r="Z261" s="4">
        <v>250.01327000000001</v>
      </c>
      <c r="AA261" s="1">
        <v>127.5</v>
      </c>
      <c r="AB261" s="3">
        <v>100.11367</v>
      </c>
      <c r="AC261" s="3">
        <f t="shared" si="43"/>
        <v>100.03693</v>
      </c>
      <c r="AD261" s="1">
        <f t="shared" si="52"/>
        <v>1.2422717119755693E-2</v>
      </c>
      <c r="AF261" s="11">
        <v>743.1721</v>
      </c>
      <c r="AG261" s="1">
        <v>127.5</v>
      </c>
      <c r="AH261" s="13">
        <v>8.3282299999999996</v>
      </c>
      <c r="AI261" s="3">
        <f t="shared" si="44"/>
        <v>11.335920000000002</v>
      </c>
      <c r="AJ261" s="1">
        <f t="shared" si="47"/>
        <v>1.0718915782106697</v>
      </c>
      <c r="AL261" s="11">
        <v>743.17269999999996</v>
      </c>
      <c r="AM261" s="1">
        <v>127.5</v>
      </c>
      <c r="AN261" s="13">
        <v>8.8845500000000008</v>
      </c>
      <c r="AO261" s="3">
        <f t="shared" si="45"/>
        <v>11.97805000000001</v>
      </c>
      <c r="AP261" s="1">
        <f t="shared" si="48"/>
        <v>1.0642178864039755</v>
      </c>
      <c r="AR261" s="11">
        <v>487.77548000000002</v>
      </c>
      <c r="AS261" s="1">
        <v>127.5</v>
      </c>
      <c r="AT261" s="13">
        <v>59.49051</v>
      </c>
      <c r="AU261" s="3">
        <f t="shared" si="46"/>
        <v>60.144999999999996</v>
      </c>
    </row>
    <row r="262" spans="2:47" ht="16" x14ac:dyDescent="0.2">
      <c r="B262" s="2">
        <v>200.02016</v>
      </c>
      <c r="C262" s="1">
        <v>128</v>
      </c>
      <c r="D262" s="3">
        <v>99.874089999999995</v>
      </c>
      <c r="E262" s="3">
        <f t="shared" si="39"/>
        <v>100.58739</v>
      </c>
      <c r="H262" s="4">
        <v>225.00583</v>
      </c>
      <c r="I262" s="1">
        <v>128</v>
      </c>
      <c r="J262" s="3">
        <v>94.621729999999999</v>
      </c>
      <c r="K262" s="3">
        <f t="shared" si="40"/>
        <v>98.729309999999998</v>
      </c>
      <c r="L262" s="1">
        <f t="shared" si="49"/>
        <v>2.0063179140040795E-2</v>
      </c>
      <c r="N262" s="4">
        <v>225.01301000000001</v>
      </c>
      <c r="O262" s="1">
        <v>128</v>
      </c>
      <c r="P262" s="3">
        <v>100.7718</v>
      </c>
      <c r="Q262" s="3">
        <f t="shared" si="41"/>
        <v>100.90738</v>
      </c>
      <c r="R262" s="1">
        <f t="shared" si="51"/>
        <v>1.2531535156434517E-3</v>
      </c>
      <c r="T262" s="4">
        <v>250.01</v>
      </c>
      <c r="U262" s="1">
        <v>128</v>
      </c>
      <c r="V262" s="5">
        <v>93.477630000000005</v>
      </c>
      <c r="W262" s="3">
        <f t="shared" si="42"/>
        <v>97.63503</v>
      </c>
      <c r="X262" s="1">
        <f t="shared" si="50"/>
        <v>3.6008352053846664E-2</v>
      </c>
      <c r="Z262" s="4">
        <v>250.01549</v>
      </c>
      <c r="AA262" s="1">
        <v>128</v>
      </c>
      <c r="AB262" s="5">
        <v>100.08599</v>
      </c>
      <c r="AC262" s="3">
        <f t="shared" si="43"/>
        <v>100.00924999999999</v>
      </c>
      <c r="AD262" s="1">
        <f t="shared" si="52"/>
        <v>1.2753779074461642E-2</v>
      </c>
      <c r="AF262" s="11">
        <v>745.67350999999996</v>
      </c>
      <c r="AG262" s="1">
        <v>128</v>
      </c>
      <c r="AH262" s="12">
        <v>8.22288</v>
      </c>
      <c r="AI262" s="3">
        <f t="shared" si="44"/>
        <v>11.23057</v>
      </c>
      <c r="AJ262" s="1">
        <f t="shared" si="47"/>
        <v>1.0731648381077241</v>
      </c>
      <c r="AL262" s="11">
        <v>745.67449999999997</v>
      </c>
      <c r="AM262" s="1">
        <v>128</v>
      </c>
      <c r="AN262" s="12">
        <v>8.7324300000000008</v>
      </c>
      <c r="AO262" s="3">
        <f t="shared" si="45"/>
        <v>11.82593</v>
      </c>
      <c r="AP262" s="1">
        <f t="shared" si="48"/>
        <v>1.0660553023951811</v>
      </c>
      <c r="AR262" s="11">
        <v>489.28147000000001</v>
      </c>
      <c r="AS262" s="1">
        <v>128</v>
      </c>
      <c r="AT262" s="12">
        <v>59.467869999999998</v>
      </c>
      <c r="AU262" s="3">
        <f t="shared" si="46"/>
        <v>60.122359999999993</v>
      </c>
    </row>
    <row r="263" spans="2:47" ht="16" x14ac:dyDescent="0.2">
      <c r="B263" s="2">
        <v>200.01587000000001</v>
      </c>
      <c r="C263" s="1">
        <v>128.5</v>
      </c>
      <c r="D263" s="5">
        <v>100.08620999999999</v>
      </c>
      <c r="E263" s="3">
        <f t="shared" ref="E263:E326" si="53">100-($D$6-D263)</f>
        <v>100.79951</v>
      </c>
      <c r="H263" s="4">
        <v>225.00587999999999</v>
      </c>
      <c r="I263" s="1">
        <v>128.5</v>
      </c>
      <c r="J263" s="5">
        <v>94.611490000000003</v>
      </c>
      <c r="K263" s="3">
        <f t="shared" ref="K263:K326" si="54">100-($J$6-J263)</f>
        <v>98.719070000000002</v>
      </c>
      <c r="L263" s="1">
        <f t="shared" si="49"/>
        <v>2.0186482577460262E-2</v>
      </c>
      <c r="N263" s="4">
        <v>225.01691</v>
      </c>
      <c r="O263" s="1">
        <v>128.5</v>
      </c>
      <c r="P263" s="5">
        <v>100.74146</v>
      </c>
      <c r="Q263" s="3">
        <f t="shared" ref="Q263:Q326" si="55">100-($P$6-P263)</f>
        <v>100.87704000000001</v>
      </c>
      <c r="R263" s="1">
        <f t="shared" si="51"/>
        <v>1.6162580678793178E-3</v>
      </c>
      <c r="T263" s="4">
        <v>250.01499000000001</v>
      </c>
      <c r="U263" s="1">
        <v>128.5</v>
      </c>
      <c r="V263" s="3">
        <v>93.46763</v>
      </c>
      <c r="W263" s="3">
        <f t="shared" ref="W263:W326" si="56">100-($V$6-V263)</f>
        <v>97.625029999999995</v>
      </c>
      <c r="X263" s="1">
        <f t="shared" si="50"/>
        <v>3.6128482004484257E-2</v>
      </c>
      <c r="Z263" s="4">
        <v>250.01803000000001</v>
      </c>
      <c r="AA263" s="1">
        <v>128.5</v>
      </c>
      <c r="AB263" s="3">
        <v>100.0055</v>
      </c>
      <c r="AC263" s="3">
        <f t="shared" ref="AC263:AC326" si="57">100-($AB$6-AB263)</f>
        <v>99.928759999999997</v>
      </c>
      <c r="AD263" s="1">
        <f t="shared" si="52"/>
        <v>1.371646609520866E-2</v>
      </c>
      <c r="AF263" s="11">
        <v>748.17515000000003</v>
      </c>
      <c r="AG263" s="1">
        <v>128.5</v>
      </c>
      <c r="AH263" s="13">
        <v>8.1947700000000001</v>
      </c>
      <c r="AI263" s="3">
        <f t="shared" ref="AI263:AI283" si="58">100-($AH$6-AH263)</f>
        <v>11.202460000000002</v>
      </c>
      <c r="AJ263" s="1">
        <f t="shared" si="47"/>
        <v>1.0735045755135733</v>
      </c>
      <c r="AL263" s="11">
        <v>748.18421000000001</v>
      </c>
      <c r="AM263" s="1">
        <v>128.5</v>
      </c>
      <c r="AN263" s="13">
        <v>8.7323599999999999</v>
      </c>
      <c r="AO263" s="3">
        <f t="shared" ref="AO263:AO283" si="59">100-($AN$6-AN263)</f>
        <v>11.825860000000006</v>
      </c>
      <c r="AP263" s="1">
        <f t="shared" si="48"/>
        <v>1.0660561479060895</v>
      </c>
      <c r="AR263" s="11">
        <v>490.78618999999998</v>
      </c>
      <c r="AS263" s="1">
        <v>128.5</v>
      </c>
      <c r="AT263" s="13">
        <v>59.469810000000003</v>
      </c>
      <c r="AU263" s="3">
        <f t="shared" ref="AU263:AU326" si="60">100-($AT$6-AT263)</f>
        <v>60.124299999999998</v>
      </c>
    </row>
    <row r="264" spans="2:47" ht="16" x14ac:dyDescent="0.2">
      <c r="B264" s="2">
        <v>200.01379</v>
      </c>
      <c r="C264" s="1">
        <v>129</v>
      </c>
      <c r="D264" s="3">
        <v>99.815299999999993</v>
      </c>
      <c r="E264" s="3">
        <f t="shared" si="53"/>
        <v>100.5286</v>
      </c>
      <c r="H264" s="4">
        <v>225.00595000000001</v>
      </c>
      <c r="I264" s="1">
        <v>129</v>
      </c>
      <c r="J264" s="3">
        <v>94.596760000000003</v>
      </c>
      <c r="K264" s="3">
        <f t="shared" si="54"/>
        <v>98.704340000000002</v>
      </c>
      <c r="L264" s="1">
        <f t="shared" si="49"/>
        <v>2.0363851682263918E-2</v>
      </c>
      <c r="N264" s="4">
        <v>225.02042</v>
      </c>
      <c r="O264" s="1">
        <v>129</v>
      </c>
      <c r="P264" s="3">
        <v>100.83047000000001</v>
      </c>
      <c r="Q264" s="3">
        <f t="shared" si="55"/>
        <v>100.96605000000001</v>
      </c>
      <c r="R264" s="1">
        <f t="shared" si="51"/>
        <v>5.5099978856092515E-4</v>
      </c>
      <c r="T264" s="4">
        <v>250.00799000000001</v>
      </c>
      <c r="U264" s="1">
        <v>129</v>
      </c>
      <c r="V264" s="5">
        <v>93.445480000000003</v>
      </c>
      <c r="W264" s="3">
        <f t="shared" si="56"/>
        <v>97.602879999999999</v>
      </c>
      <c r="X264" s="1">
        <f t="shared" si="50"/>
        <v>3.6394569845146343E-2</v>
      </c>
      <c r="Z264" s="4">
        <v>250.01146</v>
      </c>
      <c r="AA264" s="1">
        <v>129</v>
      </c>
      <c r="AB264" s="5">
        <v>99.977010000000007</v>
      </c>
      <c r="AC264" s="3">
        <f t="shared" si="57"/>
        <v>99.900270000000006</v>
      </c>
      <c r="AD264" s="1">
        <f t="shared" si="52"/>
        <v>1.4057215917808667E-2</v>
      </c>
      <c r="AF264" s="11">
        <v>750.68124999999998</v>
      </c>
      <c r="AG264" s="1">
        <v>129</v>
      </c>
      <c r="AH264" s="12">
        <v>8.1354000000000006</v>
      </c>
      <c r="AI264" s="3">
        <f t="shared" si="58"/>
        <v>11.143090000000001</v>
      </c>
      <c r="AJ264" s="1">
        <f t="shared" ref="AJ264:AJ283" si="61">($AI$7-AI264)/($AI$7*(1-$M$1))</f>
        <v>1.0742221212192034</v>
      </c>
      <c r="AL264" s="11">
        <v>750.68598999999995</v>
      </c>
      <c r="AM264" s="1">
        <v>129</v>
      </c>
      <c r="AN264" s="12">
        <v>8.6427600000000009</v>
      </c>
      <c r="AO264" s="3">
        <f t="shared" si="59"/>
        <v>11.736260000000001</v>
      </c>
      <c r="AP264" s="1">
        <f t="shared" si="48"/>
        <v>1.0671384018688295</v>
      </c>
      <c r="AR264" s="11">
        <v>492.28564</v>
      </c>
      <c r="AS264" s="1">
        <v>129</v>
      </c>
      <c r="AT264" s="12">
        <v>59.463389999999997</v>
      </c>
      <c r="AU264" s="3">
        <f t="shared" si="60"/>
        <v>60.117879999999992</v>
      </c>
    </row>
    <row r="265" spans="2:47" ht="16" x14ac:dyDescent="0.2">
      <c r="B265" s="2">
        <v>200.01426000000001</v>
      </c>
      <c r="C265" s="1">
        <v>129.5</v>
      </c>
      <c r="D265" s="5">
        <v>99.92022</v>
      </c>
      <c r="E265" s="3">
        <f t="shared" si="53"/>
        <v>100.63352</v>
      </c>
      <c r="H265" s="4">
        <v>225.00594000000001</v>
      </c>
      <c r="I265" s="1">
        <v>129.5</v>
      </c>
      <c r="J265" s="5">
        <v>94.613159999999993</v>
      </c>
      <c r="K265" s="3">
        <f t="shared" si="54"/>
        <v>98.720739999999992</v>
      </c>
      <c r="L265" s="1">
        <f t="shared" si="49"/>
        <v>2.0166373520771847E-2</v>
      </c>
      <c r="N265" s="4">
        <v>225.01938000000001</v>
      </c>
      <c r="O265" s="1">
        <v>129.5</v>
      </c>
      <c r="P265" s="5">
        <v>100.60012</v>
      </c>
      <c r="Q265" s="3">
        <f t="shared" si="55"/>
        <v>100.73570000000001</v>
      </c>
      <c r="R265" s="1">
        <f t="shared" si="51"/>
        <v>3.3077939087832399E-3</v>
      </c>
      <c r="T265" s="4">
        <v>249.9999</v>
      </c>
      <c r="U265" s="1">
        <v>129.5</v>
      </c>
      <c r="V265" s="3">
        <v>93.415279999999996</v>
      </c>
      <c r="W265" s="3">
        <f t="shared" si="56"/>
        <v>97.572679999999991</v>
      </c>
      <c r="X265" s="1">
        <f t="shared" si="50"/>
        <v>3.675736229607178E-2</v>
      </c>
      <c r="Z265" s="4">
        <v>250.01016999999999</v>
      </c>
      <c r="AA265" s="1">
        <v>129.5</v>
      </c>
      <c r="AB265" s="3">
        <v>99.99682</v>
      </c>
      <c r="AC265" s="3">
        <f t="shared" si="57"/>
        <v>99.920079999999999</v>
      </c>
      <c r="AD265" s="1">
        <f t="shared" si="52"/>
        <v>1.3820281765976243E-2</v>
      </c>
      <c r="AF265" s="11">
        <v>753.17989</v>
      </c>
      <c r="AG265" s="1">
        <v>129.5</v>
      </c>
      <c r="AH265" s="13">
        <v>7.9814299999999996</v>
      </c>
      <c r="AI265" s="3">
        <f t="shared" si="58"/>
        <v>10.98912</v>
      </c>
      <c r="AJ265" s="1">
        <f t="shared" si="61"/>
        <v>1.0760830023425967</v>
      </c>
      <c r="AL265" s="11">
        <v>753.19131000000004</v>
      </c>
      <c r="AM265" s="1">
        <v>129.5</v>
      </c>
      <c r="AN265" s="13">
        <v>8.5427099999999996</v>
      </c>
      <c r="AO265" s="3">
        <f t="shared" si="59"/>
        <v>11.636210000000005</v>
      </c>
      <c r="AP265" s="1">
        <f t="shared" si="48"/>
        <v>1.0683468785314647</v>
      </c>
      <c r="AR265" s="11">
        <v>493.79656</v>
      </c>
      <c r="AS265" s="1">
        <v>129.5</v>
      </c>
      <c r="AT265" s="13">
        <v>59.453670000000002</v>
      </c>
      <c r="AU265" s="3">
        <f t="shared" si="60"/>
        <v>60.108159999999998</v>
      </c>
    </row>
    <row r="266" spans="2:47" ht="16" x14ac:dyDescent="0.2">
      <c r="B266" s="2">
        <v>200.01497000000001</v>
      </c>
      <c r="C266" s="1">
        <v>130</v>
      </c>
      <c r="D266" s="3">
        <v>100.0166</v>
      </c>
      <c r="E266" s="3">
        <f t="shared" si="53"/>
        <v>100.7299</v>
      </c>
      <c r="H266" s="4">
        <v>225.00700000000001</v>
      </c>
      <c r="I266" s="1">
        <v>130</v>
      </c>
      <c r="J266" s="3">
        <v>94.585599999999999</v>
      </c>
      <c r="K266" s="3">
        <f t="shared" si="54"/>
        <v>98.693179999999998</v>
      </c>
      <c r="L266" s="1">
        <f t="shared" si="49"/>
        <v>2.0498233162889134E-2</v>
      </c>
      <c r="N266" s="4">
        <v>225.02032</v>
      </c>
      <c r="O266" s="1">
        <v>130</v>
      </c>
      <c r="P266" s="3">
        <v>100.68602</v>
      </c>
      <c r="Q266" s="3">
        <f t="shared" si="55"/>
        <v>100.8216</v>
      </c>
      <c r="R266" s="1">
        <f t="shared" si="51"/>
        <v>2.2797556412465256E-3</v>
      </c>
      <c r="T266" s="4">
        <v>250.00099</v>
      </c>
      <c r="U266" s="1">
        <v>130</v>
      </c>
      <c r="V266" s="5">
        <v>93.39537</v>
      </c>
      <c r="W266" s="3">
        <f t="shared" si="56"/>
        <v>97.552769999999995</v>
      </c>
      <c r="X266" s="1">
        <f t="shared" si="50"/>
        <v>3.6996541027791055E-2</v>
      </c>
      <c r="Z266" s="4">
        <v>250.01383999999999</v>
      </c>
      <c r="AA266" s="1">
        <v>130</v>
      </c>
      <c r="AB266" s="5">
        <v>100.08805</v>
      </c>
      <c r="AC266" s="3">
        <f t="shared" si="57"/>
        <v>100.01130999999999</v>
      </c>
      <c r="AD266" s="1">
        <f t="shared" si="52"/>
        <v>1.2729140793150434E-2</v>
      </c>
      <c r="AF266" s="11">
        <v>755.68254999999999</v>
      </c>
      <c r="AG266" s="1">
        <v>130</v>
      </c>
      <c r="AH266" s="12">
        <v>7.9795800000000003</v>
      </c>
      <c r="AI266" s="3">
        <f t="shared" si="58"/>
        <v>10.987269999999995</v>
      </c>
      <c r="AJ266" s="1">
        <f t="shared" si="61"/>
        <v>1.0761053614390328</v>
      </c>
      <c r="AL266" s="11">
        <v>755.68434000000002</v>
      </c>
      <c r="AM266" s="1">
        <v>130</v>
      </c>
      <c r="AN266" s="12">
        <v>8.4769699999999997</v>
      </c>
      <c r="AO266" s="3">
        <f t="shared" si="59"/>
        <v>11.57047</v>
      </c>
      <c r="AP266" s="1">
        <f t="shared" si="48"/>
        <v>1.0691409340617162</v>
      </c>
      <c r="AR266" s="11">
        <v>495.29743000000002</v>
      </c>
      <c r="AS266" s="1">
        <v>130</v>
      </c>
      <c r="AT266" s="12">
        <v>59.487290000000002</v>
      </c>
      <c r="AU266" s="3">
        <f t="shared" si="60"/>
        <v>60.141779999999997</v>
      </c>
    </row>
    <row r="267" spans="2:47" ht="16" x14ac:dyDescent="0.2">
      <c r="B267" s="2">
        <v>200.01525000000001</v>
      </c>
      <c r="C267" s="1">
        <v>130.5</v>
      </c>
      <c r="D267" s="5">
        <v>100.11158</v>
      </c>
      <c r="E267" s="3">
        <f t="shared" si="53"/>
        <v>100.82488000000001</v>
      </c>
      <c r="H267" s="4">
        <v>225.00507999999999</v>
      </c>
      <c r="I267" s="1">
        <v>130.5</v>
      </c>
      <c r="J267" s="5">
        <v>94.59496</v>
      </c>
      <c r="K267" s="3">
        <f t="shared" si="54"/>
        <v>98.702539999999999</v>
      </c>
      <c r="L267" s="1">
        <f t="shared" si="49"/>
        <v>2.038552611462285E-2</v>
      </c>
      <c r="N267" s="4">
        <v>225.0197</v>
      </c>
      <c r="O267" s="1">
        <v>130.5</v>
      </c>
      <c r="P267" s="5">
        <v>100.67774</v>
      </c>
      <c r="Q267" s="3">
        <f t="shared" si="55"/>
        <v>100.81332</v>
      </c>
      <c r="R267" s="1">
        <f t="shared" si="51"/>
        <v>2.3788494346714804E-3</v>
      </c>
      <c r="T267" s="4">
        <v>250.00299999999999</v>
      </c>
      <c r="U267" s="1">
        <v>130.5</v>
      </c>
      <c r="V267" s="3">
        <v>93.407269999999997</v>
      </c>
      <c r="W267" s="3">
        <f t="shared" si="56"/>
        <v>97.564669999999992</v>
      </c>
      <c r="X267" s="1">
        <f t="shared" si="50"/>
        <v>3.6853586386532425E-2</v>
      </c>
      <c r="Z267" s="4">
        <v>250.01804000000001</v>
      </c>
      <c r="AA267" s="1">
        <v>130.5</v>
      </c>
      <c r="AB267" s="3">
        <v>100.11996000000001</v>
      </c>
      <c r="AC267" s="3">
        <f t="shared" si="57"/>
        <v>100.04322000000001</v>
      </c>
      <c r="AD267" s="1">
        <f t="shared" si="52"/>
        <v>1.2347486639441298E-2</v>
      </c>
      <c r="AF267" s="11">
        <v>758.17984999999999</v>
      </c>
      <c r="AG267" s="1">
        <v>130.5</v>
      </c>
      <c r="AH267" s="13">
        <v>7.8613099999999996</v>
      </c>
      <c r="AI267" s="3">
        <f t="shared" si="58"/>
        <v>10.869</v>
      </c>
      <c r="AJ267" s="1">
        <f t="shared" si="61"/>
        <v>1.0775347724311983</v>
      </c>
      <c r="AL267" s="11">
        <v>758.18651</v>
      </c>
      <c r="AM267" s="1">
        <v>130.5</v>
      </c>
      <c r="AN267" s="13">
        <v>8.4495400000000007</v>
      </c>
      <c r="AO267" s="3">
        <f t="shared" si="59"/>
        <v>11.543040000000005</v>
      </c>
      <c r="AP267" s="1">
        <f t="shared" ref="AP267:AP283" si="62">($AO$10-AO267)/($AO$10*(1-$M$1))</f>
        <v>1.0694722535505325</v>
      </c>
      <c r="AR267" s="11">
        <v>496.79430000000002</v>
      </c>
      <c r="AS267" s="1">
        <v>130.5</v>
      </c>
      <c r="AT267" s="13">
        <v>59.453069999999997</v>
      </c>
      <c r="AU267" s="3">
        <f t="shared" si="60"/>
        <v>60.107559999999992</v>
      </c>
    </row>
    <row r="268" spans="2:47" ht="16" x14ac:dyDescent="0.2">
      <c r="B268" s="2">
        <v>200.01857999999999</v>
      </c>
      <c r="C268" s="1">
        <v>131</v>
      </c>
      <c r="D268" s="3">
        <v>99.821770000000001</v>
      </c>
      <c r="E268" s="3">
        <f t="shared" si="53"/>
        <v>100.53507</v>
      </c>
      <c r="H268" s="4">
        <v>225.00502</v>
      </c>
      <c r="I268" s="1">
        <v>131</v>
      </c>
      <c r="J268" s="3">
        <v>94.600849999999994</v>
      </c>
      <c r="K268" s="3">
        <f t="shared" si="54"/>
        <v>98.708429999999993</v>
      </c>
      <c r="L268" s="1">
        <f t="shared" si="49"/>
        <v>2.0314602555404085E-2</v>
      </c>
      <c r="N268" s="4">
        <v>225.01382000000001</v>
      </c>
      <c r="O268" s="1">
        <v>131</v>
      </c>
      <c r="P268" s="3">
        <v>100.61093</v>
      </c>
      <c r="Q268" s="3">
        <f t="shared" si="55"/>
        <v>100.74651</v>
      </c>
      <c r="R268" s="1">
        <f t="shared" si="51"/>
        <v>3.1784214562562956E-3</v>
      </c>
      <c r="T268" s="4">
        <v>249.99894</v>
      </c>
      <c r="U268" s="1">
        <v>131</v>
      </c>
      <c r="V268" s="5">
        <v>93.41122</v>
      </c>
      <c r="W268" s="3">
        <f t="shared" si="56"/>
        <v>97.568619999999996</v>
      </c>
      <c r="X268" s="1">
        <f t="shared" si="50"/>
        <v>3.6806135056030566E-2</v>
      </c>
      <c r="Z268" s="4">
        <v>250.02198000000001</v>
      </c>
      <c r="AA268" s="1">
        <v>131</v>
      </c>
      <c r="AB268" s="5">
        <v>99.953890000000001</v>
      </c>
      <c r="AC268" s="3">
        <f t="shared" si="57"/>
        <v>99.87715</v>
      </c>
      <c r="AD268" s="1">
        <f t="shared" si="52"/>
        <v>1.4333738764369448E-2</v>
      </c>
      <c r="AF268" s="11">
        <v>760.68642</v>
      </c>
      <c r="AG268" s="1">
        <v>131</v>
      </c>
      <c r="AH268" s="12">
        <v>7.8538100000000002</v>
      </c>
      <c r="AI268" s="3">
        <f t="shared" si="58"/>
        <v>10.861499999999992</v>
      </c>
      <c r="AJ268" s="1">
        <f t="shared" si="61"/>
        <v>1.0776254174167503</v>
      </c>
      <c r="AL268" s="11">
        <v>760.69460000000004</v>
      </c>
      <c r="AM268" s="1">
        <v>131</v>
      </c>
      <c r="AN268" s="12">
        <v>8.3816900000000008</v>
      </c>
      <c r="AO268" s="3">
        <f t="shared" si="59"/>
        <v>11.475190000000012</v>
      </c>
      <c r="AP268" s="1">
        <f t="shared" si="62"/>
        <v>1.0702917951953084</v>
      </c>
      <c r="AR268" s="11">
        <v>498.29588999999999</v>
      </c>
      <c r="AS268" s="1">
        <v>131</v>
      </c>
      <c r="AT268" s="12">
        <v>59.444400000000002</v>
      </c>
      <c r="AU268" s="3">
        <f t="shared" si="60"/>
        <v>60.098889999999997</v>
      </c>
    </row>
    <row r="269" spans="2:47" ht="16" x14ac:dyDescent="0.2">
      <c r="B269" s="2">
        <v>200.02394000000001</v>
      </c>
      <c r="C269" s="1">
        <v>131.5</v>
      </c>
      <c r="D269" s="5">
        <v>99.854699999999994</v>
      </c>
      <c r="E269" s="3">
        <f t="shared" si="53"/>
        <v>100.568</v>
      </c>
      <c r="H269" s="4">
        <v>225.00493</v>
      </c>
      <c r="I269" s="1">
        <v>131.5</v>
      </c>
      <c r="J269" s="5">
        <v>94.591809999999995</v>
      </c>
      <c r="K269" s="3">
        <f t="shared" si="54"/>
        <v>98.699389999999994</v>
      </c>
      <c r="L269" s="1">
        <f t="shared" si="49"/>
        <v>2.0423456371250984E-2</v>
      </c>
      <c r="N269" s="4">
        <v>225.01488000000001</v>
      </c>
      <c r="O269" s="1">
        <v>131.5</v>
      </c>
      <c r="P269" s="5">
        <v>100.67041</v>
      </c>
      <c r="Q269" s="3">
        <f t="shared" si="55"/>
        <v>100.80599000000001</v>
      </c>
      <c r="R269" s="1">
        <f t="shared" si="51"/>
        <v>2.4665737711213115E-3</v>
      </c>
      <c r="T269" s="4">
        <v>249.99997999999999</v>
      </c>
      <c r="U269" s="1">
        <v>131.5</v>
      </c>
      <c r="V269" s="3">
        <v>93.355149999999995</v>
      </c>
      <c r="W269" s="3">
        <f t="shared" si="56"/>
        <v>97.51254999999999</v>
      </c>
      <c r="X269" s="1">
        <f t="shared" si="50"/>
        <v>3.7479703689255267E-2</v>
      </c>
      <c r="Z269" s="4">
        <v>250.02587</v>
      </c>
      <c r="AA269" s="1">
        <v>131.5</v>
      </c>
      <c r="AB269" s="3">
        <v>100.07499</v>
      </c>
      <c r="AC269" s="3">
        <f t="shared" si="57"/>
        <v>99.998249999999999</v>
      </c>
      <c r="AD269" s="1">
        <f t="shared" si="52"/>
        <v>1.2885342712531134E-2</v>
      </c>
      <c r="AF269" s="11">
        <v>763.19210999999996</v>
      </c>
      <c r="AG269" s="1">
        <v>131.5</v>
      </c>
      <c r="AH269" s="13">
        <v>7.6783999999999999</v>
      </c>
      <c r="AI269" s="3">
        <f t="shared" si="58"/>
        <v>10.686089999999993</v>
      </c>
      <c r="AJ269" s="1">
        <f t="shared" si="61"/>
        <v>1.0797454223388416</v>
      </c>
      <c r="AL269" s="11">
        <v>763.18596000000002</v>
      </c>
      <c r="AM269" s="1">
        <v>131.5</v>
      </c>
      <c r="AN269" s="13">
        <v>8.2012099999999997</v>
      </c>
      <c r="AO269" s="3">
        <f t="shared" si="59"/>
        <v>11.294710000000009</v>
      </c>
      <c r="AP269" s="1">
        <f t="shared" si="62"/>
        <v>1.0724717638916845</v>
      </c>
      <c r="AR269" s="11">
        <v>499.79536000000002</v>
      </c>
      <c r="AS269" s="1">
        <v>131.5</v>
      </c>
      <c r="AT269" s="13">
        <v>59.442570000000003</v>
      </c>
      <c r="AU269" s="3">
        <f t="shared" si="60"/>
        <v>60.097059999999999</v>
      </c>
    </row>
    <row r="270" spans="2:47" ht="16" x14ac:dyDescent="0.2">
      <c r="B270" s="2">
        <v>200.02611999999999</v>
      </c>
      <c r="C270" s="1">
        <v>132</v>
      </c>
      <c r="D270" s="3">
        <v>100.0698</v>
      </c>
      <c r="E270" s="3">
        <f t="shared" si="53"/>
        <v>100.7831</v>
      </c>
      <c r="H270" s="4">
        <v>225.00308000000001</v>
      </c>
      <c r="I270" s="1">
        <v>132</v>
      </c>
      <c r="J270" s="3">
        <v>94.58229</v>
      </c>
      <c r="K270" s="3">
        <f t="shared" si="54"/>
        <v>98.689869999999999</v>
      </c>
      <c r="L270" s="1">
        <f t="shared" si="49"/>
        <v>2.0538090035726875E-2</v>
      </c>
      <c r="N270" s="4">
        <v>225.01303999999999</v>
      </c>
      <c r="O270" s="1">
        <v>132</v>
      </c>
      <c r="P270" s="3">
        <v>100.68894</v>
      </c>
      <c r="Q270" s="3">
        <f t="shared" si="55"/>
        <v>100.82452000000001</v>
      </c>
      <c r="R270" s="1">
        <f t="shared" si="51"/>
        <v>2.2448095208599059E-3</v>
      </c>
      <c r="T270" s="4">
        <v>250.00299000000001</v>
      </c>
      <c r="U270" s="1">
        <v>132</v>
      </c>
      <c r="V270" s="5">
        <v>93.371390000000005</v>
      </c>
      <c r="W270" s="3">
        <f t="shared" si="56"/>
        <v>97.528790000000001</v>
      </c>
      <c r="X270" s="1">
        <f t="shared" si="50"/>
        <v>3.728461264941979E-2</v>
      </c>
      <c r="Z270" s="4">
        <v>250.02367000000001</v>
      </c>
      <c r="AA270" s="1">
        <v>132</v>
      </c>
      <c r="AB270" s="5">
        <v>99.914689999999993</v>
      </c>
      <c r="AC270" s="3">
        <f t="shared" si="57"/>
        <v>99.837949999999992</v>
      </c>
      <c r="AD270" s="1">
        <f t="shared" si="52"/>
        <v>1.4802583729126463E-2</v>
      </c>
      <c r="AF270" s="11">
        <v>765.69536000000005</v>
      </c>
      <c r="AG270" s="1">
        <v>132</v>
      </c>
      <c r="AH270" s="12">
        <v>7.6872999999999996</v>
      </c>
      <c r="AI270" s="3">
        <f t="shared" si="58"/>
        <v>10.69498999999999</v>
      </c>
      <c r="AJ270" s="1">
        <f t="shared" si="61"/>
        <v>1.0796378569559866</v>
      </c>
      <c r="AL270" s="11">
        <v>765.69195000000002</v>
      </c>
      <c r="AM270" s="1">
        <v>132</v>
      </c>
      <c r="AN270" s="12">
        <v>8.2158499999999997</v>
      </c>
      <c r="AO270" s="3">
        <f t="shared" si="59"/>
        <v>11.309350000000009</v>
      </c>
      <c r="AP270" s="1">
        <f t="shared" si="62"/>
        <v>1.0722949313245582</v>
      </c>
      <c r="AR270" s="11">
        <v>501.29165</v>
      </c>
      <c r="AS270" s="1">
        <v>132</v>
      </c>
      <c r="AT270" s="12">
        <v>59.426819999999999</v>
      </c>
      <c r="AU270" s="3">
        <f t="shared" si="60"/>
        <v>60.081309999999995</v>
      </c>
    </row>
    <row r="271" spans="2:47" ht="16" x14ac:dyDescent="0.2">
      <c r="B271" s="2">
        <v>200.02025</v>
      </c>
      <c r="C271" s="1">
        <v>132.5</v>
      </c>
      <c r="D271" s="5">
        <v>100.06962</v>
      </c>
      <c r="E271" s="3">
        <f t="shared" si="53"/>
        <v>100.78292</v>
      </c>
      <c r="H271" s="4">
        <v>225.00190000000001</v>
      </c>
      <c r="I271" s="1">
        <v>132.5</v>
      </c>
      <c r="J271" s="5">
        <v>94.585840000000005</v>
      </c>
      <c r="K271" s="3">
        <f t="shared" si="54"/>
        <v>98.693420000000003</v>
      </c>
      <c r="L271" s="1">
        <f t="shared" si="49"/>
        <v>2.0495343238574552E-2</v>
      </c>
      <c r="N271" s="4">
        <v>225.01033000000001</v>
      </c>
      <c r="O271" s="1">
        <v>132.5</v>
      </c>
      <c r="P271" s="5">
        <v>100.66432</v>
      </c>
      <c r="Q271" s="3">
        <f t="shared" si="55"/>
        <v>100.79990000000001</v>
      </c>
      <c r="R271" s="1">
        <f t="shared" si="51"/>
        <v>2.5394579742563442E-3</v>
      </c>
      <c r="T271" s="4">
        <v>250.00798</v>
      </c>
      <c r="U271" s="1">
        <v>132.5</v>
      </c>
      <c r="V271" s="3">
        <v>93.347229999999996</v>
      </c>
      <c r="W271" s="3">
        <f t="shared" si="56"/>
        <v>97.504629999999992</v>
      </c>
      <c r="X271" s="1">
        <f t="shared" si="50"/>
        <v>3.7574846610160174E-2</v>
      </c>
      <c r="Z271" s="4">
        <v>250.01908</v>
      </c>
      <c r="AA271" s="1">
        <v>132.5</v>
      </c>
      <c r="AB271" s="3">
        <v>99.946879999999993</v>
      </c>
      <c r="AC271" s="3">
        <f t="shared" si="57"/>
        <v>99.870139999999992</v>
      </c>
      <c r="AD271" s="1">
        <f t="shared" si="52"/>
        <v>1.4417580682812046E-2</v>
      </c>
      <c r="AF271" s="11">
        <v>768.20119</v>
      </c>
      <c r="AG271" s="1">
        <v>132.5</v>
      </c>
      <c r="AH271" s="13">
        <v>7.6269600000000004</v>
      </c>
      <c r="AI271" s="3">
        <f t="shared" si="58"/>
        <v>10.634649999999993</v>
      </c>
      <c r="AJ271" s="1">
        <f t="shared" si="61"/>
        <v>1.0803671260797481</v>
      </c>
      <c r="AL271" s="11">
        <v>768.19731000000002</v>
      </c>
      <c r="AM271" s="1">
        <v>132.5</v>
      </c>
      <c r="AN271" s="13">
        <v>8.1238299999999999</v>
      </c>
      <c r="AO271" s="3">
        <f t="shared" si="59"/>
        <v>11.217330000000004</v>
      </c>
      <c r="AP271" s="1">
        <f t="shared" si="62"/>
        <v>1.073406415807274</v>
      </c>
      <c r="AR271" s="11">
        <v>502.79356999999999</v>
      </c>
      <c r="AS271" s="1">
        <v>132.5</v>
      </c>
      <c r="AT271" s="13">
        <v>59.453650000000003</v>
      </c>
      <c r="AU271" s="3">
        <f t="shared" si="60"/>
        <v>60.108139999999999</v>
      </c>
    </row>
    <row r="272" spans="2:47" ht="16" x14ac:dyDescent="0.2">
      <c r="B272" s="2">
        <v>200.01639</v>
      </c>
      <c r="C272" s="1">
        <v>133</v>
      </c>
      <c r="D272" s="3">
        <v>100.08815</v>
      </c>
      <c r="E272" s="3">
        <f t="shared" si="53"/>
        <v>100.80145</v>
      </c>
      <c r="H272" s="4">
        <v>225.00488000000001</v>
      </c>
      <c r="I272" s="1">
        <v>133</v>
      </c>
      <c r="J272" s="3">
        <v>94.581639999999993</v>
      </c>
      <c r="K272" s="3">
        <f t="shared" si="54"/>
        <v>98.689219999999992</v>
      </c>
      <c r="L272" s="1">
        <f t="shared" si="49"/>
        <v>2.0545916914078789E-2</v>
      </c>
      <c r="N272" s="4">
        <v>225.01203000000001</v>
      </c>
      <c r="O272" s="1">
        <v>133</v>
      </c>
      <c r="P272" s="3">
        <v>100.69949</v>
      </c>
      <c r="Q272" s="3">
        <f t="shared" si="55"/>
        <v>100.83507</v>
      </c>
      <c r="R272" s="1">
        <f t="shared" si="51"/>
        <v>2.1185487091892686E-3</v>
      </c>
      <c r="T272" s="4">
        <v>250.01102</v>
      </c>
      <c r="U272" s="1">
        <v>133</v>
      </c>
      <c r="V272" s="5">
        <v>93.323239999999998</v>
      </c>
      <c r="W272" s="3">
        <f t="shared" si="56"/>
        <v>97.480639999999994</v>
      </c>
      <c r="X272" s="1">
        <f t="shared" si="50"/>
        <v>3.7863038361739577E-2</v>
      </c>
      <c r="Z272" s="4">
        <v>250.01706999999999</v>
      </c>
      <c r="AA272" s="1">
        <v>133</v>
      </c>
      <c r="AB272" s="5">
        <v>99.967079999999996</v>
      </c>
      <c r="AC272" s="3">
        <f t="shared" si="57"/>
        <v>99.890339999999995</v>
      </c>
      <c r="AD272" s="1">
        <f t="shared" si="52"/>
        <v>1.4175982001993399E-2</v>
      </c>
      <c r="AF272" s="11">
        <v>770.70127000000002</v>
      </c>
      <c r="AG272" s="1">
        <v>133</v>
      </c>
      <c r="AH272" s="12">
        <v>7.6437499999999998</v>
      </c>
      <c r="AI272" s="3">
        <f t="shared" si="58"/>
        <v>10.651439999999994</v>
      </c>
      <c r="AJ272" s="1">
        <f t="shared" si="61"/>
        <v>1.0801642021720921</v>
      </c>
      <c r="AL272" s="11">
        <v>770.70586000000003</v>
      </c>
      <c r="AM272" s="1">
        <v>133</v>
      </c>
      <c r="AN272" s="12">
        <v>8.1813199999999995</v>
      </c>
      <c r="AO272" s="3">
        <f t="shared" si="59"/>
        <v>11.274820000000005</v>
      </c>
      <c r="AP272" s="1">
        <f t="shared" si="62"/>
        <v>1.07271200977694</v>
      </c>
      <c r="AR272" s="11">
        <v>504.29559999999998</v>
      </c>
      <c r="AS272" s="1">
        <v>133</v>
      </c>
      <c r="AT272" s="12">
        <v>59.430610000000001</v>
      </c>
      <c r="AU272" s="3">
        <f t="shared" si="60"/>
        <v>60.085099999999997</v>
      </c>
    </row>
    <row r="273" spans="2:47" ht="16" x14ac:dyDescent="0.2">
      <c r="B273" s="2">
        <v>200.01782</v>
      </c>
      <c r="C273" s="1">
        <v>133.5</v>
      </c>
      <c r="D273" s="5">
        <v>100.10821</v>
      </c>
      <c r="E273" s="3">
        <f t="shared" si="53"/>
        <v>100.82151</v>
      </c>
      <c r="H273" s="4">
        <v>225.00604999999999</v>
      </c>
      <c r="I273" s="1">
        <v>133.5</v>
      </c>
      <c r="J273" s="5">
        <v>94.567800000000005</v>
      </c>
      <c r="K273" s="3">
        <f t="shared" si="54"/>
        <v>98.675380000000004</v>
      </c>
      <c r="L273" s="1">
        <f t="shared" si="49"/>
        <v>2.0712569216215952E-2</v>
      </c>
      <c r="N273" s="4">
        <v>225.01483999999999</v>
      </c>
      <c r="O273" s="1">
        <v>133.5</v>
      </c>
      <c r="P273" s="5">
        <v>100.66224</v>
      </c>
      <c r="Q273" s="3">
        <f t="shared" si="55"/>
        <v>100.79782</v>
      </c>
      <c r="R273" s="1">
        <f t="shared" si="51"/>
        <v>2.5643511011071382E-3</v>
      </c>
      <c r="T273" s="4">
        <v>250.01104000000001</v>
      </c>
      <c r="U273" s="1">
        <v>133.5</v>
      </c>
      <c r="V273" s="3">
        <v>93.32517</v>
      </c>
      <c r="W273" s="3">
        <f t="shared" si="56"/>
        <v>97.482569999999996</v>
      </c>
      <c r="X273" s="1">
        <f t="shared" si="50"/>
        <v>3.7839853281266517E-2</v>
      </c>
      <c r="Z273" s="4">
        <v>250.01439999999999</v>
      </c>
      <c r="AA273" s="1">
        <v>133.5</v>
      </c>
      <c r="AB273" s="3">
        <v>99.97054</v>
      </c>
      <c r="AC273" s="3">
        <f t="shared" si="57"/>
        <v>99.893799999999999</v>
      </c>
      <c r="AD273" s="1">
        <f t="shared" si="52"/>
        <v>1.4134599257655112E-2</v>
      </c>
      <c r="AF273" s="11">
        <v>773.20149000000004</v>
      </c>
      <c r="AG273" s="1">
        <v>133.5</v>
      </c>
      <c r="AH273" s="13">
        <v>7.5501300000000002</v>
      </c>
      <c r="AI273" s="3">
        <f t="shared" si="58"/>
        <v>10.557819999999992</v>
      </c>
      <c r="AJ273" s="1">
        <f t="shared" si="61"/>
        <v>1.0812956933117432</v>
      </c>
      <c r="AL273" s="11">
        <v>773.19862999999998</v>
      </c>
      <c r="AM273" s="1">
        <v>133.5</v>
      </c>
      <c r="AN273" s="13">
        <v>8.0862099999999995</v>
      </c>
      <c r="AO273" s="3">
        <f t="shared" si="59"/>
        <v>11.17971</v>
      </c>
      <c r="AP273" s="1">
        <f t="shared" si="62"/>
        <v>1.0738608175268978</v>
      </c>
      <c r="AR273" s="11">
        <v>505.79451</v>
      </c>
      <c r="AS273" s="1">
        <v>133.5</v>
      </c>
      <c r="AT273" s="13">
        <v>59.415759999999999</v>
      </c>
      <c r="AU273" s="3">
        <f t="shared" si="60"/>
        <v>60.070249999999994</v>
      </c>
    </row>
    <row r="274" spans="2:47" ht="16" x14ac:dyDescent="0.2">
      <c r="B274" s="2">
        <v>200.01684</v>
      </c>
      <c r="C274" s="1">
        <v>134</v>
      </c>
      <c r="D274" s="3">
        <v>100.06126</v>
      </c>
      <c r="E274" s="3">
        <f t="shared" si="53"/>
        <v>100.77456000000001</v>
      </c>
      <c r="H274" s="4">
        <v>225.00599</v>
      </c>
      <c r="I274" s="1">
        <v>134</v>
      </c>
      <c r="J274" s="3">
        <v>94.566460000000006</v>
      </c>
      <c r="K274" s="3">
        <f t="shared" si="54"/>
        <v>98.674040000000005</v>
      </c>
      <c r="L274" s="1">
        <f t="shared" si="49"/>
        <v>2.0728704626972006E-2</v>
      </c>
      <c r="N274" s="4">
        <v>225.00972999999999</v>
      </c>
      <c r="O274" s="1">
        <v>134</v>
      </c>
      <c r="P274" s="3">
        <v>100.76537</v>
      </c>
      <c r="Q274" s="3">
        <f t="shared" si="55"/>
        <v>100.90095000000001</v>
      </c>
      <c r="R274" s="1">
        <f t="shared" si="51"/>
        <v>1.3301067875905518E-3</v>
      </c>
      <c r="T274" s="4">
        <v>250.01298</v>
      </c>
      <c r="U274" s="1">
        <v>134</v>
      </c>
      <c r="V274" s="5">
        <v>93.295029999999997</v>
      </c>
      <c r="W274" s="3">
        <f t="shared" si="56"/>
        <v>97.452429999999993</v>
      </c>
      <c r="X274" s="1">
        <f t="shared" si="50"/>
        <v>3.8201924952488073E-2</v>
      </c>
      <c r="Z274" s="4">
        <v>250.01312999999999</v>
      </c>
      <c r="AA274" s="1">
        <v>134</v>
      </c>
      <c r="AB274" s="5">
        <v>100.05315</v>
      </c>
      <c r="AC274" s="3">
        <f t="shared" si="57"/>
        <v>99.976410000000001</v>
      </c>
      <c r="AD274" s="1">
        <f t="shared" si="52"/>
        <v>1.3146556335752813E-2</v>
      </c>
      <c r="AF274" s="11">
        <v>775.70699000000002</v>
      </c>
      <c r="AG274" s="1">
        <v>134</v>
      </c>
      <c r="AH274" s="12">
        <v>7.5748899999999999</v>
      </c>
      <c r="AI274" s="3">
        <f t="shared" si="58"/>
        <v>10.582579999999993</v>
      </c>
      <c r="AJ274" s="1">
        <f t="shared" si="61"/>
        <v>1.0809964439994408</v>
      </c>
      <c r="AL274" s="11">
        <v>775.70500000000004</v>
      </c>
      <c r="AM274" s="1">
        <v>134</v>
      </c>
      <c r="AN274" s="12">
        <v>8.1207600000000006</v>
      </c>
      <c r="AO274" s="3">
        <f t="shared" si="59"/>
        <v>11.21426000000001</v>
      </c>
      <c r="AP274" s="1">
        <f t="shared" si="62"/>
        <v>1.0734434974999705</v>
      </c>
      <c r="AR274" s="11">
        <v>507.29458</v>
      </c>
      <c r="AS274" s="1">
        <v>134</v>
      </c>
      <c r="AT274" s="12">
        <v>59.422440000000002</v>
      </c>
      <c r="AU274" s="3">
        <f t="shared" si="60"/>
        <v>60.076929999999997</v>
      </c>
    </row>
    <row r="275" spans="2:47" ht="16" x14ac:dyDescent="0.2">
      <c r="B275" s="2">
        <v>200.01562999999999</v>
      </c>
      <c r="C275" s="1">
        <v>134.5</v>
      </c>
      <c r="D275" s="5">
        <v>99.991129999999998</v>
      </c>
      <c r="E275" s="3">
        <f t="shared" si="53"/>
        <v>100.70443</v>
      </c>
      <c r="H275" s="4">
        <v>225.00586999999999</v>
      </c>
      <c r="I275" s="1">
        <v>134.5</v>
      </c>
      <c r="J275" s="5">
        <v>94.552080000000004</v>
      </c>
      <c r="K275" s="3">
        <f t="shared" si="54"/>
        <v>98.659660000000002</v>
      </c>
      <c r="L275" s="1">
        <f t="shared" si="49"/>
        <v>2.0901859258817018E-2</v>
      </c>
      <c r="N275" s="4">
        <v>225.01042000000001</v>
      </c>
      <c r="O275" s="1">
        <v>134.5</v>
      </c>
      <c r="P275" s="5">
        <v>100.75225</v>
      </c>
      <c r="Q275" s="3">
        <f t="shared" si="55"/>
        <v>100.88783000000001</v>
      </c>
      <c r="R275" s="1">
        <f t="shared" si="51"/>
        <v>1.4871249723412288E-3</v>
      </c>
      <c r="T275" s="4">
        <v>250.00400999999999</v>
      </c>
      <c r="U275" s="1">
        <v>134.5</v>
      </c>
      <c r="V275" s="3">
        <v>93.286910000000006</v>
      </c>
      <c r="W275" s="3">
        <f t="shared" si="56"/>
        <v>97.444310000000002</v>
      </c>
      <c r="X275" s="1">
        <f t="shared" si="50"/>
        <v>3.8299470472405638E-2</v>
      </c>
      <c r="Z275" s="4">
        <v>250.01420999999999</v>
      </c>
      <c r="AA275" s="1">
        <v>134.5</v>
      </c>
      <c r="AB275" s="3">
        <v>99.833770000000001</v>
      </c>
      <c r="AC275" s="3">
        <f t="shared" si="57"/>
        <v>99.75703</v>
      </c>
      <c r="AD275" s="1">
        <f t="shared" si="52"/>
        <v>1.5770413692088859E-2</v>
      </c>
      <c r="AF275" s="11">
        <v>778.20911000000001</v>
      </c>
      <c r="AG275" s="1">
        <v>134.5</v>
      </c>
      <c r="AH275" s="13">
        <v>7.5403900000000004</v>
      </c>
      <c r="AI275" s="3">
        <f t="shared" si="58"/>
        <v>10.548079999999999</v>
      </c>
      <c r="AJ275" s="1">
        <f t="shared" si="61"/>
        <v>1.08141341093298</v>
      </c>
      <c r="AL275" s="11">
        <v>778.20646999999997</v>
      </c>
      <c r="AM275" s="1">
        <v>134.5</v>
      </c>
      <c r="AN275" s="13">
        <v>8.0763800000000003</v>
      </c>
      <c r="AO275" s="3">
        <f t="shared" si="59"/>
        <v>11.169880000000006</v>
      </c>
      <c r="AP275" s="1">
        <f t="shared" si="62"/>
        <v>1.0739795514158903</v>
      </c>
      <c r="AR275" s="11">
        <v>508.79847000000001</v>
      </c>
      <c r="AS275" s="1">
        <v>134.5</v>
      </c>
      <c r="AT275" s="13">
        <v>59.41713</v>
      </c>
      <c r="AU275" s="3">
        <f t="shared" si="60"/>
        <v>60.071619999999996</v>
      </c>
    </row>
    <row r="276" spans="2:47" ht="16" x14ac:dyDescent="0.2">
      <c r="B276" s="2">
        <v>200.01857999999999</v>
      </c>
      <c r="C276" s="1">
        <v>135</v>
      </c>
      <c r="D276" s="3">
        <v>99.989069999999998</v>
      </c>
      <c r="E276" s="3">
        <f t="shared" si="53"/>
        <v>100.70237</v>
      </c>
      <c r="H276" s="4">
        <v>225.00601</v>
      </c>
      <c r="I276" s="1">
        <v>135</v>
      </c>
      <c r="J276" s="3">
        <v>94.562569999999994</v>
      </c>
      <c r="K276" s="3">
        <f t="shared" si="54"/>
        <v>98.670149999999992</v>
      </c>
      <c r="L276" s="1">
        <f t="shared" si="49"/>
        <v>2.0775545483570003E-2</v>
      </c>
      <c r="N276" s="4">
        <v>225.01130000000001</v>
      </c>
      <c r="O276" s="1">
        <v>135</v>
      </c>
      <c r="P276" s="3">
        <v>100.68274</v>
      </c>
      <c r="Q276" s="3">
        <f t="shared" si="55"/>
        <v>100.81832</v>
      </c>
      <c r="R276" s="1">
        <f t="shared" si="51"/>
        <v>2.3190101874342372E-3</v>
      </c>
      <c r="T276" s="4">
        <v>250.00798</v>
      </c>
      <c r="U276" s="1">
        <v>135</v>
      </c>
      <c r="V276" s="5">
        <v>93.291110000000003</v>
      </c>
      <c r="W276" s="3">
        <f t="shared" si="56"/>
        <v>97.448509999999999</v>
      </c>
      <c r="X276" s="1">
        <f t="shared" si="50"/>
        <v>3.8249015893137908E-2</v>
      </c>
      <c r="Z276" s="4">
        <v>250.01428000000001</v>
      </c>
      <c r="AA276" s="1">
        <v>135</v>
      </c>
      <c r="AB276" s="5">
        <v>99.935490000000001</v>
      </c>
      <c r="AC276" s="3">
        <f t="shared" si="57"/>
        <v>99.858750000000001</v>
      </c>
      <c r="AD276" s="1">
        <f t="shared" si="52"/>
        <v>1.4553808849867591E-2</v>
      </c>
      <c r="AF276" s="11">
        <v>780.71169999999995</v>
      </c>
      <c r="AG276" s="1">
        <v>135</v>
      </c>
      <c r="AH276" s="12">
        <v>7.5342799999999999</v>
      </c>
      <c r="AI276" s="3">
        <f t="shared" si="58"/>
        <v>10.541969999999992</v>
      </c>
      <c r="AJ276" s="1">
        <f t="shared" si="61"/>
        <v>1.0814872563812099</v>
      </c>
      <c r="AL276" s="11">
        <v>780.71425999999997</v>
      </c>
      <c r="AM276" s="1">
        <v>135</v>
      </c>
      <c r="AN276" s="12">
        <v>8.0365300000000008</v>
      </c>
      <c r="AO276" s="3">
        <f t="shared" si="59"/>
        <v>11.130030000000005</v>
      </c>
      <c r="AP276" s="1">
        <f t="shared" si="62"/>
        <v>1.0744608886973097</v>
      </c>
      <c r="AR276" s="11">
        <v>510.30140999999998</v>
      </c>
      <c r="AS276" s="1">
        <v>135</v>
      </c>
      <c r="AT276" s="12">
        <v>59.386580000000002</v>
      </c>
      <c r="AU276" s="3">
        <f t="shared" si="60"/>
        <v>60.041069999999998</v>
      </c>
    </row>
    <row r="277" spans="2:47" ht="16" x14ac:dyDescent="0.2">
      <c r="B277" s="2">
        <v>200.02059</v>
      </c>
      <c r="C277" s="1">
        <v>135.5</v>
      </c>
      <c r="D277" s="5">
        <v>100.12685</v>
      </c>
      <c r="E277" s="3">
        <f t="shared" si="53"/>
        <v>100.84015000000001</v>
      </c>
      <c r="H277" s="4">
        <v>225.01094000000001</v>
      </c>
      <c r="I277" s="1">
        <v>135.5</v>
      </c>
      <c r="J277" s="5">
        <v>94.560720000000003</v>
      </c>
      <c r="K277" s="3">
        <f t="shared" si="54"/>
        <v>98.668300000000002</v>
      </c>
      <c r="L277" s="1">
        <f t="shared" ref="L277:L340" si="63">($K$20-K277)/($K$20*(1-$M$1))</f>
        <v>2.0797821983494308E-2</v>
      </c>
      <c r="N277" s="4">
        <v>225.00928999999999</v>
      </c>
      <c r="O277" s="1">
        <v>135.5</v>
      </c>
      <c r="P277" s="5">
        <v>100.75687000000001</v>
      </c>
      <c r="Q277" s="3">
        <f t="shared" si="55"/>
        <v>100.89245000000001</v>
      </c>
      <c r="R277" s="1">
        <f t="shared" si="51"/>
        <v>1.4318335078939331E-3</v>
      </c>
      <c r="T277" s="4">
        <v>250.00801000000001</v>
      </c>
      <c r="U277" s="1">
        <v>135.5</v>
      </c>
      <c r="V277" s="3">
        <v>93.268680000000003</v>
      </c>
      <c r="W277" s="3">
        <f t="shared" si="56"/>
        <v>97.426079999999999</v>
      </c>
      <c r="X277" s="1">
        <f t="shared" si="50"/>
        <v>3.8518467372417889E-2</v>
      </c>
      <c r="Z277" s="4">
        <v>250.01524000000001</v>
      </c>
      <c r="AA277" s="1">
        <v>135.5</v>
      </c>
      <c r="AB277" s="3">
        <v>99.916089999999997</v>
      </c>
      <c r="AC277" s="3">
        <f t="shared" si="57"/>
        <v>99.839349999999996</v>
      </c>
      <c r="AD277" s="1">
        <f t="shared" si="52"/>
        <v>1.4785839266099384E-2</v>
      </c>
      <c r="AF277" s="11">
        <v>783.21749</v>
      </c>
      <c r="AG277" s="1">
        <v>135.5</v>
      </c>
      <c r="AH277" s="13">
        <v>7.5768800000000001</v>
      </c>
      <c r="AI277" s="3">
        <f t="shared" si="58"/>
        <v>10.584569999999999</v>
      </c>
      <c r="AJ277" s="1">
        <f t="shared" si="61"/>
        <v>1.0809723928632742</v>
      </c>
      <c r="AL277" s="11">
        <v>783.21798999999999</v>
      </c>
      <c r="AM277" s="1">
        <v>135.5</v>
      </c>
      <c r="AN277" s="13">
        <v>8.0678800000000006</v>
      </c>
      <c r="AO277" s="3">
        <f t="shared" si="59"/>
        <v>11.161380000000008</v>
      </c>
      <c r="AP277" s="1">
        <f t="shared" si="62"/>
        <v>1.0740822205976233</v>
      </c>
      <c r="AR277" s="11">
        <v>511.80238000000003</v>
      </c>
      <c r="AS277" s="1">
        <v>135.5</v>
      </c>
      <c r="AT277" s="13">
        <v>59.416499999999999</v>
      </c>
      <c r="AU277" s="3">
        <f t="shared" si="60"/>
        <v>60.070989999999995</v>
      </c>
    </row>
    <row r="278" spans="2:47" ht="16" x14ac:dyDescent="0.2">
      <c r="B278" s="2">
        <v>200.01463000000001</v>
      </c>
      <c r="C278" s="1">
        <v>136</v>
      </c>
      <c r="D278" s="3">
        <v>100.01018999999999</v>
      </c>
      <c r="E278" s="3">
        <f t="shared" si="53"/>
        <v>100.72349</v>
      </c>
      <c r="H278" s="4">
        <v>225.00801999999999</v>
      </c>
      <c r="I278" s="1">
        <v>136</v>
      </c>
      <c r="J278" s="3">
        <v>94.515820000000005</v>
      </c>
      <c r="K278" s="3">
        <f t="shared" si="54"/>
        <v>98.623400000000004</v>
      </c>
      <c r="L278" s="1">
        <f t="shared" si="63"/>
        <v>2.1338478657335708E-2</v>
      </c>
      <c r="N278" s="4">
        <v>225.01140000000001</v>
      </c>
      <c r="O278" s="1">
        <v>136</v>
      </c>
      <c r="P278" s="3">
        <v>100.86538</v>
      </c>
      <c r="Q278" s="3">
        <f t="shared" si="55"/>
        <v>101.00096000000001</v>
      </c>
      <c r="R278" s="1">
        <f t="shared" si="51"/>
        <v>1.3320216435015625E-4</v>
      </c>
      <c r="T278" s="4">
        <v>250.01096000000001</v>
      </c>
      <c r="U278" s="1">
        <v>136</v>
      </c>
      <c r="V278" s="5">
        <v>93.240949999999998</v>
      </c>
      <c r="W278" s="3">
        <f t="shared" si="56"/>
        <v>97.398349999999994</v>
      </c>
      <c r="X278" s="1">
        <f t="shared" ref="X278:X341" si="64">($W$21-W278)/($W$21*(1-$M$1))</f>
        <v>3.8851587725535826E-2</v>
      </c>
      <c r="Z278" s="4">
        <v>250.01563999999999</v>
      </c>
      <c r="AA278" s="1">
        <v>136</v>
      </c>
      <c r="AB278" s="5">
        <v>99.965019999999996</v>
      </c>
      <c r="AC278" s="3">
        <f t="shared" si="57"/>
        <v>99.888279999999995</v>
      </c>
      <c r="AD278" s="1">
        <f t="shared" si="52"/>
        <v>1.4200620283304606E-2</v>
      </c>
      <c r="AF278" s="11">
        <v>785.71579999999994</v>
      </c>
      <c r="AG278" s="1">
        <v>136</v>
      </c>
      <c r="AH278" s="12">
        <v>7.5146800000000002</v>
      </c>
      <c r="AI278" s="3">
        <f t="shared" si="58"/>
        <v>10.522369999999995</v>
      </c>
      <c r="AJ278" s="1">
        <f t="shared" si="61"/>
        <v>1.0817241419434527</v>
      </c>
      <c r="AL278" s="11">
        <v>785.71888999999999</v>
      </c>
      <c r="AM278" s="1">
        <v>136</v>
      </c>
      <c r="AN278" s="12">
        <v>8.0523799999999994</v>
      </c>
      <c r="AO278" s="3">
        <f t="shared" si="59"/>
        <v>11.145880000000005</v>
      </c>
      <c r="AP278" s="1">
        <f t="shared" si="62"/>
        <v>1.0742694408701956</v>
      </c>
      <c r="AR278" s="11">
        <v>513.30871999999999</v>
      </c>
      <c r="AS278" s="1">
        <v>136</v>
      </c>
      <c r="AT278" s="12">
        <v>59.390270000000001</v>
      </c>
      <c r="AU278" s="3">
        <f t="shared" si="60"/>
        <v>60.044759999999997</v>
      </c>
    </row>
    <row r="279" spans="2:47" ht="16" x14ac:dyDescent="0.2">
      <c r="B279" s="2">
        <v>200.01258000000001</v>
      </c>
      <c r="C279" s="1">
        <v>136.5</v>
      </c>
      <c r="D279" s="5">
        <v>99.942719999999994</v>
      </c>
      <c r="E279" s="3">
        <f t="shared" si="53"/>
        <v>100.65602</v>
      </c>
      <c r="H279" s="4">
        <v>225.00094999999999</v>
      </c>
      <c r="I279" s="1">
        <v>136.5</v>
      </c>
      <c r="J279" s="5">
        <v>94.534980000000004</v>
      </c>
      <c r="K279" s="3">
        <f t="shared" si="54"/>
        <v>98.642560000000003</v>
      </c>
      <c r="L279" s="1">
        <f t="shared" si="63"/>
        <v>2.1107766366226549E-2</v>
      </c>
      <c r="N279" s="4">
        <v>225.01523</v>
      </c>
      <c r="O279" s="1">
        <v>136.5</v>
      </c>
      <c r="P279" s="5">
        <v>100.7009</v>
      </c>
      <c r="Q279" s="3">
        <f t="shared" si="55"/>
        <v>100.83648000000001</v>
      </c>
      <c r="R279" s="1">
        <f t="shared" si="51"/>
        <v>2.1016740414682667E-3</v>
      </c>
      <c r="T279" s="4">
        <v>250.01105999999999</v>
      </c>
      <c r="U279" s="1">
        <v>136.5</v>
      </c>
      <c r="V279" s="3">
        <v>93.232690000000005</v>
      </c>
      <c r="W279" s="3">
        <f t="shared" si="56"/>
        <v>97.390090000000001</v>
      </c>
      <c r="X279" s="1">
        <f t="shared" si="64"/>
        <v>3.8950815064762341E-2</v>
      </c>
      <c r="Z279" s="4">
        <v>250.01605000000001</v>
      </c>
      <c r="AA279" s="1">
        <v>136.5</v>
      </c>
      <c r="AB279" s="3">
        <v>99.842470000000006</v>
      </c>
      <c r="AC279" s="3">
        <f t="shared" si="57"/>
        <v>99.765730000000005</v>
      </c>
      <c r="AD279" s="1">
        <f t="shared" si="52"/>
        <v>1.566635881470653E-2</v>
      </c>
      <c r="AF279" s="11">
        <v>788.21675000000005</v>
      </c>
      <c r="AG279" s="1">
        <v>136.5</v>
      </c>
      <c r="AH279" s="13">
        <v>7.4830699999999997</v>
      </c>
      <c r="AI279" s="3">
        <f t="shared" si="58"/>
        <v>10.490759999999995</v>
      </c>
      <c r="AJ279" s="1">
        <f t="shared" si="61"/>
        <v>1.0821061803425593</v>
      </c>
      <c r="AL279" s="11">
        <v>788.22139000000004</v>
      </c>
      <c r="AM279" s="1">
        <v>136.5</v>
      </c>
      <c r="AN279" s="13">
        <v>8.0229499999999998</v>
      </c>
      <c r="AO279" s="3">
        <f t="shared" si="59"/>
        <v>11.11645</v>
      </c>
      <c r="AP279" s="1">
        <f t="shared" si="62"/>
        <v>1.0746249178135376</v>
      </c>
      <c r="AR279" s="11">
        <v>514.80650000000003</v>
      </c>
      <c r="AS279" s="1">
        <v>136.5</v>
      </c>
      <c r="AT279" s="13">
        <v>59.353230000000003</v>
      </c>
      <c r="AU279" s="3">
        <f t="shared" si="60"/>
        <v>60.007719999999999</v>
      </c>
    </row>
    <row r="280" spans="2:47" ht="16" x14ac:dyDescent="0.2">
      <c r="B280" s="2">
        <v>200.01773</v>
      </c>
      <c r="C280" s="1">
        <v>137</v>
      </c>
      <c r="D280" s="3">
        <v>100.08873</v>
      </c>
      <c r="E280" s="3">
        <f t="shared" si="53"/>
        <v>100.80203</v>
      </c>
      <c r="H280" s="4">
        <v>225.00711999999999</v>
      </c>
      <c r="I280" s="1">
        <v>137</v>
      </c>
      <c r="J280" s="3">
        <v>94.571150000000003</v>
      </c>
      <c r="K280" s="3">
        <f t="shared" si="54"/>
        <v>98.678730000000002</v>
      </c>
      <c r="L280" s="1">
        <f t="shared" si="63"/>
        <v>2.0672230689325808E-2</v>
      </c>
      <c r="N280" s="4">
        <v>225.01718</v>
      </c>
      <c r="O280" s="1">
        <v>137</v>
      </c>
      <c r="P280" s="3">
        <v>100.62587000000001</v>
      </c>
      <c r="Q280" s="3">
        <f t="shared" si="55"/>
        <v>100.76145000000001</v>
      </c>
      <c r="R280" s="1">
        <f t="shared" si="51"/>
        <v>2.9996217855111315E-3</v>
      </c>
      <c r="T280" s="4">
        <v>250.00604000000001</v>
      </c>
      <c r="U280" s="1">
        <v>137</v>
      </c>
      <c r="V280" s="5">
        <v>93.192629999999994</v>
      </c>
      <c r="W280" s="3">
        <f t="shared" si="56"/>
        <v>97.35002999999999</v>
      </c>
      <c r="X280" s="1">
        <f t="shared" si="64"/>
        <v>3.943205564701642E-2</v>
      </c>
      <c r="Z280" s="4">
        <v>250.01712000000001</v>
      </c>
      <c r="AA280" s="1">
        <v>137</v>
      </c>
      <c r="AB280" s="5">
        <v>99.961969999999994</v>
      </c>
      <c r="AC280" s="3">
        <f t="shared" si="57"/>
        <v>99.885229999999993</v>
      </c>
      <c r="AD280" s="1">
        <f t="shared" si="52"/>
        <v>1.4237099292042091E-2</v>
      </c>
      <c r="AF280" s="11">
        <v>790.72472000000005</v>
      </c>
      <c r="AG280" s="1">
        <v>137</v>
      </c>
      <c r="AH280" s="12">
        <v>7.5070399999999999</v>
      </c>
      <c r="AI280" s="3">
        <f t="shared" si="58"/>
        <v>10.51473</v>
      </c>
      <c r="AJ280" s="1">
        <f t="shared" si="61"/>
        <v>1.0818164789687348</v>
      </c>
      <c r="AL280" s="11">
        <v>790.72504000000004</v>
      </c>
      <c r="AM280" s="1">
        <v>137</v>
      </c>
      <c r="AN280" s="12">
        <v>8.0123300000000004</v>
      </c>
      <c r="AO280" s="3">
        <f t="shared" si="59"/>
        <v>11.105830000000012</v>
      </c>
      <c r="AP280" s="1">
        <f t="shared" si="62"/>
        <v>1.0747531938970676</v>
      </c>
      <c r="AR280" s="11">
        <v>516.30723999999998</v>
      </c>
      <c r="AS280" s="1">
        <v>137</v>
      </c>
      <c r="AT280" s="12">
        <v>59.419170000000001</v>
      </c>
      <c r="AU280" s="3">
        <f t="shared" si="60"/>
        <v>60.073659999999997</v>
      </c>
    </row>
    <row r="281" spans="2:47" ht="16" x14ac:dyDescent="0.2">
      <c r="B281" s="2">
        <v>200.02029999999999</v>
      </c>
      <c r="C281" s="1">
        <v>137.5</v>
      </c>
      <c r="D281" s="5">
        <v>99.886880000000005</v>
      </c>
      <c r="E281" s="3">
        <f t="shared" si="53"/>
        <v>100.60018000000001</v>
      </c>
      <c r="H281" s="4">
        <v>225.00199000000001</v>
      </c>
      <c r="I281" s="1">
        <v>137.5</v>
      </c>
      <c r="J281" s="5">
        <v>94.515079999999998</v>
      </c>
      <c r="K281" s="3">
        <f t="shared" si="54"/>
        <v>98.622659999999996</v>
      </c>
      <c r="L281" s="1">
        <f t="shared" si="63"/>
        <v>2.1347389257305567E-2</v>
      </c>
      <c r="N281" s="4">
        <v>225.01845</v>
      </c>
      <c r="O281" s="1">
        <v>137.5</v>
      </c>
      <c r="P281" s="5">
        <v>100.7615</v>
      </c>
      <c r="Q281" s="3">
        <f t="shared" si="55"/>
        <v>100.89708</v>
      </c>
      <c r="R281" s="1">
        <f t="shared" si="51"/>
        <v>1.3764223649522949E-3</v>
      </c>
      <c r="T281" s="4">
        <v>250.00299999999999</v>
      </c>
      <c r="U281" s="1">
        <v>137.5</v>
      </c>
      <c r="V281" s="3">
        <v>93.174689999999998</v>
      </c>
      <c r="W281" s="3">
        <f t="shared" si="56"/>
        <v>97.332089999999994</v>
      </c>
      <c r="X281" s="1">
        <f t="shared" si="64"/>
        <v>3.9647568778460103E-2</v>
      </c>
      <c r="Z281" s="4">
        <v>250.01496</v>
      </c>
      <c r="AA281" s="1">
        <v>137.5</v>
      </c>
      <c r="AB281" s="3">
        <v>99.907070000000004</v>
      </c>
      <c r="AC281" s="3">
        <f t="shared" si="57"/>
        <v>99.830330000000004</v>
      </c>
      <c r="AD281" s="1">
        <f t="shared" si="52"/>
        <v>1.4893721449316319E-2</v>
      </c>
      <c r="AF281" s="11">
        <v>793.22349999999994</v>
      </c>
      <c r="AG281" s="1">
        <v>137.5</v>
      </c>
      <c r="AH281" s="13">
        <v>7.4825999999999997</v>
      </c>
      <c r="AI281" s="3">
        <f t="shared" si="58"/>
        <v>10.490290000000002</v>
      </c>
      <c r="AJ281" s="1">
        <f t="shared" si="61"/>
        <v>1.0821118607616538</v>
      </c>
      <c r="AL281" s="11">
        <v>793.22729000000004</v>
      </c>
      <c r="AM281" s="1">
        <v>137.5</v>
      </c>
      <c r="AN281" s="13">
        <v>7.9872199999999998</v>
      </c>
      <c r="AO281" s="3">
        <f t="shared" si="59"/>
        <v>11.080719999999999</v>
      </c>
      <c r="AP281" s="1">
        <f t="shared" si="62"/>
        <v>1.0750564907386346</v>
      </c>
      <c r="AR281" s="11">
        <v>517.80728999999997</v>
      </c>
      <c r="AS281" s="1">
        <v>137.5</v>
      </c>
      <c r="AT281" s="13">
        <v>59.411520000000003</v>
      </c>
      <c r="AU281" s="3">
        <f t="shared" si="60"/>
        <v>60.066009999999999</v>
      </c>
    </row>
    <row r="282" spans="2:47" ht="16" x14ac:dyDescent="0.2">
      <c r="B282" s="2">
        <v>200.02090000000001</v>
      </c>
      <c r="C282" s="1">
        <v>138</v>
      </c>
      <c r="D282" s="3">
        <v>99.953580000000002</v>
      </c>
      <c r="E282" s="3">
        <f t="shared" si="53"/>
        <v>100.66688000000001</v>
      </c>
      <c r="H282" s="4">
        <v>225.00606999999999</v>
      </c>
      <c r="I282" s="1">
        <v>138</v>
      </c>
      <c r="J282" s="3">
        <v>94.54374</v>
      </c>
      <c r="K282" s="3">
        <f t="shared" si="54"/>
        <v>98.651319999999998</v>
      </c>
      <c r="L282" s="1">
        <f t="shared" si="63"/>
        <v>2.1002284128746631E-2</v>
      </c>
      <c r="N282" s="4">
        <v>225.02091999999999</v>
      </c>
      <c r="O282" s="1">
        <v>138</v>
      </c>
      <c r="P282" s="3">
        <v>100.64997</v>
      </c>
      <c r="Q282" s="3">
        <f t="shared" si="55"/>
        <v>100.78555</v>
      </c>
      <c r="R282" s="1">
        <f t="shared" ref="R282:R345" si="65">($Q$218-Q282)/($Q$218*(1-$M$1))</f>
        <v>2.711196613827477E-3</v>
      </c>
      <c r="T282" s="4">
        <v>250.00702000000001</v>
      </c>
      <c r="U282" s="1">
        <v>138</v>
      </c>
      <c r="V282" s="5">
        <v>93.154570000000007</v>
      </c>
      <c r="W282" s="3">
        <f t="shared" si="56"/>
        <v>97.311970000000002</v>
      </c>
      <c r="X282" s="1">
        <f t="shared" si="64"/>
        <v>3.988927023914271E-2</v>
      </c>
      <c r="Z282" s="4">
        <v>250.01687000000001</v>
      </c>
      <c r="AA282" s="1">
        <v>138</v>
      </c>
      <c r="AB282" s="5">
        <v>99.900580000000005</v>
      </c>
      <c r="AC282" s="3">
        <f t="shared" si="57"/>
        <v>99.823840000000004</v>
      </c>
      <c r="AD282" s="1">
        <f t="shared" si="52"/>
        <v>1.4971343995777344E-2</v>
      </c>
      <c r="AF282" s="11">
        <v>795.71623999999997</v>
      </c>
      <c r="AG282" s="1">
        <v>138</v>
      </c>
      <c r="AH282" s="12">
        <v>7.4456899999999999</v>
      </c>
      <c r="AI282" s="3">
        <f t="shared" si="58"/>
        <v>10.453379999999996</v>
      </c>
      <c r="AJ282" s="1">
        <f t="shared" si="61"/>
        <v>1.0825579549505506</v>
      </c>
      <c r="AL282" s="11">
        <v>795.72486000000004</v>
      </c>
      <c r="AM282" s="1">
        <v>138</v>
      </c>
      <c r="AN282" s="12">
        <v>7.9625300000000001</v>
      </c>
      <c r="AO282" s="3">
        <f t="shared" si="59"/>
        <v>11.056030000000007</v>
      </c>
      <c r="AP282" s="1">
        <f t="shared" si="62"/>
        <v>1.0753547145147511</v>
      </c>
      <c r="AR282" s="11">
        <v>519.30957999999998</v>
      </c>
      <c r="AS282" s="1">
        <v>138</v>
      </c>
      <c r="AT282" s="12">
        <v>59.410490000000003</v>
      </c>
      <c r="AU282" s="3">
        <f t="shared" si="60"/>
        <v>60.064979999999998</v>
      </c>
    </row>
    <row r="283" spans="2:47" ht="16" x14ac:dyDescent="0.2">
      <c r="B283" s="2">
        <v>200.02094</v>
      </c>
      <c r="C283" s="1">
        <v>138.5</v>
      </c>
      <c r="D283" s="5">
        <v>100.11694</v>
      </c>
      <c r="E283" s="3">
        <f t="shared" si="53"/>
        <v>100.83024</v>
      </c>
      <c r="H283" s="4">
        <v>225.00708</v>
      </c>
      <c r="I283" s="1">
        <v>138.5</v>
      </c>
      <c r="J283" s="5">
        <v>94.520979999999994</v>
      </c>
      <c r="K283" s="3">
        <f t="shared" si="54"/>
        <v>98.628559999999993</v>
      </c>
      <c r="L283" s="1">
        <f t="shared" si="63"/>
        <v>2.1276345284573658E-2</v>
      </c>
      <c r="N283" s="4">
        <v>225.02012999999999</v>
      </c>
      <c r="O283" s="1">
        <v>138.5</v>
      </c>
      <c r="P283" s="5">
        <v>100.67913</v>
      </c>
      <c r="Q283" s="3">
        <f t="shared" si="55"/>
        <v>100.81471000000001</v>
      </c>
      <c r="R283" s="1">
        <f t="shared" si="65"/>
        <v>2.3622141239395037E-3</v>
      </c>
      <c r="T283" s="4">
        <v>250.00200000000001</v>
      </c>
      <c r="U283" s="1">
        <v>138.5</v>
      </c>
      <c r="V283" s="3">
        <v>93.148570000000007</v>
      </c>
      <c r="W283" s="3">
        <f t="shared" si="56"/>
        <v>97.305970000000002</v>
      </c>
      <c r="X283" s="1">
        <f t="shared" si="64"/>
        <v>3.9961348209525231E-2</v>
      </c>
      <c r="Z283" s="4">
        <v>250.01882000000001</v>
      </c>
      <c r="AA283" s="1">
        <v>138.5</v>
      </c>
      <c r="AB283" s="3">
        <v>99.876270000000005</v>
      </c>
      <c r="AC283" s="3">
        <f t="shared" si="57"/>
        <v>99.799530000000004</v>
      </c>
      <c r="AD283" s="1">
        <f t="shared" si="52"/>
        <v>1.5262099635911032E-2</v>
      </c>
      <c r="AF283" s="11">
        <v>798.22185000000002</v>
      </c>
      <c r="AG283" s="1">
        <v>138.5</v>
      </c>
      <c r="AH283" s="13">
        <v>7.4604499999999998</v>
      </c>
      <c r="AI283" s="3">
        <f t="shared" si="58"/>
        <v>10.468139999999991</v>
      </c>
      <c r="AJ283" s="1">
        <f t="shared" si="61"/>
        <v>1.0823795656189843</v>
      </c>
      <c r="AL283" s="11">
        <v>798.22778000000005</v>
      </c>
      <c r="AM283" s="1">
        <v>138.5</v>
      </c>
      <c r="AN283" s="13">
        <v>8.0070599999999992</v>
      </c>
      <c r="AO283" s="3">
        <f t="shared" si="59"/>
        <v>11.100560000000002</v>
      </c>
      <c r="AP283" s="1">
        <f t="shared" si="62"/>
        <v>1.0748168487897423</v>
      </c>
      <c r="AR283" s="11">
        <v>520.81448</v>
      </c>
      <c r="AS283" s="1">
        <v>138.5</v>
      </c>
      <c r="AT283" s="13">
        <v>59.396000000000001</v>
      </c>
      <c r="AU283" s="3">
        <f t="shared" si="60"/>
        <v>60.050489999999996</v>
      </c>
    </row>
    <row r="284" spans="2:47" ht="16" x14ac:dyDescent="0.2">
      <c r="B284" s="2">
        <v>200.0256</v>
      </c>
      <c r="C284" s="1">
        <v>139</v>
      </c>
      <c r="D284" s="3">
        <v>99.957260000000005</v>
      </c>
      <c r="E284" s="3">
        <f t="shared" si="53"/>
        <v>100.67056000000001</v>
      </c>
      <c r="H284" s="4">
        <v>225.00700000000001</v>
      </c>
      <c r="I284" s="1">
        <v>139</v>
      </c>
      <c r="J284" s="3">
        <v>94.505960000000002</v>
      </c>
      <c r="K284" s="3">
        <f t="shared" si="54"/>
        <v>98.61354</v>
      </c>
      <c r="L284" s="1">
        <f t="shared" si="63"/>
        <v>2.1457206381257268E-2</v>
      </c>
      <c r="N284" s="4">
        <v>225.01478</v>
      </c>
      <c r="O284" s="1">
        <v>139</v>
      </c>
      <c r="P284" s="3">
        <v>100.65007</v>
      </c>
      <c r="Q284" s="3">
        <f t="shared" si="55"/>
        <v>100.78565</v>
      </c>
      <c r="R284" s="1">
        <f t="shared" si="65"/>
        <v>2.709999828882691E-3</v>
      </c>
      <c r="T284" s="4">
        <v>250.00400999999999</v>
      </c>
      <c r="U284" s="1">
        <v>139</v>
      </c>
      <c r="V284" s="5">
        <v>93.146619999999999</v>
      </c>
      <c r="W284" s="3">
        <f t="shared" si="56"/>
        <v>97.304019999999994</v>
      </c>
      <c r="X284" s="1">
        <f t="shared" si="64"/>
        <v>3.9984773549899648E-2</v>
      </c>
      <c r="Z284" s="4">
        <v>250.01775000000001</v>
      </c>
      <c r="AA284" s="1">
        <v>139</v>
      </c>
      <c r="AB284" s="5">
        <v>99.977599999999995</v>
      </c>
      <c r="AC284" s="3">
        <f t="shared" si="57"/>
        <v>99.900859999999994</v>
      </c>
      <c r="AD284" s="1">
        <f t="shared" si="52"/>
        <v>1.4050159322675986E-2</v>
      </c>
      <c r="AR284" s="11">
        <v>522.31654000000003</v>
      </c>
      <c r="AS284" s="1">
        <v>139</v>
      </c>
      <c r="AT284" s="12">
        <v>59.396279999999997</v>
      </c>
      <c r="AU284" s="3">
        <f t="shared" si="60"/>
        <v>60.050769999999993</v>
      </c>
    </row>
    <row r="285" spans="2:47" ht="16" x14ac:dyDescent="0.2">
      <c r="B285" s="2">
        <v>200.03068999999999</v>
      </c>
      <c r="C285" s="1">
        <v>139.5</v>
      </c>
      <c r="D285" s="5">
        <v>99.928240000000002</v>
      </c>
      <c r="E285" s="3">
        <f t="shared" si="53"/>
        <v>100.64154000000001</v>
      </c>
      <c r="H285" s="4">
        <v>225.01105999999999</v>
      </c>
      <c r="I285" s="1">
        <v>139.5</v>
      </c>
      <c r="J285" s="5">
        <v>94.491029999999995</v>
      </c>
      <c r="K285" s="3">
        <f t="shared" si="54"/>
        <v>98.598609999999994</v>
      </c>
      <c r="L285" s="1">
        <f t="shared" si="63"/>
        <v>2.1636983756323107E-2</v>
      </c>
      <c r="N285" s="4">
        <v>225.01365999999999</v>
      </c>
      <c r="O285" s="1">
        <v>139.5</v>
      </c>
      <c r="P285" s="5">
        <v>100.6285</v>
      </c>
      <c r="Q285" s="3">
        <f t="shared" si="55"/>
        <v>100.76408000000001</v>
      </c>
      <c r="R285" s="1">
        <f t="shared" si="65"/>
        <v>2.9681463414643569E-3</v>
      </c>
      <c r="T285" s="4">
        <v>250.01002</v>
      </c>
      <c r="U285" s="1">
        <v>139.5</v>
      </c>
      <c r="V285" s="3">
        <v>93.134600000000006</v>
      </c>
      <c r="W285" s="3">
        <f t="shared" si="56"/>
        <v>97.292000000000002</v>
      </c>
      <c r="X285" s="1">
        <f t="shared" si="64"/>
        <v>4.0129169750565866E-2</v>
      </c>
      <c r="Z285" s="4">
        <v>250.01787999999999</v>
      </c>
      <c r="AA285" s="1">
        <v>139.5</v>
      </c>
      <c r="AB285" s="3">
        <v>99.925319999999999</v>
      </c>
      <c r="AC285" s="3">
        <f t="shared" si="57"/>
        <v>99.848579999999998</v>
      </c>
      <c r="AD285" s="1">
        <f t="shared" si="52"/>
        <v>1.4675445413428276E-2</v>
      </c>
      <c r="AR285" s="11">
        <v>523.81754999999998</v>
      </c>
      <c r="AS285" s="1">
        <v>139.5</v>
      </c>
      <c r="AT285" s="13">
        <v>59.35098</v>
      </c>
      <c r="AU285" s="3">
        <f t="shared" si="60"/>
        <v>60.005469999999995</v>
      </c>
    </row>
    <row r="286" spans="2:47" ht="16" x14ac:dyDescent="0.2">
      <c r="B286" s="2">
        <v>200.02914999999999</v>
      </c>
      <c r="C286" s="1">
        <v>140</v>
      </c>
      <c r="D286" s="3">
        <v>100.11054</v>
      </c>
      <c r="E286" s="3">
        <f t="shared" si="53"/>
        <v>100.82384</v>
      </c>
      <c r="H286" s="4">
        <v>225.00792999999999</v>
      </c>
      <c r="I286" s="1">
        <v>140</v>
      </c>
      <c r="J286" s="3">
        <v>94.491420000000005</v>
      </c>
      <c r="K286" s="3">
        <f t="shared" si="54"/>
        <v>98.599000000000004</v>
      </c>
      <c r="L286" s="1">
        <f t="shared" si="63"/>
        <v>2.1632287629311891E-2</v>
      </c>
      <c r="N286" s="4">
        <v>225.01621</v>
      </c>
      <c r="O286" s="1">
        <v>140</v>
      </c>
      <c r="P286" s="3">
        <v>100.78914</v>
      </c>
      <c r="Q286" s="3">
        <f t="shared" si="55"/>
        <v>100.92472000000001</v>
      </c>
      <c r="R286" s="1">
        <f t="shared" si="65"/>
        <v>1.0456310062244517E-3</v>
      </c>
      <c r="T286" s="4">
        <v>249.99798000000001</v>
      </c>
      <c r="U286" s="1">
        <v>140</v>
      </c>
      <c r="V286" s="5">
        <v>93.106440000000006</v>
      </c>
      <c r="W286" s="3">
        <f t="shared" si="56"/>
        <v>97.263840000000002</v>
      </c>
      <c r="X286" s="1">
        <f t="shared" si="64"/>
        <v>4.0467455691561155E-2</v>
      </c>
      <c r="Z286" s="4">
        <v>250.01936000000001</v>
      </c>
      <c r="AA286" s="1">
        <v>140</v>
      </c>
      <c r="AB286" s="5">
        <v>99.931190000000001</v>
      </c>
      <c r="AC286" s="3">
        <f t="shared" si="57"/>
        <v>99.85445</v>
      </c>
      <c r="AD286" s="1">
        <f t="shared" si="52"/>
        <v>1.4605238272022055E-2</v>
      </c>
      <c r="AR286" s="11">
        <v>525.32162000000005</v>
      </c>
      <c r="AS286" s="1">
        <v>140</v>
      </c>
      <c r="AT286" s="12">
        <v>59.357619999999997</v>
      </c>
      <c r="AU286" s="3">
        <f t="shared" si="60"/>
        <v>60.012109999999993</v>
      </c>
    </row>
    <row r="287" spans="2:47" ht="16" x14ac:dyDescent="0.2">
      <c r="B287" s="2">
        <v>200.02768</v>
      </c>
      <c r="C287" s="1">
        <v>140.5</v>
      </c>
      <c r="D287" s="5">
        <v>99.846239999999995</v>
      </c>
      <c r="E287" s="3">
        <f t="shared" si="53"/>
        <v>100.55954</v>
      </c>
      <c r="H287" s="4">
        <v>225.00697</v>
      </c>
      <c r="I287" s="1">
        <v>140.5</v>
      </c>
      <c r="J287" s="5">
        <v>94.488389999999995</v>
      </c>
      <c r="K287" s="3">
        <f t="shared" si="54"/>
        <v>98.595969999999994</v>
      </c>
      <c r="L287" s="1">
        <f t="shared" si="63"/>
        <v>2.1668772923782817E-2</v>
      </c>
      <c r="N287" s="4">
        <v>225.01394999999999</v>
      </c>
      <c r="O287" s="1">
        <v>140.5</v>
      </c>
      <c r="P287" s="5">
        <v>100.6357</v>
      </c>
      <c r="Q287" s="3">
        <f t="shared" si="55"/>
        <v>100.77128</v>
      </c>
      <c r="R287" s="1">
        <f t="shared" si="65"/>
        <v>2.881977825442679E-3</v>
      </c>
      <c r="T287" s="4">
        <v>249.99903</v>
      </c>
      <c r="U287" s="1">
        <v>140.5</v>
      </c>
      <c r="V287" s="3">
        <v>93.080539999999999</v>
      </c>
      <c r="W287" s="3">
        <f t="shared" si="56"/>
        <v>97.237939999999995</v>
      </c>
      <c r="X287" s="1">
        <f t="shared" si="64"/>
        <v>4.0778592263712443E-2</v>
      </c>
      <c r="Z287" s="4">
        <v>250.02125000000001</v>
      </c>
      <c r="AA287" s="1">
        <v>140.5</v>
      </c>
      <c r="AB287" s="3">
        <v>99.833669999999998</v>
      </c>
      <c r="AC287" s="3">
        <f t="shared" si="57"/>
        <v>99.756929999999997</v>
      </c>
      <c r="AD287" s="1">
        <f t="shared" si="52"/>
        <v>1.5771609725162259E-2</v>
      </c>
      <c r="AR287" s="11">
        <v>526.81969000000004</v>
      </c>
      <c r="AS287" s="1">
        <v>140.5</v>
      </c>
      <c r="AT287" s="13">
        <v>59.371859999999998</v>
      </c>
      <c r="AU287" s="3">
        <f t="shared" si="60"/>
        <v>60.026349999999994</v>
      </c>
    </row>
    <row r="288" spans="2:47" ht="16" x14ac:dyDescent="0.2">
      <c r="B288" s="2">
        <v>200.02963</v>
      </c>
      <c r="C288" s="1">
        <v>141</v>
      </c>
      <c r="D288" s="3">
        <v>100.00863</v>
      </c>
      <c r="E288" s="3">
        <f t="shared" si="53"/>
        <v>100.72193</v>
      </c>
      <c r="H288" s="4">
        <v>225.00809000000001</v>
      </c>
      <c r="I288" s="1">
        <v>141</v>
      </c>
      <c r="J288" s="3">
        <v>94.454490000000007</v>
      </c>
      <c r="K288" s="3">
        <f t="shared" si="54"/>
        <v>98.562070000000006</v>
      </c>
      <c r="L288" s="1">
        <f t="shared" si="63"/>
        <v>2.2076974733208604E-2</v>
      </c>
      <c r="N288" s="4">
        <v>225.00881999999999</v>
      </c>
      <c r="O288" s="1">
        <v>141</v>
      </c>
      <c r="P288" s="3">
        <v>100.70572</v>
      </c>
      <c r="Q288" s="3">
        <f t="shared" si="55"/>
        <v>100.8413</v>
      </c>
      <c r="R288" s="1">
        <f t="shared" si="65"/>
        <v>2.0439890071315696E-3</v>
      </c>
      <c r="T288" s="4">
        <v>250.00303</v>
      </c>
      <c r="U288" s="1">
        <v>141</v>
      </c>
      <c r="V288" s="5">
        <v>93.086659999999995</v>
      </c>
      <c r="W288" s="3">
        <f t="shared" si="56"/>
        <v>97.24405999999999</v>
      </c>
      <c r="X288" s="1">
        <f t="shared" si="64"/>
        <v>4.0705072733922328E-2</v>
      </c>
      <c r="Z288" s="4">
        <v>250.01781</v>
      </c>
      <c r="AA288" s="1">
        <v>141</v>
      </c>
      <c r="AB288" s="5">
        <v>99.902379999999994</v>
      </c>
      <c r="AC288" s="3">
        <f t="shared" si="57"/>
        <v>99.825639999999993</v>
      </c>
      <c r="AD288" s="1">
        <f t="shared" si="52"/>
        <v>1.4949815400457008E-2</v>
      </c>
      <c r="AR288" s="11">
        <v>528.31848000000002</v>
      </c>
      <c r="AS288" s="1">
        <v>141</v>
      </c>
      <c r="AT288" s="12">
        <v>59.358539999999998</v>
      </c>
      <c r="AU288" s="3">
        <f t="shared" si="60"/>
        <v>60.013029999999993</v>
      </c>
    </row>
    <row r="289" spans="2:47" ht="16" x14ac:dyDescent="0.2">
      <c r="B289" s="2">
        <v>200.02780999999999</v>
      </c>
      <c r="C289" s="1">
        <v>141.5</v>
      </c>
      <c r="D289" s="5">
        <v>99.976470000000006</v>
      </c>
      <c r="E289" s="3">
        <f t="shared" si="53"/>
        <v>100.68977000000001</v>
      </c>
      <c r="H289" s="4">
        <v>225.00513000000001</v>
      </c>
      <c r="I289" s="1">
        <v>141.5</v>
      </c>
      <c r="J289" s="5">
        <v>94.497129999999999</v>
      </c>
      <c r="K289" s="3">
        <f t="shared" si="54"/>
        <v>98.604709999999997</v>
      </c>
      <c r="L289" s="1">
        <f t="shared" si="63"/>
        <v>2.1563531513329019E-2</v>
      </c>
      <c r="N289" s="4">
        <v>225.00586999999999</v>
      </c>
      <c r="O289" s="1">
        <v>141.5</v>
      </c>
      <c r="P289" s="5">
        <v>100.68675</v>
      </c>
      <c r="Q289" s="3">
        <f t="shared" si="55"/>
        <v>100.82233000000001</v>
      </c>
      <c r="R289" s="1">
        <f t="shared" si="65"/>
        <v>2.271019111149828E-3</v>
      </c>
      <c r="T289" s="4">
        <v>250.00496000000001</v>
      </c>
      <c r="U289" s="1">
        <v>141.5</v>
      </c>
      <c r="V289" s="3">
        <v>93.07432</v>
      </c>
      <c r="W289" s="3">
        <f t="shared" si="56"/>
        <v>97.231719999999996</v>
      </c>
      <c r="X289" s="1">
        <f t="shared" si="64"/>
        <v>4.0853313093008978E-2</v>
      </c>
      <c r="Z289" s="4">
        <v>250.02071000000001</v>
      </c>
      <c r="AA289" s="1">
        <v>141.5</v>
      </c>
      <c r="AB289" s="3">
        <v>99.864339999999999</v>
      </c>
      <c r="AC289" s="3">
        <f t="shared" si="57"/>
        <v>99.787599999999998</v>
      </c>
      <c r="AD289" s="1">
        <f t="shared" si="52"/>
        <v>1.5404786381562898E-2</v>
      </c>
      <c r="AR289" s="11">
        <v>529.82542999999998</v>
      </c>
      <c r="AS289" s="1">
        <v>141.5</v>
      </c>
      <c r="AT289" s="13">
        <v>59.38053</v>
      </c>
      <c r="AU289" s="3">
        <f t="shared" si="60"/>
        <v>60.035019999999996</v>
      </c>
    </row>
    <row r="290" spans="2:47" ht="16" x14ac:dyDescent="0.2">
      <c r="B290" s="2">
        <v>200.02393000000001</v>
      </c>
      <c r="C290" s="1">
        <v>142</v>
      </c>
      <c r="D290" s="3">
        <v>100.00704</v>
      </c>
      <c r="E290" s="3">
        <f t="shared" si="53"/>
        <v>100.72034000000001</v>
      </c>
      <c r="H290" s="4">
        <v>225.00196</v>
      </c>
      <c r="I290" s="1">
        <v>142</v>
      </c>
      <c r="J290" s="3">
        <v>94.467429999999993</v>
      </c>
      <c r="K290" s="3">
        <f t="shared" si="54"/>
        <v>98.575009999999992</v>
      </c>
      <c r="L290" s="1">
        <f t="shared" si="63"/>
        <v>2.1921159647250912E-2</v>
      </c>
      <c r="N290" s="4">
        <v>225.00617</v>
      </c>
      <c r="O290" s="1">
        <v>142</v>
      </c>
      <c r="P290" s="3">
        <v>100.72526000000001</v>
      </c>
      <c r="Q290" s="3">
        <f t="shared" si="55"/>
        <v>100.86084000000001</v>
      </c>
      <c r="R290" s="1">
        <f t="shared" si="65"/>
        <v>1.8101372289281352E-3</v>
      </c>
      <c r="T290" s="4">
        <v>250.00503</v>
      </c>
      <c r="U290" s="1">
        <v>142</v>
      </c>
      <c r="V290" s="5">
        <v>93.074179999999998</v>
      </c>
      <c r="W290" s="3">
        <f t="shared" si="56"/>
        <v>97.231579999999994</v>
      </c>
      <c r="X290" s="1">
        <f t="shared" si="64"/>
        <v>4.0854994912317921E-2</v>
      </c>
      <c r="Z290" s="4">
        <v>250.02277000000001</v>
      </c>
      <c r="AA290" s="1">
        <v>142</v>
      </c>
      <c r="AB290" s="5">
        <v>99.829160000000002</v>
      </c>
      <c r="AC290" s="3">
        <f t="shared" si="57"/>
        <v>99.752420000000001</v>
      </c>
      <c r="AD290" s="1">
        <f t="shared" si="52"/>
        <v>1.5825550816770728E-2</v>
      </c>
      <c r="AR290" s="11">
        <v>531.31993999999997</v>
      </c>
      <c r="AS290" s="1">
        <v>142</v>
      </c>
      <c r="AT290" s="12">
        <v>59.330640000000002</v>
      </c>
      <c r="AU290" s="3">
        <f t="shared" si="60"/>
        <v>59.985129999999998</v>
      </c>
    </row>
    <row r="291" spans="2:47" ht="16" x14ac:dyDescent="0.2">
      <c r="B291" s="2">
        <v>200.01693</v>
      </c>
      <c r="C291" s="1">
        <v>142.5</v>
      </c>
      <c r="D291" s="5">
        <v>100.10066999999999</v>
      </c>
      <c r="E291" s="3">
        <f t="shared" si="53"/>
        <v>100.81397</v>
      </c>
      <c r="H291" s="4">
        <v>225.00312</v>
      </c>
      <c r="I291" s="1">
        <v>142.5</v>
      </c>
      <c r="J291" s="5">
        <v>94.453180000000003</v>
      </c>
      <c r="K291" s="3">
        <f t="shared" si="54"/>
        <v>98.560760000000002</v>
      </c>
      <c r="L291" s="1">
        <f t="shared" si="63"/>
        <v>2.2092748903425403E-2</v>
      </c>
      <c r="N291" s="4">
        <v>225.00679</v>
      </c>
      <c r="O291" s="1">
        <v>142.5</v>
      </c>
      <c r="P291" s="5">
        <v>100.59993</v>
      </c>
      <c r="Q291" s="3">
        <f t="shared" si="55"/>
        <v>100.73551</v>
      </c>
      <c r="R291" s="1">
        <f t="shared" si="65"/>
        <v>3.3100678001782985E-3</v>
      </c>
      <c r="T291" s="4">
        <v>250.00597999999999</v>
      </c>
      <c r="U291" s="1">
        <v>142.5</v>
      </c>
      <c r="V291" s="3">
        <v>93.068280000000001</v>
      </c>
      <c r="W291" s="3">
        <f t="shared" si="56"/>
        <v>97.225679999999997</v>
      </c>
      <c r="X291" s="1">
        <f t="shared" si="64"/>
        <v>4.092587158319403E-2</v>
      </c>
      <c r="Z291" s="4">
        <v>250.02248</v>
      </c>
      <c r="AA291" s="1">
        <v>142.5</v>
      </c>
      <c r="AB291" s="3">
        <v>99.872730000000004</v>
      </c>
      <c r="AC291" s="3">
        <f t="shared" si="57"/>
        <v>99.795990000000003</v>
      </c>
      <c r="AD291" s="1">
        <f t="shared" si="52"/>
        <v>1.530443920670797E-2</v>
      </c>
      <c r="AR291" s="11">
        <v>532.81519000000003</v>
      </c>
      <c r="AS291" s="1">
        <v>142.5</v>
      </c>
      <c r="AT291" s="13">
        <v>59.340949999999999</v>
      </c>
      <c r="AU291" s="3">
        <f t="shared" si="60"/>
        <v>59.995439999999995</v>
      </c>
    </row>
    <row r="292" spans="2:47" ht="16" x14ac:dyDescent="0.2">
      <c r="B292" s="2">
        <v>200.01961</v>
      </c>
      <c r="C292" s="1">
        <v>143</v>
      </c>
      <c r="D292" s="3">
        <v>99.982330000000005</v>
      </c>
      <c r="E292" s="3">
        <f t="shared" si="53"/>
        <v>100.69563000000001</v>
      </c>
      <c r="H292" s="4">
        <v>225.00613000000001</v>
      </c>
      <c r="I292" s="1">
        <v>143</v>
      </c>
      <c r="J292" s="3">
        <v>94.472350000000006</v>
      </c>
      <c r="K292" s="3">
        <f t="shared" si="54"/>
        <v>98.579930000000004</v>
      </c>
      <c r="L292" s="1">
        <f t="shared" si="63"/>
        <v>2.1861916198803101E-2</v>
      </c>
      <c r="N292" s="4">
        <v>225.00708</v>
      </c>
      <c r="O292" s="1">
        <v>143</v>
      </c>
      <c r="P292" s="3">
        <v>100.65653</v>
      </c>
      <c r="Q292" s="3">
        <f t="shared" si="55"/>
        <v>100.79211000000001</v>
      </c>
      <c r="R292" s="1">
        <f t="shared" si="65"/>
        <v>2.6326875214520533E-3</v>
      </c>
      <c r="T292" s="4">
        <v>250.00899000000001</v>
      </c>
      <c r="U292" s="1">
        <v>143</v>
      </c>
      <c r="V292" s="5">
        <v>93.062389999999994</v>
      </c>
      <c r="W292" s="3">
        <f t="shared" si="56"/>
        <v>97.219789999999989</v>
      </c>
      <c r="X292" s="1">
        <f t="shared" si="64"/>
        <v>4.0996628124119631E-2</v>
      </c>
      <c r="Z292" s="4">
        <v>250.01981000000001</v>
      </c>
      <c r="AA292" s="1">
        <v>143</v>
      </c>
      <c r="AB292" s="5">
        <v>99.848169999999996</v>
      </c>
      <c r="AC292" s="3">
        <f t="shared" si="57"/>
        <v>99.771429999999995</v>
      </c>
      <c r="AD292" s="1">
        <f t="shared" si="52"/>
        <v>1.5598184929525156E-2</v>
      </c>
      <c r="AR292" s="11">
        <v>534.31344999999999</v>
      </c>
      <c r="AS292" s="1">
        <v>143</v>
      </c>
      <c r="AT292" s="12">
        <v>59.350009999999997</v>
      </c>
      <c r="AU292" s="3">
        <f t="shared" si="60"/>
        <v>60.004499999999993</v>
      </c>
    </row>
    <row r="293" spans="2:47" ht="16" x14ac:dyDescent="0.2">
      <c r="B293" s="2">
        <v>200.01930999999999</v>
      </c>
      <c r="C293" s="1">
        <v>143.5</v>
      </c>
      <c r="D293" s="5">
        <v>100.04609000000001</v>
      </c>
      <c r="E293" s="3">
        <f t="shared" si="53"/>
        <v>100.75939000000001</v>
      </c>
      <c r="H293" s="4">
        <v>225.00601</v>
      </c>
      <c r="I293" s="1">
        <v>143.5</v>
      </c>
      <c r="J293" s="5">
        <v>94.442509999999999</v>
      </c>
      <c r="K293" s="3">
        <f t="shared" si="54"/>
        <v>98.550089999999997</v>
      </c>
      <c r="L293" s="1">
        <f t="shared" si="63"/>
        <v>2.2221230121908485E-2</v>
      </c>
      <c r="N293" s="4">
        <v>225.0111</v>
      </c>
      <c r="O293" s="1">
        <v>143.5</v>
      </c>
      <c r="P293" s="5">
        <v>100.61436999999999</v>
      </c>
      <c r="Q293" s="3">
        <f t="shared" si="55"/>
        <v>100.74995</v>
      </c>
      <c r="R293" s="1">
        <f t="shared" si="65"/>
        <v>3.137252054157063E-3</v>
      </c>
      <c r="T293" s="4">
        <v>250.01805999999999</v>
      </c>
      <c r="U293" s="1">
        <v>143.5</v>
      </c>
      <c r="V293" s="3">
        <v>93.040400000000005</v>
      </c>
      <c r="W293" s="3">
        <f t="shared" si="56"/>
        <v>97.197800000000001</v>
      </c>
      <c r="X293" s="1">
        <f t="shared" si="64"/>
        <v>4.1260793885571419E-2</v>
      </c>
      <c r="Z293" s="4">
        <v>250.01782</v>
      </c>
      <c r="AA293" s="1">
        <v>143.5</v>
      </c>
      <c r="AB293" s="3">
        <v>99.864620000000002</v>
      </c>
      <c r="AC293" s="3">
        <f t="shared" si="57"/>
        <v>99.787880000000001</v>
      </c>
      <c r="AD293" s="1">
        <f t="shared" si="52"/>
        <v>1.5401437488957448E-2</v>
      </c>
      <c r="AR293" s="11">
        <v>535.81449999999995</v>
      </c>
      <c r="AS293" s="1">
        <v>143.5</v>
      </c>
      <c r="AT293" s="13">
        <v>59.324489999999997</v>
      </c>
      <c r="AU293" s="3">
        <f t="shared" si="60"/>
        <v>59.978979999999993</v>
      </c>
    </row>
    <row r="294" spans="2:47" ht="16" x14ac:dyDescent="0.2">
      <c r="B294" s="2">
        <v>200.01587000000001</v>
      </c>
      <c r="C294" s="1">
        <v>144</v>
      </c>
      <c r="D294" s="3">
        <v>99.937290000000004</v>
      </c>
      <c r="E294" s="3">
        <f t="shared" si="53"/>
        <v>100.65059000000001</v>
      </c>
      <c r="H294" s="4">
        <v>225.00608</v>
      </c>
      <c r="I294" s="1">
        <v>144</v>
      </c>
      <c r="J294" s="3">
        <v>94.440389999999994</v>
      </c>
      <c r="K294" s="3">
        <f t="shared" si="54"/>
        <v>98.547969999999992</v>
      </c>
      <c r="L294" s="1">
        <f t="shared" si="63"/>
        <v>2.2246757786686805E-2</v>
      </c>
      <c r="N294" s="4">
        <v>225.01379</v>
      </c>
      <c r="O294" s="1">
        <v>144</v>
      </c>
      <c r="P294" s="3">
        <v>100.72452</v>
      </c>
      <c r="Q294" s="3">
        <f t="shared" si="55"/>
        <v>100.8601</v>
      </c>
      <c r="R294" s="1">
        <f t="shared" si="65"/>
        <v>1.8189934375193451E-3</v>
      </c>
      <c r="T294" s="4">
        <v>250.00903</v>
      </c>
      <c r="U294" s="1">
        <v>144</v>
      </c>
      <c r="V294" s="5">
        <v>93.000119999999995</v>
      </c>
      <c r="W294" s="3">
        <f t="shared" si="56"/>
        <v>97.157519999999991</v>
      </c>
      <c r="X294" s="1">
        <f t="shared" si="64"/>
        <v>4.1744677326739511E-2</v>
      </c>
      <c r="Z294" s="4">
        <v>250.02</v>
      </c>
      <c r="AA294" s="1">
        <v>144</v>
      </c>
      <c r="AB294" s="5">
        <v>99.824029999999993</v>
      </c>
      <c r="AC294" s="3">
        <f t="shared" si="57"/>
        <v>99.747289999999992</v>
      </c>
      <c r="AD294" s="1">
        <f t="shared" si="52"/>
        <v>1.5886907313434166E-2</v>
      </c>
      <c r="AR294" s="11">
        <v>537.32037000000003</v>
      </c>
      <c r="AS294" s="1">
        <v>144</v>
      </c>
      <c r="AT294" s="12">
        <v>59.314</v>
      </c>
      <c r="AU294" s="3">
        <f t="shared" si="60"/>
        <v>59.968489999999996</v>
      </c>
    </row>
    <row r="295" spans="2:47" ht="16" x14ac:dyDescent="0.2">
      <c r="B295" s="2">
        <v>200.01840999999999</v>
      </c>
      <c r="C295" s="1">
        <v>144.5</v>
      </c>
      <c r="D295" s="5">
        <v>100.09026</v>
      </c>
      <c r="E295" s="3">
        <f t="shared" si="53"/>
        <v>100.80356</v>
      </c>
      <c r="H295" s="4">
        <v>225.00803999999999</v>
      </c>
      <c r="I295" s="1">
        <v>144.5</v>
      </c>
      <c r="J295" s="5">
        <v>94.438100000000006</v>
      </c>
      <c r="K295" s="3">
        <f t="shared" si="54"/>
        <v>98.545680000000004</v>
      </c>
      <c r="L295" s="1">
        <f t="shared" si="63"/>
        <v>2.2274332481187702E-2</v>
      </c>
      <c r="N295" s="4">
        <v>225.01566</v>
      </c>
      <c r="O295" s="1">
        <v>144.5</v>
      </c>
      <c r="P295" s="5">
        <v>100.72313</v>
      </c>
      <c r="Q295" s="3">
        <f t="shared" si="55"/>
        <v>100.85871</v>
      </c>
      <c r="R295" s="1">
        <f t="shared" si="65"/>
        <v>1.8356287482513218E-3</v>
      </c>
      <c r="T295" s="4">
        <v>250.00301999999999</v>
      </c>
      <c r="U295" s="1">
        <v>144.5</v>
      </c>
      <c r="V295" s="3">
        <v>93.006159999999994</v>
      </c>
      <c r="W295" s="3">
        <f t="shared" si="56"/>
        <v>97.16355999999999</v>
      </c>
      <c r="X295" s="1">
        <f t="shared" si="64"/>
        <v>4.1672118836554459E-2</v>
      </c>
      <c r="Z295" s="4">
        <v>250.01734999999999</v>
      </c>
      <c r="AA295" s="1">
        <v>144.5</v>
      </c>
      <c r="AB295" s="3">
        <v>99.773589999999999</v>
      </c>
      <c r="AC295" s="3">
        <f t="shared" si="57"/>
        <v>99.696849999999998</v>
      </c>
      <c r="AD295" s="1">
        <f t="shared" si="52"/>
        <v>1.6490186395636628E-2</v>
      </c>
      <c r="AR295" s="11">
        <v>538.81475</v>
      </c>
      <c r="AS295" s="1">
        <v>144.5</v>
      </c>
      <c r="AT295" s="13">
        <v>59.340130000000002</v>
      </c>
      <c r="AU295" s="3">
        <f t="shared" si="60"/>
        <v>59.994619999999998</v>
      </c>
    </row>
    <row r="296" spans="2:47" ht="16" x14ac:dyDescent="0.2">
      <c r="B296" s="2">
        <v>200.02038999999999</v>
      </c>
      <c r="C296" s="1">
        <v>145</v>
      </c>
      <c r="D296" s="3">
        <v>99.968119999999999</v>
      </c>
      <c r="E296" s="3">
        <f t="shared" si="53"/>
        <v>100.68142</v>
      </c>
      <c r="H296" s="4">
        <v>225.00291999999999</v>
      </c>
      <c r="I296" s="1">
        <v>145</v>
      </c>
      <c r="J296" s="3">
        <v>94.448930000000004</v>
      </c>
      <c r="K296" s="3">
        <f t="shared" si="54"/>
        <v>98.556510000000003</v>
      </c>
      <c r="L296" s="1">
        <f t="shared" si="63"/>
        <v>2.2143924646495013E-2</v>
      </c>
      <c r="N296" s="4">
        <v>225.01631</v>
      </c>
      <c r="O296" s="1">
        <v>145</v>
      </c>
      <c r="P296" s="3">
        <v>100.72244000000001</v>
      </c>
      <c r="Q296" s="3">
        <f t="shared" si="55"/>
        <v>100.85802000000001</v>
      </c>
      <c r="R296" s="1">
        <f t="shared" si="65"/>
        <v>1.8438865643699688E-3</v>
      </c>
      <c r="T296" s="4">
        <v>249.99995999999999</v>
      </c>
      <c r="U296" s="1">
        <v>145</v>
      </c>
      <c r="V296" s="5">
        <v>92.976029999999994</v>
      </c>
      <c r="W296" s="3">
        <f t="shared" si="56"/>
        <v>97.13342999999999</v>
      </c>
      <c r="X296" s="1">
        <f t="shared" si="64"/>
        <v>4.2034070377825333E-2</v>
      </c>
      <c r="Z296" s="4">
        <v>250.01616000000001</v>
      </c>
      <c r="AA296" s="1">
        <v>145</v>
      </c>
      <c r="AB296" s="5">
        <v>99.768479999999997</v>
      </c>
      <c r="AC296" s="3">
        <f t="shared" si="57"/>
        <v>99.691739999999996</v>
      </c>
      <c r="AD296" s="1">
        <f t="shared" si="52"/>
        <v>1.6551303685685321E-2</v>
      </c>
      <c r="AR296" s="11">
        <v>540.31762000000003</v>
      </c>
      <c r="AS296" s="1">
        <v>145</v>
      </c>
      <c r="AT296" s="12">
        <v>59.261299999999999</v>
      </c>
      <c r="AU296" s="3">
        <f t="shared" si="60"/>
        <v>59.915789999999994</v>
      </c>
    </row>
    <row r="297" spans="2:47" ht="16" x14ac:dyDescent="0.2">
      <c r="B297" s="2">
        <v>200.01739000000001</v>
      </c>
      <c r="C297" s="1">
        <v>145.5</v>
      </c>
      <c r="D297" s="5">
        <v>100.09486</v>
      </c>
      <c r="E297" s="3">
        <f t="shared" si="53"/>
        <v>100.80816</v>
      </c>
      <c r="H297" s="4">
        <v>225.00286</v>
      </c>
      <c r="I297" s="1">
        <v>145.5</v>
      </c>
      <c r="J297" s="5">
        <v>94.39873</v>
      </c>
      <c r="K297" s="3">
        <f t="shared" si="54"/>
        <v>98.506309999999999</v>
      </c>
      <c r="L297" s="1">
        <f t="shared" si="63"/>
        <v>2.2748400482282122E-2</v>
      </c>
      <c r="N297" s="4">
        <v>225.01527999999999</v>
      </c>
      <c r="O297" s="1">
        <v>145.5</v>
      </c>
      <c r="P297" s="5">
        <v>100.67161</v>
      </c>
      <c r="Q297" s="3">
        <f t="shared" si="55"/>
        <v>100.80719000000001</v>
      </c>
      <c r="R297" s="1">
        <f t="shared" si="65"/>
        <v>2.4522123517843933E-3</v>
      </c>
      <c r="T297" s="4">
        <v>250.00298000000001</v>
      </c>
      <c r="U297" s="1">
        <v>145.5</v>
      </c>
      <c r="V297" s="3">
        <v>92.971879999999999</v>
      </c>
      <c r="W297" s="3">
        <f t="shared" si="56"/>
        <v>97.129279999999994</v>
      </c>
      <c r="X297" s="1">
        <f t="shared" si="64"/>
        <v>4.2083924307339857E-2</v>
      </c>
      <c r="Z297" s="4">
        <v>250.01698999999999</v>
      </c>
      <c r="AA297" s="1">
        <v>145.5</v>
      </c>
      <c r="AB297" s="3">
        <v>99.906589999999994</v>
      </c>
      <c r="AC297" s="3">
        <f t="shared" si="57"/>
        <v>99.829849999999993</v>
      </c>
      <c r="AD297" s="1">
        <f t="shared" si="52"/>
        <v>1.4899462408068567E-2</v>
      </c>
      <c r="AR297" s="11">
        <v>541.82333000000006</v>
      </c>
      <c r="AS297" s="1">
        <v>145.5</v>
      </c>
      <c r="AT297" s="13">
        <v>59.269570000000002</v>
      </c>
      <c r="AU297" s="3">
        <f t="shared" si="60"/>
        <v>59.924059999999997</v>
      </c>
    </row>
    <row r="298" spans="2:47" ht="16" x14ac:dyDescent="0.2">
      <c r="B298" s="2">
        <v>200.01674</v>
      </c>
      <c r="C298" s="1">
        <v>146</v>
      </c>
      <c r="D298" s="3">
        <v>99.960650000000001</v>
      </c>
      <c r="E298" s="3">
        <f t="shared" si="53"/>
        <v>100.67395</v>
      </c>
      <c r="H298" s="4">
        <v>225.00594000000001</v>
      </c>
      <c r="I298" s="1">
        <v>146</v>
      </c>
      <c r="J298" s="3">
        <v>94.425759999999997</v>
      </c>
      <c r="K298" s="3">
        <f t="shared" si="54"/>
        <v>98.533339999999995</v>
      </c>
      <c r="L298" s="1">
        <f t="shared" si="63"/>
        <v>2.2422922756359372E-2</v>
      </c>
      <c r="N298" s="4">
        <v>225.01417000000001</v>
      </c>
      <c r="O298" s="1">
        <v>146</v>
      </c>
      <c r="P298" s="3">
        <v>100.67507000000001</v>
      </c>
      <c r="Q298" s="3">
        <f t="shared" si="55"/>
        <v>100.81065000000001</v>
      </c>
      <c r="R298" s="1">
        <f t="shared" si="65"/>
        <v>2.4108035926961357E-3</v>
      </c>
      <c r="T298" s="4">
        <v>250.00503</v>
      </c>
      <c r="U298" s="1">
        <v>146</v>
      </c>
      <c r="V298" s="5">
        <v>92.95393</v>
      </c>
      <c r="W298" s="3">
        <f t="shared" si="56"/>
        <v>97.111329999999995</v>
      </c>
      <c r="X298" s="1">
        <f t="shared" si="64"/>
        <v>4.2299557568734214E-2</v>
      </c>
      <c r="Z298" s="4">
        <v>250.01731000000001</v>
      </c>
      <c r="AA298" s="1">
        <v>146</v>
      </c>
      <c r="AB298" s="5">
        <v>99.847020000000001</v>
      </c>
      <c r="AC298" s="3">
        <f t="shared" si="57"/>
        <v>99.77028</v>
      </c>
      <c r="AD298" s="1">
        <f t="shared" si="52"/>
        <v>1.5611939309868737E-2</v>
      </c>
      <c r="AR298" s="11">
        <v>543.32866000000001</v>
      </c>
      <c r="AS298" s="1">
        <v>146</v>
      </c>
      <c r="AT298" s="12">
        <v>59.267789999999998</v>
      </c>
      <c r="AU298" s="3">
        <f t="shared" si="60"/>
        <v>59.922279999999994</v>
      </c>
    </row>
    <row r="299" spans="2:47" ht="16" x14ac:dyDescent="0.2">
      <c r="B299" s="2">
        <v>200.01693</v>
      </c>
      <c r="C299" s="1">
        <v>146.5</v>
      </c>
      <c r="D299" s="5">
        <v>100.06595</v>
      </c>
      <c r="E299" s="3">
        <f t="shared" si="53"/>
        <v>100.77925</v>
      </c>
      <c r="H299" s="4">
        <v>225.00693000000001</v>
      </c>
      <c r="I299" s="1">
        <v>146.5</v>
      </c>
      <c r="J299" s="5">
        <v>94.417649999999995</v>
      </c>
      <c r="K299" s="3">
        <f t="shared" si="54"/>
        <v>98.525229999999993</v>
      </c>
      <c r="L299" s="1">
        <f t="shared" si="63"/>
        <v>2.2520578115487546E-2</v>
      </c>
      <c r="N299" s="4">
        <v>225.01523</v>
      </c>
      <c r="O299" s="1">
        <v>146.5</v>
      </c>
      <c r="P299" s="5">
        <v>100.82062000000001</v>
      </c>
      <c r="Q299" s="3">
        <f t="shared" si="55"/>
        <v>100.95620000000001</v>
      </c>
      <c r="R299" s="1">
        <f t="shared" si="65"/>
        <v>6.6888310561840302E-4</v>
      </c>
      <c r="T299" s="4">
        <v>249.99995000000001</v>
      </c>
      <c r="U299" s="1">
        <v>146.5</v>
      </c>
      <c r="V299" s="3">
        <v>92.946029999999993</v>
      </c>
      <c r="W299" s="3">
        <f t="shared" si="56"/>
        <v>97.103429999999989</v>
      </c>
      <c r="X299" s="1">
        <f t="shared" si="64"/>
        <v>4.2394460229737939E-2</v>
      </c>
      <c r="Z299" s="4">
        <v>250.01848000000001</v>
      </c>
      <c r="AA299" s="1">
        <v>146.5</v>
      </c>
      <c r="AB299" s="3">
        <v>99.756889999999999</v>
      </c>
      <c r="AC299" s="3">
        <f t="shared" si="57"/>
        <v>99.680149999999998</v>
      </c>
      <c r="AD299" s="1">
        <f t="shared" si="52"/>
        <v>1.6689923918887663E-2</v>
      </c>
      <c r="AR299" s="11">
        <v>544.8297</v>
      </c>
      <c r="AS299" s="1">
        <v>146.5</v>
      </c>
      <c r="AT299" s="13">
        <v>59.30921</v>
      </c>
      <c r="AU299" s="3">
        <f t="shared" si="60"/>
        <v>59.963699999999996</v>
      </c>
    </row>
    <row r="300" spans="2:47" ht="16" x14ac:dyDescent="0.2">
      <c r="B300" s="2">
        <v>200.01436000000001</v>
      </c>
      <c r="C300" s="1">
        <v>147</v>
      </c>
      <c r="D300" s="3">
        <v>100.01844</v>
      </c>
      <c r="E300" s="3">
        <f t="shared" si="53"/>
        <v>100.73174</v>
      </c>
      <c r="H300" s="4">
        <v>225.00899999999999</v>
      </c>
      <c r="I300" s="1">
        <v>147</v>
      </c>
      <c r="J300" s="3">
        <v>94.415229999999994</v>
      </c>
      <c r="K300" s="3">
        <f t="shared" si="54"/>
        <v>98.522809999999993</v>
      </c>
      <c r="L300" s="1">
        <f t="shared" si="63"/>
        <v>2.2549718185658964E-2</v>
      </c>
      <c r="N300" s="4">
        <v>225.01664</v>
      </c>
      <c r="O300" s="1">
        <v>147</v>
      </c>
      <c r="P300" s="3">
        <v>100.68003</v>
      </c>
      <c r="Q300" s="3">
        <f t="shared" si="55"/>
        <v>100.81561000000001</v>
      </c>
      <c r="R300" s="1">
        <f t="shared" si="65"/>
        <v>2.3514430594367727E-3</v>
      </c>
      <c r="T300" s="4">
        <v>250.00202999999999</v>
      </c>
      <c r="U300" s="1">
        <v>147</v>
      </c>
      <c r="V300" s="5">
        <v>92.912040000000005</v>
      </c>
      <c r="W300" s="3">
        <f t="shared" si="56"/>
        <v>97.06944</v>
      </c>
      <c r="X300" s="1">
        <f t="shared" si="64"/>
        <v>4.2802781931954768E-2</v>
      </c>
      <c r="Z300" s="4">
        <v>250.01992999999999</v>
      </c>
      <c r="AA300" s="1">
        <v>147</v>
      </c>
      <c r="AB300" s="5">
        <v>99.918430000000001</v>
      </c>
      <c r="AC300" s="3">
        <f t="shared" si="57"/>
        <v>99.84169</v>
      </c>
      <c r="AD300" s="1">
        <f t="shared" si="52"/>
        <v>1.4757852092182727E-2</v>
      </c>
      <c r="AR300" s="11">
        <v>546.33135000000004</v>
      </c>
      <c r="AS300" s="1">
        <v>147</v>
      </c>
      <c r="AT300" s="12">
        <v>59.29616</v>
      </c>
      <c r="AU300" s="3">
        <f t="shared" si="60"/>
        <v>59.950649999999996</v>
      </c>
    </row>
    <row r="301" spans="2:47" ht="16" x14ac:dyDescent="0.2">
      <c r="B301" s="2">
        <v>200.01426000000001</v>
      </c>
      <c r="C301" s="1">
        <v>147.5</v>
      </c>
      <c r="D301" s="5">
        <v>99.932000000000002</v>
      </c>
      <c r="E301" s="3">
        <f t="shared" si="53"/>
        <v>100.64530000000001</v>
      </c>
      <c r="H301" s="4">
        <v>225.006</v>
      </c>
      <c r="I301" s="1">
        <v>147.5</v>
      </c>
      <c r="J301" s="5">
        <v>94.400099999999995</v>
      </c>
      <c r="K301" s="3">
        <f t="shared" si="54"/>
        <v>98.507679999999993</v>
      </c>
      <c r="L301" s="1">
        <f t="shared" si="63"/>
        <v>2.2731903830986808E-2</v>
      </c>
      <c r="N301" s="4">
        <v>225.01472999999999</v>
      </c>
      <c r="O301" s="1">
        <v>147.5</v>
      </c>
      <c r="P301" s="5">
        <v>100.73205</v>
      </c>
      <c r="Q301" s="3">
        <f t="shared" si="55"/>
        <v>100.86763000000001</v>
      </c>
      <c r="R301" s="1">
        <f t="shared" si="65"/>
        <v>1.7288755311799426E-3</v>
      </c>
      <c r="T301" s="4">
        <v>250.00201000000001</v>
      </c>
      <c r="U301" s="1">
        <v>147.5</v>
      </c>
      <c r="V301" s="3">
        <v>92.911709999999999</v>
      </c>
      <c r="W301" s="3">
        <f t="shared" si="56"/>
        <v>97.069109999999995</v>
      </c>
      <c r="X301" s="1">
        <f t="shared" si="64"/>
        <v>4.2806746220325875E-2</v>
      </c>
      <c r="Z301" s="4">
        <v>250.01919000000001</v>
      </c>
      <c r="AA301" s="1">
        <v>147.5</v>
      </c>
      <c r="AB301" s="3">
        <v>99.831199999999995</v>
      </c>
      <c r="AC301" s="3">
        <f t="shared" si="57"/>
        <v>99.754459999999995</v>
      </c>
      <c r="AD301" s="1">
        <f t="shared" si="52"/>
        <v>1.5801151742074266E-2</v>
      </c>
      <c r="AR301" s="11">
        <v>547.83532000000002</v>
      </c>
      <c r="AS301" s="1">
        <v>147.5</v>
      </c>
      <c r="AT301" s="13">
        <v>59.243310000000001</v>
      </c>
      <c r="AU301" s="3">
        <f t="shared" si="60"/>
        <v>59.897799999999997</v>
      </c>
    </row>
    <row r="302" spans="2:47" ht="16" x14ac:dyDescent="0.2">
      <c r="B302" s="2">
        <v>200.01613</v>
      </c>
      <c r="C302" s="1">
        <v>148</v>
      </c>
      <c r="D302" s="3">
        <v>99.898269999999997</v>
      </c>
      <c r="E302" s="3">
        <f t="shared" si="53"/>
        <v>100.61157</v>
      </c>
      <c r="H302" s="4">
        <v>225.00710000000001</v>
      </c>
      <c r="I302" s="1">
        <v>148</v>
      </c>
      <c r="J302" s="3">
        <v>94.396000000000001</v>
      </c>
      <c r="K302" s="3">
        <f t="shared" si="54"/>
        <v>98.503579999999999</v>
      </c>
      <c r="L302" s="1">
        <f t="shared" si="63"/>
        <v>2.2781273371359781E-2</v>
      </c>
      <c r="N302" s="4">
        <v>225.01625999999999</v>
      </c>
      <c r="O302" s="1">
        <v>148</v>
      </c>
      <c r="P302" s="3">
        <v>100.5055</v>
      </c>
      <c r="Q302" s="3">
        <f t="shared" si="55"/>
        <v>100.64108</v>
      </c>
      <c r="R302" s="1">
        <f t="shared" si="65"/>
        <v>4.440191823501932E-3</v>
      </c>
      <c r="T302" s="4">
        <v>250.00801000000001</v>
      </c>
      <c r="U302" s="1">
        <v>148</v>
      </c>
      <c r="V302" s="5">
        <v>92.885810000000006</v>
      </c>
      <c r="W302" s="3">
        <f t="shared" si="56"/>
        <v>97.043210000000002</v>
      </c>
      <c r="X302" s="1">
        <f t="shared" si="64"/>
        <v>4.311788279247699E-2</v>
      </c>
      <c r="Z302" s="4">
        <v>250.02316999999999</v>
      </c>
      <c r="AA302" s="1">
        <v>148</v>
      </c>
      <c r="AB302" s="5">
        <v>99.788240000000002</v>
      </c>
      <c r="AC302" s="3">
        <f t="shared" si="57"/>
        <v>99.711500000000001</v>
      </c>
      <c r="AD302" s="1">
        <f t="shared" si="52"/>
        <v>1.6314967550389425E-2</v>
      </c>
      <c r="AR302" s="11">
        <v>549.33645000000001</v>
      </c>
      <c r="AS302" s="1">
        <v>148</v>
      </c>
      <c r="AT302" s="12">
        <v>59.264580000000002</v>
      </c>
      <c r="AU302" s="3">
        <f t="shared" si="60"/>
        <v>59.919069999999998</v>
      </c>
    </row>
    <row r="303" spans="2:47" ht="16" x14ac:dyDescent="0.2">
      <c r="B303" s="2">
        <v>200.01924</v>
      </c>
      <c r="C303" s="1">
        <v>148.5</v>
      </c>
      <c r="D303" s="5">
        <v>100.07116000000001</v>
      </c>
      <c r="E303" s="3">
        <f t="shared" si="53"/>
        <v>100.78446000000001</v>
      </c>
      <c r="H303" s="4">
        <v>225.00405000000001</v>
      </c>
      <c r="I303" s="1">
        <v>148.5</v>
      </c>
      <c r="J303" s="5">
        <v>94.396270000000001</v>
      </c>
      <c r="K303" s="3">
        <f t="shared" si="54"/>
        <v>98.50385</v>
      </c>
      <c r="L303" s="1">
        <f t="shared" si="63"/>
        <v>2.2778022206505943E-2</v>
      </c>
      <c r="N303" s="4">
        <v>225.01644999999999</v>
      </c>
      <c r="O303" s="1">
        <v>148.5</v>
      </c>
      <c r="P303" s="5">
        <v>100.72763999999999</v>
      </c>
      <c r="Q303" s="3">
        <f t="shared" si="55"/>
        <v>100.86322</v>
      </c>
      <c r="R303" s="1">
        <f t="shared" si="65"/>
        <v>1.7816537472433245E-3</v>
      </c>
      <c r="T303" s="4">
        <v>250.012</v>
      </c>
      <c r="U303" s="1">
        <v>148.5</v>
      </c>
      <c r="V303" s="3">
        <v>92.883830000000003</v>
      </c>
      <c r="W303" s="3">
        <f t="shared" si="56"/>
        <v>97.041229999999999</v>
      </c>
      <c r="X303" s="1">
        <f t="shared" si="64"/>
        <v>4.3141668522703264E-2</v>
      </c>
      <c r="Z303" s="4">
        <v>250.02662000000001</v>
      </c>
      <c r="AA303" s="1">
        <v>148.5</v>
      </c>
      <c r="AB303" s="3">
        <v>99.742429999999999</v>
      </c>
      <c r="AC303" s="3">
        <f t="shared" si="57"/>
        <v>99.665689999999998</v>
      </c>
      <c r="AD303" s="1">
        <f t="shared" si="52"/>
        <v>1.6862870301295442E-2</v>
      </c>
      <c r="AR303" s="11">
        <v>550.83433000000002</v>
      </c>
      <c r="AS303" s="1">
        <v>148.5</v>
      </c>
      <c r="AT303" s="13">
        <v>59.230469999999997</v>
      </c>
      <c r="AU303" s="3">
        <f t="shared" si="60"/>
        <v>59.884959999999992</v>
      </c>
    </row>
    <row r="304" spans="2:47" ht="16" x14ac:dyDescent="0.2">
      <c r="B304" s="2">
        <v>200.01994999999999</v>
      </c>
      <c r="C304" s="1">
        <v>149</v>
      </c>
      <c r="D304" s="3">
        <v>100.11996000000001</v>
      </c>
      <c r="E304" s="3">
        <f t="shared" si="53"/>
        <v>100.83326000000001</v>
      </c>
      <c r="H304" s="4">
        <v>225.00412</v>
      </c>
      <c r="I304" s="1">
        <v>149</v>
      </c>
      <c r="J304" s="3">
        <v>94.364729999999994</v>
      </c>
      <c r="K304" s="3">
        <f t="shared" si="54"/>
        <v>98.472309999999993</v>
      </c>
      <c r="L304" s="1">
        <f t="shared" si="63"/>
        <v>2.3157806426839171E-2</v>
      </c>
      <c r="N304" s="4">
        <v>225.01757000000001</v>
      </c>
      <c r="O304" s="1">
        <v>149</v>
      </c>
      <c r="P304" s="3">
        <v>100.63455999999999</v>
      </c>
      <c r="Q304" s="3">
        <f t="shared" si="55"/>
        <v>100.77014</v>
      </c>
      <c r="R304" s="1">
        <f t="shared" si="65"/>
        <v>2.8956211738128614E-3</v>
      </c>
      <c r="T304" s="4">
        <v>250.00798</v>
      </c>
      <c r="U304" s="1">
        <v>149</v>
      </c>
      <c r="V304" s="5">
        <v>92.879729999999995</v>
      </c>
      <c r="W304" s="3">
        <f t="shared" si="56"/>
        <v>97.037129999999991</v>
      </c>
      <c r="X304" s="1">
        <f t="shared" si="64"/>
        <v>4.3190921802464748E-2</v>
      </c>
      <c r="Z304" s="4">
        <v>250.02343999999999</v>
      </c>
      <c r="AA304" s="1">
        <v>149</v>
      </c>
      <c r="AB304" s="5">
        <v>99.767759999999996</v>
      </c>
      <c r="AC304" s="3">
        <f t="shared" si="57"/>
        <v>99.691019999999995</v>
      </c>
      <c r="AD304" s="1">
        <f t="shared" si="52"/>
        <v>1.6559915123813523E-2</v>
      </c>
      <c r="AR304" s="11">
        <v>552.33267999999998</v>
      </c>
      <c r="AS304" s="1">
        <v>149</v>
      </c>
      <c r="AT304" s="12">
        <v>59.264420000000001</v>
      </c>
      <c r="AU304" s="3">
        <f t="shared" si="60"/>
        <v>59.918909999999997</v>
      </c>
    </row>
    <row r="305" spans="2:47" ht="16" x14ac:dyDescent="0.2">
      <c r="B305" s="2">
        <v>200.02042</v>
      </c>
      <c r="C305" s="1">
        <v>149.5</v>
      </c>
      <c r="D305" s="5">
        <v>100.06892999999999</v>
      </c>
      <c r="E305" s="3">
        <f t="shared" si="53"/>
        <v>100.78223</v>
      </c>
      <c r="H305" s="4">
        <v>225.01101</v>
      </c>
      <c r="I305" s="1">
        <v>149.5</v>
      </c>
      <c r="J305" s="5">
        <v>94.383470000000003</v>
      </c>
      <c r="K305" s="3">
        <f t="shared" si="54"/>
        <v>98.491050000000001</v>
      </c>
      <c r="L305" s="1">
        <f t="shared" si="63"/>
        <v>2.2932151503280315E-2</v>
      </c>
      <c r="N305" s="4">
        <v>225.02104</v>
      </c>
      <c r="O305" s="1">
        <v>149.5</v>
      </c>
      <c r="P305" s="5">
        <v>100.69504999999999</v>
      </c>
      <c r="Q305" s="3">
        <f t="shared" si="55"/>
        <v>100.83063</v>
      </c>
      <c r="R305" s="1">
        <f t="shared" si="65"/>
        <v>2.1716859607360181E-3</v>
      </c>
      <c r="T305" s="4">
        <v>250.00801000000001</v>
      </c>
      <c r="U305" s="1">
        <v>149.5</v>
      </c>
      <c r="V305" s="3">
        <v>92.857780000000005</v>
      </c>
      <c r="W305" s="3">
        <f t="shared" si="56"/>
        <v>97.015180000000001</v>
      </c>
      <c r="X305" s="1">
        <f t="shared" si="64"/>
        <v>4.3454607044114003E-2</v>
      </c>
      <c r="Z305" s="4">
        <v>250.01917</v>
      </c>
      <c r="AA305" s="1">
        <v>149.5</v>
      </c>
      <c r="AB305" s="3">
        <v>99.773750000000007</v>
      </c>
      <c r="AC305" s="3">
        <f t="shared" si="57"/>
        <v>99.697010000000006</v>
      </c>
      <c r="AD305" s="1">
        <f t="shared" si="52"/>
        <v>1.6488272742719155E-2</v>
      </c>
      <c r="AR305" s="11">
        <v>553.84555</v>
      </c>
      <c r="AS305" s="1">
        <v>149.5</v>
      </c>
      <c r="AT305" s="13">
        <v>59.286709999999999</v>
      </c>
      <c r="AU305" s="3">
        <f t="shared" si="60"/>
        <v>59.941199999999995</v>
      </c>
    </row>
    <row r="306" spans="2:47" ht="16" x14ac:dyDescent="0.2">
      <c r="B306" s="2">
        <v>200.02231</v>
      </c>
      <c r="C306" s="1">
        <v>150</v>
      </c>
      <c r="D306" s="3">
        <v>100.00677</v>
      </c>
      <c r="E306" s="3">
        <f t="shared" si="53"/>
        <v>100.72007000000001</v>
      </c>
      <c r="H306" s="4">
        <v>225.01015000000001</v>
      </c>
      <c r="I306" s="1">
        <v>150</v>
      </c>
      <c r="J306" s="3">
        <v>94.38673</v>
      </c>
      <c r="K306" s="3">
        <f t="shared" si="54"/>
        <v>98.494309999999999</v>
      </c>
      <c r="L306" s="1">
        <f t="shared" si="63"/>
        <v>2.2892896698008119E-2</v>
      </c>
      <c r="N306" s="4">
        <v>225.02224000000001</v>
      </c>
      <c r="O306" s="1">
        <v>150</v>
      </c>
      <c r="P306" s="3">
        <v>100.61967</v>
      </c>
      <c r="Q306" s="3">
        <f t="shared" si="55"/>
        <v>100.75525</v>
      </c>
      <c r="R306" s="1">
        <f t="shared" si="65"/>
        <v>3.0738224520854627E-3</v>
      </c>
      <c r="T306" s="4">
        <v>250.00298000000001</v>
      </c>
      <c r="U306" s="1">
        <v>150</v>
      </c>
      <c r="V306" s="5">
        <v>92.853610000000003</v>
      </c>
      <c r="W306" s="3">
        <f t="shared" si="56"/>
        <v>97.011009999999999</v>
      </c>
      <c r="X306" s="1">
        <f t="shared" si="64"/>
        <v>4.3504701233529876E-2</v>
      </c>
      <c r="Z306" s="4">
        <v>250.02044000000001</v>
      </c>
      <c r="AA306" s="1">
        <v>150</v>
      </c>
      <c r="AB306" s="5">
        <v>99.759910000000005</v>
      </c>
      <c r="AC306" s="3">
        <f t="shared" si="57"/>
        <v>99.683170000000004</v>
      </c>
      <c r="AD306" s="1">
        <f t="shared" si="52"/>
        <v>1.6653803720072129E-2</v>
      </c>
      <c r="AR306" s="11">
        <v>555.34447</v>
      </c>
      <c r="AS306" s="1">
        <v>150</v>
      </c>
      <c r="AT306" s="12">
        <v>59.261920000000003</v>
      </c>
      <c r="AU306" s="3">
        <f t="shared" si="60"/>
        <v>59.916409999999999</v>
      </c>
    </row>
    <row r="307" spans="2:47" ht="16" x14ac:dyDescent="0.2">
      <c r="B307" s="2">
        <v>200.01820000000001</v>
      </c>
      <c r="C307" s="1">
        <v>150.5</v>
      </c>
      <c r="D307" s="5">
        <v>100.00313</v>
      </c>
      <c r="E307" s="3">
        <f t="shared" si="53"/>
        <v>100.71643</v>
      </c>
      <c r="H307" s="4">
        <v>225.00505000000001</v>
      </c>
      <c r="I307" s="1">
        <v>150.5</v>
      </c>
      <c r="J307" s="5">
        <v>94.349919999999997</v>
      </c>
      <c r="K307" s="3">
        <f t="shared" si="54"/>
        <v>98.457499999999996</v>
      </c>
      <c r="L307" s="1">
        <f t="shared" si="63"/>
        <v>2.3336138839747632E-2</v>
      </c>
      <c r="N307" s="4">
        <v>225.02286000000001</v>
      </c>
      <c r="O307" s="1">
        <v>150.5</v>
      </c>
      <c r="P307" s="5">
        <v>100.74262</v>
      </c>
      <c r="Q307" s="3">
        <f t="shared" si="55"/>
        <v>100.87820000000001</v>
      </c>
      <c r="R307" s="1">
        <f t="shared" si="65"/>
        <v>1.6023753625202801E-3</v>
      </c>
      <c r="T307" s="4">
        <v>250.00002000000001</v>
      </c>
      <c r="U307" s="1">
        <v>150.5</v>
      </c>
      <c r="V307" s="3">
        <v>92.829599999999999</v>
      </c>
      <c r="W307" s="3">
        <f t="shared" si="56"/>
        <v>96.986999999999995</v>
      </c>
      <c r="X307" s="1">
        <f t="shared" si="64"/>
        <v>4.3793133245010642E-2</v>
      </c>
      <c r="Z307" s="4">
        <v>250.02051</v>
      </c>
      <c r="AA307" s="1">
        <v>150.5</v>
      </c>
      <c r="AB307" s="3">
        <v>99.692589999999996</v>
      </c>
      <c r="AC307" s="3">
        <f t="shared" si="57"/>
        <v>99.615849999999995</v>
      </c>
      <c r="AD307" s="1">
        <f t="shared" si="52"/>
        <v>1.7458973185057847E-2</v>
      </c>
      <c r="AR307" s="11">
        <v>556.84568999999999</v>
      </c>
      <c r="AS307" s="1">
        <v>150.5</v>
      </c>
      <c r="AT307" s="13">
        <v>59.235289999999999</v>
      </c>
      <c r="AU307" s="3">
        <f t="shared" si="60"/>
        <v>59.889779999999995</v>
      </c>
    </row>
    <row r="308" spans="2:47" ht="16" x14ac:dyDescent="0.2">
      <c r="B308" s="2">
        <v>200.01582999999999</v>
      </c>
      <c r="C308" s="1">
        <v>151</v>
      </c>
      <c r="D308" s="3">
        <v>100.00042999999999</v>
      </c>
      <c r="E308" s="3">
        <f t="shared" si="53"/>
        <v>100.71373</v>
      </c>
      <c r="H308" s="4">
        <v>225.00900999999999</v>
      </c>
      <c r="I308" s="1">
        <v>151</v>
      </c>
      <c r="J308" s="3">
        <v>94.383589999999998</v>
      </c>
      <c r="K308" s="3">
        <f t="shared" si="54"/>
        <v>98.491169999999997</v>
      </c>
      <c r="L308" s="1">
        <f t="shared" si="63"/>
        <v>2.293070654112311E-2</v>
      </c>
      <c r="N308" s="4">
        <v>225.0179</v>
      </c>
      <c r="O308" s="1">
        <v>151</v>
      </c>
      <c r="P308" s="3">
        <v>100.72177000000001</v>
      </c>
      <c r="Q308" s="3">
        <f t="shared" si="55"/>
        <v>100.85735000000001</v>
      </c>
      <c r="R308" s="1">
        <f t="shared" si="65"/>
        <v>1.8519050234997608E-3</v>
      </c>
      <c r="T308" s="4">
        <v>250.00497999999999</v>
      </c>
      <c r="U308" s="1">
        <v>151</v>
      </c>
      <c r="V308" s="5">
        <v>92.821520000000007</v>
      </c>
      <c r="W308" s="3">
        <f t="shared" si="56"/>
        <v>96.978920000000002</v>
      </c>
      <c r="X308" s="1">
        <f t="shared" si="64"/>
        <v>4.3890198245125675E-2</v>
      </c>
      <c r="Z308" s="4">
        <v>250.02001000000001</v>
      </c>
      <c r="AA308" s="1">
        <v>151</v>
      </c>
      <c r="AB308" s="5">
        <v>99.748540000000006</v>
      </c>
      <c r="AC308" s="3">
        <f t="shared" si="57"/>
        <v>99.671800000000005</v>
      </c>
      <c r="AD308" s="1">
        <f t="shared" si="52"/>
        <v>1.6789792680513095E-2</v>
      </c>
      <c r="AR308" s="11">
        <v>558.34141999999997</v>
      </c>
      <c r="AS308" s="1">
        <v>151</v>
      </c>
      <c r="AT308" s="12">
        <v>59.229799999999997</v>
      </c>
      <c r="AU308" s="3">
        <f t="shared" si="60"/>
        <v>59.884289999999993</v>
      </c>
    </row>
    <row r="309" spans="2:47" ht="16" x14ac:dyDescent="0.2">
      <c r="B309" s="2">
        <v>200.01642000000001</v>
      </c>
      <c r="C309" s="1">
        <v>151.5</v>
      </c>
      <c r="D309" s="5">
        <v>100.10551</v>
      </c>
      <c r="E309" s="3">
        <f t="shared" si="53"/>
        <v>100.81881</v>
      </c>
      <c r="H309" s="4">
        <v>225.00997000000001</v>
      </c>
      <c r="I309" s="1">
        <v>151.5</v>
      </c>
      <c r="J309" s="5">
        <v>94.386099999999999</v>
      </c>
      <c r="K309" s="3">
        <f t="shared" si="54"/>
        <v>98.493679999999998</v>
      </c>
      <c r="L309" s="1">
        <f t="shared" si="63"/>
        <v>2.2900482749333748E-2</v>
      </c>
      <c r="N309" s="4">
        <v>225.01989</v>
      </c>
      <c r="O309" s="1">
        <v>151.5</v>
      </c>
      <c r="P309" s="5">
        <v>100.62311</v>
      </c>
      <c r="Q309" s="3">
        <f t="shared" si="55"/>
        <v>100.75869</v>
      </c>
      <c r="R309" s="1">
        <f t="shared" si="65"/>
        <v>3.0326530499862302E-3</v>
      </c>
      <c r="T309" s="4">
        <v>250.00501</v>
      </c>
      <c r="U309" s="1">
        <v>151.5</v>
      </c>
      <c r="V309" s="3">
        <v>92.801410000000004</v>
      </c>
      <c r="W309" s="3">
        <f t="shared" si="56"/>
        <v>96.95881</v>
      </c>
      <c r="X309" s="1">
        <f t="shared" si="64"/>
        <v>4.4131779575857781E-2</v>
      </c>
      <c r="Z309" s="4">
        <v>250.02145999999999</v>
      </c>
      <c r="AA309" s="1">
        <v>151.5</v>
      </c>
      <c r="AB309" s="3">
        <v>99.704400000000007</v>
      </c>
      <c r="AC309" s="3">
        <f t="shared" si="57"/>
        <v>99.627660000000006</v>
      </c>
      <c r="AD309" s="1">
        <f t="shared" si="52"/>
        <v>1.7317721679093956E-2</v>
      </c>
      <c r="AR309" s="11">
        <v>559.83590000000004</v>
      </c>
      <c r="AS309" s="1">
        <v>151.5</v>
      </c>
      <c r="AT309" s="13">
        <v>59.205979999999997</v>
      </c>
      <c r="AU309" s="3">
        <f t="shared" si="60"/>
        <v>59.860469999999992</v>
      </c>
    </row>
    <row r="310" spans="2:47" ht="16" x14ac:dyDescent="0.2">
      <c r="B310" s="2">
        <v>200.01641000000001</v>
      </c>
      <c r="C310" s="1">
        <v>152</v>
      </c>
      <c r="D310" s="3">
        <v>100.04557</v>
      </c>
      <c r="E310" s="3">
        <f t="shared" si="53"/>
        <v>100.75887</v>
      </c>
      <c r="H310" s="4">
        <v>225.00995</v>
      </c>
      <c r="I310" s="1">
        <v>152</v>
      </c>
      <c r="J310" s="3">
        <v>94.365859999999998</v>
      </c>
      <c r="K310" s="3">
        <f t="shared" si="54"/>
        <v>98.473439999999997</v>
      </c>
      <c r="L310" s="1">
        <f t="shared" si="63"/>
        <v>2.3144199699858266E-2</v>
      </c>
      <c r="N310" s="4">
        <v>225.024</v>
      </c>
      <c r="O310" s="1">
        <v>152</v>
      </c>
      <c r="P310" s="3">
        <v>100.84220000000001</v>
      </c>
      <c r="Q310" s="3">
        <f t="shared" si="55"/>
        <v>100.97778000000001</v>
      </c>
      <c r="R310" s="1">
        <f t="shared" si="65"/>
        <v>4.1061691454222492E-4</v>
      </c>
      <c r="T310" s="4">
        <v>250.00703999999999</v>
      </c>
      <c r="U310" s="1">
        <v>152</v>
      </c>
      <c r="V310" s="5">
        <v>92.805599999999998</v>
      </c>
      <c r="W310" s="3">
        <f t="shared" si="56"/>
        <v>96.962999999999994</v>
      </c>
      <c r="X310" s="1">
        <f t="shared" si="64"/>
        <v>4.4081445126540726E-2</v>
      </c>
      <c r="Z310" s="4">
        <v>250.01945000000001</v>
      </c>
      <c r="AA310" s="1">
        <v>152</v>
      </c>
      <c r="AB310" s="5">
        <v>99.787790000000001</v>
      </c>
      <c r="AC310" s="3">
        <f t="shared" si="57"/>
        <v>99.71105</v>
      </c>
      <c r="AD310" s="1">
        <f t="shared" si="52"/>
        <v>1.6320349699219552E-2</v>
      </c>
      <c r="AR310" s="11">
        <v>561.33942999999999</v>
      </c>
      <c r="AS310" s="1">
        <v>152</v>
      </c>
      <c r="AT310" s="12">
        <v>59.243110000000001</v>
      </c>
      <c r="AU310" s="3">
        <f t="shared" si="60"/>
        <v>59.897599999999997</v>
      </c>
    </row>
    <row r="311" spans="2:47" ht="16" x14ac:dyDescent="0.2">
      <c r="B311" s="2">
        <v>200.02034</v>
      </c>
      <c r="C311" s="1">
        <v>152.5</v>
      </c>
      <c r="D311" s="5">
        <v>100.04715</v>
      </c>
      <c r="E311" s="3">
        <f t="shared" si="53"/>
        <v>100.76045000000001</v>
      </c>
      <c r="H311" s="4">
        <v>225.00989000000001</v>
      </c>
      <c r="I311" s="1">
        <v>152.5</v>
      </c>
      <c r="J311" s="5">
        <v>94.362520000000004</v>
      </c>
      <c r="K311" s="3">
        <f t="shared" si="54"/>
        <v>98.470100000000002</v>
      </c>
      <c r="L311" s="1">
        <f t="shared" si="63"/>
        <v>2.3184417813235266E-2</v>
      </c>
      <c r="N311" s="4">
        <v>225.02269999999999</v>
      </c>
      <c r="O311" s="1">
        <v>152.5</v>
      </c>
      <c r="P311" s="5">
        <v>100.57402</v>
      </c>
      <c r="Q311" s="3">
        <f t="shared" si="55"/>
        <v>100.70960000000001</v>
      </c>
      <c r="R311" s="1">
        <f t="shared" si="65"/>
        <v>3.6201547793619279E-3</v>
      </c>
      <c r="T311" s="4">
        <v>250.00396000000001</v>
      </c>
      <c r="U311" s="1">
        <v>152.5</v>
      </c>
      <c r="V311" s="3">
        <v>92.773259999999993</v>
      </c>
      <c r="W311" s="3">
        <f t="shared" si="56"/>
        <v>96.930659999999989</v>
      </c>
      <c r="X311" s="1">
        <f t="shared" si="64"/>
        <v>4.4469945386902555E-2</v>
      </c>
      <c r="Z311" s="4">
        <v>250.02109999999999</v>
      </c>
      <c r="AA311" s="1">
        <v>152.5</v>
      </c>
      <c r="AB311" s="3">
        <v>99.746039999999994</v>
      </c>
      <c r="AC311" s="3">
        <f t="shared" si="57"/>
        <v>99.669299999999993</v>
      </c>
      <c r="AD311" s="1">
        <f t="shared" si="52"/>
        <v>1.6819693507347227E-2</v>
      </c>
      <c r="AR311" s="11">
        <v>562.83866</v>
      </c>
      <c r="AS311" s="1">
        <v>152.5</v>
      </c>
      <c r="AT311" s="13">
        <v>59.197850000000003</v>
      </c>
      <c r="AU311" s="3">
        <f t="shared" si="60"/>
        <v>59.852339999999998</v>
      </c>
    </row>
    <row r="312" spans="2:47" ht="16" x14ac:dyDescent="0.2">
      <c r="B312" s="2">
        <v>200.01902000000001</v>
      </c>
      <c r="C312" s="1">
        <v>153</v>
      </c>
      <c r="D312" s="3">
        <v>100.11284999999999</v>
      </c>
      <c r="E312" s="3">
        <f t="shared" si="53"/>
        <v>100.82615</v>
      </c>
      <c r="H312" s="4">
        <v>225.00604000000001</v>
      </c>
      <c r="I312" s="1">
        <v>153</v>
      </c>
      <c r="J312" s="3">
        <v>94.345470000000006</v>
      </c>
      <c r="K312" s="3">
        <f t="shared" si="54"/>
        <v>98.453050000000005</v>
      </c>
      <c r="L312" s="1">
        <f t="shared" si="63"/>
        <v>2.3389722853079248E-2</v>
      </c>
      <c r="N312" s="4">
        <v>225.02422999999999</v>
      </c>
      <c r="O312" s="1">
        <v>153</v>
      </c>
      <c r="P312" s="3">
        <v>100.63027</v>
      </c>
      <c r="Q312" s="3">
        <f t="shared" si="55"/>
        <v>100.76585</v>
      </c>
      <c r="R312" s="1">
        <f t="shared" si="65"/>
        <v>2.9469632479424326E-3</v>
      </c>
      <c r="T312" s="4">
        <v>249.99897000000001</v>
      </c>
      <c r="U312" s="1">
        <v>153</v>
      </c>
      <c r="V312" s="5">
        <v>92.771339999999995</v>
      </c>
      <c r="W312" s="3">
        <f t="shared" si="56"/>
        <v>96.928739999999991</v>
      </c>
      <c r="X312" s="1">
        <f t="shared" si="64"/>
        <v>4.4493010337424942E-2</v>
      </c>
      <c r="Z312" s="4">
        <v>250.01669999999999</v>
      </c>
      <c r="AA312" s="1">
        <v>153</v>
      </c>
      <c r="AB312" s="5">
        <v>99.758480000000006</v>
      </c>
      <c r="AC312" s="3">
        <f t="shared" si="57"/>
        <v>99.681740000000005</v>
      </c>
      <c r="AD312" s="1">
        <f t="shared" si="52"/>
        <v>1.6670906993021161E-2</v>
      </c>
      <c r="AR312" s="11">
        <v>564.34540000000004</v>
      </c>
      <c r="AS312" s="1">
        <v>153</v>
      </c>
      <c r="AT312" s="12">
        <v>59.277369999999998</v>
      </c>
      <c r="AU312" s="3">
        <f t="shared" si="60"/>
        <v>59.931859999999993</v>
      </c>
    </row>
    <row r="313" spans="2:47" ht="16" x14ac:dyDescent="0.2">
      <c r="B313" s="2">
        <v>200.01598999999999</v>
      </c>
      <c r="C313" s="1">
        <v>153.5</v>
      </c>
      <c r="D313" s="5">
        <v>99.986140000000006</v>
      </c>
      <c r="E313" s="3">
        <f t="shared" si="53"/>
        <v>100.69944000000001</v>
      </c>
      <c r="H313" s="4">
        <v>225.00604999999999</v>
      </c>
      <c r="I313" s="1">
        <v>153.5</v>
      </c>
      <c r="J313" s="5">
        <v>94.368300000000005</v>
      </c>
      <c r="K313" s="3">
        <f t="shared" si="54"/>
        <v>98.475880000000004</v>
      </c>
      <c r="L313" s="1">
        <f t="shared" si="63"/>
        <v>2.3114818802660562E-2</v>
      </c>
      <c r="N313" s="4">
        <v>225.02467999999999</v>
      </c>
      <c r="O313" s="1">
        <v>153.5</v>
      </c>
      <c r="P313" s="5">
        <v>100.66818000000001</v>
      </c>
      <c r="Q313" s="3">
        <f t="shared" si="55"/>
        <v>100.80376000000001</v>
      </c>
      <c r="R313" s="1">
        <f t="shared" si="65"/>
        <v>2.4932620753891138E-3</v>
      </c>
      <c r="T313" s="4">
        <v>250.00496000000001</v>
      </c>
      <c r="U313" s="1">
        <v>153.5</v>
      </c>
      <c r="V313" s="3">
        <v>92.745440000000002</v>
      </c>
      <c r="W313" s="3">
        <f t="shared" si="56"/>
        <v>96.902839999999998</v>
      </c>
      <c r="X313" s="1">
        <f t="shared" si="64"/>
        <v>4.4804146909576063E-2</v>
      </c>
      <c r="Z313" s="4">
        <v>250.01730000000001</v>
      </c>
      <c r="AA313" s="1">
        <v>153.5</v>
      </c>
      <c r="AB313" s="3">
        <v>99.716030000000003</v>
      </c>
      <c r="AC313" s="3">
        <f t="shared" si="57"/>
        <v>99.639290000000003</v>
      </c>
      <c r="AD313" s="1">
        <f t="shared" si="52"/>
        <v>1.7178623032662287E-2</v>
      </c>
      <c r="AR313" s="11">
        <v>565.84250999999995</v>
      </c>
      <c r="AS313" s="1">
        <v>153.5</v>
      </c>
      <c r="AT313" s="13">
        <v>59.179879999999997</v>
      </c>
      <c r="AU313" s="3">
        <f t="shared" si="60"/>
        <v>59.834369999999993</v>
      </c>
    </row>
    <row r="314" spans="2:47" ht="16" x14ac:dyDescent="0.2">
      <c r="B314" s="2">
        <v>200.01428000000001</v>
      </c>
      <c r="C314" s="1">
        <v>154</v>
      </c>
      <c r="D314" s="3">
        <v>100.00104</v>
      </c>
      <c r="E314" s="3">
        <f t="shared" si="53"/>
        <v>100.71434000000001</v>
      </c>
      <c r="H314" s="4">
        <v>225.00594000000001</v>
      </c>
      <c r="I314" s="1">
        <v>154</v>
      </c>
      <c r="J314" s="3">
        <v>94.351060000000004</v>
      </c>
      <c r="K314" s="3">
        <f t="shared" si="54"/>
        <v>98.458640000000003</v>
      </c>
      <c r="L314" s="1">
        <f t="shared" si="63"/>
        <v>2.3322411699253583E-2</v>
      </c>
      <c r="N314" s="4">
        <v>225.02361999999999</v>
      </c>
      <c r="O314" s="1">
        <v>154</v>
      </c>
      <c r="P314" s="3">
        <v>100.69722</v>
      </c>
      <c r="Q314" s="3">
        <f t="shared" si="55"/>
        <v>100.83280000000001</v>
      </c>
      <c r="R314" s="1">
        <f t="shared" si="65"/>
        <v>2.1457157274349511E-3</v>
      </c>
      <c r="T314" s="4">
        <v>250.00701000000001</v>
      </c>
      <c r="U314" s="1">
        <v>154</v>
      </c>
      <c r="V314" s="5">
        <v>92.721149999999994</v>
      </c>
      <c r="W314" s="3">
        <f t="shared" si="56"/>
        <v>96.87854999999999</v>
      </c>
      <c r="X314" s="1">
        <f t="shared" si="64"/>
        <v>4.5095942559674716E-2</v>
      </c>
      <c r="Z314" s="4">
        <v>250.02252999999999</v>
      </c>
      <c r="AA314" s="1">
        <v>154</v>
      </c>
      <c r="AB314" s="5">
        <v>99.650019999999998</v>
      </c>
      <c r="AC314" s="3">
        <f t="shared" si="57"/>
        <v>99.573279999999997</v>
      </c>
      <c r="AD314" s="1">
        <f t="shared" si="52"/>
        <v>1.7968124464386951E-2</v>
      </c>
      <c r="AR314" s="11">
        <v>567.34249</v>
      </c>
      <c r="AS314" s="1">
        <v>154</v>
      </c>
      <c r="AT314" s="12">
        <v>59.18394</v>
      </c>
      <c r="AU314" s="3">
        <f t="shared" si="60"/>
        <v>59.838429999999995</v>
      </c>
    </row>
    <row r="315" spans="2:47" ht="16" x14ac:dyDescent="0.2">
      <c r="B315" s="2">
        <v>200.01605000000001</v>
      </c>
      <c r="C315" s="1">
        <v>154.5</v>
      </c>
      <c r="D315" s="5">
        <v>100.03637000000001</v>
      </c>
      <c r="E315" s="3">
        <f t="shared" si="53"/>
        <v>100.74967000000001</v>
      </c>
      <c r="H315" s="4">
        <v>225.00697</v>
      </c>
      <c r="I315" s="1">
        <v>154.5</v>
      </c>
      <c r="J315" s="5">
        <v>94.33493</v>
      </c>
      <c r="K315" s="3">
        <f t="shared" si="54"/>
        <v>98.442509999999999</v>
      </c>
      <c r="L315" s="1">
        <f t="shared" si="63"/>
        <v>2.3516638695891982E-2</v>
      </c>
      <c r="N315" s="4">
        <v>225.02348000000001</v>
      </c>
      <c r="O315" s="1">
        <v>154.5</v>
      </c>
      <c r="P315" s="5">
        <v>100.56935</v>
      </c>
      <c r="Q315" s="3">
        <f t="shared" si="55"/>
        <v>100.70493</v>
      </c>
      <c r="R315" s="1">
        <f t="shared" si="65"/>
        <v>3.6760446362816162E-3</v>
      </c>
      <c r="T315" s="4">
        <v>250.00997000000001</v>
      </c>
      <c r="U315" s="1">
        <v>154.5</v>
      </c>
      <c r="V315" s="3">
        <v>92.717330000000004</v>
      </c>
      <c r="W315" s="3">
        <f t="shared" si="56"/>
        <v>96.87473</v>
      </c>
      <c r="X315" s="1">
        <f t="shared" si="64"/>
        <v>4.514183220081814E-2</v>
      </c>
      <c r="Z315" s="4">
        <v>250.02292</v>
      </c>
      <c r="AA315" s="1">
        <v>154.5</v>
      </c>
      <c r="AB315" s="3">
        <v>99.62</v>
      </c>
      <c r="AC315" s="3">
        <f t="shared" si="57"/>
        <v>99.543260000000004</v>
      </c>
      <c r="AD315" s="1">
        <f t="shared" si="52"/>
        <v>1.8327173593009387E-2</v>
      </c>
      <c r="AR315" s="11">
        <v>568.8383</v>
      </c>
      <c r="AS315" s="1">
        <v>154.5</v>
      </c>
      <c r="AT315" s="13">
        <v>59.19258</v>
      </c>
      <c r="AU315" s="3">
        <f t="shared" si="60"/>
        <v>59.847069999999995</v>
      </c>
    </row>
    <row r="316" spans="2:47" ht="16" x14ac:dyDescent="0.2">
      <c r="B316" s="2">
        <v>200.01895999999999</v>
      </c>
      <c r="C316" s="1">
        <v>155</v>
      </c>
      <c r="D316" s="3">
        <v>100.05325999999999</v>
      </c>
      <c r="E316" s="3">
        <f t="shared" si="53"/>
        <v>100.76656</v>
      </c>
      <c r="H316" s="4">
        <v>225.00805</v>
      </c>
      <c r="I316" s="1">
        <v>155</v>
      </c>
      <c r="J316" s="3">
        <v>94.355940000000004</v>
      </c>
      <c r="K316" s="3">
        <f t="shared" si="54"/>
        <v>98.463520000000003</v>
      </c>
      <c r="L316" s="1">
        <f t="shared" si="63"/>
        <v>2.3263649904858345E-2</v>
      </c>
      <c r="N316" s="4">
        <v>225.02068</v>
      </c>
      <c r="O316" s="1">
        <v>155</v>
      </c>
      <c r="P316" s="3">
        <v>100.71097</v>
      </c>
      <c r="Q316" s="3">
        <f t="shared" si="55"/>
        <v>100.84655000000001</v>
      </c>
      <c r="R316" s="1">
        <f t="shared" si="65"/>
        <v>1.9811577975323625E-3</v>
      </c>
      <c r="T316" s="4">
        <v>250.00200000000001</v>
      </c>
      <c r="U316" s="1">
        <v>155</v>
      </c>
      <c r="V316" s="5">
        <v>92.719530000000006</v>
      </c>
      <c r="W316" s="3">
        <f t="shared" si="56"/>
        <v>96.876930000000002</v>
      </c>
      <c r="X316" s="1">
        <f t="shared" si="64"/>
        <v>4.511540361167786E-2</v>
      </c>
      <c r="Z316" s="4">
        <v>250.02198000000001</v>
      </c>
      <c r="AA316" s="1">
        <v>155</v>
      </c>
      <c r="AB316" s="5">
        <v>99.775049999999993</v>
      </c>
      <c r="AC316" s="3">
        <f t="shared" si="57"/>
        <v>99.698309999999992</v>
      </c>
      <c r="AD316" s="1">
        <f t="shared" si="52"/>
        <v>1.6472724312765644E-2</v>
      </c>
      <c r="AR316" s="11">
        <v>570.35022000000004</v>
      </c>
      <c r="AS316" s="1">
        <v>155</v>
      </c>
      <c r="AT316" s="12">
        <v>59.161409999999997</v>
      </c>
      <c r="AU316" s="3">
        <f t="shared" si="60"/>
        <v>59.815899999999992</v>
      </c>
    </row>
    <row r="317" spans="2:47" ht="16" x14ac:dyDescent="0.2">
      <c r="B317" s="2">
        <v>200.01861</v>
      </c>
      <c r="C317" s="1">
        <v>155.5</v>
      </c>
      <c r="D317" s="5">
        <v>99.987440000000007</v>
      </c>
      <c r="E317" s="3">
        <f t="shared" si="53"/>
        <v>100.70074000000001</v>
      </c>
      <c r="H317" s="4">
        <v>225.00402</v>
      </c>
      <c r="I317" s="1">
        <v>155.5</v>
      </c>
      <c r="J317" s="5">
        <v>94.336740000000006</v>
      </c>
      <c r="K317" s="3">
        <f t="shared" si="54"/>
        <v>98.444320000000005</v>
      </c>
      <c r="L317" s="1">
        <f t="shared" si="63"/>
        <v>2.3494843850019907E-2</v>
      </c>
      <c r="N317" s="4">
        <v>225.01963000000001</v>
      </c>
      <c r="O317" s="1">
        <v>155.5</v>
      </c>
      <c r="P317" s="5">
        <v>100.68391</v>
      </c>
      <c r="Q317" s="3">
        <f t="shared" si="55"/>
        <v>100.81949</v>
      </c>
      <c r="R317" s="1">
        <f t="shared" si="65"/>
        <v>2.3050078035806868E-3</v>
      </c>
      <c r="T317" s="4">
        <v>250.00402</v>
      </c>
      <c r="U317" s="1">
        <v>155.5</v>
      </c>
      <c r="V317" s="3">
        <v>92.711219999999997</v>
      </c>
      <c r="W317" s="3">
        <f t="shared" si="56"/>
        <v>96.868619999999993</v>
      </c>
      <c r="X317" s="1">
        <f t="shared" si="64"/>
        <v>4.5215231600657754E-2</v>
      </c>
      <c r="Z317" s="4">
        <v>250.02198000000001</v>
      </c>
      <c r="AA317" s="1">
        <v>155.5</v>
      </c>
      <c r="AB317" s="3">
        <v>99.661789999999996</v>
      </c>
      <c r="AC317" s="3">
        <f t="shared" si="57"/>
        <v>99.585049999999995</v>
      </c>
      <c r="AD317" s="1">
        <f t="shared" si="52"/>
        <v>1.7827351371652558E-2</v>
      </c>
      <c r="AR317" s="11">
        <v>571.84861999999998</v>
      </c>
      <c r="AS317" s="1">
        <v>155.5</v>
      </c>
      <c r="AT317" s="13">
        <v>59.209670000000003</v>
      </c>
      <c r="AU317" s="3">
        <f t="shared" si="60"/>
        <v>59.864159999999998</v>
      </c>
    </row>
    <row r="318" spans="2:47" ht="16" x14ac:dyDescent="0.2">
      <c r="B318" s="2">
        <v>200.01732999999999</v>
      </c>
      <c r="C318" s="1">
        <v>156</v>
      </c>
      <c r="D318" s="3">
        <v>100.18956</v>
      </c>
      <c r="E318" s="3">
        <f t="shared" si="53"/>
        <v>100.90286</v>
      </c>
      <c r="H318" s="4">
        <v>225.00399999999999</v>
      </c>
      <c r="I318" s="1">
        <v>156</v>
      </c>
      <c r="J318" s="3">
        <v>94.33708</v>
      </c>
      <c r="K318" s="3">
        <f t="shared" si="54"/>
        <v>98.444659999999999</v>
      </c>
      <c r="L318" s="1">
        <f t="shared" si="63"/>
        <v>2.3490749790574406E-2</v>
      </c>
      <c r="N318" s="4">
        <v>225.01666</v>
      </c>
      <c r="O318" s="1">
        <v>156</v>
      </c>
      <c r="P318" s="3">
        <v>100.59072999999999</v>
      </c>
      <c r="Q318" s="3">
        <f t="shared" si="55"/>
        <v>100.72631</v>
      </c>
      <c r="R318" s="1">
        <f t="shared" si="65"/>
        <v>3.4201720150950098E-3</v>
      </c>
      <c r="T318" s="4">
        <v>250.00702999999999</v>
      </c>
      <c r="U318" s="1">
        <v>156</v>
      </c>
      <c r="V318" s="5">
        <v>92.697109999999995</v>
      </c>
      <c r="W318" s="3">
        <f t="shared" si="56"/>
        <v>96.854509999999991</v>
      </c>
      <c r="X318" s="1">
        <f t="shared" si="64"/>
        <v>4.5384734961007332E-2</v>
      </c>
      <c r="Z318" s="4">
        <v>250.02205000000001</v>
      </c>
      <c r="AA318" s="1">
        <v>156</v>
      </c>
      <c r="AB318" s="5">
        <v>99.695409999999995</v>
      </c>
      <c r="AC318" s="3">
        <f t="shared" si="57"/>
        <v>99.618669999999995</v>
      </c>
      <c r="AD318" s="1">
        <f t="shared" si="52"/>
        <v>1.7425245052389109E-2</v>
      </c>
      <c r="AR318" s="11">
        <v>573.34834999999998</v>
      </c>
      <c r="AS318" s="1">
        <v>156</v>
      </c>
      <c r="AT318" s="12">
        <v>59.227690000000003</v>
      </c>
      <c r="AU318" s="3">
        <f t="shared" si="60"/>
        <v>59.882179999999998</v>
      </c>
    </row>
    <row r="319" spans="2:47" ht="16" x14ac:dyDescent="0.2">
      <c r="B319" s="2">
        <v>200.0153</v>
      </c>
      <c r="C319" s="1">
        <v>156.5</v>
      </c>
      <c r="D319" s="5">
        <v>99.989819999999995</v>
      </c>
      <c r="E319" s="3">
        <f t="shared" si="53"/>
        <v>100.70312</v>
      </c>
      <c r="H319" s="4">
        <v>225.00599</v>
      </c>
      <c r="I319" s="1">
        <v>156.5</v>
      </c>
      <c r="J319" s="5">
        <v>94.338819999999998</v>
      </c>
      <c r="K319" s="3">
        <f t="shared" si="54"/>
        <v>98.446399999999997</v>
      </c>
      <c r="L319" s="1">
        <f t="shared" si="63"/>
        <v>2.3469797839294159E-2</v>
      </c>
      <c r="N319" s="4">
        <v>225.01414</v>
      </c>
      <c r="O319" s="1">
        <v>156.5</v>
      </c>
      <c r="P319" s="5">
        <v>100.74563999999999</v>
      </c>
      <c r="Q319" s="3">
        <f t="shared" si="55"/>
        <v>100.88122</v>
      </c>
      <c r="R319" s="1">
        <f t="shared" si="65"/>
        <v>1.5662324571890452E-3</v>
      </c>
      <c r="T319" s="4">
        <v>250.01101</v>
      </c>
      <c r="U319" s="1">
        <v>156.5</v>
      </c>
      <c r="V319" s="3">
        <v>92.673190000000005</v>
      </c>
      <c r="W319" s="3">
        <f t="shared" si="56"/>
        <v>96.830590000000001</v>
      </c>
      <c r="X319" s="1">
        <f t="shared" si="64"/>
        <v>4.5672085802932187E-2</v>
      </c>
      <c r="Z319" s="4">
        <v>250.02426</v>
      </c>
      <c r="AA319" s="1">
        <v>156.5</v>
      </c>
      <c r="AB319" s="3">
        <v>99.683580000000006</v>
      </c>
      <c r="AC319" s="3">
        <f t="shared" si="57"/>
        <v>99.606840000000005</v>
      </c>
      <c r="AD319" s="1">
        <f t="shared" ref="AD319:AD382" si="66">($AC$62-AC319)/($AC$62*(1-$M$1))</f>
        <v>1.7566735764967405E-2</v>
      </c>
      <c r="AR319" s="11">
        <v>574.85458000000006</v>
      </c>
      <c r="AS319" s="1">
        <v>156.5</v>
      </c>
      <c r="AT319" s="13">
        <v>59.19511</v>
      </c>
      <c r="AU319" s="3">
        <f t="shared" si="60"/>
        <v>59.849599999999995</v>
      </c>
    </row>
    <row r="320" spans="2:47" ht="16" x14ac:dyDescent="0.2">
      <c r="B320" s="2">
        <v>200.01516000000001</v>
      </c>
      <c r="C320" s="1">
        <v>157</v>
      </c>
      <c r="D320" s="3">
        <v>99.997770000000003</v>
      </c>
      <c r="E320" s="3">
        <f t="shared" si="53"/>
        <v>100.71107000000001</v>
      </c>
      <c r="H320" s="4">
        <v>225.00899999999999</v>
      </c>
      <c r="I320" s="1">
        <v>157</v>
      </c>
      <c r="J320" s="3">
        <v>94.333259999999996</v>
      </c>
      <c r="K320" s="3">
        <f t="shared" si="54"/>
        <v>98.440839999999994</v>
      </c>
      <c r="L320" s="1">
        <f t="shared" si="63"/>
        <v>2.3536747752580568E-2</v>
      </c>
      <c r="N320" s="4">
        <v>225.01231000000001</v>
      </c>
      <c r="O320" s="1">
        <v>157</v>
      </c>
      <c r="P320" s="3">
        <v>100.69077</v>
      </c>
      <c r="Q320" s="3">
        <f t="shared" si="55"/>
        <v>100.82635000000001</v>
      </c>
      <c r="R320" s="1">
        <f t="shared" si="65"/>
        <v>2.2229083563710763E-3</v>
      </c>
      <c r="T320" s="4">
        <v>250.00697</v>
      </c>
      <c r="U320" s="1">
        <v>157</v>
      </c>
      <c r="V320" s="5">
        <v>92.639110000000002</v>
      </c>
      <c r="W320" s="3">
        <f t="shared" si="56"/>
        <v>96.796509999999998</v>
      </c>
      <c r="X320" s="1">
        <f t="shared" si="64"/>
        <v>4.6081488674704928E-2</v>
      </c>
      <c r="Z320" s="4">
        <v>250.02737999999999</v>
      </c>
      <c r="AA320" s="1">
        <v>157</v>
      </c>
      <c r="AB320" s="5">
        <v>99.632869999999997</v>
      </c>
      <c r="AC320" s="3">
        <f t="shared" si="57"/>
        <v>99.556129999999996</v>
      </c>
      <c r="AD320" s="1">
        <f t="shared" si="66"/>
        <v>1.8173244136468113E-2</v>
      </c>
      <c r="AR320" s="11">
        <v>576.35550000000001</v>
      </c>
      <c r="AS320" s="1">
        <v>157</v>
      </c>
      <c r="AT320" s="12">
        <v>59.163609999999998</v>
      </c>
      <c r="AU320" s="3">
        <f t="shared" si="60"/>
        <v>59.818099999999994</v>
      </c>
    </row>
    <row r="321" spans="2:47" ht="16" x14ac:dyDescent="0.2">
      <c r="B321" s="2">
        <v>200.0128</v>
      </c>
      <c r="C321" s="1">
        <v>157.5</v>
      </c>
      <c r="D321" s="5">
        <v>99.903509999999997</v>
      </c>
      <c r="E321" s="3">
        <f t="shared" si="53"/>
        <v>100.61681</v>
      </c>
      <c r="H321" s="4">
        <v>225.00700000000001</v>
      </c>
      <c r="I321" s="1">
        <v>157.5</v>
      </c>
      <c r="J321" s="5">
        <v>94.280119999999997</v>
      </c>
      <c r="K321" s="3">
        <f t="shared" si="54"/>
        <v>98.387699999999995</v>
      </c>
      <c r="L321" s="1">
        <f t="shared" si="63"/>
        <v>2.4176625161220489E-2</v>
      </c>
      <c r="N321" s="4">
        <v>225.00790000000001</v>
      </c>
      <c r="O321" s="1">
        <v>157.5</v>
      </c>
      <c r="P321" s="5">
        <v>100.60307</v>
      </c>
      <c r="Q321" s="3">
        <f t="shared" si="55"/>
        <v>100.73865000000001</v>
      </c>
      <c r="R321" s="1">
        <f t="shared" si="65"/>
        <v>3.2724887529132526E-3</v>
      </c>
      <c r="T321" s="4">
        <v>250.00504000000001</v>
      </c>
      <c r="U321" s="1">
        <v>157.5</v>
      </c>
      <c r="V321" s="3">
        <v>92.629320000000007</v>
      </c>
      <c r="W321" s="3">
        <f t="shared" si="56"/>
        <v>96.786720000000003</v>
      </c>
      <c r="X321" s="1">
        <f t="shared" si="64"/>
        <v>4.6199095896379015E-2</v>
      </c>
      <c r="Z321" s="4">
        <v>250.02337</v>
      </c>
      <c r="AA321" s="1">
        <v>157.5</v>
      </c>
      <c r="AB321" s="3">
        <v>99.657579999999996</v>
      </c>
      <c r="AC321" s="3">
        <f t="shared" si="57"/>
        <v>99.580839999999995</v>
      </c>
      <c r="AD321" s="1">
        <f t="shared" si="66"/>
        <v>1.7877704364040996E-2</v>
      </c>
      <c r="AR321" s="11">
        <v>577.84738000000004</v>
      </c>
      <c r="AS321" s="1">
        <v>157.5</v>
      </c>
      <c r="AT321" s="13">
        <v>59.135530000000003</v>
      </c>
      <c r="AU321" s="3">
        <f t="shared" si="60"/>
        <v>59.790019999999998</v>
      </c>
    </row>
    <row r="322" spans="2:47" ht="16" x14ac:dyDescent="0.2">
      <c r="B322" s="2">
        <v>200.01124999999999</v>
      </c>
      <c r="C322" s="1">
        <v>158</v>
      </c>
      <c r="D322" s="3">
        <v>100.03619</v>
      </c>
      <c r="E322" s="3">
        <f t="shared" si="53"/>
        <v>100.74949000000001</v>
      </c>
      <c r="H322" s="4">
        <v>225.01209</v>
      </c>
      <c r="I322" s="1">
        <v>158</v>
      </c>
      <c r="J322" s="3">
        <v>94.319969999999998</v>
      </c>
      <c r="K322" s="3">
        <f t="shared" si="54"/>
        <v>98.427549999999997</v>
      </c>
      <c r="L322" s="1">
        <f t="shared" si="63"/>
        <v>2.3696777311497077E-2</v>
      </c>
      <c r="N322" s="4">
        <v>225.00728000000001</v>
      </c>
      <c r="O322" s="1">
        <v>158</v>
      </c>
      <c r="P322" s="3">
        <v>100.64842</v>
      </c>
      <c r="Q322" s="3">
        <f t="shared" si="55"/>
        <v>100.78400000000001</v>
      </c>
      <c r="R322" s="1">
        <f t="shared" si="65"/>
        <v>2.7297467804709746E-3</v>
      </c>
      <c r="T322" s="4">
        <v>250.00404</v>
      </c>
      <c r="U322" s="1">
        <v>158</v>
      </c>
      <c r="V322" s="5">
        <v>92.599029999999999</v>
      </c>
      <c r="W322" s="3">
        <f t="shared" si="56"/>
        <v>96.756429999999995</v>
      </c>
      <c r="X322" s="1">
        <f t="shared" si="64"/>
        <v>4.6562969516860189E-2</v>
      </c>
      <c r="Z322" s="4">
        <v>250.01742999999999</v>
      </c>
      <c r="AA322" s="1">
        <v>158</v>
      </c>
      <c r="AB322" s="5">
        <v>99.654179999999997</v>
      </c>
      <c r="AC322" s="3">
        <f t="shared" si="57"/>
        <v>99.577439999999996</v>
      </c>
      <c r="AD322" s="1">
        <f t="shared" si="66"/>
        <v>1.7918369488535209E-2</v>
      </c>
      <c r="AR322" s="11">
        <v>579.35247000000004</v>
      </c>
      <c r="AS322" s="1">
        <v>158</v>
      </c>
      <c r="AT322" s="12">
        <v>59.173079999999999</v>
      </c>
      <c r="AU322" s="3">
        <f t="shared" si="60"/>
        <v>59.827569999999994</v>
      </c>
    </row>
    <row r="323" spans="2:47" ht="16" x14ac:dyDescent="0.2">
      <c r="B323" s="2">
        <v>200.01105999999999</v>
      </c>
      <c r="C323" s="1">
        <v>158.5</v>
      </c>
      <c r="D323" s="5">
        <v>100.07586999999999</v>
      </c>
      <c r="E323" s="3">
        <f t="shared" si="53"/>
        <v>100.78917</v>
      </c>
      <c r="H323" s="4">
        <v>225.005</v>
      </c>
      <c r="I323" s="1">
        <v>158.5</v>
      </c>
      <c r="J323" s="5">
        <v>94.29889</v>
      </c>
      <c r="K323" s="3">
        <f t="shared" si="54"/>
        <v>98.406469999999999</v>
      </c>
      <c r="L323" s="1">
        <f t="shared" si="63"/>
        <v>2.3950608997122376E-2</v>
      </c>
      <c r="N323" s="4">
        <v>225.00837999999999</v>
      </c>
      <c r="O323" s="1">
        <v>158.5</v>
      </c>
      <c r="P323" s="5">
        <v>100.7037</v>
      </c>
      <c r="Q323" s="3">
        <f t="shared" si="55"/>
        <v>100.83928</v>
      </c>
      <c r="R323" s="1">
        <f t="shared" si="65"/>
        <v>2.0681640630154582E-3</v>
      </c>
      <c r="T323" s="4">
        <v>250.00305</v>
      </c>
      <c r="U323" s="1">
        <v>158.5</v>
      </c>
      <c r="V323" s="3">
        <v>92.600939999999994</v>
      </c>
      <c r="W323" s="3">
        <f t="shared" si="56"/>
        <v>96.75833999999999</v>
      </c>
      <c r="X323" s="1">
        <f t="shared" si="64"/>
        <v>4.6540024696288478E-2</v>
      </c>
      <c r="Z323" s="4">
        <v>250.01228</v>
      </c>
      <c r="AA323" s="1">
        <v>158.5</v>
      </c>
      <c r="AB323" s="3">
        <v>99.612110000000001</v>
      </c>
      <c r="AC323" s="3">
        <f t="shared" si="57"/>
        <v>99.53537</v>
      </c>
      <c r="AD323" s="1">
        <f t="shared" si="66"/>
        <v>1.842154060249749E-2</v>
      </c>
      <c r="AR323" s="11">
        <v>580.85727999999995</v>
      </c>
      <c r="AS323" s="1">
        <v>158.5</v>
      </c>
      <c r="AT323" s="13">
        <v>59.207479999999997</v>
      </c>
      <c r="AU323" s="3">
        <f t="shared" si="60"/>
        <v>59.861969999999992</v>
      </c>
    </row>
    <row r="324" spans="2:47" ht="16" x14ac:dyDescent="0.2">
      <c r="B324" s="2">
        <v>200.01607000000001</v>
      </c>
      <c r="C324" s="1">
        <v>159</v>
      </c>
      <c r="D324" s="3">
        <v>100.06098</v>
      </c>
      <c r="E324" s="3">
        <f t="shared" si="53"/>
        <v>100.77428</v>
      </c>
      <c r="H324" s="4">
        <v>225.01012</v>
      </c>
      <c r="I324" s="1">
        <v>159</v>
      </c>
      <c r="J324" s="3">
        <v>94.295249999999996</v>
      </c>
      <c r="K324" s="3">
        <f t="shared" si="54"/>
        <v>98.402829999999994</v>
      </c>
      <c r="L324" s="1">
        <f t="shared" si="63"/>
        <v>2.3994439515892644E-2</v>
      </c>
      <c r="N324" s="4">
        <v>225.0078</v>
      </c>
      <c r="O324" s="1">
        <v>159</v>
      </c>
      <c r="P324" s="3">
        <v>100.53861000000001</v>
      </c>
      <c r="Q324" s="3">
        <f t="shared" si="55"/>
        <v>100.67419000000001</v>
      </c>
      <c r="R324" s="1">
        <f t="shared" si="65"/>
        <v>4.0439363282964548E-3</v>
      </c>
      <c r="T324" s="4">
        <v>250.00003000000001</v>
      </c>
      <c r="U324" s="1">
        <v>159</v>
      </c>
      <c r="V324" s="5">
        <v>92.611199999999997</v>
      </c>
      <c r="W324" s="3">
        <f t="shared" si="56"/>
        <v>96.768599999999992</v>
      </c>
      <c r="X324" s="1">
        <f t="shared" si="64"/>
        <v>4.641677136693434E-2</v>
      </c>
      <c r="Z324" s="4">
        <v>250.01266000000001</v>
      </c>
      <c r="AA324" s="1">
        <v>159</v>
      </c>
      <c r="AB324" s="5">
        <v>99.640259999999998</v>
      </c>
      <c r="AC324" s="3">
        <f t="shared" si="57"/>
        <v>99.563519999999997</v>
      </c>
      <c r="AD324" s="1">
        <f t="shared" si="66"/>
        <v>1.8084857292346837E-2</v>
      </c>
      <c r="AR324" s="11">
        <v>582.35748999999998</v>
      </c>
      <c r="AS324" s="1">
        <v>159</v>
      </c>
      <c r="AT324" s="12">
        <v>59.150469999999999</v>
      </c>
      <c r="AU324" s="3">
        <f t="shared" si="60"/>
        <v>59.804959999999994</v>
      </c>
    </row>
    <row r="325" spans="2:47" ht="16" x14ac:dyDescent="0.2">
      <c r="B325" s="2">
        <v>200.01875999999999</v>
      </c>
      <c r="C325" s="1">
        <v>159.5</v>
      </c>
      <c r="D325" s="5">
        <v>99.93056</v>
      </c>
      <c r="E325" s="3">
        <f t="shared" si="53"/>
        <v>100.64386</v>
      </c>
      <c r="H325" s="4">
        <v>225.00891999999999</v>
      </c>
      <c r="I325" s="1">
        <v>159.5</v>
      </c>
      <c r="J325" s="5">
        <v>94.288229999999999</v>
      </c>
      <c r="K325" s="3">
        <f t="shared" si="54"/>
        <v>98.395809999999997</v>
      </c>
      <c r="L325" s="1">
        <f t="shared" si="63"/>
        <v>2.4078969802092315E-2</v>
      </c>
      <c r="N325" s="4">
        <v>225.00981999999999</v>
      </c>
      <c r="O325" s="1">
        <v>159.5</v>
      </c>
      <c r="P325" s="5">
        <v>100.57210000000001</v>
      </c>
      <c r="Q325" s="3">
        <f t="shared" si="55"/>
        <v>100.70768000000001</v>
      </c>
      <c r="R325" s="1">
        <f t="shared" si="65"/>
        <v>3.6431330503010305E-3</v>
      </c>
      <c r="T325" s="4">
        <v>250.00595000000001</v>
      </c>
      <c r="U325" s="1">
        <v>159.5</v>
      </c>
      <c r="V325" s="3">
        <v>92.580870000000004</v>
      </c>
      <c r="W325" s="3">
        <f t="shared" si="56"/>
        <v>96.73827</v>
      </c>
      <c r="X325" s="1">
        <f t="shared" si="64"/>
        <v>4.6781125507217879E-2</v>
      </c>
      <c r="Z325" s="4">
        <v>250.01367999999999</v>
      </c>
      <c r="AA325" s="1">
        <v>159.5</v>
      </c>
      <c r="AB325" s="3">
        <v>99.784840000000003</v>
      </c>
      <c r="AC325" s="3">
        <f t="shared" si="57"/>
        <v>99.708100000000002</v>
      </c>
      <c r="AD325" s="1">
        <f t="shared" si="66"/>
        <v>1.6355632674883637E-2</v>
      </c>
      <c r="AR325" s="11">
        <v>583.85641999999996</v>
      </c>
      <c r="AS325" s="1">
        <v>159.5</v>
      </c>
      <c r="AT325" s="13">
        <v>59.168010000000002</v>
      </c>
      <c r="AU325" s="3">
        <f t="shared" si="60"/>
        <v>59.822499999999998</v>
      </c>
    </row>
    <row r="326" spans="2:47" ht="16" x14ac:dyDescent="0.2">
      <c r="B326" s="2">
        <v>200.02135999999999</v>
      </c>
      <c r="C326" s="1">
        <v>160</v>
      </c>
      <c r="D326" s="3">
        <v>100.00803999999999</v>
      </c>
      <c r="E326" s="3">
        <f t="shared" si="53"/>
        <v>100.72134</v>
      </c>
      <c r="H326" s="4">
        <v>225.00694999999999</v>
      </c>
      <c r="I326" s="1">
        <v>160</v>
      </c>
      <c r="J326" s="3">
        <v>94.287980000000005</v>
      </c>
      <c r="K326" s="3">
        <f t="shared" si="54"/>
        <v>98.395560000000003</v>
      </c>
      <c r="L326" s="1">
        <f t="shared" si="63"/>
        <v>2.408198013991987E-2</v>
      </c>
      <c r="N326" s="4">
        <v>225.01229000000001</v>
      </c>
      <c r="O326" s="1">
        <v>160</v>
      </c>
      <c r="P326" s="3">
        <v>100.65816</v>
      </c>
      <c r="Q326" s="3">
        <f t="shared" si="55"/>
        <v>100.79374</v>
      </c>
      <c r="R326" s="1">
        <f t="shared" si="65"/>
        <v>2.6131799268527952E-3</v>
      </c>
      <c r="T326" s="4">
        <v>250.01596000000001</v>
      </c>
      <c r="U326" s="1">
        <v>160</v>
      </c>
      <c r="V326" s="5">
        <v>92.59675</v>
      </c>
      <c r="W326" s="3">
        <f t="shared" si="56"/>
        <v>96.754149999999996</v>
      </c>
      <c r="X326" s="1">
        <f t="shared" si="64"/>
        <v>4.6590359145605532E-2</v>
      </c>
      <c r="Z326" s="4">
        <v>250.01379</v>
      </c>
      <c r="AA326" s="1">
        <v>160</v>
      </c>
      <c r="AB326" s="5">
        <v>99.638829999999999</v>
      </c>
      <c r="AC326" s="3">
        <f t="shared" si="57"/>
        <v>99.562089999999998</v>
      </c>
      <c r="AD326" s="1">
        <f t="shared" si="66"/>
        <v>1.8101960565295866E-2</v>
      </c>
      <c r="AR326" s="11">
        <v>585.35861</v>
      </c>
      <c r="AS326" s="1">
        <v>160</v>
      </c>
      <c r="AT326" s="12">
        <v>59.131999999999998</v>
      </c>
      <c r="AU326" s="3">
        <f t="shared" si="60"/>
        <v>59.786489999999993</v>
      </c>
    </row>
    <row r="327" spans="2:47" ht="16" x14ac:dyDescent="0.2">
      <c r="B327" s="2">
        <v>200.02002999999999</v>
      </c>
      <c r="C327" s="1">
        <v>160.5</v>
      </c>
      <c r="D327" s="5">
        <v>100.02804</v>
      </c>
      <c r="E327" s="3">
        <f t="shared" ref="E327:E390" si="67">100-($D$6-D327)</f>
        <v>100.74134000000001</v>
      </c>
      <c r="H327" s="4">
        <v>225.00397000000001</v>
      </c>
      <c r="I327" s="1">
        <v>160.5</v>
      </c>
      <c r="J327" s="5">
        <v>94.285939999999997</v>
      </c>
      <c r="K327" s="3">
        <f t="shared" ref="K327:K390" si="68">100-($J$6-J327)</f>
        <v>98.393519999999995</v>
      </c>
      <c r="L327" s="1">
        <f t="shared" si="63"/>
        <v>2.4106544496593385E-2</v>
      </c>
      <c r="N327" s="4">
        <v>225.01449</v>
      </c>
      <c r="O327" s="1">
        <v>160.5</v>
      </c>
      <c r="P327" s="5">
        <v>100.66622</v>
      </c>
      <c r="Q327" s="3">
        <f t="shared" ref="Q327:Q390" si="69">100-($P$6-P327)</f>
        <v>100.8018</v>
      </c>
      <c r="R327" s="1">
        <f t="shared" si="65"/>
        <v>2.5167190603062667E-3</v>
      </c>
      <c r="T327" s="4">
        <v>250.00601</v>
      </c>
      <c r="U327" s="1">
        <v>160.5</v>
      </c>
      <c r="V327" s="3">
        <v>92.574680000000001</v>
      </c>
      <c r="W327" s="3">
        <f t="shared" ref="W327:W390" si="70">100-($V$6-V327)</f>
        <v>96.732079999999996</v>
      </c>
      <c r="X327" s="1">
        <f t="shared" si="64"/>
        <v>4.6855485946662556E-2</v>
      </c>
      <c r="Z327" s="4">
        <v>250.01396</v>
      </c>
      <c r="AA327" s="1">
        <v>160.5</v>
      </c>
      <c r="AB327" s="3">
        <v>99.537499999999994</v>
      </c>
      <c r="AC327" s="3">
        <f t="shared" ref="AC327:AC390" si="71">100-($AB$6-AB327)</f>
        <v>99.460759999999993</v>
      </c>
      <c r="AD327" s="1">
        <f t="shared" si="66"/>
        <v>1.9313900878531083E-2</v>
      </c>
      <c r="AR327" s="11">
        <v>586.86141999999995</v>
      </c>
      <c r="AS327" s="1">
        <v>160.5</v>
      </c>
      <c r="AT327" s="13">
        <v>59.158569999999997</v>
      </c>
      <c r="AU327" s="3">
        <f t="shared" ref="AU327:AU335" si="72">100-($AT$6-AT327)</f>
        <v>59.813059999999993</v>
      </c>
    </row>
    <row r="328" spans="2:47" ht="16" x14ac:dyDescent="0.2">
      <c r="B328" s="2">
        <v>200.01778999999999</v>
      </c>
      <c r="C328" s="1">
        <v>161</v>
      </c>
      <c r="D328" s="3">
        <v>99.991039999999998</v>
      </c>
      <c r="E328" s="3">
        <f t="shared" si="67"/>
        <v>100.70434</v>
      </c>
      <c r="H328" s="4">
        <v>225.00806</v>
      </c>
      <c r="I328" s="1">
        <v>161</v>
      </c>
      <c r="J328" s="3">
        <v>94.314459999999997</v>
      </c>
      <c r="K328" s="3">
        <f t="shared" si="68"/>
        <v>98.422039999999996</v>
      </c>
      <c r="L328" s="1">
        <f t="shared" si="63"/>
        <v>2.376312515721794E-2</v>
      </c>
      <c r="N328" s="4">
        <v>225.01865000000001</v>
      </c>
      <c r="O328" s="1">
        <v>161</v>
      </c>
      <c r="P328" s="3">
        <v>100.58144</v>
      </c>
      <c r="Q328" s="3">
        <f t="shared" si="69"/>
        <v>100.71702000000001</v>
      </c>
      <c r="R328" s="1">
        <f t="shared" si="65"/>
        <v>3.5313533364618238E-3</v>
      </c>
      <c r="T328" s="4">
        <v>250.00299999999999</v>
      </c>
      <c r="U328" s="1">
        <v>161</v>
      </c>
      <c r="V328" s="5">
        <v>92.528739999999999</v>
      </c>
      <c r="W328" s="3">
        <f t="shared" si="70"/>
        <v>96.686139999999995</v>
      </c>
      <c r="X328" s="1">
        <f t="shared" si="64"/>
        <v>4.7407362939891388E-2</v>
      </c>
      <c r="Z328" s="4">
        <v>250.01331999999999</v>
      </c>
      <c r="AA328" s="1">
        <v>161</v>
      </c>
      <c r="AB328" s="5">
        <v>99.621420000000001</v>
      </c>
      <c r="AC328" s="3">
        <f t="shared" si="71"/>
        <v>99.54468</v>
      </c>
      <c r="AD328" s="1">
        <f t="shared" si="66"/>
        <v>1.8310189923367731E-2</v>
      </c>
      <c r="AR328" s="11">
        <v>588.37059999999997</v>
      </c>
      <c r="AS328" s="1">
        <v>161</v>
      </c>
      <c r="AT328" s="12">
        <v>59.206339999999997</v>
      </c>
      <c r="AU328" s="3">
        <f t="shared" si="72"/>
        <v>59.860829999999993</v>
      </c>
    </row>
    <row r="329" spans="2:47" ht="16" x14ac:dyDescent="0.2">
      <c r="B329" s="2">
        <v>200.01802000000001</v>
      </c>
      <c r="C329" s="1">
        <v>161.5</v>
      </c>
      <c r="D329" s="5">
        <v>100.03672</v>
      </c>
      <c r="E329" s="3">
        <f t="shared" si="67"/>
        <v>100.75002000000001</v>
      </c>
      <c r="H329" s="4">
        <v>225.00408999999999</v>
      </c>
      <c r="I329" s="1">
        <v>161.5</v>
      </c>
      <c r="J329" s="5">
        <v>94.284540000000007</v>
      </c>
      <c r="K329" s="3">
        <f t="shared" si="68"/>
        <v>98.392120000000006</v>
      </c>
      <c r="L329" s="1">
        <f t="shared" si="63"/>
        <v>2.4123402388427959E-2</v>
      </c>
      <c r="N329" s="4">
        <v>225.01996</v>
      </c>
      <c r="O329" s="1">
        <v>161.5</v>
      </c>
      <c r="P329" s="5">
        <v>100.51343</v>
      </c>
      <c r="Q329" s="3">
        <f t="shared" si="69"/>
        <v>100.64901</v>
      </c>
      <c r="R329" s="1">
        <f t="shared" si="65"/>
        <v>4.3452867773835571E-3</v>
      </c>
      <c r="T329" s="4">
        <v>250.00995</v>
      </c>
      <c r="U329" s="1">
        <v>161.5</v>
      </c>
      <c r="V329" s="3">
        <v>92.522750000000002</v>
      </c>
      <c r="W329" s="3">
        <f t="shared" si="70"/>
        <v>96.680149999999998</v>
      </c>
      <c r="X329" s="1">
        <f t="shared" si="64"/>
        <v>4.7479320780323235E-2</v>
      </c>
      <c r="Z329" s="4">
        <v>250.01004</v>
      </c>
      <c r="AA329" s="1">
        <v>161.5</v>
      </c>
      <c r="AB329" s="3">
        <v>99.547730000000001</v>
      </c>
      <c r="AC329" s="3">
        <f t="shared" si="71"/>
        <v>99.47099</v>
      </c>
      <c r="AD329" s="1">
        <f t="shared" si="66"/>
        <v>1.9191546695126321E-2</v>
      </c>
      <c r="AR329" s="11">
        <v>589.86956999999995</v>
      </c>
      <c r="AS329" s="1">
        <v>161.5</v>
      </c>
      <c r="AT329" s="13">
        <v>59.163170000000001</v>
      </c>
      <c r="AU329" s="3">
        <f t="shared" si="72"/>
        <v>59.817659999999997</v>
      </c>
    </row>
    <row r="330" spans="2:47" ht="16" x14ac:dyDescent="0.2">
      <c r="B330" s="2">
        <v>200.01952</v>
      </c>
      <c r="C330" s="1">
        <v>162</v>
      </c>
      <c r="D330" s="3">
        <v>100.01805</v>
      </c>
      <c r="E330" s="3">
        <f t="shared" si="67"/>
        <v>100.73135000000001</v>
      </c>
      <c r="H330" s="4">
        <v>225.00400999999999</v>
      </c>
      <c r="I330" s="1">
        <v>162</v>
      </c>
      <c r="J330" s="3">
        <v>94.271379999999994</v>
      </c>
      <c r="K330" s="3">
        <f t="shared" si="68"/>
        <v>98.378959999999992</v>
      </c>
      <c r="L330" s="1">
        <f t="shared" si="63"/>
        <v>2.428186657167429E-2</v>
      </c>
      <c r="N330" s="4">
        <v>225.01867999999999</v>
      </c>
      <c r="O330" s="1">
        <v>162</v>
      </c>
      <c r="P330" s="3">
        <v>100.6217</v>
      </c>
      <c r="Q330" s="3">
        <f t="shared" si="69"/>
        <v>100.75728000000001</v>
      </c>
      <c r="R330" s="1">
        <f t="shared" si="65"/>
        <v>3.049527717707062E-3</v>
      </c>
      <c r="T330" s="4">
        <v>250.00405000000001</v>
      </c>
      <c r="U330" s="1">
        <v>162</v>
      </c>
      <c r="V330" s="5">
        <v>92.52064</v>
      </c>
      <c r="W330" s="3">
        <f t="shared" si="70"/>
        <v>96.678039999999996</v>
      </c>
      <c r="X330" s="1">
        <f t="shared" si="64"/>
        <v>4.7504668199907778E-2</v>
      </c>
      <c r="Z330" s="4">
        <v>250.01293000000001</v>
      </c>
      <c r="AA330" s="1">
        <v>162</v>
      </c>
      <c r="AB330" s="5">
        <v>99.548299999999998</v>
      </c>
      <c r="AC330" s="3">
        <f t="shared" si="71"/>
        <v>99.471559999999997</v>
      </c>
      <c r="AD330" s="1">
        <f t="shared" si="66"/>
        <v>1.9184729306608219E-2</v>
      </c>
      <c r="AR330" s="11">
        <v>591.37341000000004</v>
      </c>
      <c r="AS330" s="1">
        <v>162</v>
      </c>
      <c r="AT330" s="12">
        <v>59.148949999999999</v>
      </c>
      <c r="AU330" s="3">
        <f t="shared" si="72"/>
        <v>59.803439999999995</v>
      </c>
    </row>
    <row r="331" spans="2:47" ht="16" x14ac:dyDescent="0.2">
      <c r="B331" s="2">
        <v>200.02144999999999</v>
      </c>
      <c r="C331" s="1">
        <v>162.5</v>
      </c>
      <c r="D331" s="5">
        <v>100.11628</v>
      </c>
      <c r="E331" s="3">
        <f t="shared" si="67"/>
        <v>100.82958000000001</v>
      </c>
      <c r="H331" s="4">
        <v>225.00514000000001</v>
      </c>
      <c r="I331" s="1">
        <v>162.5</v>
      </c>
      <c r="J331" s="5">
        <v>94.256619999999998</v>
      </c>
      <c r="K331" s="3">
        <f t="shared" si="68"/>
        <v>98.364199999999997</v>
      </c>
      <c r="L331" s="1">
        <f t="shared" si="63"/>
        <v>2.4459596917017205E-2</v>
      </c>
      <c r="N331" s="4">
        <v>225.01849000000001</v>
      </c>
      <c r="O331" s="1">
        <v>162.5</v>
      </c>
      <c r="P331" s="5">
        <v>100.66341</v>
      </c>
      <c r="Q331" s="3">
        <f t="shared" si="69"/>
        <v>100.79899</v>
      </c>
      <c r="R331" s="1">
        <f t="shared" si="65"/>
        <v>2.5503487172535877E-3</v>
      </c>
      <c r="T331" s="4">
        <v>250.01197999999999</v>
      </c>
      <c r="U331" s="1">
        <v>162.5</v>
      </c>
      <c r="V331" s="3">
        <v>92.510660000000001</v>
      </c>
      <c r="W331" s="3">
        <f t="shared" si="70"/>
        <v>96.668059999999997</v>
      </c>
      <c r="X331" s="1">
        <f t="shared" si="64"/>
        <v>4.7624557890644022E-2</v>
      </c>
      <c r="Z331" s="4">
        <v>250.01543000000001</v>
      </c>
      <c r="AA331" s="1">
        <v>162.5</v>
      </c>
      <c r="AB331" s="3">
        <v>99.644959999999998</v>
      </c>
      <c r="AC331" s="3">
        <f t="shared" si="71"/>
        <v>99.568219999999997</v>
      </c>
      <c r="AD331" s="1">
        <f t="shared" si="66"/>
        <v>1.8028643737898944E-2</v>
      </c>
      <c r="AR331" s="11">
        <v>592.86771999999996</v>
      </c>
      <c r="AS331" s="1">
        <v>162.5</v>
      </c>
      <c r="AT331" s="13">
        <v>59.238379999999999</v>
      </c>
      <c r="AU331" s="3">
        <f t="shared" si="72"/>
        <v>59.892869999999995</v>
      </c>
    </row>
    <row r="332" spans="2:47" ht="16" x14ac:dyDescent="0.2">
      <c r="B332" s="2">
        <v>200.01886999999999</v>
      </c>
      <c r="C332" s="1">
        <v>163</v>
      </c>
      <c r="D332" s="3">
        <v>100.03312</v>
      </c>
      <c r="E332" s="3">
        <f t="shared" si="67"/>
        <v>100.74642</v>
      </c>
      <c r="H332" s="4">
        <v>225.00309999999999</v>
      </c>
      <c r="I332" s="1">
        <v>163</v>
      </c>
      <c r="J332" s="3">
        <v>94.246309999999994</v>
      </c>
      <c r="K332" s="3">
        <f t="shared" si="68"/>
        <v>98.353889999999993</v>
      </c>
      <c r="L332" s="1">
        <f t="shared" si="63"/>
        <v>2.4583743249028501E-2</v>
      </c>
      <c r="N332" s="4">
        <v>225.01586</v>
      </c>
      <c r="O332" s="1">
        <v>163</v>
      </c>
      <c r="P332" s="3">
        <v>100.56646000000001</v>
      </c>
      <c r="Q332" s="3">
        <f t="shared" si="69"/>
        <v>100.70204000000001</v>
      </c>
      <c r="R332" s="1">
        <f t="shared" si="65"/>
        <v>3.7106317211846982E-3</v>
      </c>
      <c r="T332" s="4">
        <v>250.00306</v>
      </c>
      <c r="U332" s="1">
        <v>163</v>
      </c>
      <c r="V332" s="5">
        <v>92.472620000000006</v>
      </c>
      <c r="W332" s="3">
        <f t="shared" si="70"/>
        <v>96.630020000000002</v>
      </c>
      <c r="X332" s="1">
        <f t="shared" si="64"/>
        <v>4.8081532222869129E-2</v>
      </c>
      <c r="Z332" s="4">
        <v>250.01472999999999</v>
      </c>
      <c r="AA332" s="1">
        <v>163</v>
      </c>
      <c r="AB332" s="5">
        <v>99.621219999999994</v>
      </c>
      <c r="AC332" s="3">
        <f t="shared" si="71"/>
        <v>99.544479999999993</v>
      </c>
      <c r="AD332" s="1">
        <f t="shared" si="66"/>
        <v>1.8312581989514527E-2</v>
      </c>
      <c r="AR332" s="11">
        <v>594.35742000000005</v>
      </c>
      <c r="AS332" s="1">
        <v>163</v>
      </c>
      <c r="AT332" s="12">
        <v>59.151290000000003</v>
      </c>
      <c r="AU332" s="3">
        <f t="shared" si="72"/>
        <v>59.805779999999999</v>
      </c>
    </row>
    <row r="333" spans="2:47" ht="16" x14ac:dyDescent="0.2">
      <c r="B333" s="2">
        <v>200.01840999999999</v>
      </c>
      <c r="C333" s="1">
        <v>163.5</v>
      </c>
      <c r="D333" s="5">
        <v>99.996009999999998</v>
      </c>
      <c r="E333" s="3">
        <f t="shared" si="67"/>
        <v>100.70931</v>
      </c>
      <c r="H333" s="4">
        <v>225.00595999999999</v>
      </c>
      <c r="I333" s="1">
        <v>163.5</v>
      </c>
      <c r="J333" s="5">
        <v>94.274510000000006</v>
      </c>
      <c r="K333" s="3">
        <f t="shared" si="68"/>
        <v>98.382090000000005</v>
      </c>
      <c r="L333" s="1">
        <f t="shared" si="63"/>
        <v>2.4244177142072269E-2</v>
      </c>
      <c r="N333" s="4">
        <v>225.01525000000001</v>
      </c>
      <c r="O333" s="1">
        <v>163.5</v>
      </c>
      <c r="P333" s="5">
        <v>100.57908</v>
      </c>
      <c r="Q333" s="3">
        <f t="shared" si="69"/>
        <v>100.71466000000001</v>
      </c>
      <c r="R333" s="1">
        <f t="shared" si="65"/>
        <v>3.5595974611577793E-3</v>
      </c>
      <c r="T333" s="4">
        <v>250.00299999999999</v>
      </c>
      <c r="U333" s="1">
        <v>163.5</v>
      </c>
      <c r="V333" s="3">
        <v>92.464569999999995</v>
      </c>
      <c r="W333" s="3">
        <f t="shared" si="70"/>
        <v>96.62196999999999</v>
      </c>
      <c r="X333" s="1">
        <f t="shared" si="64"/>
        <v>4.8178236833132479E-2</v>
      </c>
      <c r="Z333" s="4">
        <v>250.01533000000001</v>
      </c>
      <c r="AA333" s="1">
        <v>163.5</v>
      </c>
      <c r="AB333" s="3">
        <v>99.524609999999996</v>
      </c>
      <c r="AC333" s="3">
        <f t="shared" si="71"/>
        <v>99.447869999999995</v>
      </c>
      <c r="AD333" s="1">
        <f t="shared" si="66"/>
        <v>1.9468069541687106E-2</v>
      </c>
      <c r="AR333" s="11">
        <v>595.86638000000005</v>
      </c>
      <c r="AS333" s="1">
        <v>163.5</v>
      </c>
      <c r="AT333" s="13">
        <v>59.182459999999999</v>
      </c>
      <c r="AU333" s="3">
        <f t="shared" si="72"/>
        <v>59.836949999999995</v>
      </c>
    </row>
    <row r="334" spans="2:47" ht="16" x14ac:dyDescent="0.2">
      <c r="B334" s="2">
        <v>200.01822999999999</v>
      </c>
      <c r="C334" s="1">
        <v>164</v>
      </c>
      <c r="D334" s="3">
        <v>99.928619999999995</v>
      </c>
      <c r="E334" s="3">
        <f t="shared" si="67"/>
        <v>100.64192</v>
      </c>
      <c r="H334" s="4">
        <v>225.00686999999999</v>
      </c>
      <c r="I334" s="1">
        <v>164</v>
      </c>
      <c r="J334" s="3">
        <v>94.256129999999999</v>
      </c>
      <c r="K334" s="3">
        <f t="shared" si="68"/>
        <v>98.363709999999998</v>
      </c>
      <c r="L334" s="1">
        <f t="shared" si="63"/>
        <v>2.4465497179159339E-2</v>
      </c>
      <c r="N334" s="4">
        <v>225.01633000000001</v>
      </c>
      <c r="O334" s="1">
        <v>164</v>
      </c>
      <c r="P334" s="3">
        <v>100.50922</v>
      </c>
      <c r="Q334" s="3">
        <f t="shared" si="69"/>
        <v>100.6448</v>
      </c>
      <c r="R334" s="1">
        <f t="shared" si="65"/>
        <v>4.3956714235573674E-3</v>
      </c>
      <c r="T334" s="4">
        <v>250.00303</v>
      </c>
      <c r="U334" s="1">
        <v>164</v>
      </c>
      <c r="V334" s="5">
        <v>92.454400000000007</v>
      </c>
      <c r="W334" s="3">
        <f t="shared" si="70"/>
        <v>96.611800000000002</v>
      </c>
      <c r="X334" s="1">
        <f t="shared" si="64"/>
        <v>4.8300408992930699E-2</v>
      </c>
      <c r="Z334" s="4">
        <v>250.01721000000001</v>
      </c>
      <c r="AA334" s="1">
        <v>164</v>
      </c>
      <c r="AB334" s="5">
        <v>99.584519999999998</v>
      </c>
      <c r="AC334" s="3">
        <f t="shared" si="71"/>
        <v>99.507779999999997</v>
      </c>
      <c r="AD334" s="1">
        <f t="shared" si="66"/>
        <v>1.8751526127437412E-2</v>
      </c>
      <c r="AR334" s="11">
        <v>597.36234999999999</v>
      </c>
      <c r="AS334" s="1">
        <v>164</v>
      </c>
      <c r="AT334" s="12">
        <v>59.145110000000003</v>
      </c>
      <c r="AU334" s="3">
        <f t="shared" si="72"/>
        <v>59.799599999999998</v>
      </c>
    </row>
    <row r="335" spans="2:47" ht="16" x14ac:dyDescent="0.2">
      <c r="B335" s="2">
        <v>200.01876999999999</v>
      </c>
      <c r="C335" s="1">
        <v>164.5</v>
      </c>
      <c r="D335" s="5">
        <v>100.06962</v>
      </c>
      <c r="E335" s="3">
        <f t="shared" si="67"/>
        <v>100.78292</v>
      </c>
      <c r="H335" s="4">
        <v>225.00497999999999</v>
      </c>
      <c r="I335" s="1">
        <v>164.5</v>
      </c>
      <c r="J335" s="5">
        <v>94.260990000000007</v>
      </c>
      <c r="K335" s="3">
        <f t="shared" si="68"/>
        <v>98.368570000000005</v>
      </c>
      <c r="L335" s="1">
        <f t="shared" si="63"/>
        <v>2.4406976211790218E-2</v>
      </c>
      <c r="N335" s="4">
        <v>225.01769999999999</v>
      </c>
      <c r="O335" s="1">
        <v>164.5</v>
      </c>
      <c r="P335" s="5">
        <v>100.556</v>
      </c>
      <c r="Q335" s="3">
        <f t="shared" si="69"/>
        <v>100.69158</v>
      </c>
      <c r="R335" s="1">
        <f t="shared" si="65"/>
        <v>3.8358154264052325E-3</v>
      </c>
      <c r="T335" s="4">
        <v>250.00200000000001</v>
      </c>
      <c r="U335" s="1">
        <v>164.5</v>
      </c>
      <c r="V335" s="3">
        <v>92.43038</v>
      </c>
      <c r="W335" s="3">
        <f t="shared" si="70"/>
        <v>96.587779999999995</v>
      </c>
      <c r="X335" s="1">
        <f t="shared" si="64"/>
        <v>4.8588961134362139E-2</v>
      </c>
      <c r="Z335" s="4">
        <v>250.02153000000001</v>
      </c>
      <c r="AA335" s="1">
        <v>164.5</v>
      </c>
      <c r="AB335" s="3">
        <v>99.551169999999999</v>
      </c>
      <c r="AC335" s="3">
        <f t="shared" si="71"/>
        <v>99.474429999999998</v>
      </c>
      <c r="AD335" s="1">
        <f t="shared" si="66"/>
        <v>1.9150403157402785E-2</v>
      </c>
      <c r="AR335" s="11">
        <v>598.85949000000005</v>
      </c>
      <c r="AS335" s="1">
        <v>164.5</v>
      </c>
      <c r="AT335" s="13">
        <v>59.135219999999997</v>
      </c>
      <c r="AU335" s="3">
        <f t="shared" si="72"/>
        <v>59.789709999999992</v>
      </c>
    </row>
    <row r="336" spans="2:47" x14ac:dyDescent="0.2">
      <c r="B336" s="2">
        <v>200.01428999999999</v>
      </c>
      <c r="C336" s="1">
        <v>165</v>
      </c>
      <c r="D336" s="3">
        <v>100.06863</v>
      </c>
      <c r="E336" s="3">
        <f t="shared" si="67"/>
        <v>100.78193</v>
      </c>
      <c r="H336" s="4">
        <v>225.00990999999999</v>
      </c>
      <c r="I336" s="1">
        <v>165</v>
      </c>
      <c r="J336" s="3">
        <v>94.269159999999999</v>
      </c>
      <c r="K336" s="3">
        <f t="shared" si="68"/>
        <v>98.376739999999998</v>
      </c>
      <c r="L336" s="1">
        <f t="shared" si="63"/>
        <v>2.4308598371583529E-2</v>
      </c>
      <c r="N336" s="4">
        <v>225.02087</v>
      </c>
      <c r="O336" s="1">
        <v>165</v>
      </c>
      <c r="P336" s="3">
        <v>100.61078000000001</v>
      </c>
      <c r="Q336" s="3">
        <f t="shared" si="69"/>
        <v>100.74636000000001</v>
      </c>
      <c r="R336" s="1">
        <f t="shared" si="65"/>
        <v>3.180216633673304E-3</v>
      </c>
      <c r="T336" s="4">
        <v>250.00304</v>
      </c>
      <c r="U336" s="1">
        <v>165</v>
      </c>
      <c r="V336" s="5">
        <v>92.4345</v>
      </c>
      <c r="W336" s="3">
        <f t="shared" si="70"/>
        <v>96.591899999999995</v>
      </c>
      <c r="X336" s="1">
        <f t="shared" si="64"/>
        <v>4.8539467594699473E-2</v>
      </c>
      <c r="Z336" s="4">
        <v>250.02168</v>
      </c>
      <c r="AA336" s="1">
        <v>165</v>
      </c>
      <c r="AB336" s="5">
        <v>99.509500000000003</v>
      </c>
      <c r="AC336" s="3">
        <f t="shared" si="71"/>
        <v>99.432760000000002</v>
      </c>
      <c r="AD336" s="1">
        <f t="shared" si="66"/>
        <v>1.9648790139071639E-2</v>
      </c>
    </row>
    <row r="337" spans="2:30" x14ac:dyDescent="0.2">
      <c r="B337" s="2">
        <v>200.01714999999999</v>
      </c>
      <c r="C337" s="1">
        <v>165.5</v>
      </c>
      <c r="D337" s="5">
        <v>100.02054</v>
      </c>
      <c r="E337" s="3">
        <f t="shared" si="67"/>
        <v>100.73384</v>
      </c>
      <c r="H337" s="4">
        <v>225.00715</v>
      </c>
      <c r="I337" s="1">
        <v>165.5</v>
      </c>
      <c r="J337" s="5">
        <v>94.267719999999997</v>
      </c>
      <c r="K337" s="3">
        <f t="shared" si="68"/>
        <v>98.375299999999996</v>
      </c>
      <c r="L337" s="1">
        <f t="shared" si="63"/>
        <v>2.4325937917470675E-2</v>
      </c>
      <c r="N337" s="4">
        <v>225.01795999999999</v>
      </c>
      <c r="O337" s="1">
        <v>165.5</v>
      </c>
      <c r="P337" s="5">
        <v>100.64077</v>
      </c>
      <c r="Q337" s="3">
        <f t="shared" si="69"/>
        <v>100.77635000000001</v>
      </c>
      <c r="R337" s="1">
        <f t="shared" si="65"/>
        <v>2.821300828744018E-3</v>
      </c>
      <c r="T337" s="4">
        <v>250.00801000000001</v>
      </c>
      <c r="U337" s="1">
        <v>165.5</v>
      </c>
      <c r="V337" s="3">
        <v>92.410610000000005</v>
      </c>
      <c r="W337" s="3">
        <f t="shared" si="70"/>
        <v>96.568010000000001</v>
      </c>
      <c r="X337" s="1">
        <f t="shared" si="64"/>
        <v>4.8826458046772464E-2</v>
      </c>
      <c r="Z337" s="4">
        <v>250.02373</v>
      </c>
      <c r="AA337" s="1">
        <v>165.5</v>
      </c>
      <c r="AB337" s="3">
        <v>99.558260000000004</v>
      </c>
      <c r="AC337" s="3">
        <f t="shared" si="71"/>
        <v>99.481520000000003</v>
      </c>
      <c r="AD337" s="1">
        <f t="shared" si="66"/>
        <v>1.9065604412501536E-2</v>
      </c>
    </row>
    <row r="338" spans="2:30" x14ac:dyDescent="0.2">
      <c r="B338" s="2">
        <v>200.01837</v>
      </c>
      <c r="C338" s="1">
        <v>166</v>
      </c>
      <c r="D338" s="3">
        <v>100.00801</v>
      </c>
      <c r="E338" s="3">
        <f t="shared" si="67"/>
        <v>100.72131</v>
      </c>
      <c r="H338" s="4">
        <v>225.00707</v>
      </c>
      <c r="I338" s="1">
        <v>166</v>
      </c>
      <c r="J338" s="3">
        <v>94.275800000000004</v>
      </c>
      <c r="K338" s="3">
        <f t="shared" si="68"/>
        <v>98.383380000000002</v>
      </c>
      <c r="L338" s="1">
        <f t="shared" si="63"/>
        <v>2.422864379888176E-2</v>
      </c>
      <c r="N338" s="4">
        <v>225.01760999999999</v>
      </c>
      <c r="O338" s="1">
        <v>166</v>
      </c>
      <c r="P338" s="3">
        <v>100.61967</v>
      </c>
      <c r="Q338" s="3">
        <f t="shared" si="69"/>
        <v>100.75525</v>
      </c>
      <c r="R338" s="1">
        <f t="shared" si="65"/>
        <v>3.0738224520854627E-3</v>
      </c>
      <c r="T338" s="4">
        <v>250.00402</v>
      </c>
      <c r="U338" s="1">
        <v>166</v>
      </c>
      <c r="V338" s="5">
        <v>92.398150000000001</v>
      </c>
      <c r="W338" s="3">
        <f t="shared" si="70"/>
        <v>96.555549999999997</v>
      </c>
      <c r="X338" s="1">
        <f t="shared" si="64"/>
        <v>4.8976139965266882E-2</v>
      </c>
      <c r="Z338" s="4">
        <v>250.02135000000001</v>
      </c>
      <c r="AA338" s="1">
        <v>166</v>
      </c>
      <c r="AB338" s="5">
        <v>99.572490000000002</v>
      </c>
      <c r="AC338" s="3">
        <f t="shared" si="71"/>
        <v>99.495750000000001</v>
      </c>
      <c r="AD338" s="1">
        <f t="shared" si="66"/>
        <v>1.8895408906162509E-2</v>
      </c>
    </row>
    <row r="339" spans="2:30" x14ac:dyDescent="0.2">
      <c r="B339" s="2">
        <v>200.01508000000001</v>
      </c>
      <c r="C339" s="1">
        <v>166.5</v>
      </c>
      <c r="D339" s="5">
        <v>100.02387</v>
      </c>
      <c r="E339" s="3">
        <f t="shared" si="67"/>
        <v>100.73717000000001</v>
      </c>
      <c r="H339" s="4">
        <v>225.00898000000001</v>
      </c>
      <c r="I339" s="1">
        <v>166.5</v>
      </c>
      <c r="J339" s="5">
        <v>94.260869999999997</v>
      </c>
      <c r="K339" s="3">
        <f t="shared" si="68"/>
        <v>98.368449999999996</v>
      </c>
      <c r="L339" s="1">
        <f t="shared" si="63"/>
        <v>2.4408421173947596E-2</v>
      </c>
      <c r="N339" s="4">
        <v>225.02260999999999</v>
      </c>
      <c r="O339" s="1">
        <v>166.5</v>
      </c>
      <c r="P339" s="5">
        <v>100.57688</v>
      </c>
      <c r="Q339" s="3">
        <f t="shared" si="69"/>
        <v>100.71246000000001</v>
      </c>
      <c r="R339" s="1">
        <f t="shared" si="65"/>
        <v>3.585926729942214E-3</v>
      </c>
      <c r="T339" s="4">
        <v>250.00899999999999</v>
      </c>
      <c r="U339" s="1">
        <v>166.5</v>
      </c>
      <c r="V339" s="3">
        <v>92.390159999999995</v>
      </c>
      <c r="W339" s="3">
        <f t="shared" si="70"/>
        <v>96.54755999999999</v>
      </c>
      <c r="X339" s="1">
        <f t="shared" si="64"/>
        <v>4.9072123795826345E-2</v>
      </c>
      <c r="Z339" s="4">
        <v>250.02074999999999</v>
      </c>
      <c r="AA339" s="1">
        <v>166.5</v>
      </c>
      <c r="AB339" s="3">
        <v>99.567679999999996</v>
      </c>
      <c r="AC339" s="3">
        <f t="shared" si="71"/>
        <v>99.490939999999995</v>
      </c>
      <c r="AD339" s="1">
        <f t="shared" si="66"/>
        <v>1.8952938096991175E-2</v>
      </c>
    </row>
    <row r="340" spans="2:30" x14ac:dyDescent="0.2">
      <c r="B340" s="2">
        <v>200.01642000000001</v>
      </c>
      <c r="C340" s="1">
        <v>167</v>
      </c>
      <c r="D340" s="3">
        <v>100.01766000000001</v>
      </c>
      <c r="E340" s="3">
        <f t="shared" si="67"/>
        <v>100.73096000000001</v>
      </c>
      <c r="H340" s="4">
        <v>225.00299999999999</v>
      </c>
      <c r="I340" s="1">
        <v>167</v>
      </c>
      <c r="J340" s="3">
        <v>94.25461</v>
      </c>
      <c r="K340" s="3">
        <f t="shared" si="68"/>
        <v>98.362189999999998</v>
      </c>
      <c r="L340" s="1">
        <f t="shared" si="63"/>
        <v>2.4483800033151291E-2</v>
      </c>
      <c r="N340" s="4">
        <v>225.02723</v>
      </c>
      <c r="O340" s="1">
        <v>167</v>
      </c>
      <c r="P340" s="3">
        <v>100.6306</v>
      </c>
      <c r="Q340" s="3">
        <f t="shared" si="69"/>
        <v>100.76618000000001</v>
      </c>
      <c r="R340" s="1">
        <f t="shared" si="65"/>
        <v>2.9430138576247078E-3</v>
      </c>
      <c r="T340" s="4">
        <v>250.005</v>
      </c>
      <c r="U340" s="1">
        <v>167</v>
      </c>
      <c r="V340" s="5">
        <v>92.370289999999997</v>
      </c>
      <c r="W340" s="3">
        <f t="shared" si="70"/>
        <v>96.527689999999993</v>
      </c>
      <c r="X340" s="1">
        <f t="shared" si="64"/>
        <v>4.9310822007743088E-2</v>
      </c>
      <c r="Z340" s="4">
        <v>250.02010999999999</v>
      </c>
      <c r="AA340" s="1">
        <v>167</v>
      </c>
      <c r="AB340" s="5">
        <v>99.536050000000003</v>
      </c>
      <c r="AC340" s="3">
        <f t="shared" si="71"/>
        <v>99.459310000000002</v>
      </c>
      <c r="AD340" s="1">
        <f t="shared" si="66"/>
        <v>1.9331243358094691E-2</v>
      </c>
    </row>
    <row r="341" spans="2:30" x14ac:dyDescent="0.2">
      <c r="B341" s="2">
        <v>200.01845</v>
      </c>
      <c r="C341" s="1">
        <v>167.5</v>
      </c>
      <c r="D341" s="5">
        <v>100.01511000000001</v>
      </c>
      <c r="E341" s="3">
        <f t="shared" si="67"/>
        <v>100.72841000000001</v>
      </c>
      <c r="H341" s="4">
        <v>224.99994000000001</v>
      </c>
      <c r="I341" s="1">
        <v>167.5</v>
      </c>
      <c r="J341" s="5">
        <v>94.252629999999996</v>
      </c>
      <c r="K341" s="3">
        <f t="shared" si="68"/>
        <v>98.360209999999995</v>
      </c>
      <c r="L341" s="1">
        <f t="shared" ref="L341:L404" si="73">($K$20-K341)/($K$20*(1-$M$1))</f>
        <v>2.4507641908746117E-2</v>
      </c>
      <c r="N341" s="4">
        <v>225.02759</v>
      </c>
      <c r="O341" s="1">
        <v>167.5</v>
      </c>
      <c r="P341" s="5">
        <v>100.63325</v>
      </c>
      <c r="Q341" s="3">
        <f t="shared" si="69"/>
        <v>100.76883000000001</v>
      </c>
      <c r="R341" s="1">
        <f t="shared" si="65"/>
        <v>2.9112990565889076E-3</v>
      </c>
      <c r="T341" s="4">
        <v>250.00701000000001</v>
      </c>
      <c r="U341" s="1">
        <v>167.5</v>
      </c>
      <c r="V341" s="3">
        <v>92.360209999999995</v>
      </c>
      <c r="W341" s="3">
        <f t="shared" si="70"/>
        <v>96.517609999999991</v>
      </c>
      <c r="X341" s="1">
        <f t="shared" si="64"/>
        <v>4.9431912997985744E-2</v>
      </c>
      <c r="Z341" s="4">
        <v>250.01940999999999</v>
      </c>
      <c r="AA341" s="1">
        <v>167.5</v>
      </c>
      <c r="AB341" s="3">
        <v>99.525729999999996</v>
      </c>
      <c r="AC341" s="3">
        <f t="shared" si="71"/>
        <v>99.448989999999995</v>
      </c>
      <c r="AD341" s="1">
        <f t="shared" si="66"/>
        <v>1.9454673971265476E-2</v>
      </c>
    </row>
    <row r="342" spans="2:30" x14ac:dyDescent="0.2">
      <c r="B342" s="2">
        <v>200.01920000000001</v>
      </c>
      <c r="C342" s="1">
        <v>168</v>
      </c>
      <c r="D342" s="3">
        <v>100.05362</v>
      </c>
      <c r="E342" s="3">
        <f t="shared" si="67"/>
        <v>100.76692</v>
      </c>
      <c r="H342" s="4">
        <v>225.00497999999999</v>
      </c>
      <c r="I342" s="1">
        <v>168</v>
      </c>
      <c r="J342" s="3">
        <v>94.257230000000007</v>
      </c>
      <c r="K342" s="3">
        <f t="shared" si="68"/>
        <v>98.364810000000006</v>
      </c>
      <c r="L342" s="1">
        <f t="shared" si="73"/>
        <v>2.4452251692717693E-2</v>
      </c>
      <c r="N342" s="4">
        <v>225.02749</v>
      </c>
      <c r="O342" s="1">
        <v>168</v>
      </c>
      <c r="P342" s="3">
        <v>100.64699</v>
      </c>
      <c r="Q342" s="3">
        <f t="shared" si="69"/>
        <v>100.78257000000001</v>
      </c>
      <c r="R342" s="1">
        <f t="shared" si="65"/>
        <v>2.7468608051808316E-3</v>
      </c>
      <c r="T342" s="4">
        <v>250.00602000000001</v>
      </c>
      <c r="U342" s="1">
        <v>168</v>
      </c>
      <c r="V342" s="5">
        <v>92.362390000000005</v>
      </c>
      <c r="W342" s="3">
        <f t="shared" si="70"/>
        <v>96.51979</v>
      </c>
      <c r="X342" s="1">
        <f t="shared" ref="X342:X405" si="74">($W$21-W342)/($W$21*(1-$M$1))</f>
        <v>4.9405724668746646E-2</v>
      </c>
      <c r="Z342" s="4">
        <v>250.01879</v>
      </c>
      <c r="AA342" s="1">
        <v>168</v>
      </c>
      <c r="AB342" s="5">
        <v>99.543999999999997</v>
      </c>
      <c r="AC342" s="3">
        <f t="shared" si="71"/>
        <v>99.467259999999996</v>
      </c>
      <c r="AD342" s="1">
        <f t="shared" si="66"/>
        <v>1.9236158728762685E-2</v>
      </c>
    </row>
    <row r="343" spans="2:30" x14ac:dyDescent="0.2">
      <c r="B343" s="2">
        <v>200.02155999999999</v>
      </c>
      <c r="C343" s="1">
        <v>168.5</v>
      </c>
      <c r="D343" s="5">
        <v>100.01922999999999</v>
      </c>
      <c r="E343" s="3">
        <f t="shared" si="67"/>
        <v>100.73253</v>
      </c>
      <c r="H343" s="4">
        <v>225.00199000000001</v>
      </c>
      <c r="I343" s="1">
        <v>168.5</v>
      </c>
      <c r="J343" s="5">
        <v>94.243809999999996</v>
      </c>
      <c r="K343" s="3">
        <f t="shared" si="68"/>
        <v>98.351389999999995</v>
      </c>
      <c r="L343" s="1">
        <f t="shared" si="73"/>
        <v>2.461384662730472E-2</v>
      </c>
      <c r="N343" s="4">
        <v>225.02689000000001</v>
      </c>
      <c r="O343" s="1">
        <v>168.5</v>
      </c>
      <c r="P343" s="5">
        <v>100.66057000000001</v>
      </c>
      <c r="Q343" s="3">
        <f t="shared" si="69"/>
        <v>100.79615000000001</v>
      </c>
      <c r="R343" s="1">
        <f t="shared" si="65"/>
        <v>2.5843374096842764E-3</v>
      </c>
      <c r="T343" s="4">
        <v>249.99995000000001</v>
      </c>
      <c r="U343" s="1">
        <v>168.5</v>
      </c>
      <c r="V343" s="3">
        <v>92.359870000000001</v>
      </c>
      <c r="W343" s="3">
        <f t="shared" si="70"/>
        <v>96.517269999999996</v>
      </c>
      <c r="X343" s="1">
        <f t="shared" si="74"/>
        <v>4.9435997416307352E-2</v>
      </c>
      <c r="Z343" s="4">
        <v>250.02116000000001</v>
      </c>
      <c r="AA343" s="1">
        <v>168.5</v>
      </c>
      <c r="AB343" s="3">
        <v>99.548940000000002</v>
      </c>
      <c r="AC343" s="3">
        <f t="shared" si="71"/>
        <v>99.472200000000001</v>
      </c>
      <c r="AD343" s="1">
        <f t="shared" si="66"/>
        <v>1.9177074694938668E-2</v>
      </c>
    </row>
    <row r="344" spans="2:30" x14ac:dyDescent="0.2">
      <c r="B344" s="2">
        <v>200.0266</v>
      </c>
      <c r="C344" s="1">
        <v>169</v>
      </c>
      <c r="D344" s="3">
        <v>100.02191999999999</v>
      </c>
      <c r="E344" s="3">
        <f t="shared" si="67"/>
        <v>100.73522</v>
      </c>
      <c r="H344" s="4">
        <v>225.00591</v>
      </c>
      <c r="I344" s="1">
        <v>169</v>
      </c>
      <c r="J344" s="3">
        <v>94.244010000000003</v>
      </c>
      <c r="K344" s="3">
        <f t="shared" si="68"/>
        <v>98.351590000000002</v>
      </c>
      <c r="L344" s="1">
        <f t="shared" si="73"/>
        <v>2.4611438357042541E-2</v>
      </c>
      <c r="N344" s="4">
        <v>225.02337</v>
      </c>
      <c r="O344" s="1">
        <v>169</v>
      </c>
      <c r="P344" s="3">
        <v>100.66452</v>
      </c>
      <c r="Q344" s="3">
        <f t="shared" si="69"/>
        <v>100.8001</v>
      </c>
      <c r="R344" s="1">
        <f t="shared" si="65"/>
        <v>2.537064404366943E-3</v>
      </c>
      <c r="T344" s="4">
        <v>250.00203999999999</v>
      </c>
      <c r="U344" s="1">
        <v>169</v>
      </c>
      <c r="V344" s="5">
        <v>92.338030000000003</v>
      </c>
      <c r="W344" s="3">
        <f t="shared" si="70"/>
        <v>96.495429999999999</v>
      </c>
      <c r="X344" s="1">
        <f t="shared" si="74"/>
        <v>4.9698361228499688E-2</v>
      </c>
      <c r="Z344" s="4">
        <v>250.02164999999999</v>
      </c>
      <c r="AA344" s="1">
        <v>169</v>
      </c>
      <c r="AB344" s="5">
        <v>99.511790000000005</v>
      </c>
      <c r="AC344" s="3">
        <f t="shared" si="71"/>
        <v>99.435050000000004</v>
      </c>
      <c r="AD344" s="1">
        <f t="shared" si="66"/>
        <v>1.962140098169168E-2</v>
      </c>
    </row>
    <row r="345" spans="2:30" x14ac:dyDescent="0.2">
      <c r="B345" s="2">
        <v>200.02669</v>
      </c>
      <c r="C345" s="1">
        <v>169.5</v>
      </c>
      <c r="D345" s="5">
        <v>100.03458000000001</v>
      </c>
      <c r="E345" s="3">
        <f t="shared" si="67"/>
        <v>100.74788000000001</v>
      </c>
      <c r="H345" s="4">
        <v>225.00199000000001</v>
      </c>
      <c r="I345" s="1">
        <v>169.5</v>
      </c>
      <c r="J345" s="5">
        <v>94.223569999999995</v>
      </c>
      <c r="K345" s="3">
        <f t="shared" si="68"/>
        <v>98.331149999999994</v>
      </c>
      <c r="L345" s="1">
        <f t="shared" si="73"/>
        <v>2.4857563577829242E-2</v>
      </c>
      <c r="N345" s="4">
        <v>225.02092999999999</v>
      </c>
      <c r="O345" s="1">
        <v>169.5</v>
      </c>
      <c r="P345" s="5">
        <v>100.76349</v>
      </c>
      <c r="Q345" s="3">
        <f t="shared" si="69"/>
        <v>100.89907000000001</v>
      </c>
      <c r="R345" s="1">
        <f t="shared" si="65"/>
        <v>1.3526063445517742E-3</v>
      </c>
      <c r="T345" s="4">
        <v>250.00402</v>
      </c>
      <c r="U345" s="1">
        <v>169.5</v>
      </c>
      <c r="V345" s="3">
        <v>92.332239999999999</v>
      </c>
      <c r="W345" s="3">
        <f t="shared" si="70"/>
        <v>96.489639999999994</v>
      </c>
      <c r="X345" s="1">
        <f t="shared" si="74"/>
        <v>4.9767916469918877E-2</v>
      </c>
      <c r="Z345" s="4">
        <v>250.02118999999999</v>
      </c>
      <c r="AA345" s="1">
        <v>169.5</v>
      </c>
      <c r="AB345" s="3">
        <v>99.485789999999994</v>
      </c>
      <c r="AC345" s="3">
        <f t="shared" si="71"/>
        <v>99.409049999999993</v>
      </c>
      <c r="AD345" s="1">
        <f t="shared" si="66"/>
        <v>1.9932369580765271E-2</v>
      </c>
    </row>
    <row r="346" spans="2:30" x14ac:dyDescent="0.2">
      <c r="B346" s="2">
        <v>200.02391</v>
      </c>
      <c r="C346" s="1">
        <v>170</v>
      </c>
      <c r="D346" s="3">
        <v>100.00827</v>
      </c>
      <c r="E346" s="3">
        <f t="shared" si="67"/>
        <v>100.72157</v>
      </c>
      <c r="H346" s="4">
        <v>225.00493</v>
      </c>
      <c r="I346" s="1">
        <v>170</v>
      </c>
      <c r="J346" s="3">
        <v>94.216800000000006</v>
      </c>
      <c r="K346" s="3">
        <f t="shared" si="68"/>
        <v>98.324380000000005</v>
      </c>
      <c r="L346" s="1">
        <f t="shared" si="73"/>
        <v>2.4939083526201188E-2</v>
      </c>
      <c r="N346" s="4">
        <v>225.0181</v>
      </c>
      <c r="O346" s="1">
        <v>170</v>
      </c>
      <c r="P346" s="3">
        <v>100.65115</v>
      </c>
      <c r="Q346" s="3">
        <f t="shared" si="69"/>
        <v>100.78673000000001</v>
      </c>
      <c r="R346" s="1">
        <f t="shared" ref="R346:R409" si="75">($Q$218-Q346)/($Q$218*(1-$M$1))</f>
        <v>2.697074551479414E-3</v>
      </c>
      <c r="T346" s="4">
        <v>250.00200000000001</v>
      </c>
      <c r="U346" s="1">
        <v>170</v>
      </c>
      <c r="V346" s="5">
        <v>92.293790000000001</v>
      </c>
      <c r="W346" s="3">
        <f t="shared" si="70"/>
        <v>96.451189999999997</v>
      </c>
      <c r="X346" s="1">
        <f t="shared" si="74"/>
        <v>5.0229816130120147E-2</v>
      </c>
      <c r="Z346" s="4">
        <v>250.01939999999999</v>
      </c>
      <c r="AA346" s="1">
        <v>170</v>
      </c>
      <c r="AB346" s="5">
        <v>99.520899999999997</v>
      </c>
      <c r="AC346" s="3">
        <f t="shared" si="71"/>
        <v>99.444159999999997</v>
      </c>
      <c r="AD346" s="1">
        <f t="shared" si="66"/>
        <v>1.9512442368708718E-2</v>
      </c>
    </row>
    <row r="347" spans="2:30" x14ac:dyDescent="0.2">
      <c r="B347" s="2">
        <v>200.02292</v>
      </c>
      <c r="C347" s="1">
        <v>170.5</v>
      </c>
      <c r="D347" s="5">
        <v>100.07896</v>
      </c>
      <c r="E347" s="3">
        <f t="shared" si="67"/>
        <v>100.79226</v>
      </c>
      <c r="H347" s="4">
        <v>225.00712999999999</v>
      </c>
      <c r="I347" s="1">
        <v>170.5</v>
      </c>
      <c r="J347" s="5">
        <v>94.234380000000002</v>
      </c>
      <c r="K347" s="3">
        <f t="shared" si="68"/>
        <v>98.34196</v>
      </c>
      <c r="L347" s="1">
        <f t="shared" si="73"/>
        <v>2.4727396570162666E-2</v>
      </c>
      <c r="N347" s="4">
        <v>225.01339999999999</v>
      </c>
      <c r="O347" s="1">
        <v>170.5</v>
      </c>
      <c r="P347" s="5">
        <v>100.71889</v>
      </c>
      <c r="Q347" s="3">
        <f t="shared" si="69"/>
        <v>100.85447000000001</v>
      </c>
      <c r="R347" s="1">
        <f t="shared" si="75"/>
        <v>1.8863724299085E-3</v>
      </c>
      <c r="T347" s="4">
        <v>250.00306</v>
      </c>
      <c r="U347" s="1">
        <v>170.5</v>
      </c>
      <c r="V347" s="3">
        <v>92.290120000000002</v>
      </c>
      <c r="W347" s="3">
        <f t="shared" si="70"/>
        <v>96.447519999999997</v>
      </c>
      <c r="X347" s="1">
        <f t="shared" si="74"/>
        <v>5.0273903822004119E-2</v>
      </c>
      <c r="Z347" s="4">
        <v>250.01627999999999</v>
      </c>
      <c r="AA347" s="1">
        <v>170.5</v>
      </c>
      <c r="AB347" s="3">
        <v>99.505570000000006</v>
      </c>
      <c r="AC347" s="3">
        <f t="shared" si="71"/>
        <v>99.428830000000005</v>
      </c>
      <c r="AD347" s="1">
        <f t="shared" si="66"/>
        <v>1.9695794238854626E-2</v>
      </c>
    </row>
    <row r="348" spans="2:30" x14ac:dyDescent="0.2">
      <c r="B348" s="2">
        <v>200.02422999999999</v>
      </c>
      <c r="C348" s="1">
        <v>171</v>
      </c>
      <c r="D348" s="3">
        <v>100.05207</v>
      </c>
      <c r="E348" s="3">
        <f t="shared" si="67"/>
        <v>100.76537</v>
      </c>
      <c r="H348" s="4">
        <v>225.00998000000001</v>
      </c>
      <c r="I348" s="1">
        <v>171</v>
      </c>
      <c r="J348" s="3">
        <v>94.218670000000003</v>
      </c>
      <c r="K348" s="3">
        <f t="shared" si="68"/>
        <v>98.326250000000002</v>
      </c>
      <c r="L348" s="1">
        <f t="shared" si="73"/>
        <v>2.4916566199250593E-2</v>
      </c>
      <c r="N348" s="4">
        <v>225.01239000000001</v>
      </c>
      <c r="O348" s="1">
        <v>171</v>
      </c>
      <c r="P348" s="3">
        <v>100.55298999999999</v>
      </c>
      <c r="Q348" s="3">
        <f t="shared" si="69"/>
        <v>100.68857</v>
      </c>
      <c r="R348" s="1">
        <f t="shared" si="75"/>
        <v>3.8718386532421247E-3</v>
      </c>
      <c r="T348" s="4">
        <v>250.00998999999999</v>
      </c>
      <c r="U348" s="1">
        <v>171</v>
      </c>
      <c r="V348" s="5">
        <v>92.287819999999996</v>
      </c>
      <c r="W348" s="3">
        <f t="shared" si="70"/>
        <v>96.445219999999992</v>
      </c>
      <c r="X348" s="1">
        <f t="shared" si="74"/>
        <v>5.0301533710650811E-2</v>
      </c>
      <c r="Z348" s="4">
        <v>250.01591999999999</v>
      </c>
      <c r="AA348" s="1">
        <v>171</v>
      </c>
      <c r="AB348" s="5">
        <v>99.514099999999999</v>
      </c>
      <c r="AC348" s="3">
        <f t="shared" si="71"/>
        <v>99.437359999999998</v>
      </c>
      <c r="AD348" s="1">
        <f t="shared" si="66"/>
        <v>1.9593772617697146E-2</v>
      </c>
    </row>
    <row r="349" spans="2:30" x14ac:dyDescent="0.2">
      <c r="B349" s="2">
        <v>200.02283</v>
      </c>
      <c r="C349" s="1">
        <v>171.5</v>
      </c>
      <c r="D349" s="5">
        <v>100.10748</v>
      </c>
      <c r="E349" s="3">
        <f t="shared" si="67"/>
        <v>100.82078</v>
      </c>
      <c r="H349" s="4">
        <v>225.01097999999999</v>
      </c>
      <c r="I349" s="1">
        <v>171.5</v>
      </c>
      <c r="J349" s="5">
        <v>94.224729999999994</v>
      </c>
      <c r="K349" s="3">
        <f t="shared" si="68"/>
        <v>98.332309999999993</v>
      </c>
      <c r="L349" s="1">
        <f t="shared" si="73"/>
        <v>2.4843595610309077E-2</v>
      </c>
      <c r="N349" s="4">
        <v>225.01129</v>
      </c>
      <c r="O349" s="1">
        <v>171.5</v>
      </c>
      <c r="P349" s="5">
        <v>100.56016</v>
      </c>
      <c r="Q349" s="3">
        <f t="shared" si="69"/>
        <v>100.69574</v>
      </c>
      <c r="R349" s="1">
        <f t="shared" si="75"/>
        <v>3.786029172703815E-3</v>
      </c>
      <c r="T349" s="4">
        <v>250.00604000000001</v>
      </c>
      <c r="U349" s="1">
        <v>171.5</v>
      </c>
      <c r="V349" s="3">
        <v>92.268050000000002</v>
      </c>
      <c r="W349" s="3">
        <f t="shared" si="70"/>
        <v>96.425449999999998</v>
      </c>
      <c r="X349" s="1">
        <f t="shared" si="74"/>
        <v>5.0539030623061143E-2</v>
      </c>
      <c r="Z349" s="4">
        <v>250.01847000000001</v>
      </c>
      <c r="AA349" s="1">
        <v>171.5</v>
      </c>
      <c r="AB349" s="3">
        <v>99.383690000000001</v>
      </c>
      <c r="AC349" s="3">
        <f t="shared" si="71"/>
        <v>99.306950000000001</v>
      </c>
      <c r="AD349" s="1">
        <f t="shared" si="66"/>
        <v>2.1153519348665217E-2</v>
      </c>
    </row>
    <row r="350" spans="2:30" x14ac:dyDescent="0.2">
      <c r="B350" s="2">
        <v>200.01736</v>
      </c>
      <c r="C350" s="1">
        <v>172</v>
      </c>
      <c r="D350" s="3">
        <v>99.997079999999997</v>
      </c>
      <c r="E350" s="3">
        <f t="shared" si="67"/>
        <v>100.71038</v>
      </c>
      <c r="H350" s="4">
        <v>225.00892999999999</v>
      </c>
      <c r="I350" s="1">
        <v>172</v>
      </c>
      <c r="J350" s="3">
        <v>94.208349999999996</v>
      </c>
      <c r="K350" s="3">
        <f t="shared" si="68"/>
        <v>98.315929999999994</v>
      </c>
      <c r="L350" s="1">
        <f t="shared" si="73"/>
        <v>2.5040832944775031E-2</v>
      </c>
      <c r="N350" s="4">
        <v>225.00736000000001</v>
      </c>
      <c r="O350" s="1">
        <v>172</v>
      </c>
      <c r="P350" s="3">
        <v>100.63933</v>
      </c>
      <c r="Q350" s="3">
        <f t="shared" si="69"/>
        <v>100.77491000000001</v>
      </c>
      <c r="R350" s="1">
        <f t="shared" si="75"/>
        <v>2.8385345319483874E-3</v>
      </c>
      <c r="T350" s="4">
        <v>250.01096999999999</v>
      </c>
      <c r="U350" s="1">
        <v>172</v>
      </c>
      <c r="V350" s="5">
        <v>92.239689999999996</v>
      </c>
      <c r="W350" s="3">
        <f t="shared" si="70"/>
        <v>96.397089999999992</v>
      </c>
      <c r="X350" s="1">
        <f t="shared" si="74"/>
        <v>5.0879719163069256E-2</v>
      </c>
      <c r="Z350" s="4">
        <v>250.01660000000001</v>
      </c>
      <c r="AA350" s="1">
        <v>172</v>
      </c>
      <c r="AB350" s="5">
        <v>99.437719999999999</v>
      </c>
      <c r="AC350" s="3">
        <f t="shared" si="71"/>
        <v>99.360979999999998</v>
      </c>
      <c r="AD350" s="1">
        <f t="shared" si="66"/>
        <v>2.0507302679129123E-2</v>
      </c>
    </row>
    <row r="351" spans="2:30" x14ac:dyDescent="0.2">
      <c r="B351" s="2">
        <v>200.01384999999999</v>
      </c>
      <c r="C351" s="1">
        <v>172.5</v>
      </c>
      <c r="D351" s="5">
        <v>100.07357</v>
      </c>
      <c r="E351" s="3">
        <f t="shared" si="67"/>
        <v>100.78687000000001</v>
      </c>
      <c r="H351" s="4">
        <v>225.0069</v>
      </c>
      <c r="I351" s="1">
        <v>172.5</v>
      </c>
      <c r="J351" s="5">
        <v>94.185569999999998</v>
      </c>
      <c r="K351" s="3">
        <f t="shared" si="68"/>
        <v>98.293149999999997</v>
      </c>
      <c r="L351" s="1">
        <f t="shared" si="73"/>
        <v>2.5315134927628172E-2</v>
      </c>
      <c r="N351" s="4">
        <v>225.00767999999999</v>
      </c>
      <c r="O351" s="1">
        <v>172.5</v>
      </c>
      <c r="P351" s="5">
        <v>100.59054</v>
      </c>
      <c r="Q351" s="3">
        <f t="shared" si="69"/>
        <v>100.72612000000001</v>
      </c>
      <c r="R351" s="1">
        <f t="shared" si="75"/>
        <v>3.4224459064898984E-3</v>
      </c>
      <c r="T351" s="4">
        <v>250.00601</v>
      </c>
      <c r="U351" s="1">
        <v>172.5</v>
      </c>
      <c r="V351" s="3">
        <v>92.247770000000003</v>
      </c>
      <c r="W351" s="3">
        <f t="shared" si="70"/>
        <v>96.405169999999998</v>
      </c>
      <c r="X351" s="1">
        <f t="shared" si="74"/>
        <v>5.078265416295405E-2</v>
      </c>
      <c r="Z351" s="4">
        <v>250.02033</v>
      </c>
      <c r="AA351" s="1">
        <v>172.5</v>
      </c>
      <c r="AB351" s="3">
        <v>99.401730000000001</v>
      </c>
      <c r="AC351" s="3">
        <f t="shared" si="71"/>
        <v>99.32499</v>
      </c>
      <c r="AD351" s="1">
        <f t="shared" si="66"/>
        <v>2.0937754982231178E-2</v>
      </c>
    </row>
    <row r="352" spans="2:30" x14ac:dyDescent="0.2">
      <c r="B352" s="2">
        <v>200.00951000000001</v>
      </c>
      <c r="C352" s="1">
        <v>173</v>
      </c>
      <c r="D352" s="3">
        <v>100.0577</v>
      </c>
      <c r="E352" s="3">
        <f t="shared" si="67"/>
        <v>100.771</v>
      </c>
      <c r="H352" s="4">
        <v>225.00793999999999</v>
      </c>
      <c r="I352" s="1">
        <v>173</v>
      </c>
      <c r="J352" s="3">
        <v>94.201880000000003</v>
      </c>
      <c r="K352" s="3">
        <f t="shared" si="68"/>
        <v>98.309460000000001</v>
      </c>
      <c r="L352" s="1">
        <f t="shared" si="73"/>
        <v>2.5118740487753879E-2</v>
      </c>
      <c r="N352" s="4">
        <v>225.00790000000001</v>
      </c>
      <c r="O352" s="1">
        <v>173</v>
      </c>
      <c r="P352" s="3">
        <v>100.61879</v>
      </c>
      <c r="Q352" s="3">
        <f t="shared" si="69"/>
        <v>100.75437000000001</v>
      </c>
      <c r="R352" s="1">
        <f t="shared" si="75"/>
        <v>3.0843541595991686E-3</v>
      </c>
      <c r="T352" s="4">
        <v>250.00698</v>
      </c>
      <c r="U352" s="1">
        <v>173</v>
      </c>
      <c r="V352" s="5">
        <v>92.229619999999997</v>
      </c>
      <c r="W352" s="3">
        <f t="shared" si="70"/>
        <v>96.387019999999993</v>
      </c>
      <c r="X352" s="1">
        <f t="shared" si="74"/>
        <v>5.1000690023361238E-2</v>
      </c>
      <c r="Z352" s="4">
        <v>250.0231</v>
      </c>
      <c r="AA352" s="1">
        <v>173</v>
      </c>
      <c r="AB352" s="5">
        <v>99.459149999999994</v>
      </c>
      <c r="AC352" s="3">
        <f t="shared" si="71"/>
        <v>99.382409999999993</v>
      </c>
      <c r="AD352" s="1">
        <f t="shared" si="66"/>
        <v>2.0250992791508243E-2</v>
      </c>
    </row>
    <row r="353" spans="2:30" x14ac:dyDescent="0.2">
      <c r="B353" s="2">
        <v>200.01209</v>
      </c>
      <c r="C353" s="1">
        <v>173.5</v>
      </c>
      <c r="D353" s="5">
        <v>99.928929999999994</v>
      </c>
      <c r="E353" s="3">
        <f t="shared" si="67"/>
        <v>100.64223</v>
      </c>
      <c r="H353" s="4">
        <v>225.00595999999999</v>
      </c>
      <c r="I353" s="1">
        <v>173.5</v>
      </c>
      <c r="J353" s="5">
        <v>94.167599999999993</v>
      </c>
      <c r="K353" s="3">
        <f t="shared" si="68"/>
        <v>98.275179999999992</v>
      </c>
      <c r="L353" s="1">
        <f t="shared" si="73"/>
        <v>2.553151801067791E-2</v>
      </c>
      <c r="N353" s="4">
        <v>225.00586000000001</v>
      </c>
      <c r="O353" s="1">
        <v>173.5</v>
      </c>
      <c r="P353" s="5">
        <v>100.58711</v>
      </c>
      <c r="Q353" s="3">
        <f t="shared" si="69"/>
        <v>100.72269</v>
      </c>
      <c r="R353" s="1">
        <f t="shared" si="75"/>
        <v>3.4634956300947884E-3</v>
      </c>
      <c r="T353" s="4">
        <v>250.00798</v>
      </c>
      <c r="U353" s="1">
        <v>173.5</v>
      </c>
      <c r="V353" s="3">
        <v>92.221609999999998</v>
      </c>
      <c r="W353" s="3">
        <f t="shared" si="70"/>
        <v>96.379009999999994</v>
      </c>
      <c r="X353" s="1">
        <f t="shared" si="74"/>
        <v>5.1096914113821883E-2</v>
      </c>
      <c r="Z353" s="4">
        <v>250.02367000000001</v>
      </c>
      <c r="AA353" s="1">
        <v>173.5</v>
      </c>
      <c r="AB353" s="3">
        <v>99.447839999999999</v>
      </c>
      <c r="AC353" s="3">
        <f t="shared" si="71"/>
        <v>99.371099999999998</v>
      </c>
      <c r="AD353" s="1">
        <f t="shared" si="66"/>
        <v>2.0386264132105134E-2</v>
      </c>
    </row>
    <row r="354" spans="2:30" x14ac:dyDescent="0.2">
      <c r="B354" s="2">
        <v>200.01337000000001</v>
      </c>
      <c r="C354" s="1">
        <v>174</v>
      </c>
      <c r="D354" s="3">
        <v>100.10471</v>
      </c>
      <c r="E354" s="3">
        <f t="shared" si="67"/>
        <v>100.81801</v>
      </c>
      <c r="H354" s="4">
        <v>225.00685999999999</v>
      </c>
      <c r="I354" s="1">
        <v>174</v>
      </c>
      <c r="J354" s="3">
        <v>94.201669999999993</v>
      </c>
      <c r="K354" s="3">
        <f t="shared" si="68"/>
        <v>98.309249999999992</v>
      </c>
      <c r="L354" s="1">
        <f t="shared" si="73"/>
        <v>2.5121269171529202E-2</v>
      </c>
      <c r="N354" s="4">
        <v>225.00707</v>
      </c>
      <c r="O354" s="1">
        <v>174</v>
      </c>
      <c r="P354" s="3">
        <v>100.62684</v>
      </c>
      <c r="Q354" s="3">
        <f t="shared" si="69"/>
        <v>100.76242000000001</v>
      </c>
      <c r="R354" s="1">
        <f t="shared" si="75"/>
        <v>2.9880129715471526E-3</v>
      </c>
      <c r="T354" s="4">
        <v>250.00900999999999</v>
      </c>
      <c r="U354" s="1">
        <v>174</v>
      </c>
      <c r="V354" s="5">
        <v>92.233699999999999</v>
      </c>
      <c r="W354" s="3">
        <f t="shared" si="70"/>
        <v>96.391099999999994</v>
      </c>
      <c r="X354" s="1">
        <f t="shared" si="74"/>
        <v>5.0951677003501103E-2</v>
      </c>
      <c r="Z354" s="4">
        <v>250.02628999999999</v>
      </c>
      <c r="AA354" s="1">
        <v>174</v>
      </c>
      <c r="AB354" s="5">
        <v>99.417249999999996</v>
      </c>
      <c r="AC354" s="3">
        <f t="shared" si="71"/>
        <v>99.340509999999995</v>
      </c>
      <c r="AD354" s="1">
        <f t="shared" si="66"/>
        <v>2.0752130649245845E-2</v>
      </c>
    </row>
    <row r="355" spans="2:30" x14ac:dyDescent="0.2">
      <c r="B355" s="2">
        <v>200.01330999999999</v>
      </c>
      <c r="C355" s="1">
        <v>174.5</v>
      </c>
      <c r="D355" s="5">
        <v>100.03877</v>
      </c>
      <c r="E355" s="3">
        <f t="shared" si="67"/>
        <v>100.75207</v>
      </c>
      <c r="H355" s="4">
        <v>225.0061</v>
      </c>
      <c r="I355" s="1">
        <v>174.5</v>
      </c>
      <c r="J355" s="5">
        <v>94.136880000000005</v>
      </c>
      <c r="K355" s="3">
        <f t="shared" si="68"/>
        <v>98.244460000000004</v>
      </c>
      <c r="L355" s="1">
        <f t="shared" si="73"/>
        <v>2.5901428322936303E-2</v>
      </c>
      <c r="N355" s="4">
        <v>225.00829999999999</v>
      </c>
      <c r="O355" s="1">
        <v>174.5</v>
      </c>
      <c r="P355" s="5">
        <v>100.67998</v>
      </c>
      <c r="Q355" s="3">
        <f t="shared" si="69"/>
        <v>100.81556</v>
      </c>
      <c r="R355" s="1">
        <f t="shared" si="75"/>
        <v>2.3520414519091655E-3</v>
      </c>
      <c r="T355" s="4">
        <v>250.01299</v>
      </c>
      <c r="U355" s="1">
        <v>174.5</v>
      </c>
      <c r="V355" s="3">
        <v>92.237750000000005</v>
      </c>
      <c r="W355" s="3">
        <f t="shared" si="70"/>
        <v>96.395150000000001</v>
      </c>
      <c r="X355" s="1">
        <f t="shared" si="74"/>
        <v>5.0903024373492825E-2</v>
      </c>
      <c r="Z355" s="4">
        <v>250.02706000000001</v>
      </c>
      <c r="AA355" s="1">
        <v>174.5</v>
      </c>
      <c r="AB355" s="3">
        <v>99.425730000000001</v>
      </c>
      <c r="AC355" s="3">
        <f t="shared" si="71"/>
        <v>99.348990000000001</v>
      </c>
      <c r="AD355" s="1">
        <f t="shared" si="66"/>
        <v>2.0650707044624891E-2</v>
      </c>
    </row>
    <row r="356" spans="2:30" x14ac:dyDescent="0.2">
      <c r="B356" s="2">
        <v>200.01429999999999</v>
      </c>
      <c r="C356" s="1">
        <v>175</v>
      </c>
      <c r="D356" s="3">
        <v>100.05853</v>
      </c>
      <c r="E356" s="3">
        <f t="shared" si="67"/>
        <v>100.77183000000001</v>
      </c>
      <c r="H356" s="4">
        <v>225.00901999999999</v>
      </c>
      <c r="I356" s="1">
        <v>175</v>
      </c>
      <c r="J356" s="3">
        <v>94.191479999999999</v>
      </c>
      <c r="K356" s="3">
        <f t="shared" si="68"/>
        <v>98.299059999999997</v>
      </c>
      <c r="L356" s="1">
        <f t="shared" si="73"/>
        <v>2.524397054138312E-2</v>
      </c>
      <c r="N356" s="4">
        <v>225.00927999999999</v>
      </c>
      <c r="O356" s="1">
        <v>175</v>
      </c>
      <c r="P356" s="3">
        <v>100.57144</v>
      </c>
      <c r="Q356" s="3">
        <f t="shared" si="69"/>
        <v>100.70702</v>
      </c>
      <c r="R356" s="1">
        <f t="shared" si="75"/>
        <v>3.6510318309364801E-3</v>
      </c>
      <c r="T356" s="4">
        <v>250.02497</v>
      </c>
      <c r="U356" s="1">
        <v>175</v>
      </c>
      <c r="V356" s="5">
        <v>92.267709999999994</v>
      </c>
      <c r="W356" s="3">
        <f t="shared" si="70"/>
        <v>96.425109999999989</v>
      </c>
      <c r="X356" s="1">
        <f t="shared" si="74"/>
        <v>5.0543115041382917E-2</v>
      </c>
      <c r="Z356" s="4">
        <v>250.02413000000001</v>
      </c>
      <c r="AA356" s="1">
        <v>175</v>
      </c>
      <c r="AB356" s="5">
        <v>99.408720000000002</v>
      </c>
      <c r="AC356" s="3">
        <f t="shared" si="71"/>
        <v>99.331980000000001</v>
      </c>
      <c r="AD356" s="1">
        <f t="shared" si="66"/>
        <v>2.0854152270403329E-2</v>
      </c>
    </row>
    <row r="357" spans="2:30" x14ac:dyDescent="0.2">
      <c r="B357" s="2">
        <v>200.01653999999999</v>
      </c>
      <c r="C357" s="1">
        <v>175.5</v>
      </c>
      <c r="D357" s="5">
        <v>100.08620999999999</v>
      </c>
      <c r="E357" s="3">
        <f t="shared" si="67"/>
        <v>100.79951</v>
      </c>
      <c r="H357" s="4">
        <v>225.0059</v>
      </c>
      <c r="I357" s="1">
        <v>175.5</v>
      </c>
      <c r="J357" s="5">
        <v>94.161050000000003</v>
      </c>
      <c r="K357" s="3">
        <f t="shared" si="68"/>
        <v>98.268630000000002</v>
      </c>
      <c r="L357" s="1">
        <f t="shared" si="73"/>
        <v>2.5610388861761559E-2</v>
      </c>
      <c r="N357" s="4">
        <v>225.01400000000001</v>
      </c>
      <c r="O357" s="1">
        <v>175.5</v>
      </c>
      <c r="P357" s="5">
        <v>100.57577999999999</v>
      </c>
      <c r="Q357" s="3">
        <f t="shared" si="69"/>
        <v>100.71136</v>
      </c>
      <c r="R357" s="1">
        <f t="shared" si="75"/>
        <v>3.5990913643345161E-3</v>
      </c>
      <c r="T357" s="4">
        <v>250.01795999999999</v>
      </c>
      <c r="U357" s="1">
        <v>175.5</v>
      </c>
      <c r="V357" s="3">
        <v>92.201620000000005</v>
      </c>
      <c r="W357" s="3">
        <f t="shared" si="70"/>
        <v>96.359020000000001</v>
      </c>
      <c r="X357" s="1">
        <f t="shared" si="74"/>
        <v>5.1337053885146221E-2</v>
      </c>
      <c r="Z357" s="4">
        <v>250.02432999999999</v>
      </c>
      <c r="AA357" s="1">
        <v>175.5</v>
      </c>
      <c r="AB357" s="3">
        <v>99.429689999999994</v>
      </c>
      <c r="AC357" s="3">
        <f t="shared" si="71"/>
        <v>99.352949999999993</v>
      </c>
      <c r="AD357" s="1">
        <f t="shared" si="66"/>
        <v>2.0603344134919949E-2</v>
      </c>
    </row>
    <row r="358" spans="2:30" x14ac:dyDescent="0.2">
      <c r="B358" s="2">
        <v>200.02061</v>
      </c>
      <c r="C358" s="1">
        <v>176</v>
      </c>
      <c r="D358" s="3">
        <v>100.05745</v>
      </c>
      <c r="E358" s="3">
        <f t="shared" si="67"/>
        <v>100.77075000000001</v>
      </c>
      <c r="H358" s="4">
        <v>225.01111</v>
      </c>
      <c r="I358" s="1">
        <v>176</v>
      </c>
      <c r="J358" s="3">
        <v>94.195959999999999</v>
      </c>
      <c r="K358" s="3">
        <f t="shared" si="68"/>
        <v>98.303539999999998</v>
      </c>
      <c r="L358" s="1">
        <f t="shared" si="73"/>
        <v>2.5190025287512074E-2</v>
      </c>
      <c r="N358" s="4">
        <v>225.02053000000001</v>
      </c>
      <c r="O358" s="1">
        <v>176</v>
      </c>
      <c r="P358" s="3">
        <v>100.54564999999999</v>
      </c>
      <c r="Q358" s="3">
        <f t="shared" si="69"/>
        <v>100.68123</v>
      </c>
      <c r="R358" s="1">
        <f t="shared" si="75"/>
        <v>3.9596826681864688E-3</v>
      </c>
      <c r="T358" s="4">
        <v>250.00595999999999</v>
      </c>
      <c r="U358" s="1">
        <v>176</v>
      </c>
      <c r="V358" s="5">
        <v>92.129490000000004</v>
      </c>
      <c r="W358" s="3">
        <f t="shared" si="70"/>
        <v>96.28689</v>
      </c>
      <c r="X358" s="1">
        <f t="shared" si="74"/>
        <v>5.220355121909475E-2</v>
      </c>
      <c r="Z358" s="4">
        <v>250.02083999999999</v>
      </c>
      <c r="AA358" s="1">
        <v>176</v>
      </c>
      <c r="AB358" s="5">
        <v>99.36618</v>
      </c>
      <c r="AC358" s="3">
        <f t="shared" si="71"/>
        <v>99.289439999999999</v>
      </c>
      <c r="AD358" s="1">
        <f t="shared" si="66"/>
        <v>2.1362944739810482E-2</v>
      </c>
    </row>
    <row r="359" spans="2:30" x14ac:dyDescent="0.2">
      <c r="B359" s="2">
        <v>200.02249</v>
      </c>
      <c r="C359" s="1">
        <v>176.5</v>
      </c>
      <c r="D359" s="5">
        <v>100.09804</v>
      </c>
      <c r="E359" s="3">
        <f t="shared" si="67"/>
        <v>100.81134</v>
      </c>
      <c r="H359" s="4">
        <v>225.00511</v>
      </c>
      <c r="I359" s="1">
        <v>176.5</v>
      </c>
      <c r="J359" s="5">
        <v>94.155519999999996</v>
      </c>
      <c r="K359" s="3">
        <f t="shared" si="68"/>
        <v>98.263099999999994</v>
      </c>
      <c r="L359" s="1">
        <f t="shared" si="73"/>
        <v>2.5676977534508712E-2</v>
      </c>
      <c r="N359" s="4">
        <v>225.02063999999999</v>
      </c>
      <c r="O359" s="1">
        <v>176.5</v>
      </c>
      <c r="P359" s="5">
        <v>100.59096</v>
      </c>
      <c r="Q359" s="3">
        <f t="shared" si="69"/>
        <v>100.72654</v>
      </c>
      <c r="R359" s="1">
        <f t="shared" si="75"/>
        <v>3.4174194097220706E-3</v>
      </c>
      <c r="T359" s="4">
        <v>249.99592999999999</v>
      </c>
      <c r="U359" s="1">
        <v>176.5</v>
      </c>
      <c r="V359" s="3">
        <v>92.123140000000006</v>
      </c>
      <c r="W359" s="3">
        <f t="shared" si="70"/>
        <v>96.280540000000002</v>
      </c>
      <c r="X359" s="1">
        <f t="shared" si="74"/>
        <v>5.2279833737749554E-2</v>
      </c>
      <c r="Z359" s="4">
        <v>250.01526999999999</v>
      </c>
      <c r="AA359" s="1">
        <v>176.5</v>
      </c>
      <c r="AB359" s="3">
        <v>99.425020000000004</v>
      </c>
      <c r="AC359" s="3">
        <f t="shared" si="71"/>
        <v>99.348280000000003</v>
      </c>
      <c r="AD359" s="1">
        <f t="shared" si="66"/>
        <v>2.0659198879445718E-2</v>
      </c>
    </row>
    <row r="360" spans="2:30" x14ac:dyDescent="0.2">
      <c r="B360" s="2">
        <v>200.02196000000001</v>
      </c>
      <c r="C360" s="1">
        <v>177</v>
      </c>
      <c r="D360" s="3">
        <v>100.18356</v>
      </c>
      <c r="E360" s="3">
        <f t="shared" si="67"/>
        <v>100.89686</v>
      </c>
      <c r="H360" s="4">
        <v>225.00891999999999</v>
      </c>
      <c r="I360" s="1">
        <v>177</v>
      </c>
      <c r="J360" s="3">
        <v>94.137829999999994</v>
      </c>
      <c r="K360" s="3">
        <f t="shared" si="68"/>
        <v>98.245409999999993</v>
      </c>
      <c r="L360" s="1">
        <f t="shared" si="73"/>
        <v>2.5889989039191465E-2</v>
      </c>
      <c r="N360" s="4">
        <v>225.01536999999999</v>
      </c>
      <c r="O360" s="1">
        <v>177</v>
      </c>
      <c r="P360" s="3">
        <v>100.68701</v>
      </c>
      <c r="Q360" s="3">
        <f t="shared" si="69"/>
        <v>100.82259000000001</v>
      </c>
      <c r="R360" s="1">
        <f t="shared" si="75"/>
        <v>2.2679074702935211E-3</v>
      </c>
      <c r="T360" s="4">
        <v>249.98600999999999</v>
      </c>
      <c r="U360" s="1">
        <v>177</v>
      </c>
      <c r="V360" s="5">
        <v>92.103459999999998</v>
      </c>
      <c r="W360" s="3">
        <f t="shared" si="70"/>
        <v>96.260859999999994</v>
      </c>
      <c r="X360" s="1">
        <f t="shared" si="74"/>
        <v>5.2516249480604307E-2</v>
      </c>
      <c r="Z360" s="4">
        <v>250.01722000000001</v>
      </c>
      <c r="AA360" s="1">
        <v>177</v>
      </c>
      <c r="AB360" s="5">
        <v>99.445089999999993</v>
      </c>
      <c r="AC360" s="3">
        <f t="shared" si="71"/>
        <v>99.368349999999992</v>
      </c>
      <c r="AD360" s="1">
        <f t="shared" si="66"/>
        <v>2.0419155041622592E-2</v>
      </c>
    </row>
    <row r="361" spans="2:30" x14ac:dyDescent="0.2">
      <c r="B361" s="2">
        <v>200.02177</v>
      </c>
      <c r="C361" s="1">
        <v>177.5</v>
      </c>
      <c r="D361" s="5">
        <v>100.101</v>
      </c>
      <c r="E361" s="3">
        <f t="shared" si="67"/>
        <v>100.8143</v>
      </c>
      <c r="H361" s="4">
        <v>225.00605999999999</v>
      </c>
      <c r="I361" s="1">
        <v>177.5</v>
      </c>
      <c r="J361" s="5">
        <v>94.136189999999999</v>
      </c>
      <c r="K361" s="3">
        <f t="shared" si="68"/>
        <v>98.243769999999998</v>
      </c>
      <c r="L361" s="1">
        <f t="shared" si="73"/>
        <v>2.590973685534062E-2</v>
      </c>
      <c r="N361" s="4">
        <v>225.01297</v>
      </c>
      <c r="O361" s="1">
        <v>177.5</v>
      </c>
      <c r="P361" s="5">
        <v>100.61920000000001</v>
      </c>
      <c r="Q361" s="3">
        <f t="shared" si="69"/>
        <v>100.75478000000001</v>
      </c>
      <c r="R361" s="1">
        <f t="shared" si="75"/>
        <v>3.0794473413256833E-3</v>
      </c>
      <c r="T361" s="4">
        <v>249.99701999999999</v>
      </c>
      <c r="U361" s="1">
        <v>177.5</v>
      </c>
      <c r="V361" s="3">
        <v>92.117360000000005</v>
      </c>
      <c r="W361" s="3">
        <f t="shared" si="70"/>
        <v>96.274760000000001</v>
      </c>
      <c r="X361" s="1">
        <f t="shared" si="74"/>
        <v>5.2349268849218061E-2</v>
      </c>
      <c r="Z361" s="4">
        <v>250.01857000000001</v>
      </c>
      <c r="AA361" s="1">
        <v>177.5</v>
      </c>
      <c r="AB361" s="3">
        <v>99.413120000000006</v>
      </c>
      <c r="AC361" s="3">
        <f t="shared" si="71"/>
        <v>99.336380000000005</v>
      </c>
      <c r="AD361" s="1">
        <f t="shared" si="66"/>
        <v>2.0801526815175463E-2</v>
      </c>
    </row>
    <row r="362" spans="2:30" x14ac:dyDescent="0.2">
      <c r="B362" s="2">
        <v>200.02409</v>
      </c>
      <c r="C362" s="1">
        <v>178</v>
      </c>
      <c r="D362" s="3">
        <v>100.03281</v>
      </c>
      <c r="E362" s="3">
        <f t="shared" si="67"/>
        <v>100.74611</v>
      </c>
      <c r="H362" s="4">
        <v>225.00785999999999</v>
      </c>
      <c r="I362" s="1">
        <v>178</v>
      </c>
      <c r="J362" s="3">
        <v>94.121560000000002</v>
      </c>
      <c r="K362" s="3">
        <f t="shared" si="68"/>
        <v>98.229140000000001</v>
      </c>
      <c r="L362" s="1">
        <f t="shared" si="73"/>
        <v>2.6085901825013184E-2</v>
      </c>
      <c r="N362" s="4">
        <v>225.01409000000001</v>
      </c>
      <c r="O362" s="1">
        <v>178</v>
      </c>
      <c r="P362" s="3">
        <v>100.66125</v>
      </c>
      <c r="Q362" s="3">
        <f t="shared" si="69"/>
        <v>100.79683</v>
      </c>
      <c r="R362" s="1">
        <f t="shared" si="75"/>
        <v>2.5761992720601421E-3</v>
      </c>
      <c r="T362" s="4">
        <v>250.00001</v>
      </c>
      <c r="U362" s="1">
        <v>178</v>
      </c>
      <c r="V362" s="5">
        <v>92.129409999999993</v>
      </c>
      <c r="W362" s="3">
        <f t="shared" si="70"/>
        <v>96.286809999999988</v>
      </c>
      <c r="X362" s="1">
        <f t="shared" si="74"/>
        <v>5.220451225869998E-2</v>
      </c>
      <c r="Z362" s="4">
        <v>250.02379999999999</v>
      </c>
      <c r="AA362" s="1">
        <v>178</v>
      </c>
      <c r="AB362" s="5">
        <v>99.298940000000002</v>
      </c>
      <c r="AC362" s="3">
        <f t="shared" si="71"/>
        <v>99.222200000000001</v>
      </c>
      <c r="AD362" s="1">
        <f t="shared" si="66"/>
        <v>2.2167157378337375E-2</v>
      </c>
    </row>
    <row r="363" spans="2:30" x14ac:dyDescent="0.2">
      <c r="B363" s="2">
        <v>200.02053000000001</v>
      </c>
      <c r="C363" s="1">
        <v>178.5</v>
      </c>
      <c r="D363" s="5">
        <v>100.12305000000001</v>
      </c>
      <c r="E363" s="3">
        <f t="shared" si="67"/>
        <v>100.83635000000001</v>
      </c>
      <c r="H363" s="4">
        <v>225.00586999999999</v>
      </c>
      <c r="I363" s="1">
        <v>178.5</v>
      </c>
      <c r="J363" s="5">
        <v>94.111270000000005</v>
      </c>
      <c r="K363" s="3">
        <f t="shared" si="68"/>
        <v>98.218850000000003</v>
      </c>
      <c r="L363" s="1">
        <f t="shared" si="73"/>
        <v>2.6209807329998194E-2</v>
      </c>
      <c r="N363" s="4">
        <v>225.01472999999999</v>
      </c>
      <c r="O363" s="1">
        <v>178.5</v>
      </c>
      <c r="P363" s="5">
        <v>100.67336</v>
      </c>
      <c r="Q363" s="3">
        <f t="shared" si="69"/>
        <v>100.80894000000001</v>
      </c>
      <c r="R363" s="1">
        <f t="shared" si="75"/>
        <v>2.4312686152513242E-3</v>
      </c>
      <c r="T363" s="4">
        <v>250.00397000000001</v>
      </c>
      <c r="U363" s="1">
        <v>178.5</v>
      </c>
      <c r="V363" s="3">
        <v>92.075209999999998</v>
      </c>
      <c r="W363" s="3">
        <f t="shared" si="70"/>
        <v>96.232609999999994</v>
      </c>
      <c r="X363" s="1">
        <f t="shared" si="74"/>
        <v>5.2855616591155334E-2</v>
      </c>
      <c r="Z363" s="4">
        <v>250.02492000000001</v>
      </c>
      <c r="AA363" s="1">
        <v>178.5</v>
      </c>
      <c r="AB363" s="3">
        <v>99.306979999999996</v>
      </c>
      <c r="AC363" s="3">
        <f t="shared" si="71"/>
        <v>99.230239999999995</v>
      </c>
      <c r="AD363" s="1">
        <f t="shared" si="66"/>
        <v>2.2070996319239346E-2</v>
      </c>
    </row>
    <row r="364" spans="2:30" x14ac:dyDescent="0.2">
      <c r="B364" s="2">
        <v>200.01752999999999</v>
      </c>
      <c r="C364" s="1">
        <v>179</v>
      </c>
      <c r="D364" s="3">
        <v>99.950720000000004</v>
      </c>
      <c r="E364" s="3">
        <f t="shared" si="67"/>
        <v>100.66402000000001</v>
      </c>
      <c r="H364" s="4">
        <v>225.00798</v>
      </c>
      <c r="I364" s="1">
        <v>179</v>
      </c>
      <c r="J364" s="3">
        <v>94.104900000000001</v>
      </c>
      <c r="K364" s="3">
        <f t="shared" si="68"/>
        <v>98.212479999999999</v>
      </c>
      <c r="L364" s="1">
        <f t="shared" si="73"/>
        <v>2.6286510737846124E-2</v>
      </c>
      <c r="N364" s="4">
        <v>225.01181</v>
      </c>
      <c r="O364" s="1">
        <v>179</v>
      </c>
      <c r="P364" s="3">
        <v>100.5915</v>
      </c>
      <c r="Q364" s="3">
        <f t="shared" si="69"/>
        <v>100.72708</v>
      </c>
      <c r="R364" s="1">
        <f t="shared" si="75"/>
        <v>3.4109567710204321E-3</v>
      </c>
      <c r="T364" s="4">
        <v>250.00101000000001</v>
      </c>
      <c r="U364" s="1">
        <v>179</v>
      </c>
      <c r="V364" s="5">
        <v>92.053079999999994</v>
      </c>
      <c r="W364" s="3">
        <f t="shared" si="70"/>
        <v>96.21047999999999</v>
      </c>
      <c r="X364" s="1">
        <f t="shared" si="74"/>
        <v>5.3121464171916238E-2</v>
      </c>
      <c r="Z364" s="4">
        <v>250.03030999999999</v>
      </c>
      <c r="AA364" s="1">
        <v>179</v>
      </c>
      <c r="AB364" s="5">
        <v>99.350759999999994</v>
      </c>
      <c r="AC364" s="3">
        <f t="shared" si="71"/>
        <v>99.274019999999993</v>
      </c>
      <c r="AD364" s="1">
        <f t="shared" si="66"/>
        <v>2.1547373039722584E-2</v>
      </c>
    </row>
    <row r="365" spans="2:30" x14ac:dyDescent="0.2">
      <c r="B365" s="2">
        <v>200.01776000000001</v>
      </c>
      <c r="C365" s="1">
        <v>179.5</v>
      </c>
      <c r="D365" s="5">
        <v>99.986149999999995</v>
      </c>
      <c r="E365" s="3">
        <f t="shared" si="67"/>
        <v>100.69945</v>
      </c>
      <c r="H365" s="4">
        <v>225.00201999999999</v>
      </c>
      <c r="I365" s="1">
        <v>179.5</v>
      </c>
      <c r="J365" s="5">
        <v>94.087850000000003</v>
      </c>
      <c r="K365" s="3">
        <f t="shared" si="68"/>
        <v>98.195430000000002</v>
      </c>
      <c r="L365" s="1">
        <f t="shared" si="73"/>
        <v>2.6491815777690105E-2</v>
      </c>
      <c r="N365" s="4">
        <v>225.01277999999999</v>
      </c>
      <c r="O365" s="1">
        <v>179.5</v>
      </c>
      <c r="P365" s="5">
        <v>100.51148000000001</v>
      </c>
      <c r="Q365" s="3">
        <f t="shared" si="69"/>
        <v>100.64706000000001</v>
      </c>
      <c r="R365" s="1">
        <f t="shared" si="75"/>
        <v>4.3686240838060279E-3</v>
      </c>
      <c r="T365" s="4">
        <v>249.99800999999999</v>
      </c>
      <c r="U365" s="1">
        <v>179.5</v>
      </c>
      <c r="V365" s="3">
        <v>92.053120000000007</v>
      </c>
      <c r="W365" s="3">
        <f t="shared" si="70"/>
        <v>96.210520000000002</v>
      </c>
      <c r="X365" s="1">
        <f t="shared" si="74"/>
        <v>5.3120983652113533E-2</v>
      </c>
      <c r="Z365" s="4">
        <v>250.02789999999999</v>
      </c>
      <c r="AA365" s="1">
        <v>179.5</v>
      </c>
      <c r="AB365" s="3">
        <v>99.261399999999995</v>
      </c>
      <c r="AC365" s="3">
        <f t="shared" si="71"/>
        <v>99.184659999999994</v>
      </c>
      <c r="AD365" s="1">
        <f t="shared" si="66"/>
        <v>2.2616148194076612E-2</v>
      </c>
    </row>
    <row r="366" spans="2:30" x14ac:dyDescent="0.2">
      <c r="B366" s="2">
        <v>200.01719</v>
      </c>
      <c r="C366" s="1">
        <v>180</v>
      </c>
      <c r="D366" s="3">
        <v>100.18038</v>
      </c>
      <c r="E366" s="3">
        <f t="shared" si="67"/>
        <v>100.89368</v>
      </c>
      <c r="H366" s="4">
        <v>225.00298000000001</v>
      </c>
      <c r="I366" s="1">
        <v>180</v>
      </c>
      <c r="J366" s="3">
        <v>94.10275</v>
      </c>
      <c r="K366" s="3">
        <f t="shared" si="68"/>
        <v>98.210329999999999</v>
      </c>
      <c r="L366" s="1">
        <f t="shared" si="73"/>
        <v>2.63123996431637E-2</v>
      </c>
      <c r="N366" s="4">
        <v>225.01415</v>
      </c>
      <c r="O366" s="1">
        <v>180</v>
      </c>
      <c r="P366" s="3">
        <v>100.56377999999999</v>
      </c>
      <c r="Q366" s="3">
        <f t="shared" si="69"/>
        <v>100.69936</v>
      </c>
      <c r="R366" s="1">
        <f t="shared" si="75"/>
        <v>3.742705557704036E-3</v>
      </c>
      <c r="T366" s="4">
        <v>250.00303</v>
      </c>
      <c r="U366" s="1">
        <v>180</v>
      </c>
      <c r="V366" s="5">
        <v>92.047240000000002</v>
      </c>
      <c r="W366" s="3">
        <f t="shared" si="70"/>
        <v>96.204639999999998</v>
      </c>
      <c r="X366" s="1">
        <f t="shared" si="74"/>
        <v>5.319162006308846E-2</v>
      </c>
      <c r="Z366" s="4">
        <v>250.02334999999999</v>
      </c>
      <c r="AA366" s="1">
        <v>180</v>
      </c>
      <c r="AB366" s="5">
        <v>99.309399999999997</v>
      </c>
      <c r="AC366" s="3">
        <f t="shared" si="71"/>
        <v>99.232659999999996</v>
      </c>
      <c r="AD366" s="1">
        <f t="shared" si="66"/>
        <v>2.2042052318864035E-2</v>
      </c>
    </row>
    <row r="367" spans="2:30" x14ac:dyDescent="0.2">
      <c r="B367" s="2">
        <v>200.01822999999999</v>
      </c>
      <c r="C367" s="1">
        <v>180.5</v>
      </c>
      <c r="D367" s="5">
        <v>100.10701</v>
      </c>
      <c r="E367" s="3">
        <f t="shared" si="67"/>
        <v>100.82031000000001</v>
      </c>
      <c r="H367" s="4">
        <v>225.00698</v>
      </c>
      <c r="I367" s="1">
        <v>180.5</v>
      </c>
      <c r="J367" s="5">
        <v>94.094049999999996</v>
      </c>
      <c r="K367" s="3">
        <f t="shared" si="68"/>
        <v>98.201629999999994</v>
      </c>
      <c r="L367" s="1">
        <f t="shared" si="73"/>
        <v>2.6417159399565099E-2</v>
      </c>
      <c r="N367" s="4">
        <v>225.01339999999999</v>
      </c>
      <c r="O367" s="1">
        <v>180.5</v>
      </c>
      <c r="P367" s="5">
        <v>100.58436</v>
      </c>
      <c r="Q367" s="3">
        <f t="shared" si="69"/>
        <v>100.71994000000001</v>
      </c>
      <c r="R367" s="1">
        <f t="shared" si="75"/>
        <v>3.4964072160752042E-3</v>
      </c>
      <c r="T367" s="4">
        <v>250.005</v>
      </c>
      <c r="U367" s="1">
        <v>180.5</v>
      </c>
      <c r="V367" s="3">
        <v>92.02713</v>
      </c>
      <c r="W367" s="3">
        <f t="shared" si="70"/>
        <v>96.184529999999995</v>
      </c>
      <c r="X367" s="1">
        <f t="shared" si="74"/>
        <v>5.3433201393820566E-2</v>
      </c>
      <c r="Z367" s="4">
        <v>250.02248</v>
      </c>
      <c r="AA367" s="1">
        <v>180.5</v>
      </c>
      <c r="AB367" s="3">
        <v>99.309060000000002</v>
      </c>
      <c r="AC367" s="3">
        <f t="shared" si="71"/>
        <v>99.232320000000001</v>
      </c>
      <c r="AD367" s="1">
        <f t="shared" si="66"/>
        <v>2.204611883131339E-2</v>
      </c>
    </row>
    <row r="368" spans="2:30" x14ac:dyDescent="0.2">
      <c r="B368" s="2">
        <v>200.02149</v>
      </c>
      <c r="C368" s="1">
        <v>181</v>
      </c>
      <c r="D368" s="3">
        <v>100.08144</v>
      </c>
      <c r="E368" s="3">
        <f t="shared" si="67"/>
        <v>100.79474</v>
      </c>
      <c r="H368" s="4">
        <v>225.01103000000001</v>
      </c>
      <c r="I368" s="1">
        <v>181</v>
      </c>
      <c r="J368" s="3">
        <v>94.081800000000001</v>
      </c>
      <c r="K368" s="3">
        <f t="shared" si="68"/>
        <v>98.18938</v>
      </c>
      <c r="L368" s="1">
        <f t="shared" si="73"/>
        <v>2.6564665953118651E-2</v>
      </c>
      <c r="N368" s="4">
        <v>225.01140000000001</v>
      </c>
      <c r="O368" s="1">
        <v>181</v>
      </c>
      <c r="P368" s="3">
        <v>100.6208</v>
      </c>
      <c r="Q368" s="3">
        <f t="shared" si="69"/>
        <v>100.75638000000001</v>
      </c>
      <c r="R368" s="1">
        <f t="shared" si="75"/>
        <v>3.060298782209793E-3</v>
      </c>
      <c r="T368" s="4">
        <v>250.00898000000001</v>
      </c>
      <c r="U368" s="1">
        <v>181</v>
      </c>
      <c r="V368" s="5">
        <v>92.008930000000007</v>
      </c>
      <c r="W368" s="3">
        <f t="shared" si="70"/>
        <v>96.166330000000002</v>
      </c>
      <c r="X368" s="1">
        <f t="shared" si="74"/>
        <v>5.3651837903980787E-2</v>
      </c>
      <c r="Z368" s="4">
        <v>250.01727</v>
      </c>
      <c r="AA368" s="1">
        <v>181</v>
      </c>
      <c r="AB368" s="5">
        <v>99.294899999999998</v>
      </c>
      <c r="AC368" s="3">
        <f t="shared" si="71"/>
        <v>99.218159999999997</v>
      </c>
      <c r="AD368" s="1">
        <f t="shared" si="66"/>
        <v>2.2215477114501139E-2</v>
      </c>
    </row>
    <row r="369" spans="2:30" x14ac:dyDescent="0.2">
      <c r="B369" s="2">
        <v>200.02292</v>
      </c>
      <c r="C369" s="1">
        <v>181.5</v>
      </c>
      <c r="D369" s="5">
        <v>99.986270000000005</v>
      </c>
      <c r="E369" s="3">
        <f t="shared" si="67"/>
        <v>100.69957000000001</v>
      </c>
      <c r="H369" s="4">
        <v>225.00601</v>
      </c>
      <c r="I369" s="1">
        <v>181.5</v>
      </c>
      <c r="J369" s="5">
        <v>94.076669999999993</v>
      </c>
      <c r="K369" s="3">
        <f t="shared" si="68"/>
        <v>98.184249999999992</v>
      </c>
      <c r="L369" s="1">
        <f t="shared" si="73"/>
        <v>2.6626438085341611E-2</v>
      </c>
      <c r="N369" s="4">
        <v>225.01462000000001</v>
      </c>
      <c r="O369" s="1">
        <v>181.5</v>
      </c>
      <c r="P369" s="5">
        <v>100.57531</v>
      </c>
      <c r="Q369" s="3">
        <f t="shared" si="69"/>
        <v>100.71089000000001</v>
      </c>
      <c r="R369" s="1">
        <f t="shared" si="75"/>
        <v>3.6047162535747367E-3</v>
      </c>
      <c r="T369" s="4">
        <v>250.01000999999999</v>
      </c>
      <c r="U369" s="1">
        <v>181.5</v>
      </c>
      <c r="V369" s="3">
        <v>92.003150000000005</v>
      </c>
      <c r="W369" s="3">
        <f t="shared" si="70"/>
        <v>96.160550000000001</v>
      </c>
      <c r="X369" s="1">
        <f t="shared" si="74"/>
        <v>5.3721273015449302E-2</v>
      </c>
      <c r="Z369" s="4">
        <v>250.01145</v>
      </c>
      <c r="AA369" s="1">
        <v>181.5</v>
      </c>
      <c r="AB369" s="3">
        <v>99.186220000000006</v>
      </c>
      <c r="AC369" s="3">
        <f t="shared" si="71"/>
        <v>99.109480000000005</v>
      </c>
      <c r="AD369" s="1">
        <f t="shared" si="66"/>
        <v>2.3515325858628137E-2</v>
      </c>
    </row>
    <row r="370" spans="2:30" x14ac:dyDescent="0.2">
      <c r="B370" s="2">
        <v>200.02291</v>
      </c>
      <c r="C370" s="1">
        <v>182</v>
      </c>
      <c r="D370" s="3">
        <v>100.11027</v>
      </c>
      <c r="E370" s="3">
        <f t="shared" si="67"/>
        <v>100.82357</v>
      </c>
      <c r="H370" s="4">
        <v>225.00511</v>
      </c>
      <c r="I370" s="1">
        <v>182</v>
      </c>
      <c r="J370" s="3">
        <v>94.090230000000005</v>
      </c>
      <c r="K370" s="3">
        <f t="shared" si="68"/>
        <v>98.197810000000004</v>
      </c>
      <c r="L370" s="1">
        <f t="shared" si="73"/>
        <v>2.646315736157109E-2</v>
      </c>
      <c r="N370" s="4">
        <v>225.01575</v>
      </c>
      <c r="O370" s="1">
        <v>182</v>
      </c>
      <c r="P370" s="3">
        <v>100.56702</v>
      </c>
      <c r="Q370" s="3">
        <f t="shared" si="69"/>
        <v>100.7026</v>
      </c>
      <c r="R370" s="1">
        <f t="shared" si="75"/>
        <v>3.7039297254942041E-3</v>
      </c>
      <c r="T370" s="4">
        <v>250.01003</v>
      </c>
      <c r="U370" s="1">
        <v>182</v>
      </c>
      <c r="V370" s="5">
        <v>92.001140000000007</v>
      </c>
      <c r="W370" s="3">
        <f t="shared" si="70"/>
        <v>96.158540000000002</v>
      </c>
      <c r="X370" s="1">
        <f t="shared" si="74"/>
        <v>5.3745419135527425E-2</v>
      </c>
      <c r="Z370" s="4">
        <v>250.01438999999999</v>
      </c>
      <c r="AA370" s="1">
        <v>182</v>
      </c>
      <c r="AB370" s="5">
        <v>99.313820000000007</v>
      </c>
      <c r="AC370" s="3">
        <f t="shared" si="71"/>
        <v>99.237080000000006</v>
      </c>
      <c r="AD370" s="1">
        <f t="shared" si="66"/>
        <v>2.1989187657021424E-2</v>
      </c>
    </row>
    <row r="371" spans="2:30" x14ac:dyDescent="0.2">
      <c r="B371" s="2">
        <v>200.02161000000001</v>
      </c>
      <c r="C371" s="1">
        <v>182.5</v>
      </c>
      <c r="D371" s="5">
        <v>100.06547999999999</v>
      </c>
      <c r="E371" s="3">
        <f t="shared" si="67"/>
        <v>100.77878</v>
      </c>
      <c r="H371" s="4">
        <v>225.00706</v>
      </c>
      <c r="I371" s="1">
        <v>182.5</v>
      </c>
      <c r="J371" s="5">
        <v>94.071150000000003</v>
      </c>
      <c r="K371" s="3">
        <f t="shared" si="68"/>
        <v>98.178730000000002</v>
      </c>
      <c r="L371" s="1">
        <f t="shared" si="73"/>
        <v>2.6692906344575447E-2</v>
      </c>
      <c r="N371" s="4">
        <v>225.01342</v>
      </c>
      <c r="O371" s="1">
        <v>182.5</v>
      </c>
      <c r="P371" s="5">
        <v>100.61659</v>
      </c>
      <c r="Q371" s="3">
        <f t="shared" si="69"/>
        <v>100.75217000000001</v>
      </c>
      <c r="R371" s="1">
        <f t="shared" si="75"/>
        <v>3.1106834283836033E-3</v>
      </c>
      <c r="T371" s="4">
        <v>250.01196999999999</v>
      </c>
      <c r="U371" s="1">
        <v>182.5</v>
      </c>
      <c r="V371" s="3">
        <v>91.997050000000002</v>
      </c>
      <c r="W371" s="3">
        <f t="shared" si="70"/>
        <v>96.154449999999997</v>
      </c>
      <c r="X371" s="1">
        <f t="shared" si="74"/>
        <v>5.3794552285338235E-2</v>
      </c>
      <c r="Z371" s="4">
        <v>250.01647</v>
      </c>
      <c r="AA371" s="1">
        <v>182.5</v>
      </c>
      <c r="AB371" s="3">
        <v>99.222989999999996</v>
      </c>
      <c r="AC371" s="3">
        <f t="shared" si="71"/>
        <v>99.146249999999995</v>
      </c>
      <c r="AD371" s="1">
        <f t="shared" si="66"/>
        <v>2.3075544497553974E-2</v>
      </c>
    </row>
    <row r="372" spans="2:30" x14ac:dyDescent="0.2">
      <c r="B372" s="2">
        <v>200.02028000000001</v>
      </c>
      <c r="C372" s="1">
        <v>183</v>
      </c>
      <c r="D372" s="3">
        <v>99.958849999999998</v>
      </c>
      <c r="E372" s="3">
        <f t="shared" si="67"/>
        <v>100.67215</v>
      </c>
      <c r="H372" s="4">
        <v>225.00396000000001</v>
      </c>
      <c r="I372" s="1">
        <v>183</v>
      </c>
      <c r="J372" s="3">
        <v>94.06474</v>
      </c>
      <c r="K372" s="3">
        <f t="shared" si="68"/>
        <v>98.172319999999999</v>
      </c>
      <c r="L372" s="1">
        <f t="shared" si="73"/>
        <v>2.6770091406475776E-2</v>
      </c>
      <c r="N372" s="4">
        <v>225.01611</v>
      </c>
      <c r="O372" s="1">
        <v>183</v>
      </c>
      <c r="P372" s="3">
        <v>100.60851</v>
      </c>
      <c r="Q372" s="3">
        <f t="shared" si="69"/>
        <v>100.74409</v>
      </c>
      <c r="R372" s="1">
        <f t="shared" si="75"/>
        <v>3.207383651919157E-3</v>
      </c>
      <c r="T372" s="4">
        <v>250.01301000000001</v>
      </c>
      <c r="U372" s="1">
        <v>183</v>
      </c>
      <c r="V372" s="5">
        <v>91.957009999999997</v>
      </c>
      <c r="W372" s="3">
        <f t="shared" si="70"/>
        <v>96.114409999999992</v>
      </c>
      <c r="X372" s="1">
        <f t="shared" si="74"/>
        <v>5.4275552607690965E-2</v>
      </c>
      <c r="Z372" s="4">
        <v>250.01811000000001</v>
      </c>
      <c r="AA372" s="1">
        <v>183</v>
      </c>
      <c r="AB372" s="5">
        <v>99.279020000000003</v>
      </c>
      <c r="AC372" s="3">
        <f t="shared" si="71"/>
        <v>99.202280000000002</v>
      </c>
      <c r="AD372" s="1">
        <f t="shared" si="66"/>
        <v>2.2405407166550574E-2</v>
      </c>
    </row>
    <row r="373" spans="2:30" x14ac:dyDescent="0.2">
      <c r="B373" s="2">
        <v>200.01722000000001</v>
      </c>
      <c r="C373" s="1">
        <v>183.5</v>
      </c>
      <c r="D373" s="5">
        <v>100.08739</v>
      </c>
      <c r="E373" s="3">
        <f t="shared" si="67"/>
        <v>100.80069</v>
      </c>
      <c r="H373" s="4">
        <v>225.00703999999999</v>
      </c>
      <c r="I373" s="1">
        <v>183.5</v>
      </c>
      <c r="J373" s="5">
        <v>94.045159999999996</v>
      </c>
      <c r="K373" s="3">
        <f t="shared" si="68"/>
        <v>98.152739999999994</v>
      </c>
      <c r="L373" s="1">
        <f t="shared" si="73"/>
        <v>2.700586106513541E-2</v>
      </c>
      <c r="N373" s="4">
        <v>225.01734999999999</v>
      </c>
      <c r="O373" s="1">
        <v>183.5</v>
      </c>
      <c r="P373" s="5">
        <v>100.52800000000001</v>
      </c>
      <c r="Q373" s="3">
        <f t="shared" si="69"/>
        <v>100.66358000000001</v>
      </c>
      <c r="R373" s="1">
        <f t="shared" si="75"/>
        <v>4.1709152109339976E-3</v>
      </c>
      <c r="T373" s="4">
        <v>250.006</v>
      </c>
      <c r="U373" s="1">
        <v>183.5</v>
      </c>
      <c r="V373" s="3">
        <v>91.936989999999994</v>
      </c>
      <c r="W373" s="3">
        <f t="shared" si="70"/>
        <v>96.09438999999999</v>
      </c>
      <c r="X373" s="1">
        <f t="shared" si="74"/>
        <v>5.4516052768867333E-2</v>
      </c>
      <c r="Z373" s="4">
        <v>250.01545999999999</v>
      </c>
      <c r="AA373" s="1">
        <v>183.5</v>
      </c>
      <c r="AB373" s="3">
        <v>99.26782</v>
      </c>
      <c r="AC373" s="3">
        <f t="shared" si="71"/>
        <v>99.191079999999999</v>
      </c>
      <c r="AD373" s="1">
        <f t="shared" si="66"/>
        <v>2.2539362870766865E-2</v>
      </c>
    </row>
    <row r="374" spans="2:30" x14ac:dyDescent="0.2">
      <c r="B374" s="2">
        <v>200.01541</v>
      </c>
      <c r="C374" s="1">
        <v>184</v>
      </c>
      <c r="D374" s="3">
        <v>100.05601</v>
      </c>
      <c r="E374" s="3">
        <f t="shared" si="67"/>
        <v>100.76931</v>
      </c>
      <c r="H374" s="4">
        <v>225.00701000000001</v>
      </c>
      <c r="I374" s="1">
        <v>184</v>
      </c>
      <c r="J374" s="3">
        <v>94.029340000000005</v>
      </c>
      <c r="K374" s="3">
        <f t="shared" si="68"/>
        <v>98.136920000000003</v>
      </c>
      <c r="L374" s="1">
        <f t="shared" si="73"/>
        <v>2.7196355242867398E-2</v>
      </c>
      <c r="N374" s="4">
        <v>225.01577</v>
      </c>
      <c r="O374" s="1">
        <v>184</v>
      </c>
      <c r="P374" s="3">
        <v>100.66083</v>
      </c>
      <c r="Q374" s="3">
        <f t="shared" si="69"/>
        <v>100.79641000000001</v>
      </c>
      <c r="R374" s="1">
        <f t="shared" si="75"/>
        <v>2.58122576882797E-3</v>
      </c>
      <c r="T374" s="4">
        <v>249.99799999999999</v>
      </c>
      <c r="U374" s="1">
        <v>184</v>
      </c>
      <c r="V374" s="5">
        <v>91.896640000000005</v>
      </c>
      <c r="W374" s="3">
        <f t="shared" si="70"/>
        <v>96.054040000000001</v>
      </c>
      <c r="X374" s="1">
        <f t="shared" si="74"/>
        <v>5.5000777119689641E-2</v>
      </c>
      <c r="Z374" s="4">
        <v>250.01094000000001</v>
      </c>
      <c r="AA374" s="1">
        <v>184</v>
      </c>
      <c r="AB374" s="5">
        <v>99.363129999999998</v>
      </c>
      <c r="AC374" s="3">
        <f t="shared" si="71"/>
        <v>99.286389999999997</v>
      </c>
      <c r="AD374" s="1">
        <f t="shared" si="66"/>
        <v>2.1399423748547967E-2</v>
      </c>
    </row>
    <row r="375" spans="2:30" x14ac:dyDescent="0.2">
      <c r="B375" s="2">
        <v>200.01365999999999</v>
      </c>
      <c r="C375" s="1">
        <v>184.5</v>
      </c>
      <c r="D375" s="5">
        <v>100.00878</v>
      </c>
      <c r="E375" s="3">
        <f t="shared" si="67"/>
        <v>100.72208000000001</v>
      </c>
      <c r="H375" s="4">
        <v>225.00708</v>
      </c>
      <c r="I375" s="1">
        <v>184.5</v>
      </c>
      <c r="J375" s="5">
        <v>94.027180000000001</v>
      </c>
      <c r="K375" s="3">
        <f t="shared" si="68"/>
        <v>98.13476</v>
      </c>
      <c r="L375" s="1">
        <f t="shared" si="73"/>
        <v>2.7222364561698121E-2</v>
      </c>
      <c r="N375" s="4">
        <v>225.01707999999999</v>
      </c>
      <c r="O375" s="1">
        <v>184.5</v>
      </c>
      <c r="P375" s="5">
        <v>100.58856</v>
      </c>
      <c r="Q375" s="3">
        <f t="shared" si="69"/>
        <v>100.72414000000001</v>
      </c>
      <c r="R375" s="1">
        <f t="shared" si="75"/>
        <v>3.4461422483959064E-3</v>
      </c>
      <c r="T375" s="4">
        <v>249.99202</v>
      </c>
      <c r="U375" s="1">
        <v>184.5</v>
      </c>
      <c r="V375" s="3">
        <v>91.890640000000005</v>
      </c>
      <c r="W375" s="3">
        <f t="shared" si="70"/>
        <v>96.04804</v>
      </c>
      <c r="X375" s="1">
        <f t="shared" si="74"/>
        <v>5.5072855090072162E-2</v>
      </c>
      <c r="Z375" s="4">
        <v>250.01064</v>
      </c>
      <c r="AA375" s="1">
        <v>184.5</v>
      </c>
      <c r="AB375" s="3">
        <v>99.285970000000006</v>
      </c>
      <c r="AC375" s="3">
        <f t="shared" si="71"/>
        <v>99.209230000000005</v>
      </c>
      <c r="AD375" s="1">
        <f t="shared" si="66"/>
        <v>2.2322282867952049E-2</v>
      </c>
    </row>
    <row r="376" spans="2:30" x14ac:dyDescent="0.2">
      <c r="B376" s="2">
        <v>200.01510999999999</v>
      </c>
      <c r="C376" s="1">
        <v>185</v>
      </c>
      <c r="D376" s="3">
        <v>100.08313</v>
      </c>
      <c r="E376" s="3">
        <f t="shared" si="67"/>
        <v>100.79643</v>
      </c>
      <c r="H376" s="4">
        <v>225.00801999999999</v>
      </c>
      <c r="I376" s="1">
        <v>185</v>
      </c>
      <c r="J376" s="3">
        <v>94.023099999999999</v>
      </c>
      <c r="K376" s="3">
        <f t="shared" si="68"/>
        <v>98.130679999999998</v>
      </c>
      <c r="L376" s="1">
        <f t="shared" si="73"/>
        <v>2.7271493275044981E-2</v>
      </c>
      <c r="N376" s="4">
        <v>225.01791</v>
      </c>
      <c r="O376" s="1">
        <v>185</v>
      </c>
      <c r="P376" s="3">
        <v>100.60827999999999</v>
      </c>
      <c r="Q376" s="3">
        <f t="shared" si="69"/>
        <v>100.74386</v>
      </c>
      <c r="R376" s="1">
        <f t="shared" si="75"/>
        <v>3.2101362572920958E-3</v>
      </c>
      <c r="T376" s="4">
        <v>249.99902</v>
      </c>
      <c r="U376" s="1">
        <v>185</v>
      </c>
      <c r="V376" s="5">
        <v>91.882720000000006</v>
      </c>
      <c r="W376" s="3">
        <f t="shared" si="70"/>
        <v>96.040120000000002</v>
      </c>
      <c r="X376" s="1">
        <f t="shared" si="74"/>
        <v>5.5167998010977069E-2</v>
      </c>
      <c r="Z376" s="4">
        <v>250.01741999999999</v>
      </c>
      <c r="AA376" s="1">
        <v>185</v>
      </c>
      <c r="AB376" s="5">
        <v>99.230729999999994</v>
      </c>
      <c r="AC376" s="3">
        <f t="shared" si="71"/>
        <v>99.153989999999993</v>
      </c>
      <c r="AD376" s="1">
        <f t="shared" si="66"/>
        <v>2.2982971537675971E-2</v>
      </c>
    </row>
    <row r="377" spans="2:30" x14ac:dyDescent="0.2">
      <c r="B377" s="2">
        <v>200.01815999999999</v>
      </c>
      <c r="C377" s="1">
        <v>185.5</v>
      </c>
      <c r="D377" s="5">
        <v>100.06063</v>
      </c>
      <c r="E377" s="3">
        <f t="shared" si="67"/>
        <v>100.77393000000001</v>
      </c>
      <c r="H377" s="4">
        <v>225.00512000000001</v>
      </c>
      <c r="I377" s="1">
        <v>185.5</v>
      </c>
      <c r="J377" s="5">
        <v>93.998379999999997</v>
      </c>
      <c r="K377" s="3">
        <f t="shared" si="68"/>
        <v>98.105959999999996</v>
      </c>
      <c r="L377" s="1">
        <f t="shared" si="73"/>
        <v>2.7569155479440548E-2</v>
      </c>
      <c r="N377" s="4">
        <v>225.01703000000001</v>
      </c>
      <c r="O377" s="1">
        <v>185.5</v>
      </c>
      <c r="P377" s="5">
        <v>100.59278</v>
      </c>
      <c r="Q377" s="3">
        <f t="shared" si="69"/>
        <v>100.72836000000001</v>
      </c>
      <c r="R377" s="1">
        <f t="shared" si="75"/>
        <v>3.3956379237275835E-3</v>
      </c>
      <c r="T377" s="4">
        <v>250.00405000000001</v>
      </c>
      <c r="U377" s="1">
        <v>185.5</v>
      </c>
      <c r="V377" s="3">
        <v>91.872829999999993</v>
      </c>
      <c r="W377" s="3">
        <f t="shared" si="70"/>
        <v>96.030229999999989</v>
      </c>
      <c r="X377" s="1">
        <f t="shared" si="74"/>
        <v>5.5286806532157742E-2</v>
      </c>
      <c r="Z377" s="4">
        <v>250.01598999999999</v>
      </c>
      <c r="AA377" s="1">
        <v>185.5</v>
      </c>
      <c r="AB377" s="3">
        <v>99.356009999999998</v>
      </c>
      <c r="AC377" s="3">
        <f t="shared" si="71"/>
        <v>99.279269999999997</v>
      </c>
      <c r="AD377" s="1">
        <f t="shared" si="66"/>
        <v>2.1484581303371168E-2</v>
      </c>
    </row>
    <row r="378" spans="2:30" x14ac:dyDescent="0.2">
      <c r="B378" s="2">
        <v>200.02034</v>
      </c>
      <c r="C378" s="1">
        <v>186</v>
      </c>
      <c r="D378" s="3">
        <v>100.01263</v>
      </c>
      <c r="E378" s="3">
        <f t="shared" si="67"/>
        <v>100.72593000000001</v>
      </c>
      <c r="H378" s="4">
        <v>225.00491</v>
      </c>
      <c r="I378" s="1">
        <v>186</v>
      </c>
      <c r="J378" s="3">
        <v>94.007210000000001</v>
      </c>
      <c r="K378" s="3">
        <f t="shared" si="68"/>
        <v>98.114789999999999</v>
      </c>
      <c r="L378" s="1">
        <f t="shared" si="73"/>
        <v>2.7462830347368797E-2</v>
      </c>
      <c r="N378" s="4">
        <v>225.01822999999999</v>
      </c>
      <c r="O378" s="1">
        <v>186</v>
      </c>
      <c r="P378" s="3">
        <v>100.56198999999999</v>
      </c>
      <c r="Q378" s="3">
        <f t="shared" si="69"/>
        <v>100.69757</v>
      </c>
      <c r="R378" s="1">
        <f t="shared" si="75"/>
        <v>3.7641280082149854E-3</v>
      </c>
      <c r="T378" s="4">
        <v>250.01300000000001</v>
      </c>
      <c r="U378" s="1">
        <v>186</v>
      </c>
      <c r="V378" s="5">
        <v>91.914649999999995</v>
      </c>
      <c r="W378" s="3">
        <f t="shared" si="70"/>
        <v>96.07204999999999</v>
      </c>
      <c r="X378" s="1">
        <f t="shared" si="74"/>
        <v>5.478442307859157E-2</v>
      </c>
      <c r="Z378" s="4">
        <v>250.01394999999999</v>
      </c>
      <c r="AA378" s="1">
        <v>186</v>
      </c>
      <c r="AB378" s="5">
        <v>99.181399999999996</v>
      </c>
      <c r="AC378" s="3">
        <f t="shared" si="71"/>
        <v>99.104659999999996</v>
      </c>
      <c r="AD378" s="1">
        <f t="shared" si="66"/>
        <v>2.3572974652764176E-2</v>
      </c>
    </row>
    <row r="379" spans="2:30" x14ac:dyDescent="0.2">
      <c r="B379" s="2">
        <v>200.01906</v>
      </c>
      <c r="C379" s="1">
        <v>186.5</v>
      </c>
      <c r="D379" s="5">
        <v>100.01969</v>
      </c>
      <c r="E379" s="3">
        <f t="shared" si="67"/>
        <v>100.73299</v>
      </c>
      <c r="H379" s="4">
        <v>225.00312</v>
      </c>
      <c r="I379" s="1">
        <v>186.5</v>
      </c>
      <c r="J379" s="5">
        <v>94.035709999999995</v>
      </c>
      <c r="K379" s="3">
        <f t="shared" si="68"/>
        <v>98.143289999999993</v>
      </c>
      <c r="L379" s="1">
        <f t="shared" si="73"/>
        <v>2.7119651835019642E-2</v>
      </c>
      <c r="N379" s="4">
        <v>225.01472000000001</v>
      </c>
      <c r="O379" s="1">
        <v>186.5</v>
      </c>
      <c r="P379" s="5">
        <v>100.57593</v>
      </c>
      <c r="Q379" s="3">
        <f t="shared" si="69"/>
        <v>100.71151</v>
      </c>
      <c r="R379" s="1">
        <f t="shared" si="75"/>
        <v>3.5972961869173378E-3</v>
      </c>
      <c r="T379" s="4">
        <v>250.00997000000001</v>
      </c>
      <c r="U379" s="1">
        <v>186.5</v>
      </c>
      <c r="V379" s="3">
        <v>91.886629999999997</v>
      </c>
      <c r="W379" s="3">
        <f t="shared" si="70"/>
        <v>96.044029999999992</v>
      </c>
      <c r="X379" s="1">
        <f t="shared" si="74"/>
        <v>5.5121027200277908E-2</v>
      </c>
      <c r="Z379" s="4">
        <v>250.01552000000001</v>
      </c>
      <c r="AA379" s="1">
        <v>186.5</v>
      </c>
      <c r="AB379" s="3">
        <v>99.243780000000001</v>
      </c>
      <c r="AC379" s="3">
        <f t="shared" si="71"/>
        <v>99.16704</v>
      </c>
      <c r="AD379" s="1">
        <f t="shared" si="66"/>
        <v>2.2826889221602475E-2</v>
      </c>
    </row>
    <row r="380" spans="2:30" x14ac:dyDescent="0.2">
      <c r="B380" s="2">
        <v>200.02056999999999</v>
      </c>
      <c r="C380" s="1">
        <v>187</v>
      </c>
      <c r="D380" s="3">
        <v>100.07549</v>
      </c>
      <c r="E380" s="3">
        <f t="shared" si="67"/>
        <v>100.78879000000001</v>
      </c>
      <c r="H380" s="4">
        <v>225.00208000000001</v>
      </c>
      <c r="I380" s="1">
        <v>187</v>
      </c>
      <c r="J380" s="3">
        <v>93.982669999999999</v>
      </c>
      <c r="K380" s="3">
        <f t="shared" si="68"/>
        <v>98.090249999999997</v>
      </c>
      <c r="L380" s="1">
        <f t="shared" si="73"/>
        <v>2.7758325108528471E-2</v>
      </c>
      <c r="N380" s="4">
        <v>225.0155</v>
      </c>
      <c r="O380" s="1">
        <v>187</v>
      </c>
      <c r="P380" s="3">
        <v>100.68574</v>
      </c>
      <c r="Q380" s="3">
        <f t="shared" si="69"/>
        <v>100.82132</v>
      </c>
      <c r="R380" s="1">
        <f t="shared" si="75"/>
        <v>2.2831066390918572E-3</v>
      </c>
      <c r="T380" s="4">
        <v>250.00602000000001</v>
      </c>
      <c r="U380" s="1">
        <v>187</v>
      </c>
      <c r="V380" s="5">
        <v>91.854519999999994</v>
      </c>
      <c r="W380" s="3">
        <f t="shared" si="70"/>
        <v>96.011919999999989</v>
      </c>
      <c r="X380" s="1">
        <f t="shared" si="74"/>
        <v>5.5506764471775057E-2</v>
      </c>
      <c r="Z380" s="4">
        <v>250.01837</v>
      </c>
      <c r="AA380" s="1">
        <v>187</v>
      </c>
      <c r="AB380" s="5">
        <v>99.198689999999999</v>
      </c>
      <c r="AC380" s="3">
        <f t="shared" si="71"/>
        <v>99.121949999999998</v>
      </c>
      <c r="AD380" s="1">
        <f t="shared" si="66"/>
        <v>2.336618053438029E-2</v>
      </c>
    </row>
    <row r="381" spans="2:30" x14ac:dyDescent="0.2">
      <c r="B381" s="2">
        <v>200.02420000000001</v>
      </c>
      <c r="C381" s="1">
        <v>187.5</v>
      </c>
      <c r="D381" s="5">
        <v>100.14695</v>
      </c>
      <c r="E381" s="3">
        <f t="shared" si="67"/>
        <v>100.86025000000001</v>
      </c>
      <c r="H381" s="4">
        <v>225.00013000000001</v>
      </c>
      <c r="I381" s="1">
        <v>187.5</v>
      </c>
      <c r="J381" s="5">
        <v>93.984790000000004</v>
      </c>
      <c r="K381" s="3">
        <f t="shared" si="68"/>
        <v>98.092370000000003</v>
      </c>
      <c r="L381" s="1">
        <f t="shared" si="73"/>
        <v>2.7732797443750155E-2</v>
      </c>
      <c r="N381" s="4">
        <v>225.01185000000001</v>
      </c>
      <c r="O381" s="1">
        <v>187.5</v>
      </c>
      <c r="P381" s="5">
        <v>100.60732</v>
      </c>
      <c r="Q381" s="3">
        <f t="shared" si="69"/>
        <v>100.74290000000001</v>
      </c>
      <c r="R381" s="1">
        <f t="shared" si="75"/>
        <v>3.2216253927615621E-3</v>
      </c>
      <c r="T381" s="4">
        <v>250.00802999999999</v>
      </c>
      <c r="U381" s="1">
        <v>187.5</v>
      </c>
      <c r="V381" s="3">
        <v>91.830399999999997</v>
      </c>
      <c r="W381" s="3">
        <f t="shared" si="70"/>
        <v>95.987799999999993</v>
      </c>
      <c r="X381" s="1">
        <f t="shared" si="74"/>
        <v>5.5796517912712736E-2</v>
      </c>
      <c r="Z381" s="4">
        <v>250.0215</v>
      </c>
      <c r="AA381" s="1">
        <v>187.5</v>
      </c>
      <c r="AB381" s="3">
        <v>99.305530000000005</v>
      </c>
      <c r="AC381" s="3">
        <f t="shared" si="71"/>
        <v>99.228790000000004</v>
      </c>
      <c r="AD381" s="1">
        <f t="shared" si="66"/>
        <v>2.2088338798802953E-2</v>
      </c>
    </row>
    <row r="382" spans="2:30" x14ac:dyDescent="0.2">
      <c r="B382" s="2">
        <v>200.02592000000001</v>
      </c>
      <c r="C382" s="1">
        <v>188</v>
      </c>
      <c r="D382" s="3">
        <v>100.0146</v>
      </c>
      <c r="E382" s="3">
        <f t="shared" si="67"/>
        <v>100.72790000000001</v>
      </c>
      <c r="H382" s="4">
        <v>225.00399999999999</v>
      </c>
      <c r="I382" s="1">
        <v>188</v>
      </c>
      <c r="J382" s="3">
        <v>93.980019999999996</v>
      </c>
      <c r="K382" s="3">
        <f t="shared" si="68"/>
        <v>98.087599999999995</v>
      </c>
      <c r="L382" s="1">
        <f t="shared" si="73"/>
        <v>2.7790234689501328E-2</v>
      </c>
      <c r="N382" s="4">
        <v>225.01121000000001</v>
      </c>
      <c r="O382" s="1">
        <v>188</v>
      </c>
      <c r="P382" s="3">
        <v>100.54455</v>
      </c>
      <c r="Q382" s="3">
        <f t="shared" si="69"/>
        <v>100.68013000000001</v>
      </c>
      <c r="R382" s="1">
        <f t="shared" si="75"/>
        <v>3.9728473025786009E-3</v>
      </c>
      <c r="T382" s="4">
        <v>250.00699</v>
      </c>
      <c r="U382" s="1">
        <v>188</v>
      </c>
      <c r="V382" s="5">
        <v>91.838650000000001</v>
      </c>
      <c r="W382" s="3">
        <f t="shared" si="70"/>
        <v>95.996049999999997</v>
      </c>
      <c r="X382" s="1">
        <f t="shared" si="74"/>
        <v>5.5697410703436728E-2</v>
      </c>
      <c r="Z382" s="4">
        <v>250.02294000000001</v>
      </c>
      <c r="AA382" s="1">
        <v>188</v>
      </c>
      <c r="AB382" s="5">
        <v>99.118830000000003</v>
      </c>
      <c r="AC382" s="3">
        <f t="shared" si="71"/>
        <v>99.042090000000002</v>
      </c>
      <c r="AD382" s="1">
        <f t="shared" si="66"/>
        <v>2.4321332546765131E-2</v>
      </c>
    </row>
    <row r="383" spans="2:30" x14ac:dyDescent="0.2">
      <c r="B383" s="2">
        <v>200.02316999999999</v>
      </c>
      <c r="C383" s="1">
        <v>188.5</v>
      </c>
      <c r="D383" s="5">
        <v>99.979119999999995</v>
      </c>
      <c r="E383" s="3">
        <f t="shared" si="67"/>
        <v>100.69242</v>
      </c>
      <c r="H383" s="4">
        <v>225.00595000000001</v>
      </c>
      <c r="I383" s="1">
        <v>188.5</v>
      </c>
      <c r="J383" s="5">
        <v>93.939970000000002</v>
      </c>
      <c r="K383" s="3">
        <f t="shared" si="68"/>
        <v>98.047550000000001</v>
      </c>
      <c r="L383" s="1">
        <f t="shared" si="73"/>
        <v>2.8272490809486749E-2</v>
      </c>
      <c r="N383" s="4">
        <v>225.01334</v>
      </c>
      <c r="O383" s="1">
        <v>188.5</v>
      </c>
      <c r="P383" s="5">
        <v>100.50245</v>
      </c>
      <c r="Q383" s="3">
        <f t="shared" si="69"/>
        <v>100.63803</v>
      </c>
      <c r="R383" s="1">
        <f t="shared" si="75"/>
        <v>4.4766937643167049E-3</v>
      </c>
      <c r="T383" s="4">
        <v>250.00702000000001</v>
      </c>
      <c r="U383" s="1">
        <v>188.5</v>
      </c>
      <c r="V383" s="3">
        <v>91.794250000000005</v>
      </c>
      <c r="W383" s="3">
        <f t="shared" si="70"/>
        <v>95.951650000000001</v>
      </c>
      <c r="X383" s="1">
        <f t="shared" si="74"/>
        <v>5.6230787684267314E-2</v>
      </c>
      <c r="Z383" s="4">
        <v>250.02018000000001</v>
      </c>
      <c r="AA383" s="1">
        <v>188.5</v>
      </c>
      <c r="AB383" s="3">
        <v>99.217179999999999</v>
      </c>
      <c r="AC383" s="3">
        <f t="shared" si="71"/>
        <v>99.140439999999998</v>
      </c>
      <c r="AD383" s="1">
        <f t="shared" ref="AD383:AD446" si="76">($AC$62-AC383)/($AC$62*(1-$M$1))</f>
        <v>2.3145034019116124E-2</v>
      </c>
    </row>
    <row r="384" spans="2:30" x14ac:dyDescent="0.2">
      <c r="B384" s="2">
        <v>200.02170000000001</v>
      </c>
      <c r="C384" s="1">
        <v>189</v>
      </c>
      <c r="D384" s="3">
        <v>100.05708</v>
      </c>
      <c r="E384" s="3">
        <f t="shared" si="67"/>
        <v>100.77038</v>
      </c>
      <c r="H384" s="4">
        <v>225.01095000000001</v>
      </c>
      <c r="I384" s="1">
        <v>189</v>
      </c>
      <c r="J384" s="3">
        <v>93.96763</v>
      </c>
      <c r="K384" s="3">
        <f t="shared" si="68"/>
        <v>98.075209999999998</v>
      </c>
      <c r="L384" s="1">
        <f t="shared" si="73"/>
        <v>2.7939427032238371E-2</v>
      </c>
      <c r="N384" s="4">
        <v>225.01383000000001</v>
      </c>
      <c r="O384" s="1">
        <v>189</v>
      </c>
      <c r="P384" s="3">
        <v>100.63372</v>
      </c>
      <c r="Q384" s="3">
        <f t="shared" si="69"/>
        <v>100.7693</v>
      </c>
      <c r="R384" s="1">
        <f t="shared" si="75"/>
        <v>2.905674167348687E-3</v>
      </c>
      <c r="T384" s="4">
        <v>250.00704999999999</v>
      </c>
      <c r="U384" s="1">
        <v>189</v>
      </c>
      <c r="V384" s="5">
        <v>91.808580000000006</v>
      </c>
      <c r="W384" s="3">
        <f t="shared" si="70"/>
        <v>95.965980000000002</v>
      </c>
      <c r="X384" s="1">
        <f t="shared" si="74"/>
        <v>5.6058641465003722E-2</v>
      </c>
      <c r="Z384" s="4">
        <v>250.02098000000001</v>
      </c>
      <c r="AA384" s="1">
        <v>189</v>
      </c>
      <c r="AB384" s="5">
        <v>99.177130000000005</v>
      </c>
      <c r="AC384" s="3">
        <f t="shared" si="71"/>
        <v>99.100390000000004</v>
      </c>
      <c r="AD384" s="1">
        <f t="shared" si="76"/>
        <v>2.3624045264996521E-2</v>
      </c>
    </row>
    <row r="385" spans="2:30" x14ac:dyDescent="0.2">
      <c r="B385" s="2">
        <v>200.01847000000001</v>
      </c>
      <c r="C385" s="1">
        <v>189.5</v>
      </c>
      <c r="D385" s="5">
        <v>100.05161</v>
      </c>
      <c r="E385" s="3">
        <f t="shared" si="67"/>
        <v>100.76491</v>
      </c>
      <c r="H385" s="4">
        <v>225.00603000000001</v>
      </c>
      <c r="I385" s="1">
        <v>189.5</v>
      </c>
      <c r="J385" s="5">
        <v>93.925380000000004</v>
      </c>
      <c r="K385" s="3">
        <f t="shared" si="68"/>
        <v>98.032960000000003</v>
      </c>
      <c r="L385" s="1">
        <f t="shared" si="73"/>
        <v>2.8448174125106914E-2</v>
      </c>
      <c r="N385" s="4">
        <v>225.01626999999999</v>
      </c>
      <c r="O385" s="1">
        <v>189.5</v>
      </c>
      <c r="P385" s="5">
        <v>100.62223</v>
      </c>
      <c r="Q385" s="3">
        <f t="shared" si="69"/>
        <v>100.75781000000001</v>
      </c>
      <c r="R385" s="1">
        <f t="shared" si="75"/>
        <v>3.0431847574999356E-3</v>
      </c>
      <c r="T385" s="4">
        <v>250.00697</v>
      </c>
      <c r="U385" s="1">
        <v>189.5</v>
      </c>
      <c r="V385" s="3">
        <v>91.774270000000001</v>
      </c>
      <c r="W385" s="3">
        <f t="shared" si="70"/>
        <v>95.931669999999997</v>
      </c>
      <c r="X385" s="1">
        <f t="shared" si="74"/>
        <v>5.6470807325641151E-2</v>
      </c>
      <c r="Z385" s="4">
        <v>250.02019999999999</v>
      </c>
      <c r="AA385" s="1">
        <v>189.5</v>
      </c>
      <c r="AB385" s="3">
        <v>99.199870000000004</v>
      </c>
      <c r="AC385" s="3">
        <f t="shared" si="71"/>
        <v>99.123130000000003</v>
      </c>
      <c r="AD385" s="1">
        <f t="shared" si="76"/>
        <v>2.3352067344114588E-2</v>
      </c>
    </row>
    <row r="386" spans="2:30" x14ac:dyDescent="0.2">
      <c r="B386" s="2">
        <v>200.01396</v>
      </c>
      <c r="C386" s="1">
        <v>190</v>
      </c>
      <c r="D386" s="3">
        <v>100.05961000000001</v>
      </c>
      <c r="E386" s="3">
        <f t="shared" si="67"/>
        <v>100.77291000000001</v>
      </c>
      <c r="H386" s="4">
        <v>225.00801000000001</v>
      </c>
      <c r="I386" s="1">
        <v>190</v>
      </c>
      <c r="J386" s="3">
        <v>93.970879999999994</v>
      </c>
      <c r="K386" s="3">
        <f t="shared" si="68"/>
        <v>98.078459999999993</v>
      </c>
      <c r="L386" s="1">
        <f t="shared" si="73"/>
        <v>2.7900292640479316E-2</v>
      </c>
      <c r="N386" s="4">
        <v>225.01929000000001</v>
      </c>
      <c r="O386" s="1">
        <v>190</v>
      </c>
      <c r="P386" s="3">
        <v>100.59777</v>
      </c>
      <c r="Q386" s="3">
        <f t="shared" si="69"/>
        <v>100.73335</v>
      </c>
      <c r="R386" s="1">
        <f t="shared" si="75"/>
        <v>3.3359183549848529E-3</v>
      </c>
      <c r="T386" s="4">
        <v>250.00395</v>
      </c>
      <c r="U386" s="1">
        <v>190</v>
      </c>
      <c r="V386" s="5">
        <v>91.770020000000002</v>
      </c>
      <c r="W386" s="3">
        <f t="shared" si="70"/>
        <v>95.927419999999998</v>
      </c>
      <c r="X386" s="1">
        <f t="shared" si="74"/>
        <v>5.6521862554662086E-2</v>
      </c>
      <c r="Z386" s="4">
        <v>250.01866000000001</v>
      </c>
      <c r="AA386" s="1">
        <v>190</v>
      </c>
      <c r="AB386" s="5">
        <v>99.155199999999994</v>
      </c>
      <c r="AC386" s="3">
        <f t="shared" si="71"/>
        <v>99.078459999999993</v>
      </c>
      <c r="AD386" s="1">
        <f t="shared" si="76"/>
        <v>2.3886335317984394E-2</v>
      </c>
    </row>
    <row r="387" spans="2:30" x14ac:dyDescent="0.2">
      <c r="B387" s="2">
        <v>200.01804999999999</v>
      </c>
      <c r="C387" s="1">
        <v>190.5</v>
      </c>
      <c r="D387" s="5">
        <v>99.996750000000006</v>
      </c>
      <c r="E387" s="3">
        <f t="shared" si="67"/>
        <v>100.71005000000001</v>
      </c>
      <c r="H387" s="4">
        <v>225.00799000000001</v>
      </c>
      <c r="I387" s="1">
        <v>190.5</v>
      </c>
      <c r="J387" s="5">
        <v>93.94444</v>
      </c>
      <c r="K387" s="3">
        <f t="shared" si="68"/>
        <v>98.052019999999999</v>
      </c>
      <c r="L387" s="1">
        <f t="shared" si="73"/>
        <v>2.8218665969128844E-2</v>
      </c>
      <c r="N387" s="4">
        <v>225.02282</v>
      </c>
      <c r="O387" s="1">
        <v>190.5</v>
      </c>
      <c r="P387" s="5">
        <v>100.61569</v>
      </c>
      <c r="Q387" s="3">
        <f t="shared" si="69"/>
        <v>100.75127000000001</v>
      </c>
      <c r="R387" s="1">
        <f t="shared" si="75"/>
        <v>3.1214544928863342E-3</v>
      </c>
      <c r="T387" s="4">
        <v>250.00398999999999</v>
      </c>
      <c r="U387" s="1">
        <v>190.5</v>
      </c>
      <c r="V387" s="3">
        <v>91.738140000000001</v>
      </c>
      <c r="W387" s="3">
        <f t="shared" si="70"/>
        <v>95.895539999999997</v>
      </c>
      <c r="X387" s="1">
        <f t="shared" si="74"/>
        <v>5.6904836837294547E-2</v>
      </c>
      <c r="Z387" s="4">
        <v>250.01797999999999</v>
      </c>
      <c r="AA387" s="1">
        <v>190.5</v>
      </c>
      <c r="AB387" s="3">
        <v>99.215339999999998</v>
      </c>
      <c r="AC387" s="3">
        <f t="shared" si="71"/>
        <v>99.138599999999997</v>
      </c>
      <c r="AD387" s="1">
        <f t="shared" si="76"/>
        <v>2.3167041027665952E-2</v>
      </c>
    </row>
    <row r="388" spans="2:30" x14ac:dyDescent="0.2">
      <c r="B388" s="2">
        <v>200.01875999999999</v>
      </c>
      <c r="C388" s="1">
        <v>191</v>
      </c>
      <c r="D388" s="3">
        <v>100.0159</v>
      </c>
      <c r="E388" s="3">
        <f t="shared" si="67"/>
        <v>100.72920000000001</v>
      </c>
      <c r="H388" s="4">
        <v>225.00693000000001</v>
      </c>
      <c r="I388" s="1">
        <v>191</v>
      </c>
      <c r="J388" s="3">
        <v>93.950599999999994</v>
      </c>
      <c r="K388" s="3">
        <f t="shared" si="68"/>
        <v>98.058179999999993</v>
      </c>
      <c r="L388" s="1">
        <f t="shared" si="73"/>
        <v>2.814449124505624E-2</v>
      </c>
      <c r="N388" s="4">
        <v>225.02448000000001</v>
      </c>
      <c r="O388" s="1">
        <v>191</v>
      </c>
      <c r="P388" s="3">
        <v>100.52684000000001</v>
      </c>
      <c r="Q388" s="3">
        <f t="shared" si="69"/>
        <v>100.66242000000001</v>
      </c>
      <c r="R388" s="1">
        <f t="shared" si="75"/>
        <v>4.1847979162930359E-3</v>
      </c>
      <c r="T388" s="4">
        <v>250.00299000000001</v>
      </c>
      <c r="U388" s="1">
        <v>191</v>
      </c>
      <c r="V388" s="5">
        <v>91.730170000000001</v>
      </c>
      <c r="W388" s="3">
        <f t="shared" si="70"/>
        <v>95.887569999999997</v>
      </c>
      <c r="X388" s="1">
        <f t="shared" si="74"/>
        <v>5.700058040795266E-2</v>
      </c>
      <c r="Z388" s="4">
        <v>250.01805999999999</v>
      </c>
      <c r="AA388" s="1">
        <v>191</v>
      </c>
      <c r="AB388" s="5">
        <v>99.107650000000007</v>
      </c>
      <c r="AC388" s="3">
        <f t="shared" si="71"/>
        <v>99.030910000000006</v>
      </c>
      <c r="AD388" s="1">
        <f t="shared" si="76"/>
        <v>2.4455049044366673E-2</v>
      </c>
    </row>
    <row r="389" spans="2:30" x14ac:dyDescent="0.2">
      <c r="B389" s="2">
        <v>200.01633000000001</v>
      </c>
      <c r="C389" s="1">
        <v>191.5</v>
      </c>
      <c r="D389" s="5">
        <v>100.12593</v>
      </c>
      <c r="E389" s="3">
        <f t="shared" si="67"/>
        <v>100.83923</v>
      </c>
      <c r="H389" s="4">
        <v>225.00399999999999</v>
      </c>
      <c r="I389" s="1">
        <v>191.5</v>
      </c>
      <c r="J389" s="5">
        <v>93.912639999999996</v>
      </c>
      <c r="K389" s="3">
        <f t="shared" si="68"/>
        <v>98.020219999999995</v>
      </c>
      <c r="L389" s="1">
        <f t="shared" si="73"/>
        <v>2.860158094080277E-2</v>
      </c>
      <c r="N389" s="4">
        <v>225.02409</v>
      </c>
      <c r="O389" s="1">
        <v>191.5</v>
      </c>
      <c r="P389" s="5">
        <v>100.54742</v>
      </c>
      <c r="Q389" s="3">
        <f t="shared" si="69"/>
        <v>100.68300000000001</v>
      </c>
      <c r="R389" s="1">
        <f t="shared" si="75"/>
        <v>3.9384995746643741E-3</v>
      </c>
      <c r="T389" s="4">
        <v>250.00304</v>
      </c>
      <c r="U389" s="1">
        <v>191.5</v>
      </c>
      <c r="V389" s="3">
        <v>91.705820000000003</v>
      </c>
      <c r="W389" s="3">
        <f t="shared" si="70"/>
        <v>95.863219999999998</v>
      </c>
      <c r="X389" s="1">
        <f t="shared" si="74"/>
        <v>5.7293096837755027E-2</v>
      </c>
      <c r="Z389" s="4">
        <v>250.01765</v>
      </c>
      <c r="AA389" s="1">
        <v>191.5</v>
      </c>
      <c r="AB389" s="3">
        <v>99.186639999999997</v>
      </c>
      <c r="AC389" s="3">
        <f t="shared" si="71"/>
        <v>99.109899999999996</v>
      </c>
      <c r="AD389" s="1">
        <f t="shared" si="76"/>
        <v>2.3510302519720132E-2</v>
      </c>
    </row>
    <row r="390" spans="2:30" x14ac:dyDescent="0.2">
      <c r="B390" s="2">
        <v>200.01722000000001</v>
      </c>
      <c r="C390" s="1">
        <v>192</v>
      </c>
      <c r="D390" s="3">
        <v>100.1704</v>
      </c>
      <c r="E390" s="3">
        <f t="shared" si="67"/>
        <v>100.8837</v>
      </c>
      <c r="H390" s="4">
        <v>225.00592</v>
      </c>
      <c r="I390" s="1">
        <v>192</v>
      </c>
      <c r="J390" s="3">
        <v>93.89828</v>
      </c>
      <c r="K390" s="3">
        <f t="shared" si="68"/>
        <v>98.005859999999998</v>
      </c>
      <c r="L390" s="1">
        <f t="shared" si="73"/>
        <v>2.8774494745621496E-2</v>
      </c>
      <c r="N390" s="4">
        <v>225.02439000000001</v>
      </c>
      <c r="O390" s="1">
        <v>192</v>
      </c>
      <c r="P390" s="3">
        <v>100.47524</v>
      </c>
      <c r="Q390" s="3">
        <f t="shared" si="69"/>
        <v>100.61082</v>
      </c>
      <c r="R390" s="1">
        <f t="shared" si="75"/>
        <v>4.8023389477820375E-3</v>
      </c>
      <c r="T390" s="4">
        <v>250.00306</v>
      </c>
      <c r="U390" s="1">
        <v>192</v>
      </c>
      <c r="V390" s="5">
        <v>91.703900000000004</v>
      </c>
      <c r="W390" s="3">
        <f t="shared" si="70"/>
        <v>95.8613</v>
      </c>
      <c r="X390" s="1">
        <f t="shared" si="74"/>
        <v>5.7316161788277413E-2</v>
      </c>
      <c r="Z390" s="4">
        <v>250.01907</v>
      </c>
      <c r="AA390" s="1">
        <v>192</v>
      </c>
      <c r="AB390" s="5">
        <v>99.136089999999996</v>
      </c>
      <c r="AC390" s="3">
        <f t="shared" si="71"/>
        <v>99.059349999999995</v>
      </c>
      <c r="AD390" s="1">
        <f t="shared" si="76"/>
        <v>2.4114897238303366E-2</v>
      </c>
    </row>
    <row r="391" spans="2:30" x14ac:dyDescent="0.2">
      <c r="B391" s="2">
        <v>200.01862</v>
      </c>
      <c r="C391" s="1">
        <v>192.5</v>
      </c>
      <c r="D391" s="5">
        <v>99.979339999999993</v>
      </c>
      <c r="E391" s="3">
        <f t="shared" ref="E391:E454" si="77">100-($D$6-D391)</f>
        <v>100.69264</v>
      </c>
      <c r="H391" s="4">
        <v>225.00505000000001</v>
      </c>
      <c r="I391" s="1">
        <v>192.5</v>
      </c>
      <c r="J391" s="5">
        <v>93.892489999999995</v>
      </c>
      <c r="K391" s="3">
        <f t="shared" ref="K391:K454" si="78">100-($J$6-J391)</f>
        <v>98.000069999999994</v>
      </c>
      <c r="L391" s="1">
        <f t="shared" si="73"/>
        <v>2.884421416970934E-2</v>
      </c>
      <c r="N391" s="4">
        <v>225.02662000000001</v>
      </c>
      <c r="O391" s="1">
        <v>192.5</v>
      </c>
      <c r="P391" s="5">
        <v>100.52684000000001</v>
      </c>
      <c r="Q391" s="3">
        <f t="shared" ref="Q391:Q454" si="79">100-($P$6-P391)</f>
        <v>100.66242000000001</v>
      </c>
      <c r="R391" s="1">
        <f t="shared" si="75"/>
        <v>4.1847979162930359E-3</v>
      </c>
      <c r="T391" s="4">
        <v>250.00899999999999</v>
      </c>
      <c r="U391" s="1">
        <v>192.5</v>
      </c>
      <c r="V391" s="3">
        <v>91.687830000000005</v>
      </c>
      <c r="W391" s="3">
        <f t="shared" ref="W391:W454" si="80">100-($V$6-V391)</f>
        <v>95.845230000000001</v>
      </c>
      <c r="X391" s="1">
        <f t="shared" si="74"/>
        <v>5.7509210618951916E-2</v>
      </c>
      <c r="Z391" s="4">
        <v>250.02180999999999</v>
      </c>
      <c r="AA391" s="1">
        <v>192.5</v>
      </c>
      <c r="AB391" s="3">
        <v>99.090869999999995</v>
      </c>
      <c r="AC391" s="3">
        <f t="shared" ref="AC391:AC454" si="81">100-($AB$6-AB391)</f>
        <v>99.014129999999994</v>
      </c>
      <c r="AD391" s="1">
        <f t="shared" si="76"/>
        <v>2.4655743394076529E-2</v>
      </c>
    </row>
    <row r="392" spans="2:30" x14ac:dyDescent="0.2">
      <c r="B392" s="2">
        <v>200.01623000000001</v>
      </c>
      <c r="C392" s="1">
        <v>193</v>
      </c>
      <c r="D392" s="3">
        <v>99.951490000000007</v>
      </c>
      <c r="E392" s="3">
        <f t="shared" si="77"/>
        <v>100.66479000000001</v>
      </c>
      <c r="H392" s="4">
        <v>225.00704999999999</v>
      </c>
      <c r="I392" s="1">
        <v>193</v>
      </c>
      <c r="J392" s="3">
        <v>93.886529999999993</v>
      </c>
      <c r="K392" s="3">
        <f t="shared" si="78"/>
        <v>97.994109999999992</v>
      </c>
      <c r="L392" s="1">
        <f t="shared" si="73"/>
        <v>2.8915980623519938E-2</v>
      </c>
      <c r="N392" s="4">
        <v>225.02154999999999</v>
      </c>
      <c r="O392" s="1">
        <v>193</v>
      </c>
      <c r="P392" s="3">
        <v>100.63001</v>
      </c>
      <c r="Q392" s="3">
        <f t="shared" si="79"/>
        <v>100.76559</v>
      </c>
      <c r="R392" s="1">
        <f t="shared" si="75"/>
        <v>2.950074888798739E-3</v>
      </c>
      <c r="T392" s="4">
        <v>250.00899999999999</v>
      </c>
      <c r="U392" s="1">
        <v>193</v>
      </c>
      <c r="V392" s="5">
        <v>91.661879999999996</v>
      </c>
      <c r="W392" s="3">
        <f t="shared" si="80"/>
        <v>95.819279999999992</v>
      </c>
      <c r="X392" s="1">
        <f t="shared" si="74"/>
        <v>5.7820947840856417E-2</v>
      </c>
      <c r="Z392" s="4">
        <v>250.01875000000001</v>
      </c>
      <c r="AA392" s="1">
        <v>193</v>
      </c>
      <c r="AB392" s="5">
        <v>99.074089999999998</v>
      </c>
      <c r="AC392" s="3">
        <f t="shared" si="81"/>
        <v>98.997349999999997</v>
      </c>
      <c r="AD392" s="1">
        <f t="shared" si="76"/>
        <v>2.4856437743786215E-2</v>
      </c>
    </row>
    <row r="393" spans="2:30" x14ac:dyDescent="0.2">
      <c r="B393" s="2">
        <v>200.01561000000001</v>
      </c>
      <c r="C393" s="1">
        <v>193.5</v>
      </c>
      <c r="D393" s="5">
        <v>100.06322</v>
      </c>
      <c r="E393" s="3">
        <f t="shared" si="77"/>
        <v>100.77652</v>
      </c>
      <c r="H393" s="4">
        <v>225.01004</v>
      </c>
      <c r="I393" s="1">
        <v>193.5</v>
      </c>
      <c r="J393" s="5">
        <v>93.855459999999994</v>
      </c>
      <c r="K393" s="3">
        <f t="shared" si="78"/>
        <v>97.963039999999992</v>
      </c>
      <c r="L393" s="1">
        <f t="shared" si="73"/>
        <v>2.9290105408737149E-2</v>
      </c>
      <c r="N393" s="4">
        <v>225.01396</v>
      </c>
      <c r="O393" s="1">
        <v>193.5</v>
      </c>
      <c r="P393" s="5">
        <v>100.62236</v>
      </c>
      <c r="Q393" s="3">
        <f t="shared" si="79"/>
        <v>100.75794</v>
      </c>
      <c r="R393" s="1">
        <f t="shared" si="75"/>
        <v>3.0416289370717824E-3</v>
      </c>
      <c r="T393" s="4">
        <v>250.00904</v>
      </c>
      <c r="U393" s="1">
        <v>193.5</v>
      </c>
      <c r="V393" s="3">
        <v>91.666020000000003</v>
      </c>
      <c r="W393" s="3">
        <f t="shared" si="80"/>
        <v>95.823419999999999</v>
      </c>
      <c r="X393" s="1">
        <f t="shared" si="74"/>
        <v>5.7771214041292394E-2</v>
      </c>
      <c r="Z393" s="4">
        <v>250.01858999999999</v>
      </c>
      <c r="AA393" s="1">
        <v>193.5</v>
      </c>
      <c r="AB393" s="3">
        <v>99.129679999999993</v>
      </c>
      <c r="AC393" s="3">
        <f t="shared" si="81"/>
        <v>99.052939999999992</v>
      </c>
      <c r="AD393" s="1">
        <f t="shared" si="76"/>
        <v>2.4191562958305737E-2</v>
      </c>
    </row>
    <row r="394" spans="2:30" x14ac:dyDescent="0.2">
      <c r="B394" s="2">
        <v>200.01580000000001</v>
      </c>
      <c r="C394" s="1">
        <v>194</v>
      </c>
      <c r="D394" s="3">
        <v>100.00467</v>
      </c>
      <c r="E394" s="3">
        <f t="shared" si="77"/>
        <v>100.71797000000001</v>
      </c>
      <c r="H394" s="4">
        <v>225.00592</v>
      </c>
      <c r="I394" s="1">
        <v>194</v>
      </c>
      <c r="J394" s="3">
        <v>93.867239999999995</v>
      </c>
      <c r="K394" s="3">
        <f t="shared" si="78"/>
        <v>97.974819999999994</v>
      </c>
      <c r="L394" s="1">
        <f t="shared" si="73"/>
        <v>2.9148258290299447E-2</v>
      </c>
      <c r="N394" s="4">
        <v>225.01093</v>
      </c>
      <c r="O394" s="1">
        <v>194</v>
      </c>
      <c r="P394" s="3">
        <v>100.56789999999999</v>
      </c>
      <c r="Q394" s="3">
        <f t="shared" si="79"/>
        <v>100.70348</v>
      </c>
      <c r="R394" s="1">
        <f t="shared" si="75"/>
        <v>3.6933980179804987E-3</v>
      </c>
      <c r="T394" s="4">
        <v>250.00899999999999</v>
      </c>
      <c r="U394" s="1">
        <v>194</v>
      </c>
      <c r="V394" s="5">
        <v>91.677980000000005</v>
      </c>
      <c r="W394" s="3">
        <f t="shared" si="80"/>
        <v>95.835380000000001</v>
      </c>
      <c r="X394" s="1">
        <f t="shared" si="74"/>
        <v>5.7627538620329884E-2</v>
      </c>
      <c r="Z394" s="4">
        <v>250.01569000000001</v>
      </c>
      <c r="AA394" s="1">
        <v>194</v>
      </c>
      <c r="AB394" s="5">
        <v>99.185069999999996</v>
      </c>
      <c r="AC394" s="3">
        <f t="shared" si="81"/>
        <v>99.108329999999995</v>
      </c>
      <c r="AD394" s="1">
        <f t="shared" si="76"/>
        <v>2.3529080238971888E-2</v>
      </c>
    </row>
    <row r="395" spans="2:30" x14ac:dyDescent="0.2">
      <c r="B395" s="2">
        <v>200.01669000000001</v>
      </c>
      <c r="C395" s="1">
        <v>194.5</v>
      </c>
      <c r="D395" s="5">
        <v>100.15555999999999</v>
      </c>
      <c r="E395" s="3">
        <f t="shared" si="77"/>
        <v>100.86886</v>
      </c>
      <c r="H395" s="4">
        <v>225.00498999999999</v>
      </c>
      <c r="I395" s="1">
        <v>194.5</v>
      </c>
      <c r="J395" s="5">
        <v>93.860709999999997</v>
      </c>
      <c r="K395" s="3">
        <f t="shared" si="78"/>
        <v>97.968289999999996</v>
      </c>
      <c r="L395" s="1">
        <f t="shared" si="73"/>
        <v>2.9226888314356981E-2</v>
      </c>
      <c r="N395" s="4">
        <v>225.00917000000001</v>
      </c>
      <c r="O395" s="1">
        <v>194.5</v>
      </c>
      <c r="P395" s="5">
        <v>100.43797000000001</v>
      </c>
      <c r="Q395" s="3">
        <f t="shared" si="79"/>
        <v>100.57355000000001</v>
      </c>
      <c r="R395" s="1">
        <f t="shared" si="75"/>
        <v>5.2483806966887626E-3</v>
      </c>
      <c r="T395" s="4">
        <v>250.00799000000001</v>
      </c>
      <c r="U395" s="1">
        <v>194.5</v>
      </c>
      <c r="V395" s="3">
        <v>91.658060000000006</v>
      </c>
      <c r="W395" s="3">
        <f t="shared" si="80"/>
        <v>95.815460000000002</v>
      </c>
      <c r="X395" s="1">
        <f t="shared" si="74"/>
        <v>5.7866837481999833E-2</v>
      </c>
      <c r="Z395" s="4">
        <v>250.01570000000001</v>
      </c>
      <c r="AA395" s="1">
        <v>194.5</v>
      </c>
      <c r="AB395" s="3">
        <v>99.07208</v>
      </c>
      <c r="AC395" s="3">
        <f t="shared" si="81"/>
        <v>98.995339999999999</v>
      </c>
      <c r="AD395" s="1">
        <f t="shared" si="76"/>
        <v>2.4880478008560723E-2</v>
      </c>
    </row>
    <row r="396" spans="2:30" x14ac:dyDescent="0.2">
      <c r="B396" s="2">
        <v>200.01730000000001</v>
      </c>
      <c r="C396" s="1">
        <v>195</v>
      </c>
      <c r="D396" s="3">
        <v>100.12564999999999</v>
      </c>
      <c r="E396" s="3">
        <f t="shared" si="77"/>
        <v>100.83895</v>
      </c>
      <c r="H396" s="4">
        <v>225.00609</v>
      </c>
      <c r="I396" s="1">
        <v>195</v>
      </c>
      <c r="J396" s="3">
        <v>93.866050000000001</v>
      </c>
      <c r="K396" s="3">
        <f t="shared" si="78"/>
        <v>97.97363</v>
      </c>
      <c r="L396" s="1">
        <f t="shared" si="73"/>
        <v>2.9162587498358868E-2</v>
      </c>
      <c r="N396" s="4">
        <v>225.01169999999999</v>
      </c>
      <c r="O396" s="1">
        <v>195</v>
      </c>
      <c r="P396" s="3">
        <v>100.50995</v>
      </c>
      <c r="Q396" s="3">
        <f t="shared" si="79"/>
        <v>100.64553000000001</v>
      </c>
      <c r="R396" s="1">
        <f t="shared" si="75"/>
        <v>4.3869348934606704E-3</v>
      </c>
      <c r="T396" s="4">
        <v>250.00497999999999</v>
      </c>
      <c r="U396" s="1">
        <v>195</v>
      </c>
      <c r="V396" s="5">
        <v>91.641909999999996</v>
      </c>
      <c r="W396" s="3">
        <f t="shared" si="80"/>
        <v>95.799309999999991</v>
      </c>
      <c r="X396" s="1">
        <f t="shared" si="74"/>
        <v>5.8060847352279572E-2</v>
      </c>
      <c r="Z396" s="4">
        <v>250.01517999999999</v>
      </c>
      <c r="AA396" s="1">
        <v>195</v>
      </c>
      <c r="AB396" s="5">
        <v>99.115359999999995</v>
      </c>
      <c r="AC396" s="3">
        <f t="shared" si="81"/>
        <v>99.038619999999995</v>
      </c>
      <c r="AD396" s="1">
        <f t="shared" si="76"/>
        <v>2.4362834894410792E-2</v>
      </c>
    </row>
    <row r="397" spans="2:30" x14ac:dyDescent="0.2">
      <c r="B397" s="2">
        <v>200.01589000000001</v>
      </c>
      <c r="C397" s="1">
        <v>195.5</v>
      </c>
      <c r="D397" s="5">
        <v>100.06994</v>
      </c>
      <c r="E397" s="3">
        <f t="shared" si="77"/>
        <v>100.78324000000001</v>
      </c>
      <c r="H397" s="4">
        <v>225.00818000000001</v>
      </c>
      <c r="I397" s="1">
        <v>195.5</v>
      </c>
      <c r="J397" s="5">
        <v>93.853089999999995</v>
      </c>
      <c r="K397" s="3">
        <f t="shared" si="78"/>
        <v>97.960669999999993</v>
      </c>
      <c r="L397" s="1">
        <f t="shared" si="73"/>
        <v>2.9318643411343021E-2</v>
      </c>
      <c r="N397" s="4">
        <v>225.01206999999999</v>
      </c>
      <c r="O397" s="1">
        <v>195.5</v>
      </c>
      <c r="P397" s="5">
        <v>100.52799</v>
      </c>
      <c r="Q397" s="3">
        <f t="shared" si="79"/>
        <v>100.66357000000001</v>
      </c>
      <c r="R397" s="1">
        <f t="shared" si="75"/>
        <v>4.1710348894285106E-3</v>
      </c>
      <c r="T397" s="4">
        <v>250.00398999999999</v>
      </c>
      <c r="U397" s="1">
        <v>195.5</v>
      </c>
      <c r="V397" s="3">
        <v>91.622050000000002</v>
      </c>
      <c r="W397" s="3">
        <f t="shared" si="80"/>
        <v>95.779449999999997</v>
      </c>
      <c r="X397" s="1">
        <f t="shared" si="74"/>
        <v>5.8299425434245641E-2</v>
      </c>
      <c r="Z397" s="4">
        <v>250.01652000000001</v>
      </c>
      <c r="AA397" s="1">
        <v>195.5</v>
      </c>
      <c r="AB397" s="3">
        <v>99.142560000000003</v>
      </c>
      <c r="AC397" s="3">
        <f t="shared" si="81"/>
        <v>99.065820000000002</v>
      </c>
      <c r="AD397" s="1">
        <f t="shared" si="76"/>
        <v>2.403751389845692E-2</v>
      </c>
    </row>
    <row r="398" spans="2:30" x14ac:dyDescent="0.2">
      <c r="B398" s="2">
        <v>200.01738</v>
      </c>
      <c r="C398" s="1">
        <v>196</v>
      </c>
      <c r="D398" s="3">
        <v>100.14282</v>
      </c>
      <c r="E398" s="3">
        <f t="shared" si="77"/>
        <v>100.85612</v>
      </c>
      <c r="H398" s="4">
        <v>225.006</v>
      </c>
      <c r="I398" s="1">
        <v>196</v>
      </c>
      <c r="J398" s="3">
        <v>93.859899999999996</v>
      </c>
      <c r="K398" s="3">
        <f t="shared" si="78"/>
        <v>97.967479999999995</v>
      </c>
      <c r="L398" s="1">
        <f t="shared" si="73"/>
        <v>2.9236641808918502E-2</v>
      </c>
      <c r="N398" s="4">
        <v>225.01164</v>
      </c>
      <c r="O398" s="1">
        <v>196</v>
      </c>
      <c r="P398" s="3">
        <v>100.58768999999999</v>
      </c>
      <c r="Q398" s="3">
        <f t="shared" si="79"/>
        <v>100.72327</v>
      </c>
      <c r="R398" s="1">
        <f t="shared" si="75"/>
        <v>3.4565542774152697E-3</v>
      </c>
      <c r="T398" s="4">
        <v>250.00604000000001</v>
      </c>
      <c r="U398" s="1">
        <v>196</v>
      </c>
      <c r="V398" s="5">
        <v>91.595860000000002</v>
      </c>
      <c r="W398" s="3">
        <f t="shared" si="80"/>
        <v>95.753259999999997</v>
      </c>
      <c r="X398" s="1">
        <f t="shared" si="74"/>
        <v>5.8614045774965332E-2</v>
      </c>
      <c r="Z398" s="4">
        <v>250.01705999999999</v>
      </c>
      <c r="AA398" s="1">
        <v>196</v>
      </c>
      <c r="AB398" s="5">
        <v>99.110929999999996</v>
      </c>
      <c r="AC398" s="3">
        <f t="shared" si="81"/>
        <v>99.034189999999995</v>
      </c>
      <c r="AD398" s="1">
        <f t="shared" si="76"/>
        <v>2.4415819159560606E-2</v>
      </c>
    </row>
    <row r="399" spans="2:30" x14ac:dyDescent="0.2">
      <c r="B399" s="2">
        <v>200.01881</v>
      </c>
      <c r="C399" s="1">
        <v>196.5</v>
      </c>
      <c r="D399" s="5">
        <v>100.09717999999999</v>
      </c>
      <c r="E399" s="3">
        <f t="shared" si="77"/>
        <v>100.81048</v>
      </c>
      <c r="H399" s="4">
        <v>225.00497999999999</v>
      </c>
      <c r="I399" s="1">
        <v>196.5</v>
      </c>
      <c r="J399" s="5">
        <v>93.834670000000003</v>
      </c>
      <c r="K399" s="3">
        <f t="shared" si="78"/>
        <v>97.942250000000001</v>
      </c>
      <c r="L399" s="1">
        <f t="shared" si="73"/>
        <v>2.954044510248232E-2</v>
      </c>
      <c r="N399" s="4">
        <v>225.01205999999999</v>
      </c>
      <c r="O399" s="1">
        <v>196.5</v>
      </c>
      <c r="P399" s="5">
        <v>100.60126</v>
      </c>
      <c r="Q399" s="3">
        <f t="shared" si="79"/>
        <v>100.73684</v>
      </c>
      <c r="R399" s="1">
        <f t="shared" si="75"/>
        <v>3.2941505604132271E-3</v>
      </c>
      <c r="T399" s="4">
        <v>250.00597999999999</v>
      </c>
      <c r="U399" s="1">
        <v>196.5</v>
      </c>
      <c r="V399" s="3">
        <v>91.603740000000002</v>
      </c>
      <c r="W399" s="3">
        <f t="shared" si="80"/>
        <v>95.761139999999997</v>
      </c>
      <c r="X399" s="1">
        <f t="shared" si="74"/>
        <v>5.8519383373862956E-2</v>
      </c>
      <c r="Z399" s="4">
        <v>250.01598999999999</v>
      </c>
      <c r="AA399" s="1">
        <v>196.5</v>
      </c>
      <c r="AB399" s="3">
        <v>99.097980000000007</v>
      </c>
      <c r="AC399" s="3">
        <f t="shared" si="81"/>
        <v>99.021240000000006</v>
      </c>
      <c r="AD399" s="1">
        <f t="shared" si="76"/>
        <v>2.4570705442560532E-2</v>
      </c>
    </row>
    <row r="400" spans="2:30" x14ac:dyDescent="0.2">
      <c r="B400" s="2">
        <v>200.01848000000001</v>
      </c>
      <c r="C400" s="1">
        <v>197</v>
      </c>
      <c r="D400" s="3">
        <v>100.15343</v>
      </c>
      <c r="E400" s="3">
        <f t="shared" si="77"/>
        <v>100.86673</v>
      </c>
      <c r="H400" s="4">
        <v>225.00793999999999</v>
      </c>
      <c r="I400" s="1">
        <v>197</v>
      </c>
      <c r="J400" s="3">
        <v>93.824079999999995</v>
      </c>
      <c r="K400" s="3">
        <f t="shared" si="78"/>
        <v>97.931659999999994</v>
      </c>
      <c r="L400" s="1">
        <f t="shared" si="73"/>
        <v>2.96679630128606E-2</v>
      </c>
      <c r="N400" s="4">
        <v>225.01141999999999</v>
      </c>
      <c r="O400" s="1">
        <v>197</v>
      </c>
      <c r="P400" s="3">
        <v>100.58068</v>
      </c>
      <c r="Q400" s="3">
        <f t="shared" si="79"/>
        <v>100.71626000000001</v>
      </c>
      <c r="R400" s="1">
        <f t="shared" si="75"/>
        <v>3.5404489020418885E-3</v>
      </c>
      <c r="T400" s="4">
        <v>250.00702999999999</v>
      </c>
      <c r="U400" s="1">
        <v>197</v>
      </c>
      <c r="V400" s="5">
        <v>91.579650000000001</v>
      </c>
      <c r="W400" s="3">
        <f t="shared" si="80"/>
        <v>95.737049999999996</v>
      </c>
      <c r="X400" s="1">
        <f t="shared" si="74"/>
        <v>5.8808776424948778E-2</v>
      </c>
      <c r="Z400" s="4">
        <v>250.01577</v>
      </c>
      <c r="AA400" s="1">
        <v>197</v>
      </c>
      <c r="AB400" s="5">
        <v>98.988799999999998</v>
      </c>
      <c r="AC400" s="3">
        <f t="shared" si="81"/>
        <v>98.912059999999997</v>
      </c>
      <c r="AD400" s="1">
        <f t="shared" si="76"/>
        <v>2.5876534352054524E-2</v>
      </c>
    </row>
    <row r="401" spans="2:30" x14ac:dyDescent="0.2">
      <c r="B401" s="2">
        <v>200.01840000000001</v>
      </c>
      <c r="C401" s="1">
        <v>197.5</v>
      </c>
      <c r="D401" s="5">
        <v>100.04823</v>
      </c>
      <c r="E401" s="3">
        <f t="shared" si="77"/>
        <v>100.76153000000001</v>
      </c>
      <c r="H401" s="4">
        <v>225.00922</v>
      </c>
      <c r="I401" s="1">
        <v>197.5</v>
      </c>
      <c r="J401" s="5">
        <v>93.820589999999996</v>
      </c>
      <c r="K401" s="3">
        <f t="shared" si="78"/>
        <v>97.928169999999994</v>
      </c>
      <c r="L401" s="1">
        <f t="shared" si="73"/>
        <v>2.9709987328934234E-2</v>
      </c>
      <c r="N401" s="4">
        <v>225.01348999999999</v>
      </c>
      <c r="O401" s="1">
        <v>197.5</v>
      </c>
      <c r="P401" s="5">
        <v>100.48654000000001</v>
      </c>
      <c r="Q401" s="3">
        <f t="shared" si="79"/>
        <v>100.62212000000001</v>
      </c>
      <c r="R401" s="1">
        <f t="shared" si="75"/>
        <v>4.6671022490256779E-3</v>
      </c>
      <c r="T401" s="4">
        <v>250.00602000000001</v>
      </c>
      <c r="U401" s="1">
        <v>197.5</v>
      </c>
      <c r="V401" s="3">
        <v>91.56962</v>
      </c>
      <c r="W401" s="3">
        <f t="shared" si="80"/>
        <v>95.727019999999996</v>
      </c>
      <c r="X401" s="1">
        <f t="shared" si="74"/>
        <v>5.8929266765438228E-2</v>
      </c>
      <c r="Z401" s="4">
        <v>250.01849000000001</v>
      </c>
      <c r="AA401" s="1">
        <v>197.5</v>
      </c>
      <c r="AB401" s="3">
        <v>99.017859999999999</v>
      </c>
      <c r="AC401" s="3">
        <f t="shared" si="81"/>
        <v>98.941119999999998</v>
      </c>
      <c r="AD401" s="1">
        <f t="shared" si="76"/>
        <v>2.5528967140936245E-2</v>
      </c>
    </row>
    <row r="402" spans="2:30" x14ac:dyDescent="0.2">
      <c r="B402" s="2">
        <v>200.02037000000001</v>
      </c>
      <c r="C402" s="1">
        <v>198</v>
      </c>
      <c r="D402" s="3">
        <v>100.05985</v>
      </c>
      <c r="E402" s="3">
        <f t="shared" si="77"/>
        <v>100.77315</v>
      </c>
      <c r="H402" s="4">
        <v>225.00706</v>
      </c>
      <c r="I402" s="1">
        <v>198</v>
      </c>
      <c r="J402" s="3">
        <v>93.803169999999994</v>
      </c>
      <c r="K402" s="3">
        <f t="shared" si="78"/>
        <v>97.910749999999993</v>
      </c>
      <c r="L402" s="1">
        <f t="shared" si="73"/>
        <v>2.9919747668763146E-2</v>
      </c>
      <c r="N402" s="4">
        <v>225.0162</v>
      </c>
      <c r="O402" s="1">
        <v>198</v>
      </c>
      <c r="P402" s="3">
        <v>100.58058</v>
      </c>
      <c r="Q402" s="3">
        <f t="shared" si="79"/>
        <v>100.71616</v>
      </c>
      <c r="R402" s="1">
        <f t="shared" si="75"/>
        <v>3.5416456869866745E-3</v>
      </c>
      <c r="T402" s="4">
        <v>250.00504000000001</v>
      </c>
      <c r="U402" s="1">
        <v>198</v>
      </c>
      <c r="V402" s="5">
        <v>91.555629999999994</v>
      </c>
      <c r="W402" s="3">
        <f t="shared" si="80"/>
        <v>95.713029999999989</v>
      </c>
      <c r="X402" s="1">
        <f t="shared" si="74"/>
        <v>5.9097328566380211E-2</v>
      </c>
      <c r="Z402" s="4">
        <v>250.01580999999999</v>
      </c>
      <c r="AA402" s="1">
        <v>198</v>
      </c>
      <c r="AB402" s="5">
        <v>99.132630000000006</v>
      </c>
      <c r="AC402" s="3">
        <f t="shared" si="81"/>
        <v>99.055890000000005</v>
      </c>
      <c r="AD402" s="1">
        <f t="shared" si="76"/>
        <v>2.4156279982641481E-2</v>
      </c>
    </row>
    <row r="403" spans="2:30" x14ac:dyDescent="0.2">
      <c r="B403" s="2">
        <v>200.01947000000001</v>
      </c>
      <c r="C403" s="1">
        <v>198.5</v>
      </c>
      <c r="D403" s="5">
        <v>100.15436</v>
      </c>
      <c r="E403" s="3">
        <f t="shared" si="77"/>
        <v>100.86766</v>
      </c>
      <c r="H403" s="4">
        <v>225.00597999999999</v>
      </c>
      <c r="I403" s="1">
        <v>198.5</v>
      </c>
      <c r="J403" s="5">
        <v>93.767679999999999</v>
      </c>
      <c r="K403" s="3">
        <f t="shared" si="78"/>
        <v>97.875259999999997</v>
      </c>
      <c r="L403" s="1">
        <f t="shared" si="73"/>
        <v>3.0347095226772716E-2</v>
      </c>
      <c r="N403" s="4">
        <v>225.01652000000001</v>
      </c>
      <c r="O403" s="1">
        <v>198.5</v>
      </c>
      <c r="P403" s="5">
        <v>100.59695000000001</v>
      </c>
      <c r="Q403" s="3">
        <f t="shared" si="79"/>
        <v>100.73253000000001</v>
      </c>
      <c r="R403" s="1">
        <f t="shared" si="75"/>
        <v>3.3457319915316534E-3</v>
      </c>
      <c r="T403" s="4">
        <v>250.006</v>
      </c>
      <c r="U403" s="1">
        <v>198.5</v>
      </c>
      <c r="V403" s="3">
        <v>91.54759</v>
      </c>
      <c r="W403" s="3">
        <f t="shared" si="80"/>
        <v>95.704989999999995</v>
      </c>
      <c r="X403" s="1">
        <f t="shared" si="74"/>
        <v>5.9193913046692713E-2</v>
      </c>
      <c r="Z403" s="4">
        <v>250.01132000000001</v>
      </c>
      <c r="AA403" s="1">
        <v>198.5</v>
      </c>
      <c r="AB403" s="3">
        <v>99.092749999999995</v>
      </c>
      <c r="AC403" s="3">
        <f t="shared" si="81"/>
        <v>99.016009999999994</v>
      </c>
      <c r="AD403" s="1">
        <f t="shared" si="76"/>
        <v>2.4633257972297373E-2</v>
      </c>
    </row>
    <row r="404" spans="2:30" x14ac:dyDescent="0.2">
      <c r="B404" s="2">
        <v>200.01593</v>
      </c>
      <c r="C404" s="1">
        <v>199</v>
      </c>
      <c r="D404" s="3">
        <v>100.03921</v>
      </c>
      <c r="E404" s="3">
        <f t="shared" si="77"/>
        <v>100.75251</v>
      </c>
      <c r="H404" s="4">
        <v>225.00497999999999</v>
      </c>
      <c r="I404" s="1">
        <v>199</v>
      </c>
      <c r="J404" s="3">
        <v>93.806910000000002</v>
      </c>
      <c r="K404" s="3">
        <f t="shared" si="78"/>
        <v>97.914490000000001</v>
      </c>
      <c r="L404" s="1">
        <f t="shared" si="73"/>
        <v>2.9874713014861786E-2</v>
      </c>
      <c r="N404" s="4">
        <v>225.01387</v>
      </c>
      <c r="O404" s="1">
        <v>199</v>
      </c>
      <c r="P404" s="3">
        <v>100.5894</v>
      </c>
      <c r="Q404" s="3">
        <f t="shared" si="79"/>
        <v>100.72498</v>
      </c>
      <c r="R404" s="1">
        <f t="shared" si="75"/>
        <v>3.4360892548600808E-3</v>
      </c>
      <c r="T404" s="4">
        <v>250.00503</v>
      </c>
      <c r="U404" s="1">
        <v>199</v>
      </c>
      <c r="V404" s="5">
        <v>91.527619999999999</v>
      </c>
      <c r="W404" s="3">
        <f t="shared" si="80"/>
        <v>95.685019999999994</v>
      </c>
      <c r="X404" s="1">
        <f t="shared" si="74"/>
        <v>5.9433812558115875E-2</v>
      </c>
      <c r="Z404" s="4">
        <v>250.01227</v>
      </c>
      <c r="AA404" s="1">
        <v>199</v>
      </c>
      <c r="AB404" s="5">
        <v>99.205939999999998</v>
      </c>
      <c r="AC404" s="3">
        <f t="shared" si="81"/>
        <v>99.129199999999997</v>
      </c>
      <c r="AD404" s="1">
        <f t="shared" si="76"/>
        <v>2.3279468136561739E-2</v>
      </c>
    </row>
    <row r="405" spans="2:30" x14ac:dyDescent="0.2">
      <c r="B405" s="2">
        <v>200.01338999999999</v>
      </c>
      <c r="C405" s="1">
        <v>199.5</v>
      </c>
      <c r="D405" s="5">
        <v>100.04521</v>
      </c>
      <c r="E405" s="3">
        <f t="shared" si="77"/>
        <v>100.75851</v>
      </c>
      <c r="H405" s="4">
        <v>225.00211999999999</v>
      </c>
      <c r="I405" s="1">
        <v>199.5</v>
      </c>
      <c r="J405" s="5">
        <v>93.783360000000002</v>
      </c>
      <c r="K405" s="3">
        <f t="shared" si="78"/>
        <v>97.890940000000001</v>
      </c>
      <c r="L405" s="1">
        <f t="shared" ref="L405:L468" si="82">($K$20-K405)/($K$20*(1-$M$1))</f>
        <v>3.0158286838224049E-2</v>
      </c>
      <c r="N405" s="4">
        <v>225.01151999999999</v>
      </c>
      <c r="O405" s="1">
        <v>199.5</v>
      </c>
      <c r="P405" s="5">
        <v>100.63793</v>
      </c>
      <c r="Q405" s="3">
        <f t="shared" si="79"/>
        <v>100.77351</v>
      </c>
      <c r="R405" s="1">
        <f t="shared" si="75"/>
        <v>2.8552895211748767E-3</v>
      </c>
      <c r="T405" s="4">
        <v>250.00400999999999</v>
      </c>
      <c r="U405" s="1">
        <v>199.5</v>
      </c>
      <c r="V405" s="3">
        <v>91.525450000000006</v>
      </c>
      <c r="W405" s="3">
        <f t="shared" si="80"/>
        <v>95.682850000000002</v>
      </c>
      <c r="X405" s="1">
        <f t="shared" si="74"/>
        <v>5.9459880757404125E-2</v>
      </c>
      <c r="Z405" s="4">
        <v>250.01660999999999</v>
      </c>
      <c r="AA405" s="1">
        <v>199.5</v>
      </c>
      <c r="AB405" s="3">
        <v>98.976399999999998</v>
      </c>
      <c r="AC405" s="3">
        <f t="shared" si="81"/>
        <v>98.899659999999997</v>
      </c>
      <c r="AD405" s="1">
        <f t="shared" si="76"/>
        <v>2.6024842453151096E-2</v>
      </c>
    </row>
    <row r="406" spans="2:30" x14ac:dyDescent="0.2">
      <c r="B406" s="2">
        <v>200.00996000000001</v>
      </c>
      <c r="C406" s="1">
        <v>200</v>
      </c>
      <c r="D406" s="3">
        <v>100.17292999999999</v>
      </c>
      <c r="E406" s="3">
        <f t="shared" si="77"/>
        <v>100.88623</v>
      </c>
      <c r="H406" s="4">
        <v>225.00798</v>
      </c>
      <c r="I406" s="1">
        <v>200</v>
      </c>
      <c r="J406" s="3">
        <v>93.799130000000005</v>
      </c>
      <c r="K406" s="3">
        <f t="shared" si="78"/>
        <v>97.906710000000004</v>
      </c>
      <c r="L406" s="1">
        <f t="shared" si="82"/>
        <v>2.9968394728057433E-2</v>
      </c>
      <c r="N406" s="4">
        <v>225.01301000000001</v>
      </c>
      <c r="O406" s="1">
        <v>200</v>
      </c>
      <c r="P406" s="3">
        <v>100.5478</v>
      </c>
      <c r="Q406" s="3">
        <f t="shared" si="79"/>
        <v>100.68338</v>
      </c>
      <c r="R406" s="1">
        <f t="shared" si="75"/>
        <v>3.9339517918744269E-3</v>
      </c>
      <c r="T406" s="4">
        <v>250.00501</v>
      </c>
      <c r="U406" s="1">
        <v>200</v>
      </c>
      <c r="V406" s="5">
        <v>91.517309999999995</v>
      </c>
      <c r="W406" s="3">
        <f t="shared" si="80"/>
        <v>95.67470999999999</v>
      </c>
      <c r="X406" s="1">
        <f t="shared" ref="X406:X469" si="83">($W$21-W406)/($W$21*(1-$M$1))</f>
        <v>5.9557666537223219E-2</v>
      </c>
      <c r="Z406" s="4">
        <v>250.01813000000001</v>
      </c>
      <c r="AA406" s="1">
        <v>200</v>
      </c>
      <c r="AB406" s="5">
        <v>99.078040000000001</v>
      </c>
      <c r="AC406" s="3">
        <f t="shared" si="81"/>
        <v>99.001300000000001</v>
      </c>
      <c r="AD406" s="1">
        <f t="shared" si="76"/>
        <v>2.4809194437388479E-2</v>
      </c>
    </row>
    <row r="407" spans="2:30" x14ac:dyDescent="0.2">
      <c r="B407" s="2">
        <v>200.00905</v>
      </c>
      <c r="C407" s="1">
        <v>200.5</v>
      </c>
      <c r="D407" s="5">
        <v>100.14461</v>
      </c>
      <c r="E407" s="3">
        <f t="shared" si="77"/>
        <v>100.85791</v>
      </c>
      <c r="H407" s="4">
        <v>225.00898000000001</v>
      </c>
      <c r="I407" s="1">
        <v>200.5</v>
      </c>
      <c r="J407" s="5">
        <v>93.794129999999996</v>
      </c>
      <c r="K407" s="3">
        <f t="shared" si="78"/>
        <v>97.901709999999994</v>
      </c>
      <c r="L407" s="1">
        <f t="shared" si="82"/>
        <v>3.0028601484610045E-2</v>
      </c>
      <c r="N407" s="4">
        <v>225.0128</v>
      </c>
      <c r="O407" s="1">
        <v>200.5</v>
      </c>
      <c r="P407" s="5">
        <v>100.49209</v>
      </c>
      <c r="Q407" s="3">
        <f t="shared" si="79"/>
        <v>100.62767000000001</v>
      </c>
      <c r="R407" s="1">
        <f t="shared" si="75"/>
        <v>4.6006806845922833E-3</v>
      </c>
      <c r="T407" s="4">
        <v>250.00901999999999</v>
      </c>
      <c r="U407" s="1">
        <v>200.5</v>
      </c>
      <c r="V407" s="3">
        <v>91.489469999999997</v>
      </c>
      <c r="W407" s="3">
        <f t="shared" si="80"/>
        <v>95.646869999999993</v>
      </c>
      <c r="X407" s="1">
        <f t="shared" si="83"/>
        <v>5.9892108319798076E-2</v>
      </c>
      <c r="Z407" s="4">
        <v>250.01742999999999</v>
      </c>
      <c r="AA407" s="1">
        <v>200.5</v>
      </c>
      <c r="AB407" s="3">
        <v>99.029799999999994</v>
      </c>
      <c r="AC407" s="3">
        <f t="shared" si="81"/>
        <v>98.953059999999994</v>
      </c>
      <c r="AD407" s="1">
        <f t="shared" si="76"/>
        <v>2.5386160791977176E-2</v>
      </c>
    </row>
    <row r="408" spans="2:30" x14ac:dyDescent="0.2">
      <c r="B408" s="2">
        <v>200.01307</v>
      </c>
      <c r="C408" s="1">
        <v>201</v>
      </c>
      <c r="D408" s="3">
        <v>100.10680000000001</v>
      </c>
      <c r="E408" s="3">
        <f t="shared" si="77"/>
        <v>100.82010000000001</v>
      </c>
      <c r="H408" s="4">
        <v>225.00095999999999</v>
      </c>
      <c r="I408" s="1">
        <v>201</v>
      </c>
      <c r="J408" s="3">
        <v>93.785820000000001</v>
      </c>
      <c r="K408" s="3">
        <f t="shared" si="78"/>
        <v>97.8934</v>
      </c>
      <c r="L408" s="1">
        <f t="shared" si="82"/>
        <v>3.0128665114000228E-2</v>
      </c>
      <c r="N408" s="4">
        <v>225.01818</v>
      </c>
      <c r="O408" s="1">
        <v>201</v>
      </c>
      <c r="P408" s="3">
        <v>100.62401</v>
      </c>
      <c r="Q408" s="3">
        <f t="shared" si="79"/>
        <v>100.75959</v>
      </c>
      <c r="R408" s="1">
        <f t="shared" si="75"/>
        <v>3.0218819854834992E-3</v>
      </c>
      <c r="T408" s="4">
        <v>250.00597999999999</v>
      </c>
      <c r="U408" s="1">
        <v>201</v>
      </c>
      <c r="V408" s="5">
        <v>91.491429999999994</v>
      </c>
      <c r="W408" s="3">
        <f t="shared" si="80"/>
        <v>95.64882999999999</v>
      </c>
      <c r="X408" s="1">
        <f t="shared" si="83"/>
        <v>5.9868562849473159E-2</v>
      </c>
      <c r="Z408" s="4">
        <v>250.02529000000001</v>
      </c>
      <c r="AA408" s="1">
        <v>201</v>
      </c>
      <c r="AB408" s="5">
        <v>99.023309999999995</v>
      </c>
      <c r="AC408" s="3">
        <f t="shared" si="81"/>
        <v>98.946569999999994</v>
      </c>
      <c r="AD408" s="1">
        <f t="shared" si="76"/>
        <v>2.5463783338438198E-2</v>
      </c>
    </row>
    <row r="409" spans="2:30" x14ac:dyDescent="0.2">
      <c r="B409" s="2">
        <v>200.01293000000001</v>
      </c>
      <c r="C409" s="1">
        <v>201.5</v>
      </c>
      <c r="D409" s="5">
        <v>100.10785</v>
      </c>
      <c r="E409" s="3">
        <f t="shared" si="77"/>
        <v>100.82115</v>
      </c>
      <c r="H409" s="4">
        <v>225.00394</v>
      </c>
      <c r="I409" s="1">
        <v>201.5</v>
      </c>
      <c r="J409" s="5">
        <v>93.781970000000001</v>
      </c>
      <c r="K409" s="3">
        <f t="shared" si="78"/>
        <v>97.88955</v>
      </c>
      <c r="L409" s="1">
        <f t="shared" si="82"/>
        <v>3.0175024316545649E-2</v>
      </c>
      <c r="N409" s="4">
        <v>225.02161000000001</v>
      </c>
      <c r="O409" s="1">
        <v>201.5</v>
      </c>
      <c r="P409" s="5">
        <v>100.52265</v>
      </c>
      <c r="Q409" s="3">
        <f t="shared" si="79"/>
        <v>100.65823</v>
      </c>
      <c r="R409" s="1">
        <f t="shared" si="75"/>
        <v>4.2349432054779911E-3</v>
      </c>
      <c r="T409" s="4">
        <v>250.01101</v>
      </c>
      <c r="U409" s="1">
        <v>201.5</v>
      </c>
      <c r="V409" s="3">
        <v>91.475589999999997</v>
      </c>
      <c r="W409" s="3">
        <f t="shared" si="80"/>
        <v>95.632989999999992</v>
      </c>
      <c r="X409" s="1">
        <f t="shared" si="83"/>
        <v>6.0058848691282973E-2</v>
      </c>
      <c r="Z409" s="4">
        <v>250.03466</v>
      </c>
      <c r="AA409" s="1">
        <v>201.5</v>
      </c>
      <c r="AB409" s="3">
        <v>99.064149999999998</v>
      </c>
      <c r="AC409" s="3">
        <f t="shared" si="81"/>
        <v>98.987409999999997</v>
      </c>
      <c r="AD409" s="1">
        <f t="shared" si="76"/>
        <v>2.4975323431278153E-2</v>
      </c>
    </row>
    <row r="410" spans="2:30" x14ac:dyDescent="0.2">
      <c r="B410" s="2">
        <v>200.01433</v>
      </c>
      <c r="C410" s="1">
        <v>202</v>
      </c>
      <c r="D410" s="3">
        <v>100.09678</v>
      </c>
      <c r="E410" s="3">
        <f t="shared" si="77"/>
        <v>100.81008</v>
      </c>
      <c r="H410" s="4">
        <v>225.00802999999999</v>
      </c>
      <c r="I410" s="1">
        <v>202</v>
      </c>
      <c r="J410" s="3">
        <v>93.75958</v>
      </c>
      <c r="K410" s="3">
        <f t="shared" si="78"/>
        <v>97.867159999999998</v>
      </c>
      <c r="L410" s="1">
        <f t="shared" si="82"/>
        <v>3.0444630172387747E-2</v>
      </c>
      <c r="N410" s="4">
        <v>225.02109999999999</v>
      </c>
      <c r="O410" s="1">
        <v>202</v>
      </c>
      <c r="P410" s="3">
        <v>100.47864</v>
      </c>
      <c r="Q410" s="3">
        <f t="shared" si="79"/>
        <v>100.61422</v>
      </c>
      <c r="R410" s="1">
        <f t="shared" ref="R410:R473" si="84">($Q$218-Q410)/($Q$218*(1-$M$1))</f>
        <v>4.7616482596606856E-3</v>
      </c>
      <c r="T410" s="4">
        <v>250.00998999999999</v>
      </c>
      <c r="U410" s="1">
        <v>202</v>
      </c>
      <c r="V410" s="5">
        <v>91.451449999999994</v>
      </c>
      <c r="W410" s="3">
        <f t="shared" si="80"/>
        <v>95.60884999999999</v>
      </c>
      <c r="X410" s="1">
        <f t="shared" si="83"/>
        <v>6.0348842392122001E-2</v>
      </c>
      <c r="Z410" s="4">
        <v>250.03432000000001</v>
      </c>
      <c r="AA410" s="1">
        <v>202</v>
      </c>
      <c r="AB410" s="5">
        <v>98.96848</v>
      </c>
      <c r="AC410" s="3">
        <f t="shared" si="81"/>
        <v>98.891739999999999</v>
      </c>
      <c r="AD410" s="1">
        <f t="shared" si="76"/>
        <v>2.611956827256115E-2</v>
      </c>
    </row>
    <row r="411" spans="2:30" x14ac:dyDescent="0.2">
      <c r="B411" s="2">
        <v>200.01148000000001</v>
      </c>
      <c r="C411" s="1">
        <v>202.5</v>
      </c>
      <c r="D411" s="5">
        <v>100.16788</v>
      </c>
      <c r="E411" s="3">
        <f t="shared" si="77"/>
        <v>100.88118</v>
      </c>
      <c r="H411" s="4">
        <v>225.01011</v>
      </c>
      <c r="I411" s="1">
        <v>202.5</v>
      </c>
      <c r="J411" s="5">
        <v>93.768270000000001</v>
      </c>
      <c r="K411" s="3">
        <f t="shared" si="78"/>
        <v>97.87585</v>
      </c>
      <c r="L411" s="1">
        <f t="shared" si="82"/>
        <v>3.0339990829499491E-2</v>
      </c>
      <c r="N411" s="4">
        <v>225.02188000000001</v>
      </c>
      <c r="O411" s="1">
        <v>202.5</v>
      </c>
      <c r="P411" s="5">
        <v>100.53376</v>
      </c>
      <c r="Q411" s="3">
        <f t="shared" si="79"/>
        <v>100.66934000000001</v>
      </c>
      <c r="R411" s="1">
        <f t="shared" si="84"/>
        <v>4.1019803981166897E-3</v>
      </c>
      <c r="T411" s="4">
        <v>250.01102</v>
      </c>
      <c r="U411" s="1">
        <v>202.5</v>
      </c>
      <c r="V411" s="3">
        <v>91.449430000000007</v>
      </c>
      <c r="W411" s="3">
        <f t="shared" si="80"/>
        <v>95.606830000000002</v>
      </c>
      <c r="X411" s="1">
        <f t="shared" si="83"/>
        <v>6.0373108642150633E-2</v>
      </c>
      <c r="Z411" s="4">
        <v>250.02534</v>
      </c>
      <c r="AA411" s="1">
        <v>202.5</v>
      </c>
      <c r="AB411" s="3">
        <v>98.98939</v>
      </c>
      <c r="AC411" s="3">
        <f t="shared" si="81"/>
        <v>98.912649999999999</v>
      </c>
      <c r="AD411" s="1">
        <f t="shared" si="76"/>
        <v>2.5869477756921673E-2</v>
      </c>
    </row>
    <row r="412" spans="2:30" x14ac:dyDescent="0.2">
      <c r="B412" s="2">
        <v>200.01311999999999</v>
      </c>
      <c r="C412" s="1">
        <v>203</v>
      </c>
      <c r="D412" s="3">
        <v>100.16521</v>
      </c>
      <c r="E412" s="3">
        <f t="shared" si="77"/>
        <v>100.87851000000001</v>
      </c>
      <c r="H412" s="4">
        <v>225.01002</v>
      </c>
      <c r="I412" s="1">
        <v>203</v>
      </c>
      <c r="J412" s="3">
        <v>93.771079999999998</v>
      </c>
      <c r="K412" s="3">
        <f t="shared" si="78"/>
        <v>97.878659999999996</v>
      </c>
      <c r="L412" s="1">
        <f t="shared" si="82"/>
        <v>3.0306154632317027E-2</v>
      </c>
      <c r="N412" s="4">
        <v>225.02046999999999</v>
      </c>
      <c r="O412" s="1">
        <v>203</v>
      </c>
      <c r="P412" s="3">
        <v>100.49791</v>
      </c>
      <c r="Q412" s="3">
        <f t="shared" si="79"/>
        <v>100.63349000000001</v>
      </c>
      <c r="R412" s="1">
        <f t="shared" si="84"/>
        <v>4.53102780080807E-3</v>
      </c>
      <c r="T412" s="4">
        <v>250.00802999999999</v>
      </c>
      <c r="U412" s="1">
        <v>203</v>
      </c>
      <c r="V412" s="5">
        <v>91.421210000000002</v>
      </c>
      <c r="W412" s="3">
        <f t="shared" si="80"/>
        <v>95.578609999999998</v>
      </c>
      <c r="X412" s="1">
        <f t="shared" si="83"/>
        <v>6.0712115362849803E-2</v>
      </c>
      <c r="Z412" s="4">
        <v>250.01774</v>
      </c>
      <c r="AA412" s="1">
        <v>203</v>
      </c>
      <c r="AB412" s="5">
        <v>99.137630000000001</v>
      </c>
      <c r="AC412" s="3">
        <f t="shared" si="81"/>
        <v>99.060890000000001</v>
      </c>
      <c r="AD412" s="1">
        <f t="shared" si="76"/>
        <v>2.4096478328973561E-2</v>
      </c>
    </row>
    <row r="413" spans="2:30" x14ac:dyDescent="0.2">
      <c r="B413" s="2">
        <v>200.01616000000001</v>
      </c>
      <c r="C413" s="1">
        <v>203.5</v>
      </c>
      <c r="D413" s="5">
        <v>100.02278</v>
      </c>
      <c r="E413" s="3">
        <f t="shared" si="77"/>
        <v>100.73608</v>
      </c>
      <c r="H413" s="4">
        <v>225.00586000000001</v>
      </c>
      <c r="I413" s="1">
        <v>203.5</v>
      </c>
      <c r="J413" s="5">
        <v>93.745639999999995</v>
      </c>
      <c r="K413" s="3">
        <f t="shared" si="78"/>
        <v>97.853219999999993</v>
      </c>
      <c r="L413" s="1">
        <f t="shared" si="82"/>
        <v>3.0612486609656167E-2</v>
      </c>
      <c r="N413" s="4">
        <v>225.01989</v>
      </c>
      <c r="O413" s="1">
        <v>203.5</v>
      </c>
      <c r="P413" s="5">
        <v>100.54301</v>
      </c>
      <c r="Q413" s="3">
        <f t="shared" si="79"/>
        <v>100.67859</v>
      </c>
      <c r="R413" s="1">
        <f t="shared" si="84"/>
        <v>3.9912777907277564E-3</v>
      </c>
      <c r="T413" s="4">
        <v>250.00903</v>
      </c>
      <c r="U413" s="1">
        <v>203.5</v>
      </c>
      <c r="V413" s="3">
        <v>91.401079999999993</v>
      </c>
      <c r="W413" s="3">
        <f t="shared" si="80"/>
        <v>95.558479999999989</v>
      </c>
      <c r="X413" s="1">
        <f t="shared" si="83"/>
        <v>6.0953936953483258E-2</v>
      </c>
      <c r="Z413" s="4">
        <v>250.01572999999999</v>
      </c>
      <c r="AA413" s="1">
        <v>203.5</v>
      </c>
      <c r="AB413" s="3">
        <v>98.875919999999994</v>
      </c>
      <c r="AC413" s="3">
        <f t="shared" si="81"/>
        <v>98.799179999999993</v>
      </c>
      <c r="AD413" s="1">
        <f t="shared" si="76"/>
        <v>2.7226616485262759E-2</v>
      </c>
    </row>
    <row r="414" spans="2:30" x14ac:dyDescent="0.2">
      <c r="B414" s="2">
        <v>200.01522</v>
      </c>
      <c r="C414" s="1">
        <v>204</v>
      </c>
      <c r="D414" s="3">
        <v>100.20459</v>
      </c>
      <c r="E414" s="3">
        <f t="shared" si="77"/>
        <v>100.91789</v>
      </c>
      <c r="H414" s="4">
        <v>225.01000999999999</v>
      </c>
      <c r="I414" s="1">
        <v>204</v>
      </c>
      <c r="J414" s="3">
        <v>93.791870000000003</v>
      </c>
      <c r="K414" s="3">
        <f t="shared" si="78"/>
        <v>97.899450000000002</v>
      </c>
      <c r="L414" s="1">
        <f t="shared" si="82"/>
        <v>3.0055814938571686E-2</v>
      </c>
      <c r="N414" s="4">
        <v>225.01705000000001</v>
      </c>
      <c r="O414" s="1">
        <v>204</v>
      </c>
      <c r="P414" s="3">
        <v>100.52937</v>
      </c>
      <c r="Q414" s="3">
        <f t="shared" si="79"/>
        <v>100.66495</v>
      </c>
      <c r="R414" s="1">
        <f t="shared" si="84"/>
        <v>4.154519257191046E-3</v>
      </c>
      <c r="T414" s="4">
        <v>250.00498999999999</v>
      </c>
      <c r="U414" s="1">
        <v>204</v>
      </c>
      <c r="V414" s="5">
        <v>91.40128</v>
      </c>
      <c r="W414" s="3">
        <f t="shared" si="80"/>
        <v>95.558679999999995</v>
      </c>
      <c r="X414" s="1">
        <f t="shared" si="83"/>
        <v>6.0951534354470427E-2</v>
      </c>
      <c r="Z414" s="4">
        <v>250.01458</v>
      </c>
      <c r="AA414" s="1">
        <v>204</v>
      </c>
      <c r="AB414" s="5">
        <v>98.947550000000007</v>
      </c>
      <c r="AC414" s="3">
        <f t="shared" si="81"/>
        <v>98.870810000000006</v>
      </c>
      <c r="AD414" s="1">
        <f t="shared" si="76"/>
        <v>2.6369897994815202E-2</v>
      </c>
    </row>
    <row r="415" spans="2:30" x14ac:dyDescent="0.2">
      <c r="B415" s="2">
        <v>200.01898</v>
      </c>
      <c r="C415" s="1">
        <v>204.5</v>
      </c>
      <c r="D415" s="5">
        <v>100.03547</v>
      </c>
      <c r="E415" s="3">
        <f t="shared" si="77"/>
        <v>100.74877000000001</v>
      </c>
      <c r="H415" s="4">
        <v>225.00303</v>
      </c>
      <c r="I415" s="1">
        <v>204.5</v>
      </c>
      <c r="J415" s="5">
        <v>93.750129999999999</v>
      </c>
      <c r="K415" s="3">
        <f t="shared" si="78"/>
        <v>97.857709999999997</v>
      </c>
      <c r="L415" s="1">
        <f t="shared" si="82"/>
        <v>3.0558420942271979E-2</v>
      </c>
      <c r="N415" s="4">
        <v>225.01446000000001</v>
      </c>
      <c r="O415" s="1">
        <v>204.5</v>
      </c>
      <c r="P415" s="5">
        <v>100.55625999999999</v>
      </c>
      <c r="Q415" s="3">
        <f t="shared" si="79"/>
        <v>100.69184</v>
      </c>
      <c r="R415" s="1">
        <f t="shared" si="84"/>
        <v>3.8327037855489256E-3</v>
      </c>
      <c r="T415" s="4">
        <v>250.00800000000001</v>
      </c>
      <c r="U415" s="1">
        <v>204.5</v>
      </c>
      <c r="V415" s="3">
        <v>91.374970000000005</v>
      </c>
      <c r="W415" s="3">
        <f t="shared" si="80"/>
        <v>95.53237</v>
      </c>
      <c r="X415" s="1">
        <f t="shared" si="83"/>
        <v>6.1267596254597712E-2</v>
      </c>
      <c r="Z415" s="4">
        <v>250.01209</v>
      </c>
      <c r="AA415" s="1">
        <v>204.5</v>
      </c>
      <c r="AB415" s="3">
        <v>98.966700000000003</v>
      </c>
      <c r="AC415" s="3">
        <f t="shared" si="81"/>
        <v>98.889960000000002</v>
      </c>
      <c r="AD415" s="1">
        <f t="shared" si="76"/>
        <v>2.6140857661266909E-2</v>
      </c>
    </row>
    <row r="416" spans="2:30" x14ac:dyDescent="0.2">
      <c r="B416" s="2">
        <v>200.02108999999999</v>
      </c>
      <c r="C416" s="1">
        <v>205</v>
      </c>
      <c r="D416" s="3">
        <v>100.124</v>
      </c>
      <c r="E416" s="3">
        <f t="shared" si="77"/>
        <v>100.8373</v>
      </c>
      <c r="H416" s="4">
        <v>225.00711999999999</v>
      </c>
      <c r="I416" s="1">
        <v>205</v>
      </c>
      <c r="J416" s="3">
        <v>93.738079999999997</v>
      </c>
      <c r="K416" s="3">
        <f t="shared" si="78"/>
        <v>97.845659999999995</v>
      </c>
      <c r="L416" s="1">
        <f t="shared" si="82"/>
        <v>3.0703519225563518E-2</v>
      </c>
      <c r="N416" s="4">
        <v>225.01535000000001</v>
      </c>
      <c r="O416" s="1">
        <v>205</v>
      </c>
      <c r="P416" s="3">
        <v>100.434</v>
      </c>
      <c r="Q416" s="3">
        <f t="shared" si="79"/>
        <v>100.56958</v>
      </c>
      <c r="R416" s="1">
        <f t="shared" si="84"/>
        <v>5.2958930589952916E-3</v>
      </c>
      <c r="T416" s="4">
        <v>249.99898999999999</v>
      </c>
      <c r="U416" s="1">
        <v>205</v>
      </c>
      <c r="V416" s="5">
        <v>91.363079999999997</v>
      </c>
      <c r="W416" s="3">
        <f t="shared" si="80"/>
        <v>95.520479999999992</v>
      </c>
      <c r="X416" s="1">
        <f t="shared" si="83"/>
        <v>6.1410430765905834E-2</v>
      </c>
      <c r="Z416" s="4">
        <v>250.01212000000001</v>
      </c>
      <c r="AA416" s="1">
        <v>205</v>
      </c>
      <c r="AB416" s="5">
        <v>98.937489999999997</v>
      </c>
      <c r="AC416" s="3">
        <f t="shared" si="81"/>
        <v>98.860749999999996</v>
      </c>
      <c r="AD416" s="1">
        <f t="shared" si="76"/>
        <v>2.6490218921995285E-2</v>
      </c>
    </row>
    <row r="417" spans="2:30" x14ac:dyDescent="0.2">
      <c r="B417" s="2">
        <v>200.02383</v>
      </c>
      <c r="C417" s="1">
        <v>205.5</v>
      </c>
      <c r="D417" s="5">
        <v>100.08331</v>
      </c>
      <c r="E417" s="3">
        <f t="shared" si="77"/>
        <v>100.79661</v>
      </c>
      <c r="H417" s="4">
        <v>225.00800000000001</v>
      </c>
      <c r="I417" s="1">
        <v>205.5</v>
      </c>
      <c r="J417" s="5">
        <v>93.701650000000001</v>
      </c>
      <c r="K417" s="3">
        <f t="shared" si="78"/>
        <v>97.809229999999999</v>
      </c>
      <c r="L417" s="1">
        <f t="shared" si="82"/>
        <v>3.1142185653804957E-2</v>
      </c>
      <c r="N417" s="4">
        <v>225.01363000000001</v>
      </c>
      <c r="O417" s="1">
        <v>205.5</v>
      </c>
      <c r="P417" s="5">
        <v>100.56757</v>
      </c>
      <c r="Q417" s="3">
        <f t="shared" si="79"/>
        <v>100.70315000000001</v>
      </c>
      <c r="R417" s="1">
        <f t="shared" si="84"/>
        <v>3.6973474082980531E-3</v>
      </c>
      <c r="T417" s="4">
        <v>250.00400999999999</v>
      </c>
      <c r="U417" s="1">
        <v>205.5</v>
      </c>
      <c r="V417" s="3">
        <v>91.352969999999999</v>
      </c>
      <c r="W417" s="3">
        <f t="shared" si="80"/>
        <v>95.510369999999995</v>
      </c>
      <c r="X417" s="1">
        <f t="shared" si="83"/>
        <v>6.1531882146000347E-2</v>
      </c>
      <c r="Z417" s="4">
        <v>250.01539</v>
      </c>
      <c r="AA417" s="1">
        <v>205.5</v>
      </c>
      <c r="AB417" s="3">
        <v>99.023889999999994</v>
      </c>
      <c r="AC417" s="3">
        <f t="shared" si="81"/>
        <v>98.947149999999993</v>
      </c>
      <c r="AD417" s="1">
        <f t="shared" si="76"/>
        <v>2.5456846346612723E-2</v>
      </c>
    </row>
    <row r="418" spans="2:30" x14ac:dyDescent="0.2">
      <c r="B418" s="2">
        <v>200.02179000000001</v>
      </c>
      <c r="C418" s="1">
        <v>206</v>
      </c>
      <c r="D418" s="3">
        <v>100.06661</v>
      </c>
      <c r="E418" s="3">
        <f t="shared" si="77"/>
        <v>100.77991</v>
      </c>
      <c r="H418" s="4">
        <v>224.99812</v>
      </c>
      <c r="I418" s="1">
        <v>206</v>
      </c>
      <c r="J418" s="3">
        <v>93.746709999999993</v>
      </c>
      <c r="K418" s="3">
        <f t="shared" si="78"/>
        <v>97.854289999999992</v>
      </c>
      <c r="L418" s="1">
        <f t="shared" si="82"/>
        <v>3.0599602363753951E-2</v>
      </c>
      <c r="N418" s="4">
        <v>225.01307</v>
      </c>
      <c r="O418" s="1">
        <v>206</v>
      </c>
      <c r="P418" s="3">
        <v>100.46298</v>
      </c>
      <c r="Q418" s="3">
        <f t="shared" si="79"/>
        <v>100.59856000000001</v>
      </c>
      <c r="R418" s="1">
        <f t="shared" si="84"/>
        <v>4.9490647820078643E-3</v>
      </c>
      <c r="T418" s="4">
        <v>250.00198</v>
      </c>
      <c r="U418" s="1">
        <v>206</v>
      </c>
      <c r="V418" s="5">
        <v>91.339359999999999</v>
      </c>
      <c r="W418" s="3">
        <f t="shared" si="80"/>
        <v>95.496759999999995</v>
      </c>
      <c r="X418" s="1">
        <f t="shared" si="83"/>
        <v>6.1695379008818024E-2</v>
      </c>
      <c r="Z418" s="4">
        <v>250.01571000000001</v>
      </c>
      <c r="AA418" s="1">
        <v>206</v>
      </c>
      <c r="AB418" s="5">
        <v>98.928470000000004</v>
      </c>
      <c r="AC418" s="3">
        <f t="shared" si="81"/>
        <v>98.851730000000003</v>
      </c>
      <c r="AD418" s="1">
        <f t="shared" si="76"/>
        <v>2.6598101105212223E-2</v>
      </c>
    </row>
    <row r="419" spans="2:30" x14ac:dyDescent="0.2">
      <c r="B419" s="2">
        <v>200.02100999999999</v>
      </c>
      <c r="C419" s="1">
        <v>206.5</v>
      </c>
      <c r="D419" s="5">
        <v>100.10966999999999</v>
      </c>
      <c r="E419" s="3">
        <f t="shared" si="77"/>
        <v>100.82297</v>
      </c>
      <c r="H419" s="4">
        <v>225.00593000000001</v>
      </c>
      <c r="I419" s="1">
        <v>206.5</v>
      </c>
      <c r="J419" s="5">
        <v>93.690960000000004</v>
      </c>
      <c r="K419" s="3">
        <f t="shared" si="78"/>
        <v>97.798540000000003</v>
      </c>
      <c r="L419" s="1">
        <f t="shared" si="82"/>
        <v>3.1270907699314156E-2</v>
      </c>
      <c r="N419" s="4">
        <v>225.01468</v>
      </c>
      <c r="O419" s="1">
        <v>206.5</v>
      </c>
      <c r="P419" s="5">
        <v>100.47189</v>
      </c>
      <c r="Q419" s="3">
        <f t="shared" si="79"/>
        <v>100.60747000000001</v>
      </c>
      <c r="R419" s="1">
        <f t="shared" si="84"/>
        <v>4.8424312434309971E-3</v>
      </c>
      <c r="T419" s="4">
        <v>250.00700000000001</v>
      </c>
      <c r="U419" s="1">
        <v>206.5</v>
      </c>
      <c r="V419" s="3">
        <v>91.336770000000001</v>
      </c>
      <c r="W419" s="3">
        <f t="shared" si="80"/>
        <v>95.494169999999997</v>
      </c>
      <c r="X419" s="1">
        <f t="shared" si="83"/>
        <v>6.1726492666033118E-2</v>
      </c>
      <c r="Z419" s="4">
        <v>250.0128</v>
      </c>
      <c r="AA419" s="1">
        <v>206.5</v>
      </c>
      <c r="AB419" s="3">
        <v>98.834159999999997</v>
      </c>
      <c r="AC419" s="3">
        <f t="shared" si="81"/>
        <v>98.757419999999996</v>
      </c>
      <c r="AD419" s="1">
        <f t="shared" si="76"/>
        <v>2.7726079896697637E-2</v>
      </c>
    </row>
    <row r="420" spans="2:30" x14ac:dyDescent="0.2">
      <c r="B420" s="2">
        <v>200.01974999999999</v>
      </c>
      <c r="C420" s="1">
        <v>207</v>
      </c>
      <c r="D420" s="3">
        <v>100.20046000000001</v>
      </c>
      <c r="E420" s="3">
        <f t="shared" si="77"/>
        <v>100.91376000000001</v>
      </c>
      <c r="H420" s="4">
        <v>225.00903</v>
      </c>
      <c r="I420" s="1">
        <v>207</v>
      </c>
      <c r="J420" s="3">
        <v>93.727400000000003</v>
      </c>
      <c r="K420" s="3">
        <f t="shared" si="78"/>
        <v>97.834980000000002</v>
      </c>
      <c r="L420" s="1">
        <f t="shared" si="82"/>
        <v>3.0832120857559573E-2</v>
      </c>
      <c r="N420" s="4">
        <v>225.01478</v>
      </c>
      <c r="O420" s="1">
        <v>207</v>
      </c>
      <c r="P420" s="3">
        <v>100.46979</v>
      </c>
      <c r="Q420" s="3">
        <f t="shared" si="79"/>
        <v>100.60537000000001</v>
      </c>
      <c r="R420" s="1">
        <f t="shared" si="84"/>
        <v>4.8675637272706466E-3</v>
      </c>
      <c r="T420" s="4">
        <v>250.00796</v>
      </c>
      <c r="U420" s="1">
        <v>207</v>
      </c>
      <c r="V420" s="5">
        <v>91.304910000000007</v>
      </c>
      <c r="W420" s="3">
        <f t="shared" si="80"/>
        <v>95.462310000000002</v>
      </c>
      <c r="X420" s="1">
        <f t="shared" si="83"/>
        <v>6.210922668876423E-2</v>
      </c>
      <c r="Z420" s="4">
        <v>250.01277999999999</v>
      </c>
      <c r="AA420" s="1">
        <v>207</v>
      </c>
      <c r="AB420" s="5">
        <v>98.961060000000003</v>
      </c>
      <c r="AC420" s="3">
        <f t="shared" si="81"/>
        <v>98.884320000000002</v>
      </c>
      <c r="AD420" s="1">
        <f t="shared" si="76"/>
        <v>2.6208313926604377E-2</v>
      </c>
    </row>
    <row r="421" spans="2:30" x14ac:dyDescent="0.2">
      <c r="B421" s="2">
        <v>200.02200999999999</v>
      </c>
      <c r="C421" s="1">
        <v>207.5</v>
      </c>
      <c r="D421" s="5">
        <v>99.963449999999995</v>
      </c>
      <c r="E421" s="3">
        <f t="shared" si="77"/>
        <v>100.67675</v>
      </c>
      <c r="H421" s="4">
        <v>225.00703999999999</v>
      </c>
      <c r="I421" s="1">
        <v>207.5</v>
      </c>
      <c r="J421" s="5">
        <v>93.720910000000003</v>
      </c>
      <c r="K421" s="3">
        <f t="shared" si="78"/>
        <v>97.828490000000002</v>
      </c>
      <c r="L421" s="1">
        <f t="shared" si="82"/>
        <v>3.0910269227564707E-2</v>
      </c>
      <c r="N421" s="4">
        <v>225.01889</v>
      </c>
      <c r="O421" s="1">
        <v>207.5</v>
      </c>
      <c r="P421" s="5">
        <v>100.45768</v>
      </c>
      <c r="Q421" s="3">
        <f t="shared" si="79"/>
        <v>100.59326</v>
      </c>
      <c r="R421" s="1">
        <f t="shared" si="84"/>
        <v>5.0124943840794646E-3</v>
      </c>
      <c r="T421" s="4">
        <v>250.00594000000001</v>
      </c>
      <c r="U421" s="1">
        <v>207.5</v>
      </c>
      <c r="V421" s="3">
        <v>91.30292</v>
      </c>
      <c r="W421" s="3">
        <f t="shared" si="80"/>
        <v>95.460319999999996</v>
      </c>
      <c r="X421" s="1">
        <f t="shared" si="83"/>
        <v>6.2133132548941171E-2</v>
      </c>
      <c r="Z421" s="4">
        <v>250.01505</v>
      </c>
      <c r="AA421" s="1">
        <v>207.5</v>
      </c>
      <c r="AB421" s="3">
        <v>98.913650000000004</v>
      </c>
      <c r="AC421" s="3">
        <f t="shared" si="81"/>
        <v>98.836910000000003</v>
      </c>
      <c r="AD421" s="1">
        <f t="shared" si="76"/>
        <v>2.6775353206684102E-2</v>
      </c>
    </row>
    <row r="422" spans="2:30" x14ac:dyDescent="0.2">
      <c r="B422" s="2">
        <v>200.01750999999999</v>
      </c>
      <c r="C422" s="1">
        <v>208</v>
      </c>
      <c r="D422" s="3">
        <v>100.12654000000001</v>
      </c>
      <c r="E422" s="3">
        <f t="shared" si="77"/>
        <v>100.83984000000001</v>
      </c>
      <c r="H422" s="4">
        <v>225.01105000000001</v>
      </c>
      <c r="I422" s="1">
        <v>208</v>
      </c>
      <c r="J422" s="3">
        <v>93.714399999999998</v>
      </c>
      <c r="K422" s="3">
        <f t="shared" si="78"/>
        <v>97.821979999999996</v>
      </c>
      <c r="L422" s="1">
        <f t="shared" si="82"/>
        <v>3.0988658424596128E-2</v>
      </c>
      <c r="N422" s="4">
        <v>225.02203</v>
      </c>
      <c r="O422" s="1">
        <v>208</v>
      </c>
      <c r="P422" s="3">
        <v>100.55113</v>
      </c>
      <c r="Q422" s="3">
        <f t="shared" si="79"/>
        <v>100.68671000000001</v>
      </c>
      <c r="R422" s="1">
        <f t="shared" si="84"/>
        <v>3.894098853214322E-3</v>
      </c>
      <c r="T422" s="4">
        <v>250.00103999999999</v>
      </c>
      <c r="U422" s="1">
        <v>208</v>
      </c>
      <c r="V422" s="5">
        <v>91.288849999999996</v>
      </c>
      <c r="W422" s="3">
        <f t="shared" si="80"/>
        <v>95.446249999999992</v>
      </c>
      <c r="X422" s="1">
        <f t="shared" si="83"/>
        <v>6.2302155389488224E-2</v>
      </c>
      <c r="Z422" s="4">
        <v>250.01586</v>
      </c>
      <c r="AA422" s="1">
        <v>208</v>
      </c>
      <c r="AB422" s="5">
        <v>98.950270000000003</v>
      </c>
      <c r="AC422" s="3">
        <f t="shared" si="81"/>
        <v>98.873530000000002</v>
      </c>
      <c r="AD422" s="1">
        <f t="shared" si="76"/>
        <v>2.6337365895219868E-2</v>
      </c>
    </row>
    <row r="423" spans="2:30" x14ac:dyDescent="0.2">
      <c r="B423" s="2">
        <v>200.01385999999999</v>
      </c>
      <c r="C423" s="1">
        <v>208.5</v>
      </c>
      <c r="D423" s="5">
        <v>100.10159</v>
      </c>
      <c r="E423" s="3">
        <f t="shared" si="77"/>
        <v>100.81489000000001</v>
      </c>
      <c r="H423" s="4">
        <v>225.00701000000001</v>
      </c>
      <c r="I423" s="1">
        <v>208.5</v>
      </c>
      <c r="J423" s="5">
        <v>93.68853</v>
      </c>
      <c r="K423" s="3">
        <f t="shared" si="78"/>
        <v>97.796109999999999</v>
      </c>
      <c r="L423" s="1">
        <f t="shared" si="82"/>
        <v>3.1300168182998717E-2</v>
      </c>
      <c r="N423" s="4">
        <v>225.02259000000001</v>
      </c>
      <c r="O423" s="1">
        <v>208.5</v>
      </c>
      <c r="P423" s="5">
        <v>100.50029000000001</v>
      </c>
      <c r="Q423" s="3">
        <f t="shared" si="79"/>
        <v>100.63587000000001</v>
      </c>
      <c r="R423" s="1">
        <f t="shared" si="84"/>
        <v>4.5025443191230889E-3</v>
      </c>
      <c r="T423" s="4">
        <v>250.00202999999999</v>
      </c>
      <c r="U423" s="1">
        <v>208.5</v>
      </c>
      <c r="V423" s="3">
        <v>91.286730000000006</v>
      </c>
      <c r="W423" s="3">
        <f t="shared" si="80"/>
        <v>95.444130000000001</v>
      </c>
      <c r="X423" s="1">
        <f t="shared" si="83"/>
        <v>6.2327622939023268E-2</v>
      </c>
      <c r="Z423" s="4">
        <v>250.01746</v>
      </c>
      <c r="AA423" s="1">
        <v>208.5</v>
      </c>
      <c r="AB423" s="3">
        <v>98.924430000000001</v>
      </c>
      <c r="AC423" s="3">
        <f t="shared" si="81"/>
        <v>98.84769</v>
      </c>
      <c r="AD423" s="1">
        <f t="shared" si="76"/>
        <v>2.6646420841375987E-2</v>
      </c>
    </row>
    <row r="424" spans="2:30" x14ac:dyDescent="0.2">
      <c r="B424" s="2">
        <v>200.01406</v>
      </c>
      <c r="C424" s="1">
        <v>209</v>
      </c>
      <c r="D424" s="3">
        <v>100.07246000000001</v>
      </c>
      <c r="E424" s="3">
        <f t="shared" si="77"/>
        <v>100.78576000000001</v>
      </c>
      <c r="H424" s="4">
        <v>225.00693999999999</v>
      </c>
      <c r="I424" s="1">
        <v>209</v>
      </c>
      <c r="J424" s="3">
        <v>93.691760000000002</v>
      </c>
      <c r="K424" s="3">
        <f t="shared" si="78"/>
        <v>97.799340000000001</v>
      </c>
      <c r="L424" s="1">
        <f t="shared" si="82"/>
        <v>3.1261274618265777E-2</v>
      </c>
      <c r="N424" s="4">
        <v>225.01924</v>
      </c>
      <c r="O424" s="1">
        <v>209</v>
      </c>
      <c r="P424" s="3">
        <v>100.60626999999999</v>
      </c>
      <c r="Q424" s="3">
        <f t="shared" si="79"/>
        <v>100.74185</v>
      </c>
      <c r="R424" s="1">
        <f t="shared" si="84"/>
        <v>3.2341916346814714E-3</v>
      </c>
      <c r="T424" s="4">
        <v>250.00197</v>
      </c>
      <c r="U424" s="1">
        <v>209</v>
      </c>
      <c r="V424" s="5">
        <v>91.260850000000005</v>
      </c>
      <c r="W424" s="3">
        <f t="shared" si="80"/>
        <v>95.41825</v>
      </c>
      <c r="X424" s="1">
        <f t="shared" si="83"/>
        <v>6.2638519251273214E-2</v>
      </c>
      <c r="Z424" s="4">
        <v>250.02072000000001</v>
      </c>
      <c r="AA424" s="1">
        <v>209</v>
      </c>
      <c r="AB424" s="5">
        <v>98.935289999999995</v>
      </c>
      <c r="AC424" s="3">
        <f t="shared" si="81"/>
        <v>98.858549999999994</v>
      </c>
      <c r="AD424" s="1">
        <f t="shared" si="76"/>
        <v>2.651653164960922E-2</v>
      </c>
    </row>
    <row r="425" spans="2:30" x14ac:dyDescent="0.2">
      <c r="B425" s="2">
        <v>200.01178999999999</v>
      </c>
      <c r="C425" s="1">
        <v>209.5</v>
      </c>
      <c r="D425" s="5">
        <v>100.19943000000001</v>
      </c>
      <c r="E425" s="3">
        <f t="shared" si="77"/>
        <v>100.91273000000001</v>
      </c>
      <c r="H425" s="4">
        <v>225.00802999999999</v>
      </c>
      <c r="I425" s="1">
        <v>209.5</v>
      </c>
      <c r="J425" s="5">
        <v>93.689490000000006</v>
      </c>
      <c r="K425" s="3">
        <f t="shared" si="78"/>
        <v>97.797070000000005</v>
      </c>
      <c r="L425" s="1">
        <f t="shared" si="82"/>
        <v>3.1288608485740561E-2</v>
      </c>
      <c r="N425" s="4">
        <v>225.01808</v>
      </c>
      <c r="O425" s="1">
        <v>209.5</v>
      </c>
      <c r="P425" s="5">
        <v>100.51083</v>
      </c>
      <c r="Q425" s="3">
        <f t="shared" si="79"/>
        <v>100.64641</v>
      </c>
      <c r="R425" s="1">
        <f t="shared" si="84"/>
        <v>4.3764031859469645E-3</v>
      </c>
      <c r="T425" s="4">
        <v>250.00400999999999</v>
      </c>
      <c r="U425" s="1">
        <v>209.5</v>
      </c>
      <c r="V425" s="3">
        <v>91.228809999999996</v>
      </c>
      <c r="W425" s="3">
        <f t="shared" si="80"/>
        <v>95.386209999999991</v>
      </c>
      <c r="X425" s="1">
        <f t="shared" si="83"/>
        <v>6.3023415613115974E-2</v>
      </c>
      <c r="Z425" s="4">
        <v>250.01727</v>
      </c>
      <c r="AA425" s="1">
        <v>209.5</v>
      </c>
      <c r="AB425" s="3">
        <v>98.852440000000001</v>
      </c>
      <c r="AC425" s="3">
        <f t="shared" si="81"/>
        <v>98.775700000000001</v>
      </c>
      <c r="AD425" s="1">
        <f t="shared" si="76"/>
        <v>2.7507445050887473E-2</v>
      </c>
    </row>
    <row r="426" spans="2:30" x14ac:dyDescent="0.2">
      <c r="B426" s="2">
        <v>200.01070999999999</v>
      </c>
      <c r="C426" s="1">
        <v>210</v>
      </c>
      <c r="D426" s="3">
        <v>100.04403000000001</v>
      </c>
      <c r="E426" s="3">
        <f t="shared" si="77"/>
        <v>100.75733000000001</v>
      </c>
      <c r="H426" s="4">
        <v>225.00492</v>
      </c>
      <c r="I426" s="1">
        <v>210</v>
      </c>
      <c r="J426" s="3">
        <v>93.705759999999998</v>
      </c>
      <c r="K426" s="3">
        <f t="shared" si="78"/>
        <v>97.813339999999997</v>
      </c>
      <c r="L426" s="1">
        <f t="shared" si="82"/>
        <v>3.1092695699918838E-2</v>
      </c>
      <c r="N426" s="4">
        <v>225.01946000000001</v>
      </c>
      <c r="O426" s="1">
        <v>210</v>
      </c>
      <c r="P426" s="3">
        <v>100.44891</v>
      </c>
      <c r="Q426" s="3">
        <f t="shared" si="79"/>
        <v>100.58449</v>
      </c>
      <c r="R426" s="1">
        <f t="shared" si="84"/>
        <v>5.1174524237336651E-3</v>
      </c>
      <c r="T426" s="4">
        <v>250.00903</v>
      </c>
      <c r="U426" s="1">
        <v>210</v>
      </c>
      <c r="V426" s="5">
        <v>91.242429999999999</v>
      </c>
      <c r="W426" s="3">
        <f t="shared" si="80"/>
        <v>95.399829999999994</v>
      </c>
      <c r="X426" s="1">
        <f t="shared" si="83"/>
        <v>6.2859798620347615E-2</v>
      </c>
      <c r="Z426" s="4">
        <v>250.01468</v>
      </c>
      <c r="AA426" s="1">
        <v>210</v>
      </c>
      <c r="AB426" s="5">
        <v>98.964699999999993</v>
      </c>
      <c r="AC426" s="3">
        <f t="shared" si="81"/>
        <v>98.887959999999993</v>
      </c>
      <c r="AD426" s="1">
        <f t="shared" si="76"/>
        <v>2.6164778322734211E-2</v>
      </c>
    </row>
    <row r="427" spans="2:30" x14ac:dyDescent="0.2">
      <c r="B427" s="2">
        <v>200.01446000000001</v>
      </c>
      <c r="C427" s="1">
        <v>210.5</v>
      </c>
      <c r="D427" s="5">
        <v>100.06392</v>
      </c>
      <c r="E427" s="3">
        <f t="shared" si="77"/>
        <v>100.77722</v>
      </c>
      <c r="H427" s="4">
        <v>225.00702000000001</v>
      </c>
      <c r="I427" s="1">
        <v>210.5</v>
      </c>
      <c r="J427" s="5">
        <v>93.663659999999993</v>
      </c>
      <c r="K427" s="3">
        <f t="shared" si="78"/>
        <v>97.771239999999992</v>
      </c>
      <c r="L427" s="1">
        <f t="shared" si="82"/>
        <v>3.1599636590090914E-2</v>
      </c>
      <c r="N427" s="4">
        <v>225.01875000000001</v>
      </c>
      <c r="O427" s="1">
        <v>210.5</v>
      </c>
      <c r="P427" s="5">
        <v>100.55695</v>
      </c>
      <c r="Q427" s="3">
        <f t="shared" si="79"/>
        <v>100.69253</v>
      </c>
      <c r="R427" s="1">
        <f t="shared" si="84"/>
        <v>3.8244459694301088E-3</v>
      </c>
      <c r="T427" s="4">
        <v>250.00901999999999</v>
      </c>
      <c r="U427" s="1">
        <v>210.5</v>
      </c>
      <c r="V427" s="3">
        <v>91.246750000000006</v>
      </c>
      <c r="W427" s="3">
        <f t="shared" si="80"/>
        <v>95.404150000000001</v>
      </c>
      <c r="X427" s="1">
        <f t="shared" si="83"/>
        <v>6.2807902481672118E-2</v>
      </c>
      <c r="Z427" s="4">
        <v>250.01246</v>
      </c>
      <c r="AA427" s="1">
        <v>210.5</v>
      </c>
      <c r="AB427" s="3">
        <v>98.940979999999996</v>
      </c>
      <c r="AC427" s="3">
        <f t="shared" si="81"/>
        <v>98.864239999999995</v>
      </c>
      <c r="AD427" s="1">
        <f t="shared" si="76"/>
        <v>2.6448477367735049E-2</v>
      </c>
    </row>
    <row r="428" spans="2:30" x14ac:dyDescent="0.2">
      <c r="B428" s="2">
        <v>200.01317</v>
      </c>
      <c r="C428" s="1">
        <v>211</v>
      </c>
      <c r="D428" s="3">
        <v>100.17538</v>
      </c>
      <c r="E428" s="3">
        <f t="shared" si="77"/>
        <v>100.88868000000001</v>
      </c>
      <c r="H428" s="4">
        <v>225.00603000000001</v>
      </c>
      <c r="I428" s="1">
        <v>211</v>
      </c>
      <c r="J428" s="3">
        <v>93.666200000000003</v>
      </c>
      <c r="K428" s="3">
        <f t="shared" si="78"/>
        <v>97.773780000000002</v>
      </c>
      <c r="L428" s="1">
        <f t="shared" si="82"/>
        <v>3.1569051557762122E-2</v>
      </c>
      <c r="N428" s="4">
        <v>225.01938000000001</v>
      </c>
      <c r="O428" s="1">
        <v>211</v>
      </c>
      <c r="P428" s="3">
        <v>100.53558</v>
      </c>
      <c r="Q428" s="3">
        <f t="shared" si="79"/>
        <v>100.67116</v>
      </c>
      <c r="R428" s="1">
        <f t="shared" si="84"/>
        <v>4.0801989121223726E-3</v>
      </c>
      <c r="T428" s="4">
        <v>250.00899999999999</v>
      </c>
      <c r="U428" s="1">
        <v>211</v>
      </c>
      <c r="V428" s="5">
        <v>91.216470000000001</v>
      </c>
      <c r="W428" s="3">
        <f t="shared" si="80"/>
        <v>95.373869999999997</v>
      </c>
      <c r="X428" s="1">
        <f t="shared" si="83"/>
        <v>6.3171655972202617E-2</v>
      </c>
      <c r="Z428" s="4">
        <v>250.01125999999999</v>
      </c>
      <c r="AA428" s="1">
        <v>211</v>
      </c>
      <c r="AB428" s="5">
        <v>98.837760000000003</v>
      </c>
      <c r="AC428" s="3">
        <f t="shared" si="81"/>
        <v>98.761020000000002</v>
      </c>
      <c r="AD428" s="1">
        <f t="shared" si="76"/>
        <v>2.7683022706056624E-2</v>
      </c>
    </row>
    <row r="429" spans="2:30" x14ac:dyDescent="0.2">
      <c r="B429" s="2">
        <v>200.01707999999999</v>
      </c>
      <c r="C429" s="1">
        <v>211.5</v>
      </c>
      <c r="D429" s="5">
        <v>100.16916000000001</v>
      </c>
      <c r="E429" s="3">
        <f t="shared" si="77"/>
        <v>100.88246000000001</v>
      </c>
      <c r="H429" s="4">
        <v>225.00602000000001</v>
      </c>
      <c r="I429" s="1">
        <v>211.5</v>
      </c>
      <c r="J429" s="5">
        <v>93.665369999999996</v>
      </c>
      <c r="K429" s="3">
        <f t="shared" si="78"/>
        <v>97.772949999999994</v>
      </c>
      <c r="L429" s="1">
        <f t="shared" si="82"/>
        <v>3.1579045879349933E-2</v>
      </c>
      <c r="N429" s="4">
        <v>225.02058</v>
      </c>
      <c r="O429" s="1">
        <v>211.5</v>
      </c>
      <c r="P429" s="5">
        <v>100.58852</v>
      </c>
      <c r="Q429" s="3">
        <f t="shared" si="79"/>
        <v>100.72410000000001</v>
      </c>
      <c r="R429" s="1">
        <f t="shared" si="84"/>
        <v>3.4466209623737866E-3</v>
      </c>
      <c r="T429" s="4">
        <v>250.00801000000001</v>
      </c>
      <c r="U429" s="1">
        <v>211.5</v>
      </c>
      <c r="V429" s="3">
        <v>91.208770000000001</v>
      </c>
      <c r="W429" s="3">
        <f t="shared" si="80"/>
        <v>95.366169999999997</v>
      </c>
      <c r="X429" s="1">
        <f t="shared" si="83"/>
        <v>6.3264156034193511E-2</v>
      </c>
      <c r="Z429" s="4">
        <v>250.00979000000001</v>
      </c>
      <c r="AA429" s="1">
        <v>211.5</v>
      </c>
      <c r="AB429" s="3">
        <v>98.84178</v>
      </c>
      <c r="AC429" s="3">
        <f t="shared" si="81"/>
        <v>98.765039999999999</v>
      </c>
      <c r="AD429" s="1">
        <f t="shared" si="76"/>
        <v>2.763494217650761E-2</v>
      </c>
    </row>
    <row r="430" spans="2:30" x14ac:dyDescent="0.2">
      <c r="B430" s="2">
        <v>200.01831999999999</v>
      </c>
      <c r="C430" s="1">
        <v>212</v>
      </c>
      <c r="D430" s="3">
        <v>100.10688</v>
      </c>
      <c r="E430" s="3">
        <f t="shared" si="77"/>
        <v>100.82018000000001</v>
      </c>
      <c r="H430" s="4">
        <v>225.00497999999999</v>
      </c>
      <c r="I430" s="1">
        <v>212</v>
      </c>
      <c r="J430" s="3">
        <v>93.669600000000003</v>
      </c>
      <c r="K430" s="3">
        <f t="shared" si="78"/>
        <v>97.777180000000001</v>
      </c>
      <c r="L430" s="1">
        <f t="shared" si="82"/>
        <v>3.1528110963306433E-2</v>
      </c>
      <c r="N430" s="4">
        <v>225.01945000000001</v>
      </c>
      <c r="O430" s="1">
        <v>212</v>
      </c>
      <c r="P430" s="3">
        <v>100.55233</v>
      </c>
      <c r="Q430" s="3">
        <f t="shared" si="79"/>
        <v>100.68791</v>
      </c>
      <c r="R430" s="1">
        <f t="shared" si="84"/>
        <v>3.8797374338774043E-3</v>
      </c>
      <c r="T430" s="4">
        <v>250.00702000000001</v>
      </c>
      <c r="U430" s="1">
        <v>212</v>
      </c>
      <c r="V430" s="5">
        <v>91.176400000000001</v>
      </c>
      <c r="W430" s="3">
        <f t="shared" si="80"/>
        <v>95.333799999999997</v>
      </c>
      <c r="X430" s="1">
        <f t="shared" si="83"/>
        <v>6.3653016684407204E-2</v>
      </c>
      <c r="Z430" s="4">
        <v>250.01345000000001</v>
      </c>
      <c r="AA430" s="1">
        <v>212</v>
      </c>
      <c r="AB430" s="5">
        <v>98.829669999999993</v>
      </c>
      <c r="AC430" s="3">
        <f t="shared" si="81"/>
        <v>98.752929999999992</v>
      </c>
      <c r="AD430" s="1">
        <f t="shared" si="76"/>
        <v>2.7779781781691527E-2</v>
      </c>
    </row>
    <row r="431" spans="2:30" x14ac:dyDescent="0.2">
      <c r="B431" s="2">
        <v>200.02312000000001</v>
      </c>
      <c r="C431" s="1">
        <v>212.5</v>
      </c>
      <c r="D431" s="5">
        <v>99.961240000000004</v>
      </c>
      <c r="E431" s="3">
        <f t="shared" si="77"/>
        <v>100.67454000000001</v>
      </c>
      <c r="H431" s="4">
        <v>225.00503</v>
      </c>
      <c r="I431" s="1">
        <v>212.5</v>
      </c>
      <c r="J431" s="5">
        <v>93.634289999999993</v>
      </c>
      <c r="K431" s="3">
        <f t="shared" si="78"/>
        <v>97.741869999999992</v>
      </c>
      <c r="L431" s="1">
        <f t="shared" si="82"/>
        <v>3.195329107808028E-2</v>
      </c>
      <c r="N431" s="4">
        <v>225.01947999999999</v>
      </c>
      <c r="O431" s="1">
        <v>212.5</v>
      </c>
      <c r="P431" s="5">
        <v>100.56995000000001</v>
      </c>
      <c r="Q431" s="3">
        <f t="shared" si="79"/>
        <v>100.70553000000001</v>
      </c>
      <c r="R431" s="1">
        <f t="shared" si="84"/>
        <v>3.6688639266130724E-3</v>
      </c>
      <c r="T431" s="4">
        <v>250.00798</v>
      </c>
      <c r="U431" s="1">
        <v>212.5</v>
      </c>
      <c r="V431" s="3">
        <v>91.162220000000005</v>
      </c>
      <c r="W431" s="3">
        <f t="shared" si="80"/>
        <v>95.31962</v>
      </c>
      <c r="X431" s="1">
        <f t="shared" si="83"/>
        <v>6.3823360954411171E-2</v>
      </c>
      <c r="Z431" s="4">
        <v>250.0138</v>
      </c>
      <c r="AA431" s="1">
        <v>212.5</v>
      </c>
      <c r="AB431" s="3">
        <v>98.819289999999995</v>
      </c>
      <c r="AC431" s="3">
        <f t="shared" si="81"/>
        <v>98.742549999999994</v>
      </c>
      <c r="AD431" s="1">
        <f t="shared" si="76"/>
        <v>2.7903930014706216E-2</v>
      </c>
    </row>
    <row r="432" spans="2:30" x14ac:dyDescent="0.2">
      <c r="B432" s="2">
        <v>200.02703</v>
      </c>
      <c r="C432" s="1">
        <v>213</v>
      </c>
      <c r="D432" s="3">
        <v>100.31328999999999</v>
      </c>
      <c r="E432" s="7">
        <f t="shared" si="77"/>
        <v>101.02659</v>
      </c>
      <c r="F432" s="1">
        <f>($E$432-E432)/($E$432*(1-$M$1))</f>
        <v>0</v>
      </c>
      <c r="H432" s="4">
        <v>225.00792000000001</v>
      </c>
      <c r="I432" s="1">
        <v>213</v>
      </c>
      <c r="J432" s="3">
        <v>93.659180000000006</v>
      </c>
      <c r="K432" s="3">
        <f t="shared" si="78"/>
        <v>97.766760000000005</v>
      </c>
      <c r="L432" s="1">
        <f t="shared" si="82"/>
        <v>3.1653581843961796E-2</v>
      </c>
      <c r="N432" s="4">
        <v>225.02134000000001</v>
      </c>
      <c r="O432" s="1">
        <v>213</v>
      </c>
      <c r="P432" s="3">
        <v>100.65197999999999</v>
      </c>
      <c r="Q432" s="3">
        <f t="shared" si="79"/>
        <v>100.78756</v>
      </c>
      <c r="R432" s="1">
        <f t="shared" si="84"/>
        <v>2.687141236438101E-3</v>
      </c>
      <c r="T432" s="4">
        <v>250.00397000000001</v>
      </c>
      <c r="U432" s="1">
        <v>213</v>
      </c>
      <c r="V432" s="5">
        <v>91.158360000000002</v>
      </c>
      <c r="W432" s="3">
        <f t="shared" si="80"/>
        <v>95.315759999999997</v>
      </c>
      <c r="X432" s="1">
        <f t="shared" si="83"/>
        <v>6.3869731115357292E-2</v>
      </c>
      <c r="Z432" s="4">
        <v>250.01562000000001</v>
      </c>
      <c r="AA432" s="1">
        <v>213</v>
      </c>
      <c r="AB432" s="5">
        <v>98.842119999999994</v>
      </c>
      <c r="AC432" s="3">
        <f t="shared" si="81"/>
        <v>98.765379999999993</v>
      </c>
      <c r="AD432" s="1">
        <f t="shared" si="76"/>
        <v>2.7630875664058255E-2</v>
      </c>
    </row>
    <row r="433" spans="2:30" x14ac:dyDescent="0.2">
      <c r="B433" s="2">
        <v>200.02619000000001</v>
      </c>
      <c r="C433" s="1">
        <v>213.5</v>
      </c>
      <c r="D433" s="5">
        <v>99.946150000000003</v>
      </c>
      <c r="E433" s="3">
        <f t="shared" si="77"/>
        <v>100.65945000000001</v>
      </c>
      <c r="F433" s="1">
        <f t="shared" ref="F433:F485" si="85">($E$432-E433)/($E$432*(1-$M$1))</f>
        <v>4.3932456081510318E-3</v>
      </c>
      <c r="H433" s="4">
        <v>225.00807</v>
      </c>
      <c r="I433" s="1">
        <v>213.5</v>
      </c>
      <c r="J433" s="5">
        <v>93.656959999999998</v>
      </c>
      <c r="K433" s="3">
        <f t="shared" si="78"/>
        <v>97.764539999999997</v>
      </c>
      <c r="L433" s="1">
        <f t="shared" si="82"/>
        <v>3.1680313643871201E-2</v>
      </c>
      <c r="N433" s="4">
        <v>225.02342999999999</v>
      </c>
      <c r="O433" s="1">
        <v>213.5</v>
      </c>
      <c r="P433" s="5">
        <v>100.47989</v>
      </c>
      <c r="Q433" s="3">
        <f t="shared" si="79"/>
        <v>100.61547</v>
      </c>
      <c r="R433" s="1">
        <f t="shared" si="84"/>
        <v>4.7466884478513747E-3</v>
      </c>
      <c r="T433" s="4">
        <v>250.00800000000001</v>
      </c>
      <c r="U433" s="1">
        <v>213.5</v>
      </c>
      <c r="V433" s="3">
        <v>91.128320000000002</v>
      </c>
      <c r="W433" s="3">
        <f t="shared" si="80"/>
        <v>95.285719999999998</v>
      </c>
      <c r="X433" s="1">
        <f t="shared" si="83"/>
        <v>6.4230601487072436E-2</v>
      </c>
      <c r="Z433" s="4">
        <v>250.01757000000001</v>
      </c>
      <c r="AA433" s="1">
        <v>213.5</v>
      </c>
      <c r="AB433" s="3">
        <v>98.843239999999994</v>
      </c>
      <c r="AC433" s="3">
        <f t="shared" si="81"/>
        <v>98.766499999999994</v>
      </c>
      <c r="AD433" s="1">
        <f t="shared" si="76"/>
        <v>2.761748009363663E-2</v>
      </c>
    </row>
    <row r="434" spans="2:30" x14ac:dyDescent="0.2">
      <c r="B434" s="2">
        <v>200.02647999999999</v>
      </c>
      <c r="C434" s="1">
        <v>214</v>
      </c>
      <c r="D434" s="3">
        <v>100.12027</v>
      </c>
      <c r="E434" s="3">
        <f t="shared" si="77"/>
        <v>100.83357000000001</v>
      </c>
      <c r="F434" s="1">
        <f t="shared" si="85"/>
        <v>2.3097027490474658E-3</v>
      </c>
      <c r="H434" s="4">
        <v>225.00406000000001</v>
      </c>
      <c r="I434" s="1">
        <v>214</v>
      </c>
      <c r="J434" s="3">
        <v>93.636039999999994</v>
      </c>
      <c r="K434" s="3">
        <f t="shared" si="78"/>
        <v>97.743619999999993</v>
      </c>
      <c r="L434" s="1">
        <f t="shared" si="82"/>
        <v>3.1932218713286893E-2</v>
      </c>
      <c r="N434" s="4">
        <v>225.02143000000001</v>
      </c>
      <c r="O434" s="1">
        <v>214</v>
      </c>
      <c r="P434" s="3">
        <v>100.49123</v>
      </c>
      <c r="Q434" s="3">
        <f t="shared" si="79"/>
        <v>100.62681000000001</v>
      </c>
      <c r="R434" s="1">
        <f t="shared" si="84"/>
        <v>4.610973035117134E-3</v>
      </c>
      <c r="T434" s="4">
        <v>250.01</v>
      </c>
      <c r="U434" s="1">
        <v>214</v>
      </c>
      <c r="V434" s="5">
        <v>91.162549999999996</v>
      </c>
      <c r="W434" s="3">
        <f t="shared" si="80"/>
        <v>95.319949999999992</v>
      </c>
      <c r="X434" s="1">
        <f t="shared" si="83"/>
        <v>6.3819396666040237E-2</v>
      </c>
      <c r="Z434" s="4">
        <v>250.01793000000001</v>
      </c>
      <c r="AA434" s="1">
        <v>214</v>
      </c>
      <c r="AB434" s="5">
        <v>98.839879999999994</v>
      </c>
      <c r="AC434" s="3">
        <f t="shared" si="81"/>
        <v>98.763139999999993</v>
      </c>
      <c r="AD434" s="1">
        <f t="shared" si="76"/>
        <v>2.7657666804901514E-2</v>
      </c>
    </row>
    <row r="435" spans="2:30" x14ac:dyDescent="0.2">
      <c r="B435" s="2">
        <v>200.02891</v>
      </c>
      <c r="C435" s="1">
        <v>214.5</v>
      </c>
      <c r="D435" s="5">
        <v>100.0926</v>
      </c>
      <c r="E435" s="3">
        <f t="shared" si="77"/>
        <v>100.80590000000001</v>
      </c>
      <c r="F435" s="1">
        <f t="shared" si="85"/>
        <v>2.6408056143782496E-3</v>
      </c>
      <c r="H435" s="4">
        <v>225.00595000000001</v>
      </c>
      <c r="I435" s="1">
        <v>214.5</v>
      </c>
      <c r="J435" s="5">
        <v>93.642700000000005</v>
      </c>
      <c r="K435" s="3">
        <f t="shared" si="78"/>
        <v>97.750280000000004</v>
      </c>
      <c r="L435" s="1">
        <f t="shared" si="82"/>
        <v>3.1852023313558839E-2</v>
      </c>
      <c r="N435" s="4">
        <v>225.01895999999999</v>
      </c>
      <c r="O435" s="1">
        <v>214.5</v>
      </c>
      <c r="P435" s="5">
        <v>100.54177</v>
      </c>
      <c r="Q435" s="3">
        <f t="shared" si="79"/>
        <v>100.67735</v>
      </c>
      <c r="R435" s="1">
        <f t="shared" si="84"/>
        <v>4.0061179240425543E-3</v>
      </c>
      <c r="T435" s="4">
        <v>250.00399999999999</v>
      </c>
      <c r="U435" s="1">
        <v>214.5</v>
      </c>
      <c r="V435" s="3">
        <v>91.094160000000002</v>
      </c>
      <c r="W435" s="3">
        <f t="shared" si="80"/>
        <v>95.251559999999998</v>
      </c>
      <c r="X435" s="1">
        <f t="shared" si="83"/>
        <v>6.464096539845024E-2</v>
      </c>
      <c r="Z435" s="4">
        <v>250.01776000000001</v>
      </c>
      <c r="AA435" s="1">
        <v>214.5</v>
      </c>
      <c r="AB435" s="3">
        <v>98.965050000000005</v>
      </c>
      <c r="AC435" s="3">
        <f t="shared" si="81"/>
        <v>98.888310000000004</v>
      </c>
      <c r="AD435" s="1">
        <f t="shared" si="76"/>
        <v>2.6160592206977314E-2</v>
      </c>
    </row>
    <row r="436" spans="2:30" x14ac:dyDescent="0.2">
      <c r="B436" s="2">
        <v>200.02466999999999</v>
      </c>
      <c r="C436" s="1">
        <v>215</v>
      </c>
      <c r="D436" s="3">
        <v>100.06283000000001</v>
      </c>
      <c r="E436" s="3">
        <f t="shared" si="77"/>
        <v>100.77613000000001</v>
      </c>
      <c r="F436" s="1">
        <f t="shared" si="85"/>
        <v>2.9970373563694671E-3</v>
      </c>
      <c r="H436" s="4">
        <v>225.00603000000001</v>
      </c>
      <c r="I436" s="1">
        <v>215</v>
      </c>
      <c r="J436" s="3">
        <v>93.604259999999996</v>
      </c>
      <c r="K436" s="3">
        <f t="shared" si="78"/>
        <v>97.711839999999995</v>
      </c>
      <c r="L436" s="1">
        <f t="shared" si="82"/>
        <v>3.2314892857934534E-2</v>
      </c>
      <c r="N436" s="4">
        <v>225.01861</v>
      </c>
      <c r="O436" s="1">
        <v>215</v>
      </c>
      <c r="P436" s="3">
        <v>100.54362999999999</v>
      </c>
      <c r="Q436" s="3">
        <f t="shared" si="79"/>
        <v>100.67921</v>
      </c>
      <c r="R436" s="1">
        <f t="shared" si="84"/>
        <v>3.983857724070357E-3</v>
      </c>
      <c r="T436" s="4">
        <v>250.00597999999999</v>
      </c>
      <c r="U436" s="1">
        <v>215</v>
      </c>
      <c r="V436" s="5">
        <v>91.104169999999996</v>
      </c>
      <c r="W436" s="3">
        <f t="shared" si="80"/>
        <v>95.261569999999992</v>
      </c>
      <c r="X436" s="1">
        <f t="shared" si="83"/>
        <v>6.4520715317862146E-2</v>
      </c>
      <c r="Z436" s="4">
        <v>250.01725999999999</v>
      </c>
      <c r="AA436" s="1">
        <v>215</v>
      </c>
      <c r="AB436" s="5">
        <v>98.951710000000006</v>
      </c>
      <c r="AC436" s="3">
        <f t="shared" si="81"/>
        <v>98.874970000000005</v>
      </c>
      <c r="AD436" s="1">
        <f t="shared" si="76"/>
        <v>2.6320143018963463E-2</v>
      </c>
    </row>
    <row r="437" spans="2:30" x14ac:dyDescent="0.2">
      <c r="B437" s="2">
        <v>200.02606</v>
      </c>
      <c r="C437" s="1">
        <v>215.5</v>
      </c>
      <c r="D437" s="5">
        <v>100.07343</v>
      </c>
      <c r="E437" s="3">
        <f t="shared" si="77"/>
        <v>100.78673000000001</v>
      </c>
      <c r="F437" s="1">
        <f t="shared" si="85"/>
        <v>2.8701963598929538E-3</v>
      </c>
      <c r="H437" s="4">
        <v>225.00391999999999</v>
      </c>
      <c r="I437" s="1">
        <v>215.5</v>
      </c>
      <c r="J437" s="5">
        <v>93.632660000000001</v>
      </c>
      <c r="K437" s="3">
        <f t="shared" si="78"/>
        <v>97.74024</v>
      </c>
      <c r="L437" s="1">
        <f t="shared" si="82"/>
        <v>3.1972918480716296E-2</v>
      </c>
      <c r="N437" s="4">
        <v>225.01657</v>
      </c>
      <c r="O437" s="1">
        <v>215.5</v>
      </c>
      <c r="P437" s="5">
        <v>100.38726</v>
      </c>
      <c r="Q437" s="3">
        <f t="shared" si="79"/>
        <v>100.52284</v>
      </c>
      <c r="R437" s="1">
        <f t="shared" si="84"/>
        <v>5.8552703421695463E-3</v>
      </c>
      <c r="T437" s="4">
        <v>250.01199</v>
      </c>
      <c r="U437" s="1">
        <v>215.5</v>
      </c>
      <c r="V437" s="3">
        <v>91.118300000000005</v>
      </c>
      <c r="W437" s="3">
        <f t="shared" si="80"/>
        <v>95.275700000000001</v>
      </c>
      <c r="X437" s="1">
        <f t="shared" si="83"/>
        <v>6.4350971697611212E-2</v>
      </c>
      <c r="Z437" s="4">
        <v>250.01392000000001</v>
      </c>
      <c r="AA437" s="1">
        <v>215.5</v>
      </c>
      <c r="AB437" s="3">
        <v>98.816820000000007</v>
      </c>
      <c r="AC437" s="3">
        <f t="shared" si="81"/>
        <v>98.740080000000006</v>
      </c>
      <c r="AD437" s="1">
        <f t="shared" si="76"/>
        <v>2.7933472031618053E-2</v>
      </c>
    </row>
    <row r="438" spans="2:30" x14ac:dyDescent="0.2">
      <c r="B438" s="2">
        <v>200.02742000000001</v>
      </c>
      <c r="C438" s="1">
        <v>216</v>
      </c>
      <c r="D438" s="3">
        <v>100.11321</v>
      </c>
      <c r="E438" s="3">
        <f t="shared" si="77"/>
        <v>100.82651</v>
      </c>
      <c r="F438" s="1">
        <f t="shared" si="85"/>
        <v>2.3941836391536656E-3</v>
      </c>
      <c r="H438" s="4">
        <v>225.00211999999999</v>
      </c>
      <c r="I438" s="1">
        <v>216</v>
      </c>
      <c r="J438" s="3">
        <v>93.60145</v>
      </c>
      <c r="K438" s="3">
        <f t="shared" si="78"/>
        <v>97.709029999999998</v>
      </c>
      <c r="L438" s="1">
        <f t="shared" si="82"/>
        <v>3.2348729055116994E-2</v>
      </c>
      <c r="N438" s="4">
        <v>225.01464999999999</v>
      </c>
      <c r="O438" s="1">
        <v>216</v>
      </c>
      <c r="P438" s="3">
        <v>100.54300000000001</v>
      </c>
      <c r="Q438" s="3">
        <f t="shared" si="79"/>
        <v>100.67858000000001</v>
      </c>
      <c r="R438" s="1">
        <f t="shared" si="84"/>
        <v>3.9913974692220985E-3</v>
      </c>
      <c r="T438" s="4">
        <v>250.00702999999999</v>
      </c>
      <c r="U438" s="1">
        <v>216</v>
      </c>
      <c r="V438" s="5">
        <v>91.088210000000004</v>
      </c>
      <c r="W438" s="3">
        <f t="shared" si="80"/>
        <v>95.245609999999999</v>
      </c>
      <c r="X438" s="1">
        <f t="shared" si="83"/>
        <v>6.4712442719079555E-2</v>
      </c>
      <c r="Z438" s="4">
        <v>250.01141000000001</v>
      </c>
      <c r="AA438" s="1">
        <v>216</v>
      </c>
      <c r="AB438" s="5">
        <v>98.883489999999995</v>
      </c>
      <c r="AC438" s="3">
        <f t="shared" si="81"/>
        <v>98.806749999999994</v>
      </c>
      <c r="AD438" s="1">
        <f t="shared" si="76"/>
        <v>2.7136076781609432E-2</v>
      </c>
    </row>
    <row r="439" spans="2:30" x14ac:dyDescent="0.2">
      <c r="B439" s="2">
        <v>200.02616</v>
      </c>
      <c r="C439" s="1">
        <v>216.5</v>
      </c>
      <c r="D439" s="5">
        <v>100.01105</v>
      </c>
      <c r="E439" s="3">
        <f t="shared" si="77"/>
        <v>100.72435</v>
      </c>
      <c r="F439" s="1">
        <f t="shared" si="85"/>
        <v>3.6166436580257837E-3</v>
      </c>
      <c r="H439" s="4">
        <v>225.00298000000001</v>
      </c>
      <c r="I439" s="1">
        <v>216.5</v>
      </c>
      <c r="J439" s="5">
        <v>93.598230000000001</v>
      </c>
      <c r="K439" s="3">
        <f t="shared" si="78"/>
        <v>97.70581</v>
      </c>
      <c r="L439" s="1">
        <f t="shared" si="82"/>
        <v>3.2387502206336787E-2</v>
      </c>
      <c r="N439" s="4">
        <v>225.01653999999999</v>
      </c>
      <c r="O439" s="1">
        <v>216.5</v>
      </c>
      <c r="P439" s="5">
        <v>100.54921</v>
      </c>
      <c r="Q439" s="3">
        <f t="shared" si="79"/>
        <v>100.68479000000001</v>
      </c>
      <c r="R439" s="1">
        <f t="shared" si="84"/>
        <v>3.9170771241534251E-3</v>
      </c>
      <c r="T439" s="4">
        <v>250.00403</v>
      </c>
      <c r="U439" s="1">
        <v>216.5</v>
      </c>
      <c r="V439" s="3">
        <v>91.084239999999994</v>
      </c>
      <c r="W439" s="3">
        <f t="shared" si="80"/>
        <v>95.24163999999999</v>
      </c>
      <c r="X439" s="1">
        <f t="shared" si="83"/>
        <v>6.476013430948277E-2</v>
      </c>
      <c r="Z439" s="4">
        <v>250.01364000000001</v>
      </c>
      <c r="AA439" s="1">
        <v>216.5</v>
      </c>
      <c r="AB439" s="3">
        <v>98.768709999999999</v>
      </c>
      <c r="AC439" s="3">
        <f t="shared" si="81"/>
        <v>98.691969999999998</v>
      </c>
      <c r="AD439" s="1">
        <f t="shared" si="76"/>
        <v>2.8508883543211398E-2</v>
      </c>
    </row>
    <row r="440" spans="2:30" x14ac:dyDescent="0.2">
      <c r="B440" s="2">
        <v>200.02629999999999</v>
      </c>
      <c r="C440" s="1">
        <v>217</v>
      </c>
      <c r="D440" s="3">
        <v>100.157</v>
      </c>
      <c r="E440" s="3">
        <f t="shared" si="77"/>
        <v>100.8703</v>
      </c>
      <c r="F440" s="1">
        <f t="shared" si="85"/>
        <v>1.8701867301245657E-3</v>
      </c>
      <c r="H440" s="4">
        <v>225.00404</v>
      </c>
      <c r="I440" s="1">
        <v>217</v>
      </c>
      <c r="J440" s="3">
        <v>93.604870000000005</v>
      </c>
      <c r="K440" s="3">
        <f t="shared" si="78"/>
        <v>97.712450000000004</v>
      </c>
      <c r="L440" s="1">
        <f t="shared" si="82"/>
        <v>3.2307547633635018E-2</v>
      </c>
      <c r="N440" s="4">
        <v>225.02006</v>
      </c>
      <c r="O440" s="1">
        <v>217</v>
      </c>
      <c r="P440" s="3">
        <v>100.59139999999999</v>
      </c>
      <c r="Q440" s="3">
        <f t="shared" si="79"/>
        <v>100.72698</v>
      </c>
      <c r="R440" s="1">
        <f t="shared" si="84"/>
        <v>3.4121535559652177E-3</v>
      </c>
      <c r="T440" s="4">
        <v>250.00404</v>
      </c>
      <c r="U440" s="1">
        <v>217</v>
      </c>
      <c r="V440" s="5">
        <v>91.068290000000005</v>
      </c>
      <c r="W440" s="3">
        <f t="shared" si="80"/>
        <v>95.22569</v>
      </c>
      <c r="X440" s="1">
        <f t="shared" si="83"/>
        <v>6.4951741580749511E-2</v>
      </c>
      <c r="Z440" s="4">
        <v>250.01213999999999</v>
      </c>
      <c r="AA440" s="1">
        <v>217</v>
      </c>
      <c r="AB440" s="5">
        <v>98.796970000000002</v>
      </c>
      <c r="AC440" s="3">
        <f t="shared" si="81"/>
        <v>98.720230000000001</v>
      </c>
      <c r="AD440" s="1">
        <f t="shared" si="76"/>
        <v>2.8170884596679973E-2</v>
      </c>
    </row>
    <row r="441" spans="2:30" x14ac:dyDescent="0.2">
      <c r="B441" s="2">
        <v>200.02126000000001</v>
      </c>
      <c r="C441" s="1">
        <v>217.5</v>
      </c>
      <c r="D441" s="5">
        <v>100.02413</v>
      </c>
      <c r="E441" s="3">
        <f t="shared" si="77"/>
        <v>100.73743</v>
      </c>
      <c r="F441" s="1">
        <f t="shared" si="85"/>
        <v>3.4601266548263876E-3</v>
      </c>
      <c r="H441" s="4">
        <v>225.00494</v>
      </c>
      <c r="I441" s="1">
        <v>217.5</v>
      </c>
      <c r="J441" s="5">
        <v>93.581659999999999</v>
      </c>
      <c r="K441" s="3">
        <f t="shared" si="78"/>
        <v>97.689239999999998</v>
      </c>
      <c r="L441" s="1">
        <f t="shared" si="82"/>
        <v>3.2587027397551781E-2</v>
      </c>
      <c r="N441" s="4">
        <v>225.01765</v>
      </c>
      <c r="O441" s="1">
        <v>217.5</v>
      </c>
      <c r="P441" s="5">
        <v>100.59465</v>
      </c>
      <c r="Q441" s="3">
        <f t="shared" si="79"/>
        <v>100.73023000000001</v>
      </c>
      <c r="R441" s="1">
        <f t="shared" si="84"/>
        <v>3.3732580452608737E-3</v>
      </c>
      <c r="T441" s="4">
        <v>250.00700000000001</v>
      </c>
      <c r="U441" s="1">
        <v>217.5</v>
      </c>
      <c r="V441" s="3">
        <v>91.059920000000005</v>
      </c>
      <c r="W441" s="3">
        <f t="shared" si="80"/>
        <v>95.217320000000001</v>
      </c>
      <c r="X441" s="1">
        <f t="shared" si="83"/>
        <v>6.5052290349433106E-2</v>
      </c>
      <c r="Z441" s="4">
        <v>250.00745000000001</v>
      </c>
      <c r="AA441" s="1">
        <v>217.5</v>
      </c>
      <c r="AB441" s="3">
        <v>98.85915</v>
      </c>
      <c r="AC441" s="3">
        <f t="shared" si="81"/>
        <v>98.782409999999999</v>
      </c>
      <c r="AD441" s="1">
        <f t="shared" si="76"/>
        <v>2.7427191231665073E-2</v>
      </c>
    </row>
    <row r="442" spans="2:30" x14ac:dyDescent="0.2">
      <c r="B442" s="2">
        <v>200.01815999999999</v>
      </c>
      <c r="C442" s="1">
        <v>218</v>
      </c>
      <c r="D442" s="3">
        <v>100.04761999999999</v>
      </c>
      <c r="E442" s="3">
        <f t="shared" si="77"/>
        <v>100.76092</v>
      </c>
      <c r="F442" s="1">
        <f t="shared" si="85"/>
        <v>3.1790422201817027E-3</v>
      </c>
      <c r="H442" s="4">
        <v>225.00601</v>
      </c>
      <c r="I442" s="1">
        <v>218</v>
      </c>
      <c r="J442" s="3">
        <v>93.5899</v>
      </c>
      <c r="K442" s="3">
        <f t="shared" si="78"/>
        <v>97.697479999999999</v>
      </c>
      <c r="L442" s="1">
        <f t="shared" si="82"/>
        <v>3.2487806662753256E-2</v>
      </c>
      <c r="N442" s="4">
        <v>225.01678999999999</v>
      </c>
      <c r="O442" s="1">
        <v>218</v>
      </c>
      <c r="P442" s="3">
        <v>100.41882</v>
      </c>
      <c r="Q442" s="3">
        <f t="shared" si="79"/>
        <v>100.5544</v>
      </c>
      <c r="R442" s="1">
        <f t="shared" si="84"/>
        <v>5.4775650136077367E-3</v>
      </c>
      <c r="T442" s="4">
        <v>249.99995999999999</v>
      </c>
      <c r="U442" s="1">
        <v>218</v>
      </c>
      <c r="V442" s="5">
        <v>91.035579999999996</v>
      </c>
      <c r="W442" s="3">
        <f t="shared" si="80"/>
        <v>95.192979999999991</v>
      </c>
      <c r="X442" s="1">
        <f t="shared" si="83"/>
        <v>6.5344686649284972E-2</v>
      </c>
      <c r="Z442" s="4">
        <v>250.01195999999999</v>
      </c>
      <c r="AA442" s="1">
        <v>218</v>
      </c>
      <c r="AB442" s="5">
        <v>98.828900000000004</v>
      </c>
      <c r="AC442" s="3">
        <f t="shared" si="81"/>
        <v>98.752160000000003</v>
      </c>
      <c r="AD442" s="1">
        <f t="shared" si="76"/>
        <v>2.778899123635626E-2</v>
      </c>
    </row>
    <row r="443" spans="2:30" x14ac:dyDescent="0.2">
      <c r="B443" s="2">
        <v>200.01745</v>
      </c>
      <c r="C443" s="1">
        <v>218.5</v>
      </c>
      <c r="D443" s="5">
        <v>100.0438</v>
      </c>
      <c r="E443" s="3">
        <f t="shared" si="77"/>
        <v>100.75710000000001</v>
      </c>
      <c r="F443" s="1">
        <f t="shared" si="85"/>
        <v>3.2247528434401194E-3</v>
      </c>
      <c r="H443" s="4">
        <v>225.00711000000001</v>
      </c>
      <c r="I443" s="1">
        <v>218.5</v>
      </c>
      <c r="J443" s="5">
        <v>93.610749999999996</v>
      </c>
      <c r="K443" s="3">
        <f t="shared" si="78"/>
        <v>97.718329999999995</v>
      </c>
      <c r="L443" s="1">
        <f t="shared" si="82"/>
        <v>3.2236744487929396E-2</v>
      </c>
      <c r="N443" s="4">
        <v>225.01714000000001</v>
      </c>
      <c r="O443" s="1">
        <v>218.5</v>
      </c>
      <c r="P443" s="5">
        <v>100.38005</v>
      </c>
      <c r="Q443" s="3">
        <f t="shared" si="79"/>
        <v>100.51563</v>
      </c>
      <c r="R443" s="1">
        <f t="shared" si="84"/>
        <v>5.9415585366857362E-3</v>
      </c>
      <c r="T443" s="4">
        <v>250.00398000000001</v>
      </c>
      <c r="U443" s="1">
        <v>218.5</v>
      </c>
      <c r="V443" s="3">
        <v>91.068119999999993</v>
      </c>
      <c r="W443" s="3">
        <f t="shared" si="80"/>
        <v>95.225519999999989</v>
      </c>
      <c r="X443" s="1">
        <f t="shared" si="83"/>
        <v>6.4953783789910485E-2</v>
      </c>
      <c r="Z443" s="4">
        <v>250.01202000000001</v>
      </c>
      <c r="AA443" s="1">
        <v>218.5</v>
      </c>
      <c r="AB443" s="3">
        <v>98.727599999999995</v>
      </c>
      <c r="AC443" s="3">
        <f t="shared" si="81"/>
        <v>98.650859999999994</v>
      </c>
      <c r="AD443" s="1">
        <f t="shared" si="76"/>
        <v>2.9000572739669522E-2</v>
      </c>
    </row>
    <row r="444" spans="2:30" x14ac:dyDescent="0.2">
      <c r="B444" s="2">
        <v>200.02021999999999</v>
      </c>
      <c r="C444" s="1">
        <v>219</v>
      </c>
      <c r="D444" s="3">
        <v>100.06928000000001</v>
      </c>
      <c r="E444" s="3">
        <f t="shared" si="77"/>
        <v>100.78258000000001</v>
      </c>
      <c r="F444" s="1">
        <f t="shared" si="85"/>
        <v>2.9198558066266468E-3</v>
      </c>
      <c r="H444" s="4">
        <v>225.00299999999999</v>
      </c>
      <c r="I444" s="1">
        <v>219</v>
      </c>
      <c r="J444" s="3">
        <v>93.533839999999998</v>
      </c>
      <c r="K444" s="3">
        <f t="shared" si="78"/>
        <v>97.641419999999997</v>
      </c>
      <c r="L444" s="1">
        <f t="shared" si="82"/>
        <v>3.3162844817219872E-2</v>
      </c>
      <c r="N444" s="4">
        <v>225.01178999999999</v>
      </c>
      <c r="O444" s="1">
        <v>219</v>
      </c>
      <c r="P444" s="3">
        <v>100.50015999999999</v>
      </c>
      <c r="Q444" s="3">
        <f t="shared" si="79"/>
        <v>100.63574</v>
      </c>
      <c r="R444" s="1">
        <f t="shared" si="84"/>
        <v>4.5041001395514126E-3</v>
      </c>
      <c r="T444" s="4">
        <v>250.00198</v>
      </c>
      <c r="U444" s="1">
        <v>219</v>
      </c>
      <c r="V444" s="5">
        <v>91.029889999999995</v>
      </c>
      <c r="W444" s="3">
        <f t="shared" si="80"/>
        <v>95.18728999999999</v>
      </c>
      <c r="X444" s="1">
        <f t="shared" si="83"/>
        <v>6.5413040591197749E-2</v>
      </c>
      <c r="Z444" s="4">
        <v>250.01133999999999</v>
      </c>
      <c r="AA444" s="1">
        <v>219</v>
      </c>
      <c r="AB444" s="5">
        <v>98.739450000000005</v>
      </c>
      <c r="AC444" s="3">
        <f t="shared" si="81"/>
        <v>98.662710000000004</v>
      </c>
      <c r="AD444" s="1">
        <f t="shared" si="76"/>
        <v>2.8858842820476308E-2</v>
      </c>
    </row>
    <row r="445" spans="2:30" x14ac:dyDescent="0.2">
      <c r="B445" s="2">
        <v>200.02076</v>
      </c>
      <c r="C445" s="1">
        <v>219.5</v>
      </c>
      <c r="D445" s="5">
        <v>99.998729999999995</v>
      </c>
      <c r="E445" s="3">
        <f t="shared" si="77"/>
        <v>100.71203</v>
      </c>
      <c r="F445" s="1">
        <f t="shared" si="85"/>
        <v>3.7640664011004505E-3</v>
      </c>
      <c r="H445" s="4">
        <v>225.00395</v>
      </c>
      <c r="I445" s="1">
        <v>219.5</v>
      </c>
      <c r="J445" s="5">
        <v>93.595510000000004</v>
      </c>
      <c r="K445" s="3">
        <f t="shared" si="78"/>
        <v>97.703090000000003</v>
      </c>
      <c r="L445" s="1">
        <f t="shared" si="82"/>
        <v>3.2420254681901309E-2</v>
      </c>
      <c r="N445" s="4">
        <v>225.01149000000001</v>
      </c>
      <c r="O445" s="1">
        <v>219.5</v>
      </c>
      <c r="P445" s="5">
        <v>100.45010000000001</v>
      </c>
      <c r="Q445" s="3">
        <f t="shared" si="79"/>
        <v>100.58568000000001</v>
      </c>
      <c r="R445" s="1">
        <f t="shared" si="84"/>
        <v>5.1032106828910895E-3</v>
      </c>
      <c r="T445" s="4">
        <v>250.00297</v>
      </c>
      <c r="U445" s="1">
        <v>219.5</v>
      </c>
      <c r="V445" s="3">
        <v>91.026089999999996</v>
      </c>
      <c r="W445" s="3">
        <f t="shared" si="80"/>
        <v>95.183489999999992</v>
      </c>
      <c r="X445" s="1">
        <f t="shared" si="83"/>
        <v>6.545868997243999E-2</v>
      </c>
      <c r="Z445" s="4">
        <v>250.01331999999999</v>
      </c>
      <c r="AA445" s="1">
        <v>219.5</v>
      </c>
      <c r="AB445" s="3">
        <v>98.795810000000003</v>
      </c>
      <c r="AC445" s="3">
        <f t="shared" si="81"/>
        <v>98.719070000000002</v>
      </c>
      <c r="AD445" s="1">
        <f t="shared" si="76"/>
        <v>2.8184758580330926E-2</v>
      </c>
    </row>
    <row r="446" spans="2:30" x14ac:dyDescent="0.2">
      <c r="B446" s="2">
        <v>200.01714999999999</v>
      </c>
      <c r="C446" s="1">
        <v>220</v>
      </c>
      <c r="D446" s="3">
        <v>100.04607</v>
      </c>
      <c r="E446" s="3">
        <f t="shared" si="77"/>
        <v>100.75937</v>
      </c>
      <c r="F446" s="1">
        <f t="shared" si="85"/>
        <v>3.1975897243833986E-3</v>
      </c>
      <c r="H446" s="4">
        <v>225.00303</v>
      </c>
      <c r="I446" s="1">
        <v>220</v>
      </c>
      <c r="J446" s="3">
        <v>93.573400000000007</v>
      </c>
      <c r="K446" s="3">
        <f t="shared" si="78"/>
        <v>97.680980000000005</v>
      </c>
      <c r="L446" s="1">
        <f t="shared" si="82"/>
        <v>3.2686488959376418E-2</v>
      </c>
      <c r="N446" s="4">
        <v>225.01156</v>
      </c>
      <c r="O446" s="1">
        <v>220</v>
      </c>
      <c r="P446" s="3">
        <v>100.56614999999999</v>
      </c>
      <c r="Q446" s="3">
        <f t="shared" si="79"/>
        <v>100.70173</v>
      </c>
      <c r="R446" s="1">
        <f t="shared" si="84"/>
        <v>3.7143417545135674E-3</v>
      </c>
      <c r="T446" s="4">
        <v>250.00398000000001</v>
      </c>
      <c r="U446" s="1">
        <v>220</v>
      </c>
      <c r="V446" s="5">
        <v>91.00779</v>
      </c>
      <c r="W446" s="3">
        <f t="shared" si="80"/>
        <v>95.165189999999996</v>
      </c>
      <c r="X446" s="1">
        <f t="shared" si="83"/>
        <v>6.5678527782106616E-2</v>
      </c>
      <c r="Z446" s="4">
        <v>250.01579000000001</v>
      </c>
      <c r="AA446" s="1">
        <v>220</v>
      </c>
      <c r="AB446" s="5">
        <v>98.787940000000006</v>
      </c>
      <c r="AC446" s="3">
        <f t="shared" si="81"/>
        <v>98.711200000000005</v>
      </c>
      <c r="AD446" s="1">
        <f t="shared" si="76"/>
        <v>2.8278886383204284E-2</v>
      </c>
    </row>
    <row r="447" spans="2:30" x14ac:dyDescent="0.2">
      <c r="B447" s="2">
        <v>200.01823999999999</v>
      </c>
      <c r="C447" s="1">
        <v>220.5</v>
      </c>
      <c r="D447" s="5">
        <v>99.933220000000006</v>
      </c>
      <c r="E447" s="3">
        <f t="shared" si="77"/>
        <v>100.64652000000001</v>
      </c>
      <c r="F447" s="1">
        <f t="shared" si="85"/>
        <v>4.5479676915889085E-3</v>
      </c>
      <c r="H447" s="4">
        <v>225.00703999999999</v>
      </c>
      <c r="I447" s="1">
        <v>220.5</v>
      </c>
      <c r="J447" s="5">
        <v>93.541550000000001</v>
      </c>
      <c r="K447" s="3">
        <f t="shared" si="78"/>
        <v>97.64913</v>
      </c>
      <c r="L447" s="1">
        <f t="shared" si="82"/>
        <v>3.3070005998615891E-2</v>
      </c>
      <c r="N447" s="4">
        <v>225.01401000000001</v>
      </c>
      <c r="O447" s="1">
        <v>220.5</v>
      </c>
      <c r="P447" s="5">
        <v>100.36019</v>
      </c>
      <c r="Q447" s="3">
        <f t="shared" si="79"/>
        <v>100.49577000000001</v>
      </c>
      <c r="R447" s="1">
        <f t="shared" si="84"/>
        <v>6.1792400267122131E-3</v>
      </c>
      <c r="T447" s="4">
        <v>250.01098999999999</v>
      </c>
      <c r="U447" s="1">
        <v>220.5</v>
      </c>
      <c r="V447" s="3">
        <v>91.009810000000002</v>
      </c>
      <c r="W447" s="3">
        <f t="shared" si="80"/>
        <v>95.167209999999997</v>
      </c>
      <c r="X447" s="1">
        <f t="shared" si="83"/>
        <v>6.5654261532077818E-2</v>
      </c>
      <c r="Z447" s="4">
        <v>250.01802000000001</v>
      </c>
      <c r="AA447" s="1">
        <v>220.5</v>
      </c>
      <c r="AB447" s="3">
        <v>98.813999999999993</v>
      </c>
      <c r="AC447" s="3">
        <f t="shared" si="81"/>
        <v>98.737259999999992</v>
      </c>
      <c r="AD447" s="1">
        <f t="shared" ref="AD447:AD510" si="86">($AC$62-AC447)/($AC$62*(1-$M$1))</f>
        <v>2.796720016428696E-2</v>
      </c>
    </row>
    <row r="448" spans="2:30" x14ac:dyDescent="0.2">
      <c r="B448" s="2">
        <v>200.01768000000001</v>
      </c>
      <c r="C448" s="1">
        <v>221</v>
      </c>
      <c r="D448" s="3">
        <v>100.1651</v>
      </c>
      <c r="E448" s="3">
        <f t="shared" si="77"/>
        <v>100.8784</v>
      </c>
      <c r="F448" s="1">
        <f t="shared" si="85"/>
        <v>1.773261063005703E-3</v>
      </c>
      <c r="H448" s="4">
        <v>225.00691</v>
      </c>
      <c r="I448" s="1">
        <v>221</v>
      </c>
      <c r="J448" s="3">
        <v>93.554569999999998</v>
      </c>
      <c r="K448" s="3">
        <f t="shared" si="78"/>
        <v>97.662149999999997</v>
      </c>
      <c r="L448" s="1">
        <f t="shared" si="82"/>
        <v>3.2913227604553223E-2</v>
      </c>
      <c r="N448" s="4">
        <v>225.01308</v>
      </c>
      <c r="O448" s="1">
        <v>221</v>
      </c>
      <c r="P448" s="3">
        <v>100.39018</v>
      </c>
      <c r="Q448" s="3">
        <f t="shared" si="79"/>
        <v>100.52576000000001</v>
      </c>
      <c r="R448" s="1">
        <f t="shared" si="84"/>
        <v>5.8203242217829271E-3</v>
      </c>
      <c r="T448" s="4">
        <v>250.00301999999999</v>
      </c>
      <c r="U448" s="1">
        <v>221</v>
      </c>
      <c r="V448" s="5">
        <v>90.966059999999999</v>
      </c>
      <c r="W448" s="3">
        <f t="shared" si="80"/>
        <v>95.123459999999994</v>
      </c>
      <c r="X448" s="1">
        <f t="shared" si="83"/>
        <v>6.6179830066117051E-2</v>
      </c>
      <c r="Z448" s="4">
        <v>250.01662999999999</v>
      </c>
      <c r="AA448" s="1">
        <v>221</v>
      </c>
      <c r="AB448" s="5">
        <v>98.647329999999997</v>
      </c>
      <c r="AC448" s="3">
        <f t="shared" si="81"/>
        <v>98.570589999999996</v>
      </c>
      <c r="AD448" s="1">
        <f t="shared" si="86"/>
        <v>2.9960628487655166E-2</v>
      </c>
    </row>
    <row r="449" spans="2:30" x14ac:dyDescent="0.2">
      <c r="B449" s="2">
        <v>200.01410999999999</v>
      </c>
      <c r="C449" s="1">
        <v>221.5</v>
      </c>
      <c r="D449" s="5">
        <v>100.16243</v>
      </c>
      <c r="E449" s="3">
        <f t="shared" si="77"/>
        <v>100.87573</v>
      </c>
      <c r="F449" s="1">
        <f t="shared" si="85"/>
        <v>1.8052106347596411E-3</v>
      </c>
      <c r="H449" s="4">
        <v>225.00799000000001</v>
      </c>
      <c r="I449" s="1">
        <v>221.5</v>
      </c>
      <c r="J449" s="5">
        <v>93.513350000000003</v>
      </c>
      <c r="K449" s="3">
        <f t="shared" si="78"/>
        <v>97.620930000000001</v>
      </c>
      <c r="L449" s="1">
        <f t="shared" si="82"/>
        <v>3.3409572105571946E-2</v>
      </c>
      <c r="N449" s="4">
        <v>225.01114999999999</v>
      </c>
      <c r="O449" s="1">
        <v>221.5</v>
      </c>
      <c r="P449" s="5">
        <v>100.44247</v>
      </c>
      <c r="Q449" s="3">
        <f t="shared" si="79"/>
        <v>100.57805</v>
      </c>
      <c r="R449" s="1">
        <f t="shared" si="84"/>
        <v>5.1945253741752778E-3</v>
      </c>
      <c r="T449" s="4">
        <v>250.00398000000001</v>
      </c>
      <c r="U449" s="1">
        <v>221.5</v>
      </c>
      <c r="V449" s="3">
        <v>90.96575</v>
      </c>
      <c r="W449" s="3">
        <f t="shared" si="80"/>
        <v>95.123149999999995</v>
      </c>
      <c r="X449" s="1">
        <f t="shared" si="83"/>
        <v>6.6183554094586802E-2</v>
      </c>
      <c r="Z449" s="4">
        <v>250.01920000000001</v>
      </c>
      <c r="AA449" s="1">
        <v>221.5</v>
      </c>
      <c r="AB449" s="3">
        <v>98.762020000000007</v>
      </c>
      <c r="AC449" s="3">
        <f t="shared" si="81"/>
        <v>98.685280000000006</v>
      </c>
      <c r="AD449" s="1">
        <f t="shared" si="86"/>
        <v>2.8588898155819054E-2</v>
      </c>
    </row>
    <row r="450" spans="2:30" x14ac:dyDescent="0.2">
      <c r="B450" s="2">
        <v>200.01179999999999</v>
      </c>
      <c r="C450" s="1">
        <v>222</v>
      </c>
      <c r="D450" s="3">
        <v>100.08356999999999</v>
      </c>
      <c r="E450" s="3">
        <f t="shared" si="77"/>
        <v>100.79687</v>
      </c>
      <c r="F450" s="1">
        <f t="shared" si="85"/>
        <v>2.7488597840182997E-3</v>
      </c>
      <c r="H450" s="4">
        <v>225.00792000000001</v>
      </c>
      <c r="I450" s="1">
        <v>222</v>
      </c>
      <c r="J450" s="3">
        <v>93.53904</v>
      </c>
      <c r="K450" s="3">
        <f t="shared" si="78"/>
        <v>97.646619999999999</v>
      </c>
      <c r="L450" s="1">
        <f t="shared" si="82"/>
        <v>3.310022979040525E-2</v>
      </c>
      <c r="N450" s="4">
        <v>225.01274000000001</v>
      </c>
      <c r="O450" s="1">
        <v>222</v>
      </c>
      <c r="P450" s="3">
        <v>100.51084</v>
      </c>
      <c r="Q450" s="3">
        <f t="shared" si="79"/>
        <v>100.64642000000001</v>
      </c>
      <c r="R450" s="1">
        <f t="shared" si="84"/>
        <v>4.3762835074524515E-3</v>
      </c>
      <c r="T450" s="4">
        <v>250.00498999999999</v>
      </c>
      <c r="U450" s="1">
        <v>222</v>
      </c>
      <c r="V450" s="5">
        <v>90.929469999999995</v>
      </c>
      <c r="W450" s="3">
        <f t="shared" si="80"/>
        <v>95.08686999999999</v>
      </c>
      <c r="X450" s="1">
        <f t="shared" si="83"/>
        <v>6.661938555549983E-2</v>
      </c>
      <c r="Z450" s="4">
        <v>250.0189</v>
      </c>
      <c r="AA450" s="1">
        <v>222</v>
      </c>
      <c r="AB450" s="5">
        <v>98.747739999999993</v>
      </c>
      <c r="AC450" s="3">
        <f t="shared" si="81"/>
        <v>98.670999999999992</v>
      </c>
      <c r="AD450" s="1">
        <f t="shared" si="86"/>
        <v>2.8759691678694948E-2</v>
      </c>
    </row>
    <row r="451" spans="2:30" x14ac:dyDescent="0.2">
      <c r="B451" s="2">
        <v>200.01093</v>
      </c>
      <c r="C451" s="1">
        <v>222.5</v>
      </c>
      <c r="D451" s="5">
        <v>100.18142</v>
      </c>
      <c r="E451" s="3">
        <f t="shared" si="77"/>
        <v>100.89472000000001</v>
      </c>
      <c r="F451" s="1">
        <f t="shared" si="85"/>
        <v>1.5779737929586934E-3</v>
      </c>
      <c r="H451" s="4">
        <v>225.00695999999999</v>
      </c>
      <c r="I451" s="1">
        <v>222.5</v>
      </c>
      <c r="J451" s="5">
        <v>93.538619999999995</v>
      </c>
      <c r="K451" s="3">
        <f t="shared" si="78"/>
        <v>97.646199999999993</v>
      </c>
      <c r="L451" s="1">
        <f t="shared" si="82"/>
        <v>3.3105287157955729E-2</v>
      </c>
      <c r="N451" s="4">
        <v>225.01249999999999</v>
      </c>
      <c r="O451" s="1">
        <v>222.5</v>
      </c>
      <c r="P451" s="5">
        <v>100.47586</v>
      </c>
      <c r="Q451" s="3">
        <f t="shared" si="79"/>
        <v>100.61144</v>
      </c>
      <c r="R451" s="1">
        <f t="shared" si="84"/>
        <v>4.794918881124639E-3</v>
      </c>
      <c r="T451" s="4">
        <v>250.00196</v>
      </c>
      <c r="U451" s="1">
        <v>222.5</v>
      </c>
      <c r="V451" s="3">
        <v>90.93956</v>
      </c>
      <c r="W451" s="3">
        <f t="shared" si="80"/>
        <v>95.096959999999996</v>
      </c>
      <c r="X451" s="1">
        <f t="shared" si="83"/>
        <v>6.6498174435306492E-2</v>
      </c>
      <c r="Z451" s="4">
        <v>250.01612</v>
      </c>
      <c r="AA451" s="1">
        <v>222.5</v>
      </c>
      <c r="AB451" s="3">
        <v>98.755279999999999</v>
      </c>
      <c r="AC451" s="3">
        <f t="shared" si="81"/>
        <v>98.678539999999998</v>
      </c>
      <c r="AD451" s="1">
        <f t="shared" si="86"/>
        <v>2.8669510784963572E-2</v>
      </c>
    </row>
    <row r="452" spans="2:30" x14ac:dyDescent="0.2">
      <c r="B452" s="2">
        <v>200.01195999999999</v>
      </c>
      <c r="C452" s="1">
        <v>223</v>
      </c>
      <c r="D452" s="3">
        <v>100.0873</v>
      </c>
      <c r="E452" s="3">
        <f t="shared" si="77"/>
        <v>100.8006</v>
      </c>
      <c r="F452" s="1">
        <f t="shared" si="85"/>
        <v>2.7042261126165915E-3</v>
      </c>
      <c r="H452" s="4">
        <v>225.00899999999999</v>
      </c>
      <c r="I452" s="1">
        <v>223</v>
      </c>
      <c r="J452" s="3">
        <v>93.529160000000005</v>
      </c>
      <c r="K452" s="3">
        <f t="shared" si="78"/>
        <v>97.636740000000003</v>
      </c>
      <c r="L452" s="1">
        <f t="shared" si="82"/>
        <v>3.321919834135293E-2</v>
      </c>
      <c r="N452" s="4">
        <v>225.00869</v>
      </c>
      <c r="O452" s="1">
        <v>223</v>
      </c>
      <c r="P452" s="3">
        <v>100.57903</v>
      </c>
      <c r="Q452" s="3">
        <f t="shared" si="79"/>
        <v>100.71461000000001</v>
      </c>
      <c r="R452" s="1">
        <f t="shared" si="84"/>
        <v>3.5601958536301721E-3</v>
      </c>
      <c r="T452" s="4">
        <v>250.00498999999999</v>
      </c>
      <c r="U452" s="1">
        <v>223</v>
      </c>
      <c r="V452" s="5">
        <v>90.939719999999994</v>
      </c>
      <c r="W452" s="3">
        <f t="shared" si="80"/>
        <v>95.09711999999999</v>
      </c>
      <c r="X452" s="1">
        <f t="shared" si="83"/>
        <v>6.6496252356096366E-2</v>
      </c>
      <c r="Z452" s="4">
        <v>250.01352</v>
      </c>
      <c r="AA452" s="1">
        <v>223</v>
      </c>
      <c r="AB452" s="5">
        <v>98.657110000000003</v>
      </c>
      <c r="AC452" s="3">
        <f t="shared" si="81"/>
        <v>98.580370000000002</v>
      </c>
      <c r="AD452" s="1">
        <f t="shared" si="86"/>
        <v>2.9843656453080531E-2</v>
      </c>
    </row>
    <row r="453" spans="2:30" x14ac:dyDescent="0.2">
      <c r="B453" s="2">
        <v>200.01097999999999</v>
      </c>
      <c r="C453" s="1">
        <v>223.5</v>
      </c>
      <c r="D453" s="5">
        <v>100.17513</v>
      </c>
      <c r="E453" s="3">
        <f t="shared" si="77"/>
        <v>100.88843</v>
      </c>
      <c r="F453" s="1">
        <f t="shared" si="85"/>
        <v>1.6532407616226946E-3</v>
      </c>
      <c r="H453" s="4">
        <v>225.01104000000001</v>
      </c>
      <c r="I453" s="1">
        <v>223.5</v>
      </c>
      <c r="J453" s="5">
        <v>93.527990000000003</v>
      </c>
      <c r="K453" s="3">
        <f t="shared" si="78"/>
        <v>97.635570000000001</v>
      </c>
      <c r="L453" s="1">
        <f t="shared" si="82"/>
        <v>3.3233286722386242E-2</v>
      </c>
      <c r="N453" s="4">
        <v>225.01131000000001</v>
      </c>
      <c r="O453" s="1">
        <v>223.5</v>
      </c>
      <c r="P453" s="5">
        <v>100.43971000000001</v>
      </c>
      <c r="Q453" s="3">
        <f t="shared" si="79"/>
        <v>100.57529000000001</v>
      </c>
      <c r="R453" s="1">
        <f t="shared" si="84"/>
        <v>5.227556638650206E-3</v>
      </c>
      <c r="T453" s="4">
        <v>250.00402</v>
      </c>
      <c r="U453" s="1">
        <v>223.5</v>
      </c>
      <c r="V453" s="3">
        <v>90.917720000000003</v>
      </c>
      <c r="W453" s="3">
        <f t="shared" si="80"/>
        <v>95.075119999999998</v>
      </c>
      <c r="X453" s="1">
        <f t="shared" si="83"/>
        <v>6.6760538247498821E-2</v>
      </c>
      <c r="Z453" s="4">
        <v>250.01411999999999</v>
      </c>
      <c r="AA453" s="1">
        <v>223.5</v>
      </c>
      <c r="AB453" s="3">
        <v>98.745339999999999</v>
      </c>
      <c r="AC453" s="3">
        <f t="shared" si="81"/>
        <v>98.668599999999998</v>
      </c>
      <c r="AD453" s="1">
        <f t="shared" si="86"/>
        <v>2.878839647245551E-2</v>
      </c>
    </row>
    <row r="454" spans="2:30" x14ac:dyDescent="0.2">
      <c r="B454" s="2">
        <v>200.00829999999999</v>
      </c>
      <c r="C454" s="1">
        <v>224</v>
      </c>
      <c r="D454" s="3">
        <v>100.15209</v>
      </c>
      <c r="E454" s="3">
        <f t="shared" si="77"/>
        <v>100.86539</v>
      </c>
      <c r="F454" s="1">
        <f t="shared" si="85"/>
        <v>1.9289404369829887E-3</v>
      </c>
      <c r="H454" s="4">
        <v>225.00396000000001</v>
      </c>
      <c r="I454" s="1">
        <v>224</v>
      </c>
      <c r="J454" s="3">
        <v>93.517679999999999</v>
      </c>
      <c r="K454" s="3">
        <f t="shared" si="78"/>
        <v>97.625259999999997</v>
      </c>
      <c r="L454" s="1">
        <f t="shared" si="82"/>
        <v>3.3357433054397534E-2</v>
      </c>
      <c r="N454" s="4">
        <v>225.01437000000001</v>
      </c>
      <c r="O454" s="1">
        <v>224</v>
      </c>
      <c r="P454" s="3">
        <v>100.54609000000001</v>
      </c>
      <c r="Q454" s="3">
        <f t="shared" si="79"/>
        <v>100.68167000000001</v>
      </c>
      <c r="R454" s="1">
        <f t="shared" si="84"/>
        <v>3.9544168144294454E-3</v>
      </c>
      <c r="T454" s="4">
        <v>250.00404</v>
      </c>
      <c r="U454" s="1">
        <v>224</v>
      </c>
      <c r="V454" s="5">
        <v>90.911739999999995</v>
      </c>
      <c r="W454" s="3">
        <f t="shared" si="80"/>
        <v>95.06913999999999</v>
      </c>
      <c r="X454" s="1">
        <f t="shared" si="83"/>
        <v>6.6832375957980167E-2</v>
      </c>
      <c r="Z454" s="4">
        <v>250.01361</v>
      </c>
      <c r="AA454" s="1">
        <v>224</v>
      </c>
      <c r="AB454" s="5">
        <v>98.726839999999996</v>
      </c>
      <c r="AC454" s="3">
        <f t="shared" si="81"/>
        <v>98.650099999999995</v>
      </c>
      <c r="AD454" s="1">
        <f t="shared" si="86"/>
        <v>2.9009662591027052E-2</v>
      </c>
    </row>
    <row r="455" spans="2:30" x14ac:dyDescent="0.2">
      <c r="B455" s="2">
        <v>200.01031</v>
      </c>
      <c r="C455" s="1">
        <v>224.5</v>
      </c>
      <c r="D455" s="5">
        <v>100.10651</v>
      </c>
      <c r="E455" s="3">
        <f t="shared" ref="E455:E485" si="87">100-($D$6-D455)</f>
        <v>100.81981</v>
      </c>
      <c r="F455" s="1">
        <f t="shared" si="85"/>
        <v>2.4743567218321826E-3</v>
      </c>
      <c r="H455" s="4">
        <v>225.00390999999999</v>
      </c>
      <c r="I455" s="1">
        <v>224.5</v>
      </c>
      <c r="J455" s="5">
        <v>93.507409999999993</v>
      </c>
      <c r="K455" s="3">
        <f t="shared" ref="K455:K485" si="88">100-($J$6-J455)</f>
        <v>97.614989999999992</v>
      </c>
      <c r="L455" s="1">
        <f t="shared" si="82"/>
        <v>3.3481097732356427E-2</v>
      </c>
      <c r="N455" s="4">
        <v>225.01340999999999</v>
      </c>
      <c r="O455" s="1">
        <v>224.5</v>
      </c>
      <c r="P455" s="5">
        <v>100.47823</v>
      </c>
      <c r="Q455" s="3">
        <f t="shared" ref="Q455:Q485" si="89">100-($P$6-P455)</f>
        <v>100.61381</v>
      </c>
      <c r="R455" s="1">
        <f t="shared" si="84"/>
        <v>4.7665550779341708E-3</v>
      </c>
      <c r="T455" s="4">
        <v>250.01501999999999</v>
      </c>
      <c r="U455" s="1">
        <v>224.5</v>
      </c>
      <c r="V455" s="3">
        <v>90.909670000000006</v>
      </c>
      <c r="W455" s="3">
        <f t="shared" ref="W455:W518" si="90">100-($V$6-V455)</f>
        <v>95.067070000000001</v>
      </c>
      <c r="X455" s="1">
        <f t="shared" si="83"/>
        <v>6.6857242857762011E-2</v>
      </c>
      <c r="Z455" s="4">
        <v>250.01039</v>
      </c>
      <c r="AA455" s="1">
        <v>224.5</v>
      </c>
      <c r="AB455" s="3">
        <v>98.797420000000002</v>
      </c>
      <c r="AC455" s="3">
        <f t="shared" ref="AC455:AC518" si="91">100-($AB$6-AB455)</f>
        <v>98.720680000000002</v>
      </c>
      <c r="AD455" s="1">
        <f t="shared" si="86"/>
        <v>2.8165502447849846E-2</v>
      </c>
    </row>
    <row r="456" spans="2:30" x14ac:dyDescent="0.2">
      <c r="B456" s="2">
        <v>200.01327000000001</v>
      </c>
      <c r="C456" s="1">
        <v>225</v>
      </c>
      <c r="D456" s="3">
        <v>100.04470999999999</v>
      </c>
      <c r="E456" s="3">
        <f t="shared" si="87"/>
        <v>100.75801</v>
      </c>
      <c r="F456" s="1">
        <f t="shared" si="85"/>
        <v>3.2138636635540394E-3</v>
      </c>
      <c r="H456" s="4">
        <v>225.00298000000001</v>
      </c>
      <c r="I456" s="1">
        <v>225</v>
      </c>
      <c r="J456" s="3">
        <v>93.523629999999997</v>
      </c>
      <c r="K456" s="3">
        <f t="shared" si="88"/>
        <v>97.631209999999996</v>
      </c>
      <c r="L456" s="1">
        <f t="shared" si="82"/>
        <v>3.3285787014100079E-2</v>
      </c>
      <c r="N456" s="4">
        <v>225.01256000000001</v>
      </c>
      <c r="O456" s="1">
        <v>225</v>
      </c>
      <c r="P456" s="3">
        <v>100.47837</v>
      </c>
      <c r="Q456" s="3">
        <f t="shared" si="89"/>
        <v>100.61395</v>
      </c>
      <c r="R456" s="1">
        <f t="shared" si="84"/>
        <v>4.7648795790115042E-3</v>
      </c>
      <c r="T456" s="4">
        <v>250.01401000000001</v>
      </c>
      <c r="U456" s="1">
        <v>225</v>
      </c>
      <c r="V456" s="5">
        <v>90.917760000000001</v>
      </c>
      <c r="W456" s="3">
        <f t="shared" si="90"/>
        <v>95.075159999999997</v>
      </c>
      <c r="X456" s="1">
        <f t="shared" si="83"/>
        <v>6.676005772769629E-2</v>
      </c>
      <c r="Z456" s="4">
        <v>250.01132000000001</v>
      </c>
      <c r="AA456" s="1">
        <v>225</v>
      </c>
      <c r="AB456" s="5">
        <v>98.655259999999998</v>
      </c>
      <c r="AC456" s="3">
        <f t="shared" si="91"/>
        <v>98.578519999999997</v>
      </c>
      <c r="AD456" s="1">
        <f t="shared" si="86"/>
        <v>2.9865783064937736E-2</v>
      </c>
    </row>
    <row r="457" spans="2:30" x14ac:dyDescent="0.2">
      <c r="B457" s="2">
        <v>200.01342</v>
      </c>
      <c r="C457" s="1">
        <v>225.5</v>
      </c>
      <c r="D457" s="5">
        <v>100.10699</v>
      </c>
      <c r="E457" s="3">
        <f t="shared" si="87"/>
        <v>100.82029</v>
      </c>
      <c r="F457" s="1">
        <f t="shared" si="85"/>
        <v>2.468612978595556E-3</v>
      </c>
      <c r="H457" s="4">
        <v>225.00509</v>
      </c>
      <c r="I457" s="1">
        <v>225.5</v>
      </c>
      <c r="J457" s="5">
        <v>93.505350000000007</v>
      </c>
      <c r="K457" s="3">
        <f t="shared" si="88"/>
        <v>97.612930000000006</v>
      </c>
      <c r="L457" s="1">
        <f t="shared" si="82"/>
        <v>3.3505902916055888E-2</v>
      </c>
      <c r="N457" s="4">
        <v>225.01437000000001</v>
      </c>
      <c r="O457" s="1">
        <v>225.5</v>
      </c>
      <c r="P457" s="5">
        <v>100.70544</v>
      </c>
      <c r="Q457" s="3">
        <f t="shared" si="89"/>
        <v>100.84102</v>
      </c>
      <c r="R457" s="1">
        <f t="shared" si="84"/>
        <v>2.0473400049769016E-3</v>
      </c>
      <c r="T457" s="4">
        <v>250.00899999999999</v>
      </c>
      <c r="U457" s="1">
        <v>225.5</v>
      </c>
      <c r="V457" s="3">
        <v>90.885530000000003</v>
      </c>
      <c r="W457" s="3">
        <f t="shared" si="90"/>
        <v>95.042929999999998</v>
      </c>
      <c r="X457" s="1">
        <f t="shared" si="83"/>
        <v>6.7147236558601039E-2</v>
      </c>
      <c r="Z457" s="4">
        <v>250.01411999999999</v>
      </c>
      <c r="AA457" s="1">
        <v>225.5</v>
      </c>
      <c r="AB457" s="3">
        <v>98.771320000000003</v>
      </c>
      <c r="AC457" s="3">
        <f t="shared" si="91"/>
        <v>98.694580000000002</v>
      </c>
      <c r="AD457" s="1">
        <f t="shared" si="86"/>
        <v>2.8477667079996667E-2</v>
      </c>
    </row>
    <row r="458" spans="2:30" x14ac:dyDescent="0.2">
      <c r="B458" s="2">
        <v>200.01625999999999</v>
      </c>
      <c r="C458" s="1">
        <v>226</v>
      </c>
      <c r="D458" s="3">
        <v>100.26112999999999</v>
      </c>
      <c r="E458" s="3">
        <f t="shared" si="87"/>
        <v>100.97443</v>
      </c>
      <c r="F458" s="1">
        <f t="shared" si="85"/>
        <v>6.2415343171859687E-4</v>
      </c>
      <c r="H458" s="4">
        <v>225.00501</v>
      </c>
      <c r="I458" s="1">
        <v>226</v>
      </c>
      <c r="J458" s="3">
        <v>93.497259999999997</v>
      </c>
      <c r="K458" s="3">
        <f t="shared" si="88"/>
        <v>97.604839999999996</v>
      </c>
      <c r="L458" s="1">
        <f t="shared" si="82"/>
        <v>3.3603317448157949E-2</v>
      </c>
      <c r="N458" s="4">
        <v>225.01730000000001</v>
      </c>
      <c r="O458" s="1">
        <v>226</v>
      </c>
      <c r="P458" s="3">
        <v>100.45914999999999</v>
      </c>
      <c r="Q458" s="3">
        <f t="shared" si="89"/>
        <v>100.59473</v>
      </c>
      <c r="R458" s="1">
        <f t="shared" si="84"/>
        <v>4.9949016453917274E-3</v>
      </c>
      <c r="T458" s="4">
        <v>250.00102999999999</v>
      </c>
      <c r="U458" s="1">
        <v>226</v>
      </c>
      <c r="V458" s="5">
        <v>90.845420000000004</v>
      </c>
      <c r="W458" s="3">
        <f t="shared" si="90"/>
        <v>95.00282</v>
      </c>
      <c r="X458" s="1">
        <f t="shared" si="83"/>
        <v>6.7629077790608158E-2</v>
      </c>
      <c r="Z458" s="4">
        <v>250.017</v>
      </c>
      <c r="AA458" s="1">
        <v>226</v>
      </c>
      <c r="AB458" s="5">
        <v>98.691429999999997</v>
      </c>
      <c r="AC458" s="3">
        <f t="shared" si="91"/>
        <v>98.614689999999996</v>
      </c>
      <c r="AD458" s="1">
        <f t="shared" si="86"/>
        <v>2.9433177902303629E-2</v>
      </c>
    </row>
    <row r="459" spans="2:30" x14ac:dyDescent="0.2">
      <c r="B459" s="2">
        <v>200.01465999999999</v>
      </c>
      <c r="C459" s="1">
        <v>226.5</v>
      </c>
      <c r="D459" s="5">
        <v>100.02475</v>
      </c>
      <c r="E459" s="3">
        <f t="shared" si="87"/>
        <v>100.73805</v>
      </c>
      <c r="F459" s="1">
        <f t="shared" si="85"/>
        <v>3.4527076531457091E-3</v>
      </c>
      <c r="H459" s="4">
        <v>225.00394</v>
      </c>
      <c r="I459" s="1">
        <v>226.5</v>
      </c>
      <c r="J459" s="5">
        <v>93.499009999999998</v>
      </c>
      <c r="K459" s="3">
        <f t="shared" si="88"/>
        <v>97.606589999999997</v>
      </c>
      <c r="L459" s="1">
        <f t="shared" si="82"/>
        <v>3.3582245083364555E-2</v>
      </c>
      <c r="N459" s="4">
        <v>225.01824999999999</v>
      </c>
      <c r="O459" s="1">
        <v>226.5</v>
      </c>
      <c r="P459" s="5">
        <v>100.4314</v>
      </c>
      <c r="Q459" s="3">
        <f t="shared" si="89"/>
        <v>100.56698</v>
      </c>
      <c r="R459" s="1">
        <f t="shared" si="84"/>
        <v>5.3270094675586981E-3</v>
      </c>
      <c r="T459" s="4">
        <v>250.00497999999999</v>
      </c>
      <c r="U459" s="1">
        <v>226.5</v>
      </c>
      <c r="V459" s="3">
        <v>90.851439999999997</v>
      </c>
      <c r="W459" s="3">
        <f t="shared" si="90"/>
        <v>95.008839999999992</v>
      </c>
      <c r="X459" s="1">
        <f t="shared" si="83"/>
        <v>6.7556759560324461E-2</v>
      </c>
      <c r="Z459" s="4">
        <v>250.01918000000001</v>
      </c>
      <c r="AA459" s="1">
        <v>226.5</v>
      </c>
      <c r="AB459" s="3">
        <v>98.718860000000006</v>
      </c>
      <c r="AC459" s="3">
        <f t="shared" si="91"/>
        <v>98.642120000000006</v>
      </c>
      <c r="AD459" s="1">
        <f t="shared" si="86"/>
        <v>2.9105106030281009E-2</v>
      </c>
    </row>
    <row r="460" spans="2:30" x14ac:dyDescent="0.2">
      <c r="B460" s="2">
        <v>200.01300000000001</v>
      </c>
      <c r="C460" s="1">
        <v>227</v>
      </c>
      <c r="D460" s="3">
        <v>100.0782</v>
      </c>
      <c r="E460" s="3">
        <f t="shared" si="87"/>
        <v>100.7915</v>
      </c>
      <c r="F460" s="1">
        <f t="shared" si="85"/>
        <v>2.8131179114785822E-3</v>
      </c>
      <c r="H460" s="4">
        <v>225.00809000000001</v>
      </c>
      <c r="I460" s="1">
        <v>227</v>
      </c>
      <c r="J460" s="3">
        <v>93.493279999999999</v>
      </c>
      <c r="K460" s="3">
        <f t="shared" si="88"/>
        <v>97.600859999999997</v>
      </c>
      <c r="L460" s="1">
        <f t="shared" si="82"/>
        <v>3.3651242026373714E-2</v>
      </c>
      <c r="N460" s="4">
        <v>225.01472999999999</v>
      </c>
      <c r="O460" s="1">
        <v>227</v>
      </c>
      <c r="P460" s="3">
        <v>100.54611</v>
      </c>
      <c r="Q460" s="3">
        <f t="shared" si="89"/>
        <v>100.68169</v>
      </c>
      <c r="R460" s="1">
        <f t="shared" si="84"/>
        <v>3.9541774574405903E-3</v>
      </c>
      <c r="T460" s="4">
        <v>250.00397000000001</v>
      </c>
      <c r="U460" s="1">
        <v>227</v>
      </c>
      <c r="V460" s="5">
        <v>90.853369999999998</v>
      </c>
      <c r="W460" s="3">
        <f t="shared" si="90"/>
        <v>95.010769999999994</v>
      </c>
      <c r="X460" s="1">
        <f t="shared" si="83"/>
        <v>6.7533574479851394E-2</v>
      </c>
      <c r="Z460" s="4">
        <v>250.02034</v>
      </c>
      <c r="AA460" s="1">
        <v>227</v>
      </c>
      <c r="AB460" s="5">
        <v>98.643820000000005</v>
      </c>
      <c r="AC460" s="3">
        <f t="shared" si="91"/>
        <v>98.567080000000004</v>
      </c>
      <c r="AD460" s="1">
        <f t="shared" si="86"/>
        <v>3.0002609248529981E-2</v>
      </c>
    </row>
    <row r="461" spans="2:30" x14ac:dyDescent="0.2">
      <c r="B461" s="2">
        <v>200.01166000000001</v>
      </c>
      <c r="C461" s="1">
        <v>227.5</v>
      </c>
      <c r="D461" s="5">
        <v>100.18183000000001</v>
      </c>
      <c r="E461" s="3">
        <f t="shared" si="87"/>
        <v>100.89513000000001</v>
      </c>
      <c r="F461" s="1">
        <f t="shared" si="85"/>
        <v>1.5730676789440074E-3</v>
      </c>
      <c r="H461" s="4">
        <v>225.00599</v>
      </c>
      <c r="I461" s="1">
        <v>227.5</v>
      </c>
      <c r="J461" s="5">
        <v>93.457790000000003</v>
      </c>
      <c r="K461" s="3">
        <f t="shared" si="88"/>
        <v>97.565370000000001</v>
      </c>
      <c r="L461" s="1">
        <f t="shared" si="82"/>
        <v>3.4078589584383284E-2</v>
      </c>
      <c r="N461" s="4">
        <v>225.01143999999999</v>
      </c>
      <c r="O461" s="1">
        <v>227.5</v>
      </c>
      <c r="P461" s="5">
        <v>100.51056</v>
      </c>
      <c r="Q461" s="3">
        <f t="shared" si="89"/>
        <v>100.64614</v>
      </c>
      <c r="R461" s="1">
        <f t="shared" si="84"/>
        <v>4.379634505297784E-3</v>
      </c>
      <c r="T461" s="4">
        <v>250.00399999999999</v>
      </c>
      <c r="U461" s="1">
        <v>227.5</v>
      </c>
      <c r="V461" s="3">
        <v>90.815389999999994</v>
      </c>
      <c r="W461" s="3">
        <f t="shared" si="90"/>
        <v>94.972789999999989</v>
      </c>
      <c r="X461" s="1">
        <f t="shared" si="83"/>
        <v>6.7989828032372787E-2</v>
      </c>
      <c r="Z461" s="4">
        <v>250.02200999999999</v>
      </c>
      <c r="AA461" s="1">
        <v>227.5</v>
      </c>
      <c r="AB461" s="3">
        <v>98.634420000000006</v>
      </c>
      <c r="AC461" s="3">
        <f t="shared" si="91"/>
        <v>98.557680000000005</v>
      </c>
      <c r="AD461" s="1">
        <f t="shared" si="86"/>
        <v>3.0115036357425764E-2</v>
      </c>
    </row>
    <row r="462" spans="2:30" x14ac:dyDescent="0.2">
      <c r="B462" s="2">
        <v>200.01258000000001</v>
      </c>
      <c r="C462" s="1">
        <v>228</v>
      </c>
      <c r="D462" s="3">
        <v>100.05172</v>
      </c>
      <c r="E462" s="3">
        <f t="shared" si="87"/>
        <v>100.76502000000001</v>
      </c>
      <c r="F462" s="1">
        <f t="shared" si="85"/>
        <v>3.1299810800350129E-3</v>
      </c>
      <c r="H462" s="4">
        <v>225.00791000000001</v>
      </c>
      <c r="I462" s="1">
        <v>228</v>
      </c>
      <c r="J462" s="3">
        <v>93.474249999999998</v>
      </c>
      <c r="K462" s="3">
        <f t="shared" si="88"/>
        <v>97.581829999999997</v>
      </c>
      <c r="L462" s="1">
        <f t="shared" si="82"/>
        <v>3.3880388941812528E-2</v>
      </c>
      <c r="N462" s="4">
        <v>225.01143999999999</v>
      </c>
      <c r="O462" s="1">
        <v>228</v>
      </c>
      <c r="P462" s="3">
        <v>100.51737</v>
      </c>
      <c r="Q462" s="3">
        <f t="shared" si="89"/>
        <v>100.65295</v>
      </c>
      <c r="R462" s="1">
        <f t="shared" si="84"/>
        <v>4.2981334505605663E-3</v>
      </c>
      <c r="T462" s="4">
        <v>250.00397000000001</v>
      </c>
      <c r="U462" s="1">
        <v>228</v>
      </c>
      <c r="V462" s="5">
        <v>90.795190000000005</v>
      </c>
      <c r="W462" s="3">
        <f t="shared" si="90"/>
        <v>94.952590000000001</v>
      </c>
      <c r="X462" s="1">
        <f t="shared" si="83"/>
        <v>6.8232490532660464E-2</v>
      </c>
      <c r="Z462" s="4">
        <v>250.02261999999999</v>
      </c>
      <c r="AA462" s="1">
        <v>228</v>
      </c>
      <c r="AB462" s="5">
        <v>98.696430000000007</v>
      </c>
      <c r="AC462" s="3">
        <f t="shared" si="91"/>
        <v>98.619690000000006</v>
      </c>
      <c r="AD462" s="1">
        <f t="shared" si="86"/>
        <v>2.9373376248635539E-2</v>
      </c>
    </row>
    <row r="463" spans="2:30" x14ac:dyDescent="0.2">
      <c r="B463" s="2">
        <v>200.01093</v>
      </c>
      <c r="C463" s="1">
        <v>228.5</v>
      </c>
      <c r="D463" s="5">
        <v>100.10908000000001</v>
      </c>
      <c r="E463" s="3">
        <f t="shared" si="87"/>
        <v>100.82238000000001</v>
      </c>
      <c r="F463" s="1">
        <f t="shared" si="85"/>
        <v>2.4436037632524213E-3</v>
      </c>
      <c r="H463" s="4">
        <v>225.00792000000001</v>
      </c>
      <c r="I463" s="1">
        <v>228.5</v>
      </c>
      <c r="J463" s="5">
        <v>93.501289999999997</v>
      </c>
      <c r="K463" s="3">
        <f t="shared" si="88"/>
        <v>97.608869999999996</v>
      </c>
      <c r="L463" s="1">
        <f t="shared" si="82"/>
        <v>3.3554790802376631E-2</v>
      </c>
      <c r="N463" s="4">
        <v>225.00867</v>
      </c>
      <c r="O463" s="1">
        <v>228.5</v>
      </c>
      <c r="P463" s="5">
        <v>100.52478000000001</v>
      </c>
      <c r="Q463" s="3">
        <f t="shared" si="89"/>
        <v>100.66036000000001</v>
      </c>
      <c r="R463" s="1">
        <f t="shared" si="84"/>
        <v>4.2094516861548043E-3</v>
      </c>
      <c r="T463" s="4">
        <v>250.00603000000001</v>
      </c>
      <c r="U463" s="1">
        <v>228.5</v>
      </c>
      <c r="V463" s="3">
        <v>90.805220000000006</v>
      </c>
      <c r="W463" s="3">
        <f t="shared" si="90"/>
        <v>94.962620000000001</v>
      </c>
      <c r="X463" s="1">
        <f t="shared" si="83"/>
        <v>6.8112000192171021E-2</v>
      </c>
      <c r="Z463" s="4">
        <v>250.02241000000001</v>
      </c>
      <c r="AA463" s="1">
        <v>228.5</v>
      </c>
      <c r="AB463" s="3">
        <v>98.646720000000002</v>
      </c>
      <c r="AC463" s="3">
        <f t="shared" si="91"/>
        <v>98.569980000000001</v>
      </c>
      <c r="AD463" s="1">
        <f t="shared" si="86"/>
        <v>2.9967924289402592E-2</v>
      </c>
    </row>
    <row r="464" spans="2:30" x14ac:dyDescent="0.2">
      <c r="B464" s="2">
        <v>200.01301000000001</v>
      </c>
      <c r="C464" s="1">
        <v>229</v>
      </c>
      <c r="D464" s="3">
        <v>100.17915000000001</v>
      </c>
      <c r="E464" s="3">
        <f t="shared" si="87"/>
        <v>100.89245000000001</v>
      </c>
      <c r="F464" s="1">
        <f t="shared" si="85"/>
        <v>1.6051369120154144E-3</v>
      </c>
      <c r="H464" s="4">
        <v>225.00810000000001</v>
      </c>
      <c r="I464" s="1">
        <v>229</v>
      </c>
      <c r="J464" s="3">
        <v>93.446449999999999</v>
      </c>
      <c r="K464" s="3">
        <f t="shared" si="88"/>
        <v>97.554029999999997</v>
      </c>
      <c r="L464" s="1">
        <f t="shared" si="82"/>
        <v>3.4215138508244397E-2</v>
      </c>
      <c r="N464" s="4">
        <v>225.00756000000001</v>
      </c>
      <c r="O464" s="1">
        <v>229</v>
      </c>
      <c r="P464" s="3">
        <v>100.60415999999999</v>
      </c>
      <c r="Q464" s="3">
        <f t="shared" si="89"/>
        <v>100.73974</v>
      </c>
      <c r="R464" s="1">
        <f t="shared" si="84"/>
        <v>3.2594437970156331E-3</v>
      </c>
      <c r="T464" s="4">
        <v>250.00800000000001</v>
      </c>
      <c r="U464" s="1">
        <v>229</v>
      </c>
      <c r="V464" s="5">
        <v>90.805549999999997</v>
      </c>
      <c r="W464" s="3">
        <f t="shared" si="90"/>
        <v>94.962949999999992</v>
      </c>
      <c r="X464" s="1">
        <f t="shared" si="83"/>
        <v>6.8108035903800088E-2</v>
      </c>
      <c r="Z464" s="4">
        <v>250.02271999999999</v>
      </c>
      <c r="AA464" s="1">
        <v>229</v>
      </c>
      <c r="AB464" s="5">
        <v>98.639030000000005</v>
      </c>
      <c r="AC464" s="3">
        <f t="shared" si="91"/>
        <v>98.562290000000004</v>
      </c>
      <c r="AD464" s="1">
        <f t="shared" si="86"/>
        <v>3.0059899232743898E-2</v>
      </c>
    </row>
    <row r="465" spans="2:30" x14ac:dyDescent="0.2">
      <c r="B465" s="2">
        <v>200.01449</v>
      </c>
      <c r="C465" s="1">
        <v>229.5</v>
      </c>
      <c r="D465" s="5">
        <v>99.959429999999998</v>
      </c>
      <c r="E465" s="3">
        <f t="shared" si="87"/>
        <v>100.67273</v>
      </c>
      <c r="F465" s="1">
        <f t="shared" si="85"/>
        <v>4.2343353786031121E-3</v>
      </c>
      <c r="H465" s="4">
        <v>225.00595000000001</v>
      </c>
      <c r="I465" s="1">
        <v>229.5</v>
      </c>
      <c r="J465" s="5">
        <v>93.473799999999997</v>
      </c>
      <c r="K465" s="3">
        <f t="shared" si="88"/>
        <v>97.581379999999996</v>
      </c>
      <c r="L465" s="1">
        <f t="shared" si="82"/>
        <v>3.388580754990226E-2</v>
      </c>
      <c r="N465" s="4">
        <v>225.01214999999999</v>
      </c>
      <c r="O465" s="1">
        <v>229.5</v>
      </c>
      <c r="P465" s="5">
        <v>100.55257</v>
      </c>
      <c r="Q465" s="3">
        <f t="shared" si="89"/>
        <v>100.68815000000001</v>
      </c>
      <c r="R465" s="1">
        <f t="shared" si="84"/>
        <v>3.8768651500099525E-3</v>
      </c>
      <c r="T465" s="4">
        <v>250.00601</v>
      </c>
      <c r="U465" s="1">
        <v>229.5</v>
      </c>
      <c r="V465" s="3">
        <v>90.777209999999997</v>
      </c>
      <c r="W465" s="3">
        <f t="shared" si="90"/>
        <v>94.934609999999992</v>
      </c>
      <c r="X465" s="1">
        <f t="shared" si="83"/>
        <v>6.8448484183906852E-2</v>
      </c>
      <c r="Z465" s="4">
        <v>250.02354</v>
      </c>
      <c r="AA465" s="1">
        <v>229.5</v>
      </c>
      <c r="AB465" s="3">
        <v>98.578609999999998</v>
      </c>
      <c r="AC465" s="3">
        <f t="shared" si="91"/>
        <v>98.501869999999997</v>
      </c>
      <c r="AD465" s="1">
        <f t="shared" si="86"/>
        <v>3.0782542415667788E-2</v>
      </c>
    </row>
    <row r="466" spans="2:30" x14ac:dyDescent="0.2">
      <c r="B466" s="2">
        <v>200.01123999999999</v>
      </c>
      <c r="C466" s="1">
        <v>230</v>
      </c>
      <c r="D466" s="3">
        <v>99.989990000000006</v>
      </c>
      <c r="E466" s="3">
        <f t="shared" si="87"/>
        <v>100.70329000000001</v>
      </c>
      <c r="F466" s="1">
        <f t="shared" si="85"/>
        <v>3.8686503925347586E-3</v>
      </c>
      <c r="H466" s="4">
        <v>225.00498999999999</v>
      </c>
      <c r="I466" s="1">
        <v>230</v>
      </c>
      <c r="J466" s="3">
        <v>93.43974</v>
      </c>
      <c r="K466" s="3">
        <f t="shared" si="88"/>
        <v>97.547319999999999</v>
      </c>
      <c r="L466" s="1">
        <f t="shared" si="82"/>
        <v>3.4295935975537824E-2</v>
      </c>
      <c r="N466" s="4">
        <v>225.01160999999999</v>
      </c>
      <c r="O466" s="1">
        <v>230</v>
      </c>
      <c r="P466" s="3">
        <v>100.45223</v>
      </c>
      <c r="Q466" s="3">
        <f t="shared" si="89"/>
        <v>100.58781</v>
      </c>
      <c r="R466" s="1">
        <f t="shared" si="84"/>
        <v>5.0777191635680728E-3</v>
      </c>
      <c r="T466" s="4">
        <v>250.01004</v>
      </c>
      <c r="U466" s="1">
        <v>230</v>
      </c>
      <c r="V466" s="5">
        <v>90.759159999999994</v>
      </c>
      <c r="W466" s="3">
        <f t="shared" si="90"/>
        <v>94.91655999999999</v>
      </c>
      <c r="X466" s="1">
        <f t="shared" si="83"/>
        <v>6.8665318744807621E-2</v>
      </c>
      <c r="Z466" s="4">
        <v>250.02569</v>
      </c>
      <c r="AA466" s="1">
        <v>230</v>
      </c>
      <c r="AB466" s="5">
        <v>98.537869999999998</v>
      </c>
      <c r="AC466" s="3">
        <f t="shared" si="91"/>
        <v>98.461129999999997</v>
      </c>
      <c r="AD466" s="1">
        <f t="shared" si="86"/>
        <v>3.126980628975444E-2</v>
      </c>
    </row>
    <row r="467" spans="2:30" x14ac:dyDescent="0.2">
      <c r="B467" s="2">
        <v>200.01127</v>
      </c>
      <c r="C467" s="1">
        <v>230.5</v>
      </c>
      <c r="D467" s="5">
        <v>100.20652</v>
      </c>
      <c r="E467" s="3">
        <f t="shared" si="87"/>
        <v>100.91982</v>
      </c>
      <c r="F467" s="1">
        <f t="shared" si="85"/>
        <v>1.2776238862076709E-3</v>
      </c>
      <c r="H467" s="4">
        <v>225.00415000000001</v>
      </c>
      <c r="I467" s="1">
        <v>230.5</v>
      </c>
      <c r="J467" s="5">
        <v>93.471220000000002</v>
      </c>
      <c r="K467" s="3">
        <f t="shared" si="88"/>
        <v>97.578800000000001</v>
      </c>
      <c r="L467" s="1">
        <f t="shared" si="82"/>
        <v>3.3916874236283284E-2</v>
      </c>
      <c r="N467" s="4">
        <v>225.01112000000001</v>
      </c>
      <c r="O467" s="1">
        <v>230.5</v>
      </c>
      <c r="P467" s="5">
        <v>100.44328</v>
      </c>
      <c r="Q467" s="3">
        <f t="shared" si="89"/>
        <v>100.57886000000001</v>
      </c>
      <c r="R467" s="1">
        <f t="shared" si="84"/>
        <v>5.1848314161228194E-3</v>
      </c>
      <c r="T467" s="4">
        <v>250.00597999999999</v>
      </c>
      <c r="U467" s="1">
        <v>230.5</v>
      </c>
      <c r="V467" s="3">
        <v>90.738929999999996</v>
      </c>
      <c r="W467" s="3">
        <f t="shared" si="90"/>
        <v>94.896329999999992</v>
      </c>
      <c r="X467" s="1">
        <f t="shared" si="83"/>
        <v>6.8908341634947315E-2</v>
      </c>
      <c r="Z467" s="4">
        <v>250.02669</v>
      </c>
      <c r="AA467" s="1">
        <v>230.5</v>
      </c>
      <c r="AB467" s="3">
        <v>98.698880000000003</v>
      </c>
      <c r="AC467" s="3">
        <f t="shared" si="91"/>
        <v>98.622140000000002</v>
      </c>
      <c r="AD467" s="1">
        <f t="shared" si="86"/>
        <v>2.9344073438338281E-2</v>
      </c>
    </row>
    <row r="468" spans="2:30" x14ac:dyDescent="0.2">
      <c r="B468" s="2">
        <v>200.01256000000001</v>
      </c>
      <c r="C468" s="1">
        <v>231</v>
      </c>
      <c r="D468" s="3">
        <v>100.16788</v>
      </c>
      <c r="E468" s="3">
        <f t="shared" si="87"/>
        <v>100.88118</v>
      </c>
      <c r="F468" s="1">
        <f t="shared" si="85"/>
        <v>1.7399952167599494E-3</v>
      </c>
      <c r="H468" s="4">
        <v>225.00502</v>
      </c>
      <c r="I468" s="1">
        <v>231</v>
      </c>
      <c r="J468" s="3">
        <v>93.454570000000004</v>
      </c>
      <c r="K468" s="3">
        <f t="shared" si="88"/>
        <v>97.562150000000003</v>
      </c>
      <c r="L468" s="1">
        <f t="shared" si="82"/>
        <v>3.4117362735603077E-2</v>
      </c>
      <c r="N468" s="4">
        <v>225.00788</v>
      </c>
      <c r="O468" s="1">
        <v>231</v>
      </c>
      <c r="P468" s="3">
        <v>100.54268999999999</v>
      </c>
      <c r="Q468" s="3">
        <f t="shared" si="89"/>
        <v>100.67827</v>
      </c>
      <c r="R468" s="1">
        <f t="shared" si="84"/>
        <v>3.9951075025509682E-3</v>
      </c>
      <c r="T468" s="4">
        <v>250.00796</v>
      </c>
      <c r="U468" s="1">
        <v>231</v>
      </c>
      <c r="V468" s="5">
        <v>90.747159999999994</v>
      </c>
      <c r="W468" s="3">
        <f t="shared" si="90"/>
        <v>94.904559999999989</v>
      </c>
      <c r="X468" s="1">
        <f t="shared" si="83"/>
        <v>6.8809474685572664E-2</v>
      </c>
      <c r="Z468" s="4">
        <v>250.02572000000001</v>
      </c>
      <c r="AA468" s="1">
        <v>231</v>
      </c>
      <c r="AB468" s="5">
        <v>98.565619999999996</v>
      </c>
      <c r="AC468" s="3">
        <f t="shared" si="91"/>
        <v>98.488879999999995</v>
      </c>
      <c r="AD468" s="1">
        <f t="shared" si="86"/>
        <v>3.0937907111897211E-2</v>
      </c>
    </row>
    <row r="469" spans="2:30" x14ac:dyDescent="0.2">
      <c r="B469" s="2">
        <v>200.01074</v>
      </c>
      <c r="C469" s="1">
        <v>231.5</v>
      </c>
      <c r="D469" s="5">
        <v>100.00478</v>
      </c>
      <c r="E469" s="3">
        <f t="shared" si="87"/>
        <v>100.71808</v>
      </c>
      <c r="F469" s="1">
        <f t="shared" si="85"/>
        <v>3.6916713040548478E-3</v>
      </c>
      <c r="H469" s="4">
        <v>225.006</v>
      </c>
      <c r="I469" s="1">
        <v>231.5</v>
      </c>
      <c r="J469" s="5">
        <v>93.434489999999997</v>
      </c>
      <c r="K469" s="3">
        <f t="shared" si="88"/>
        <v>97.542069999999995</v>
      </c>
      <c r="L469" s="1">
        <f t="shared" ref="L469:L485" si="92">($K$20-K469)/($K$20*(1-$M$1))</f>
        <v>3.4359153069917991E-2</v>
      </c>
      <c r="N469" s="4">
        <v>225.00959</v>
      </c>
      <c r="O469" s="1">
        <v>231.5</v>
      </c>
      <c r="P469" s="5">
        <v>100.48186</v>
      </c>
      <c r="Q469" s="3">
        <f t="shared" si="89"/>
        <v>100.61744</v>
      </c>
      <c r="R469" s="1">
        <f t="shared" si="84"/>
        <v>4.7231117844398788E-3</v>
      </c>
      <c r="T469" s="4">
        <v>250.00997000000001</v>
      </c>
      <c r="U469" s="1">
        <v>231.5</v>
      </c>
      <c r="V469" s="3">
        <v>90.726839999999996</v>
      </c>
      <c r="W469" s="3">
        <f t="shared" si="90"/>
        <v>94.884239999999991</v>
      </c>
      <c r="X469" s="1">
        <f t="shared" si="83"/>
        <v>6.9053578745268102E-2</v>
      </c>
      <c r="Z469" s="4">
        <v>250.02484999999999</v>
      </c>
      <c r="AA469" s="1">
        <v>231.5</v>
      </c>
      <c r="AB469" s="3">
        <v>98.546779999999998</v>
      </c>
      <c r="AC469" s="3">
        <f t="shared" si="91"/>
        <v>98.470039999999997</v>
      </c>
      <c r="AD469" s="1">
        <f t="shared" si="86"/>
        <v>3.1163239742918104E-2</v>
      </c>
    </row>
    <row r="470" spans="2:30" x14ac:dyDescent="0.2">
      <c r="B470" s="2">
        <v>200.0154</v>
      </c>
      <c r="C470" s="1">
        <v>232</v>
      </c>
      <c r="D470" s="3">
        <v>100.149</v>
      </c>
      <c r="E470" s="3">
        <f t="shared" si="87"/>
        <v>100.8623</v>
      </c>
      <c r="F470" s="1">
        <f t="shared" si="85"/>
        <v>1.9659157840690813E-3</v>
      </c>
      <c r="H470" s="4">
        <v>225.00701000000001</v>
      </c>
      <c r="I470" s="1">
        <v>232</v>
      </c>
      <c r="J470" s="3">
        <v>93.421180000000007</v>
      </c>
      <c r="K470" s="3">
        <f t="shared" si="88"/>
        <v>97.528760000000005</v>
      </c>
      <c r="L470" s="1">
        <f t="shared" si="92"/>
        <v>3.4519423455860614E-2</v>
      </c>
      <c r="N470" s="4">
        <v>225.01549</v>
      </c>
      <c r="O470" s="1">
        <v>232</v>
      </c>
      <c r="P470" s="3">
        <v>100.51616</v>
      </c>
      <c r="Q470" s="3">
        <f t="shared" si="89"/>
        <v>100.65174</v>
      </c>
      <c r="R470" s="1">
        <f t="shared" si="84"/>
        <v>4.3126145483919961E-3</v>
      </c>
      <c r="T470" s="4">
        <v>250.00601</v>
      </c>
      <c r="U470" s="1">
        <v>232</v>
      </c>
      <c r="V470" s="5">
        <v>90.698920000000001</v>
      </c>
      <c r="W470" s="3">
        <f t="shared" si="90"/>
        <v>94.856319999999997</v>
      </c>
      <c r="X470" s="1">
        <f t="shared" ref="X470:X533" si="93">($W$21-W470)/($W$21*(1-$M$1))</f>
        <v>6.9388981567448021E-2</v>
      </c>
      <c r="Z470" s="4">
        <v>250.02444</v>
      </c>
      <c r="AA470" s="1">
        <v>232</v>
      </c>
      <c r="AB470" s="5">
        <v>98.572919999999996</v>
      </c>
      <c r="AC470" s="3">
        <f t="shared" si="91"/>
        <v>98.496179999999995</v>
      </c>
      <c r="AD470" s="1">
        <f t="shared" si="86"/>
        <v>3.0850596697541959E-2</v>
      </c>
    </row>
    <row r="471" spans="2:30" x14ac:dyDescent="0.2">
      <c r="B471" s="2">
        <v>200.01805999999999</v>
      </c>
      <c r="C471" s="1">
        <v>232.5</v>
      </c>
      <c r="D471" s="5">
        <v>100.02016999999999</v>
      </c>
      <c r="E471" s="3">
        <f t="shared" si="87"/>
        <v>100.73347</v>
      </c>
      <c r="F471" s="1">
        <f t="shared" si="85"/>
        <v>3.5075125365290256E-3</v>
      </c>
      <c r="H471" s="4">
        <v>225.00702999999999</v>
      </c>
      <c r="I471" s="1">
        <v>232.5</v>
      </c>
      <c r="J471" s="5">
        <v>93.412660000000002</v>
      </c>
      <c r="K471" s="3">
        <f t="shared" si="88"/>
        <v>97.520240000000001</v>
      </c>
      <c r="L471" s="1">
        <f t="shared" si="92"/>
        <v>3.462201576902612E-2</v>
      </c>
      <c r="N471" s="4">
        <v>225.02012999999999</v>
      </c>
      <c r="O471" s="1">
        <v>232.5</v>
      </c>
      <c r="P471" s="5">
        <v>100.56847999999999</v>
      </c>
      <c r="Q471" s="3">
        <f t="shared" si="89"/>
        <v>100.70406</v>
      </c>
      <c r="R471" s="1">
        <f t="shared" si="84"/>
        <v>3.6864566653009795E-3</v>
      </c>
      <c r="T471" s="4">
        <v>250.00503</v>
      </c>
      <c r="U471" s="1">
        <v>232.5</v>
      </c>
      <c r="V471" s="3">
        <v>90.688929999999999</v>
      </c>
      <c r="W471" s="3">
        <f t="shared" si="90"/>
        <v>94.846329999999995</v>
      </c>
      <c r="X471" s="1">
        <f t="shared" si="93"/>
        <v>6.9508991388134933E-2</v>
      </c>
      <c r="Z471" s="4">
        <v>250.02446</v>
      </c>
      <c r="AA471" s="1">
        <v>232.5</v>
      </c>
      <c r="AB471" s="3">
        <v>98.593270000000004</v>
      </c>
      <c r="AC471" s="3">
        <f t="shared" si="91"/>
        <v>98.516530000000003</v>
      </c>
      <c r="AD471" s="1">
        <f t="shared" si="86"/>
        <v>3.0607203967113212E-2</v>
      </c>
    </row>
    <row r="472" spans="2:30" x14ac:dyDescent="0.2">
      <c r="B472" s="2">
        <v>200.01872</v>
      </c>
      <c r="C472" s="1">
        <v>233</v>
      </c>
      <c r="D472" s="3">
        <v>100.2355</v>
      </c>
      <c r="E472" s="3">
        <f t="shared" si="87"/>
        <v>100.94880000000001</v>
      </c>
      <c r="F472" s="1">
        <f t="shared" si="85"/>
        <v>9.3084538829341958E-4</v>
      </c>
      <c r="H472" s="4">
        <v>225.00692000000001</v>
      </c>
      <c r="I472" s="1">
        <v>233</v>
      </c>
      <c r="J472" s="3">
        <v>93.416560000000004</v>
      </c>
      <c r="K472" s="3">
        <f t="shared" si="88"/>
        <v>97.524140000000003</v>
      </c>
      <c r="L472" s="1">
        <f t="shared" si="92"/>
        <v>3.4575054498915153E-2</v>
      </c>
      <c r="N472" s="4">
        <v>225.02343999999999</v>
      </c>
      <c r="O472" s="1">
        <v>233</v>
      </c>
      <c r="P472" s="3">
        <v>100.50156</v>
      </c>
      <c r="Q472" s="3">
        <f t="shared" si="89"/>
        <v>100.63714</v>
      </c>
      <c r="R472" s="1">
        <f t="shared" si="84"/>
        <v>4.4873451503249229E-3</v>
      </c>
      <c r="T472" s="4">
        <v>250.00303</v>
      </c>
      <c r="U472" s="1">
        <v>233</v>
      </c>
      <c r="V472" s="5">
        <v>90.710840000000005</v>
      </c>
      <c r="W472" s="3">
        <f t="shared" si="90"/>
        <v>94.86824</v>
      </c>
      <c r="X472" s="1">
        <f t="shared" si="93"/>
        <v>6.9245786666288042E-2</v>
      </c>
      <c r="Z472" s="4">
        <v>250.02185</v>
      </c>
      <c r="AA472" s="1">
        <v>233</v>
      </c>
      <c r="AB472" s="5">
        <v>98.631649999999993</v>
      </c>
      <c r="AC472" s="3">
        <f t="shared" si="91"/>
        <v>98.554909999999992</v>
      </c>
      <c r="AD472" s="1">
        <f t="shared" si="86"/>
        <v>3.0148166473557971E-2</v>
      </c>
    </row>
    <row r="473" spans="2:30" x14ac:dyDescent="0.2">
      <c r="B473" s="2">
        <v>200.01775000000001</v>
      </c>
      <c r="C473" s="1">
        <v>233.5</v>
      </c>
      <c r="D473" s="5">
        <v>100.09757</v>
      </c>
      <c r="E473" s="3">
        <f t="shared" si="87"/>
        <v>100.81087000000001</v>
      </c>
      <c r="F473" s="1">
        <f t="shared" si="85"/>
        <v>2.5813339396151846E-3</v>
      </c>
      <c r="H473" s="4">
        <v>225.00997000000001</v>
      </c>
      <c r="I473" s="1">
        <v>233.5</v>
      </c>
      <c r="J473" s="5">
        <v>93.44144</v>
      </c>
      <c r="K473" s="3">
        <f t="shared" si="88"/>
        <v>97.549019999999999</v>
      </c>
      <c r="L473" s="1">
        <f t="shared" si="92"/>
        <v>3.4275465678309983E-2</v>
      </c>
      <c r="N473" s="4">
        <v>225.02159</v>
      </c>
      <c r="O473" s="1">
        <v>233.5</v>
      </c>
      <c r="P473" s="5">
        <v>100.44033</v>
      </c>
      <c r="Q473" s="3">
        <f t="shared" si="89"/>
        <v>100.57591000000001</v>
      </c>
      <c r="R473" s="1">
        <f t="shared" si="84"/>
        <v>5.2201365719928066E-3</v>
      </c>
      <c r="T473" s="4">
        <v>250.00098</v>
      </c>
      <c r="U473" s="1">
        <v>233.5</v>
      </c>
      <c r="V473" s="3">
        <v>90.686980000000005</v>
      </c>
      <c r="W473" s="3">
        <f t="shared" si="90"/>
        <v>94.844380000000001</v>
      </c>
      <c r="X473" s="1">
        <f t="shared" si="93"/>
        <v>6.9532416728509183E-2</v>
      </c>
      <c r="Z473" s="4">
        <v>250.01652999999999</v>
      </c>
      <c r="AA473" s="1">
        <v>233.5</v>
      </c>
      <c r="AB473" s="3">
        <v>98.487269999999995</v>
      </c>
      <c r="AC473" s="3">
        <f t="shared" si="91"/>
        <v>98.410529999999994</v>
      </c>
      <c r="AD473" s="1">
        <f t="shared" si="86"/>
        <v>3.1874999024874368E-2</v>
      </c>
    </row>
    <row r="474" spans="2:30" x14ac:dyDescent="0.2">
      <c r="B474" s="2">
        <v>200.01462000000001</v>
      </c>
      <c r="C474" s="1">
        <v>234</v>
      </c>
      <c r="D474" s="3">
        <v>100.10133</v>
      </c>
      <c r="E474" s="3">
        <f t="shared" si="87"/>
        <v>100.81463000000001</v>
      </c>
      <c r="F474" s="1">
        <f t="shared" si="85"/>
        <v>2.5363412842612401E-3</v>
      </c>
      <c r="H474" s="4">
        <v>225.00710000000001</v>
      </c>
      <c r="I474" s="1">
        <v>234</v>
      </c>
      <c r="J474" s="3">
        <v>93.401960000000003</v>
      </c>
      <c r="K474" s="3">
        <f t="shared" si="88"/>
        <v>97.509540000000001</v>
      </c>
      <c r="L474" s="1">
        <f t="shared" si="92"/>
        <v>3.4750858228048465E-2</v>
      </c>
      <c r="N474" s="4">
        <v>225.02266</v>
      </c>
      <c r="O474" s="1">
        <v>234</v>
      </c>
      <c r="P474" s="3">
        <v>100.48314000000001</v>
      </c>
      <c r="Q474" s="3">
        <f t="shared" si="89"/>
        <v>100.61872000000001</v>
      </c>
      <c r="R474" s="1">
        <f t="shared" ref="R474:R485" si="94">($Q$218-Q474)/($Q$218*(1-$M$1))</f>
        <v>4.7077929371470307E-3</v>
      </c>
      <c r="T474" s="4">
        <v>250.00301999999999</v>
      </c>
      <c r="U474" s="1">
        <v>234</v>
      </c>
      <c r="V474" s="5">
        <v>90.658690000000007</v>
      </c>
      <c r="W474" s="3">
        <f t="shared" si="90"/>
        <v>94.816090000000003</v>
      </c>
      <c r="X474" s="1">
        <f t="shared" si="93"/>
        <v>6.9872264358862735E-2</v>
      </c>
      <c r="Z474" s="4">
        <v>250.01548</v>
      </c>
      <c r="AA474" s="1">
        <v>234</v>
      </c>
      <c r="AB474" s="5">
        <v>98.520949999999999</v>
      </c>
      <c r="AC474" s="3">
        <f t="shared" si="91"/>
        <v>98.444209999999998</v>
      </c>
      <c r="AD474" s="1">
        <f t="shared" si="86"/>
        <v>3.147217508576685E-2</v>
      </c>
    </row>
    <row r="475" spans="2:30" x14ac:dyDescent="0.2">
      <c r="B475" s="2">
        <v>200.01488000000001</v>
      </c>
      <c r="C475" s="1">
        <v>234.5</v>
      </c>
      <c r="D475" s="5">
        <v>100.08005</v>
      </c>
      <c r="E475" s="3">
        <f t="shared" si="87"/>
        <v>100.79335</v>
      </c>
      <c r="F475" s="1">
        <f t="shared" si="85"/>
        <v>2.7909805677538459E-3</v>
      </c>
      <c r="H475" s="4">
        <v>225.00701000000001</v>
      </c>
      <c r="I475" s="1">
        <v>234.5</v>
      </c>
      <c r="J475" s="5">
        <v>93.393730000000005</v>
      </c>
      <c r="K475" s="3">
        <f t="shared" si="88"/>
        <v>97.501310000000004</v>
      </c>
      <c r="L475" s="1">
        <f t="shared" si="92"/>
        <v>3.4849958549333843E-2</v>
      </c>
      <c r="N475" s="4">
        <v>225.01862</v>
      </c>
      <c r="O475" s="1">
        <v>234.5</v>
      </c>
      <c r="P475" s="5">
        <v>100.44475</v>
      </c>
      <c r="Q475" s="3">
        <f t="shared" si="89"/>
        <v>100.58033</v>
      </c>
      <c r="R475" s="1">
        <f t="shared" si="94"/>
        <v>5.1672386774350822E-3</v>
      </c>
      <c r="T475" s="4">
        <v>250.00299000000001</v>
      </c>
      <c r="U475" s="1">
        <v>234.5</v>
      </c>
      <c r="V475" s="3">
        <v>90.666920000000005</v>
      </c>
      <c r="W475" s="3">
        <f t="shared" si="90"/>
        <v>94.82432</v>
      </c>
      <c r="X475" s="1">
        <f t="shared" si="93"/>
        <v>6.9773397409488083E-2</v>
      </c>
      <c r="Z475" s="4">
        <v>250.01998</v>
      </c>
      <c r="AA475" s="1">
        <v>234.5</v>
      </c>
      <c r="AB475" s="3">
        <v>98.467269999999999</v>
      </c>
      <c r="AC475" s="3">
        <f t="shared" si="91"/>
        <v>98.390529999999998</v>
      </c>
      <c r="AD475" s="1">
        <f t="shared" si="86"/>
        <v>3.2114205639546221E-2</v>
      </c>
    </row>
    <row r="476" spans="2:30" x14ac:dyDescent="0.2">
      <c r="B476" s="2">
        <v>200.01488000000001</v>
      </c>
      <c r="C476" s="1">
        <v>235</v>
      </c>
      <c r="D476" s="3">
        <v>100.03873</v>
      </c>
      <c r="E476" s="3">
        <f t="shared" si="87"/>
        <v>100.75203</v>
      </c>
      <c r="F476" s="1">
        <f t="shared" si="85"/>
        <v>3.2854211313775314E-3</v>
      </c>
      <c r="H476" s="4">
        <v>225.00789</v>
      </c>
      <c r="I476" s="1">
        <v>235</v>
      </c>
      <c r="J476" s="3">
        <v>93.411739999999995</v>
      </c>
      <c r="K476" s="3">
        <f t="shared" si="88"/>
        <v>97.519319999999993</v>
      </c>
      <c r="L476" s="1">
        <f t="shared" si="92"/>
        <v>3.4633093812231876E-2</v>
      </c>
      <c r="N476" s="4">
        <v>225.01597000000001</v>
      </c>
      <c r="O476" s="1">
        <v>235</v>
      </c>
      <c r="P476" s="3">
        <v>100.54335</v>
      </c>
      <c r="Q476" s="3">
        <f t="shared" si="89"/>
        <v>100.67893000000001</v>
      </c>
      <c r="R476" s="1">
        <f t="shared" si="94"/>
        <v>3.9872087219155186E-3</v>
      </c>
      <c r="T476" s="4">
        <v>250.00603000000001</v>
      </c>
      <c r="U476" s="1">
        <v>235</v>
      </c>
      <c r="V476" s="5">
        <v>90.650819999999996</v>
      </c>
      <c r="W476" s="3">
        <f t="shared" si="90"/>
        <v>94.808219999999992</v>
      </c>
      <c r="X476" s="1">
        <f t="shared" si="93"/>
        <v>6.9966806630014602E-2</v>
      </c>
      <c r="Z476" s="4">
        <v>250.01967999999999</v>
      </c>
      <c r="AA476" s="1">
        <v>235</v>
      </c>
      <c r="AB476" s="5">
        <v>98.597470000000001</v>
      </c>
      <c r="AC476" s="3">
        <f t="shared" si="91"/>
        <v>98.52073</v>
      </c>
      <c r="AD476" s="1">
        <f t="shared" si="86"/>
        <v>3.0556970578032146E-2</v>
      </c>
    </row>
    <row r="477" spans="2:30" x14ac:dyDescent="0.2">
      <c r="B477" s="2">
        <v>200.02059</v>
      </c>
      <c r="C477" s="1">
        <v>235.5</v>
      </c>
      <c r="D477" s="5">
        <v>100.20468</v>
      </c>
      <c r="E477" s="3">
        <f t="shared" si="87"/>
        <v>100.91798</v>
      </c>
      <c r="F477" s="1">
        <f t="shared" si="85"/>
        <v>1.2996415686149384E-3</v>
      </c>
      <c r="H477" s="4">
        <v>225.00792999999999</v>
      </c>
      <c r="I477" s="1">
        <v>235.5</v>
      </c>
      <c r="J477" s="5">
        <v>93.416640000000001</v>
      </c>
      <c r="K477" s="3">
        <f t="shared" si="88"/>
        <v>97.52422</v>
      </c>
      <c r="L477" s="1">
        <f t="shared" si="92"/>
        <v>3.4574091190810355E-2</v>
      </c>
      <c r="N477" s="4">
        <v>225.01472000000001</v>
      </c>
      <c r="O477" s="1">
        <v>235.5</v>
      </c>
      <c r="P477" s="5">
        <v>100.52884</v>
      </c>
      <c r="Q477" s="3">
        <f t="shared" si="89"/>
        <v>100.66442000000001</v>
      </c>
      <c r="R477" s="1">
        <f t="shared" si="94"/>
        <v>4.1608622173981728E-3</v>
      </c>
      <c r="T477" s="4">
        <v>250.00898000000001</v>
      </c>
      <c r="U477" s="1">
        <v>235.5</v>
      </c>
      <c r="V477" s="3">
        <v>90.636970000000005</v>
      </c>
      <c r="W477" s="3">
        <f t="shared" si="90"/>
        <v>94.794370000000001</v>
      </c>
      <c r="X477" s="1">
        <f t="shared" si="93"/>
        <v>7.0133186611647469E-2</v>
      </c>
      <c r="Z477" s="4">
        <v>250.01737</v>
      </c>
      <c r="AA477" s="1">
        <v>235.5</v>
      </c>
      <c r="AB477" s="3">
        <v>98.440250000000006</v>
      </c>
      <c r="AC477" s="3">
        <f t="shared" si="91"/>
        <v>98.363510000000005</v>
      </c>
      <c r="AD477" s="1">
        <f t="shared" si="86"/>
        <v>3.2437373775967872E-2</v>
      </c>
    </row>
    <row r="478" spans="2:30" x14ac:dyDescent="0.2">
      <c r="B478" s="2">
        <v>200.02177</v>
      </c>
      <c r="C478" s="1">
        <v>236</v>
      </c>
      <c r="D478" s="3">
        <v>100.09766</v>
      </c>
      <c r="E478" s="3">
        <f t="shared" si="87"/>
        <v>100.81096000000001</v>
      </c>
      <c r="F478" s="1">
        <f t="shared" si="85"/>
        <v>2.5802569877583065E-3</v>
      </c>
      <c r="H478" s="4">
        <v>225.00489999999999</v>
      </c>
      <c r="I478" s="1">
        <v>236</v>
      </c>
      <c r="J478" s="3">
        <v>93.361760000000004</v>
      </c>
      <c r="K478" s="3">
        <f t="shared" si="88"/>
        <v>97.469340000000003</v>
      </c>
      <c r="L478" s="1">
        <f t="shared" si="92"/>
        <v>3.523492055073052E-2</v>
      </c>
      <c r="N478" s="4">
        <v>225.01684</v>
      </c>
      <c r="O478" s="1">
        <v>236</v>
      </c>
      <c r="P478" s="3">
        <v>100.46893</v>
      </c>
      <c r="Q478" s="3">
        <f t="shared" si="89"/>
        <v>100.60451</v>
      </c>
      <c r="R478" s="1">
        <f t="shared" si="94"/>
        <v>4.8778560777954973E-3</v>
      </c>
      <c r="T478" s="4">
        <v>250.00402</v>
      </c>
      <c r="U478" s="1">
        <v>236</v>
      </c>
      <c r="V478" s="5">
        <v>90.600890000000007</v>
      </c>
      <c r="W478" s="3">
        <f t="shared" si="90"/>
        <v>94.758290000000002</v>
      </c>
      <c r="X478" s="1">
        <f t="shared" si="93"/>
        <v>7.0566615473547672E-2</v>
      </c>
      <c r="Z478" s="4">
        <v>250.01622</v>
      </c>
      <c r="AA478" s="1">
        <v>236</v>
      </c>
      <c r="AB478" s="5">
        <v>98.500069999999994</v>
      </c>
      <c r="AC478" s="3">
        <f t="shared" si="91"/>
        <v>98.423329999999993</v>
      </c>
      <c r="AD478" s="1">
        <f t="shared" si="86"/>
        <v>3.1721906791484372E-2</v>
      </c>
    </row>
    <row r="479" spans="2:30" x14ac:dyDescent="0.2">
      <c r="B479" s="2">
        <v>200.02065999999999</v>
      </c>
      <c r="C479" s="1">
        <v>236.5</v>
      </c>
      <c r="D479" s="5">
        <v>100.09307</v>
      </c>
      <c r="E479" s="3">
        <f t="shared" si="87"/>
        <v>100.80637</v>
      </c>
      <c r="F479" s="1">
        <f t="shared" si="85"/>
        <v>2.6351815324590915E-3</v>
      </c>
      <c r="H479" s="4">
        <v>225.00300999999999</v>
      </c>
      <c r="I479" s="1">
        <v>236.5</v>
      </c>
      <c r="J479" s="5">
        <v>93.357399999999998</v>
      </c>
      <c r="K479" s="3">
        <f t="shared" si="88"/>
        <v>97.464979999999997</v>
      </c>
      <c r="L479" s="1">
        <f t="shared" si="92"/>
        <v>3.5287420842444364E-2</v>
      </c>
      <c r="N479" s="4">
        <v>225.01806999999999</v>
      </c>
      <c r="O479" s="1">
        <v>236.5</v>
      </c>
      <c r="P479" s="5">
        <v>100.48882</v>
      </c>
      <c r="Q479" s="3">
        <f t="shared" si="89"/>
        <v>100.62440000000001</v>
      </c>
      <c r="R479" s="1">
        <f t="shared" si="94"/>
        <v>4.6398155522854824E-3</v>
      </c>
      <c r="T479" s="4">
        <v>250.00397000000001</v>
      </c>
      <c r="U479" s="1">
        <v>236.5</v>
      </c>
      <c r="V479" s="3">
        <v>90.594589999999997</v>
      </c>
      <c r="W479" s="3">
        <f t="shared" si="90"/>
        <v>94.751989999999992</v>
      </c>
      <c r="X479" s="1">
        <f t="shared" si="93"/>
        <v>7.0642297342449437E-2</v>
      </c>
      <c r="Z479" s="4">
        <v>250.01792</v>
      </c>
      <c r="AA479" s="1">
        <v>236.5</v>
      </c>
      <c r="AB479" s="3">
        <v>98.560289999999995</v>
      </c>
      <c r="AC479" s="3">
        <f t="shared" si="91"/>
        <v>98.483549999999994</v>
      </c>
      <c r="AD479" s="1">
        <f t="shared" si="86"/>
        <v>3.1001655674707279E-2</v>
      </c>
    </row>
    <row r="480" spans="2:30" x14ac:dyDescent="0.2">
      <c r="B480" s="2">
        <v>200.01841999999999</v>
      </c>
      <c r="C480" s="1">
        <v>237</v>
      </c>
      <c r="D480" s="3">
        <v>100.08385</v>
      </c>
      <c r="E480" s="3">
        <f t="shared" si="87"/>
        <v>100.79715</v>
      </c>
      <c r="F480" s="1">
        <f t="shared" si="85"/>
        <v>2.7455092671301966E-3</v>
      </c>
      <c r="H480" s="4">
        <v>225.00703999999999</v>
      </c>
      <c r="I480" s="1">
        <v>237</v>
      </c>
      <c r="J480" s="3">
        <v>93.366799999999998</v>
      </c>
      <c r="K480" s="3">
        <f t="shared" si="88"/>
        <v>97.474379999999996</v>
      </c>
      <c r="L480" s="1">
        <f t="shared" si="92"/>
        <v>3.5174232140125675E-2</v>
      </c>
      <c r="N480" s="4">
        <v>225.01638</v>
      </c>
      <c r="O480" s="1">
        <v>237</v>
      </c>
      <c r="P480" s="3">
        <v>100.50400999999999</v>
      </c>
      <c r="Q480" s="3">
        <f t="shared" si="89"/>
        <v>100.63959</v>
      </c>
      <c r="R480" s="1">
        <f t="shared" si="94"/>
        <v>4.4580239191786943E-3</v>
      </c>
      <c r="T480" s="4">
        <v>250.00797</v>
      </c>
      <c r="U480" s="1">
        <v>237</v>
      </c>
      <c r="V480" s="5">
        <v>90.590670000000003</v>
      </c>
      <c r="W480" s="3">
        <f t="shared" si="90"/>
        <v>94.748069999999998</v>
      </c>
      <c r="X480" s="1">
        <f t="shared" si="93"/>
        <v>7.0689388283099272E-2</v>
      </c>
      <c r="Z480" s="4">
        <v>250.01777000000001</v>
      </c>
      <c r="AA480" s="1">
        <v>237</v>
      </c>
      <c r="AB480" s="5">
        <v>98.324479999999994</v>
      </c>
      <c r="AC480" s="3">
        <f t="shared" si="91"/>
        <v>98.247739999999993</v>
      </c>
      <c r="AD480" s="1">
        <f t="shared" si="86"/>
        <v>3.3822021264996283E-2</v>
      </c>
    </row>
    <row r="481" spans="2:30" x14ac:dyDescent="0.2">
      <c r="B481" s="2">
        <v>200.01715999999999</v>
      </c>
      <c r="C481" s="1">
        <v>237.5</v>
      </c>
      <c r="D481" s="5">
        <v>100.04286999999999</v>
      </c>
      <c r="E481" s="3">
        <f t="shared" si="87"/>
        <v>100.75617</v>
      </c>
      <c r="F481" s="1">
        <f t="shared" si="85"/>
        <v>3.2358813459613068E-3</v>
      </c>
      <c r="H481" s="4">
        <v>225.00604000000001</v>
      </c>
      <c r="I481" s="1">
        <v>237.5</v>
      </c>
      <c r="J481" s="5">
        <v>93.38476</v>
      </c>
      <c r="K481" s="3">
        <f t="shared" si="88"/>
        <v>97.492339999999999</v>
      </c>
      <c r="L481" s="1">
        <f t="shared" si="92"/>
        <v>3.495796947058908E-2</v>
      </c>
      <c r="N481" s="4">
        <v>225.01626999999999</v>
      </c>
      <c r="O481" s="1">
        <v>237.5</v>
      </c>
      <c r="P481" s="5">
        <v>100.47602000000001</v>
      </c>
      <c r="Q481" s="3">
        <f t="shared" si="89"/>
        <v>100.61160000000001</v>
      </c>
      <c r="R481" s="1">
        <f t="shared" si="94"/>
        <v>4.7930040252129472E-3</v>
      </c>
      <c r="T481" s="4">
        <v>250.00899999999999</v>
      </c>
      <c r="U481" s="1">
        <v>237.5</v>
      </c>
      <c r="V481" s="3">
        <v>90.568650000000005</v>
      </c>
      <c r="W481" s="3">
        <f t="shared" si="90"/>
        <v>94.726050000000001</v>
      </c>
      <c r="X481" s="1">
        <f t="shared" si="93"/>
        <v>7.095391443440309E-2</v>
      </c>
      <c r="Z481" s="4">
        <v>250.01759000000001</v>
      </c>
      <c r="AA481" s="1">
        <v>237.5</v>
      </c>
      <c r="AB481" s="3">
        <v>98.50394</v>
      </c>
      <c r="AC481" s="3">
        <f t="shared" si="91"/>
        <v>98.427199999999999</v>
      </c>
      <c r="AD481" s="1">
        <f t="shared" si="86"/>
        <v>3.1675620311545284E-2</v>
      </c>
    </row>
    <row r="482" spans="2:30" x14ac:dyDescent="0.2">
      <c r="B482" s="2">
        <v>200.01703000000001</v>
      </c>
      <c r="C482" s="1">
        <v>238</v>
      </c>
      <c r="D482" s="3">
        <v>100.12742</v>
      </c>
      <c r="E482" s="3">
        <f t="shared" si="87"/>
        <v>100.84072</v>
      </c>
      <c r="F482" s="1">
        <f t="shared" si="85"/>
        <v>2.224144907084558E-3</v>
      </c>
      <c r="H482" s="4">
        <v>225.01186000000001</v>
      </c>
      <c r="I482" s="1">
        <v>238</v>
      </c>
      <c r="J482" s="3">
        <v>93.395899999999997</v>
      </c>
      <c r="K482" s="3">
        <f t="shared" si="88"/>
        <v>97.503479999999996</v>
      </c>
      <c r="L482" s="1">
        <f t="shared" si="92"/>
        <v>3.482382881699015E-2</v>
      </c>
      <c r="N482" s="4">
        <v>225.01728</v>
      </c>
      <c r="O482" s="1">
        <v>238</v>
      </c>
      <c r="P482" s="3">
        <v>100.44878</v>
      </c>
      <c r="Q482" s="3">
        <f t="shared" si="89"/>
        <v>100.58436</v>
      </c>
      <c r="R482" s="1">
        <f t="shared" si="94"/>
        <v>5.1190082441618179E-3</v>
      </c>
      <c r="T482" s="4">
        <v>250.00403</v>
      </c>
      <c r="U482" s="1">
        <v>238</v>
      </c>
      <c r="V482" s="5">
        <v>90.566580000000002</v>
      </c>
      <c r="W482" s="3">
        <f t="shared" si="90"/>
        <v>94.723979999999997</v>
      </c>
      <c r="X482" s="1">
        <f t="shared" si="93"/>
        <v>7.0978781334185087E-2</v>
      </c>
      <c r="Z482" s="4">
        <v>250.01564999999999</v>
      </c>
      <c r="AA482" s="1">
        <v>238</v>
      </c>
      <c r="AB482" s="5">
        <v>98.469170000000005</v>
      </c>
      <c r="AC482" s="3">
        <f t="shared" si="91"/>
        <v>98.392430000000004</v>
      </c>
      <c r="AD482" s="1">
        <f t="shared" si="86"/>
        <v>3.2091481011152313E-2</v>
      </c>
    </row>
    <row r="483" spans="2:30" x14ac:dyDescent="0.2">
      <c r="B483" s="2">
        <v>200.01686000000001</v>
      </c>
      <c r="C483" s="1">
        <v>238.5</v>
      </c>
      <c r="D483" s="5">
        <v>100.13376</v>
      </c>
      <c r="E483" s="3">
        <f t="shared" si="87"/>
        <v>100.84706</v>
      </c>
      <c r="F483" s="1">
        <f t="shared" si="85"/>
        <v>2.1482796318335533E-3</v>
      </c>
      <c r="H483" s="4">
        <v>225.00595999999999</v>
      </c>
      <c r="I483" s="1">
        <v>238.5</v>
      </c>
      <c r="J483" s="5">
        <v>93.369780000000006</v>
      </c>
      <c r="K483" s="3">
        <f t="shared" si="88"/>
        <v>97.477360000000004</v>
      </c>
      <c r="L483" s="1">
        <f t="shared" si="92"/>
        <v>3.5138348913220291E-2</v>
      </c>
      <c r="N483" s="4">
        <v>225.01436000000001</v>
      </c>
      <c r="O483" s="1">
        <v>238.5</v>
      </c>
      <c r="P483" s="5">
        <v>100.52117</v>
      </c>
      <c r="Q483" s="3">
        <f t="shared" si="89"/>
        <v>100.65675</v>
      </c>
      <c r="R483" s="1">
        <f t="shared" si="94"/>
        <v>4.2526556226602404E-3</v>
      </c>
      <c r="T483" s="4">
        <v>250.01104000000001</v>
      </c>
      <c r="U483" s="1">
        <v>238.5</v>
      </c>
      <c r="V483" s="3">
        <v>90.552710000000005</v>
      </c>
      <c r="W483" s="3">
        <f t="shared" si="90"/>
        <v>94.71011</v>
      </c>
      <c r="X483" s="1">
        <f t="shared" si="93"/>
        <v>7.1145401575719316E-2</v>
      </c>
      <c r="Z483" s="4">
        <v>250.01328000000001</v>
      </c>
      <c r="AA483" s="1">
        <v>238.5</v>
      </c>
      <c r="AB483" s="3">
        <v>98.435029999999998</v>
      </c>
      <c r="AC483" s="3">
        <f t="shared" si="91"/>
        <v>98.358289999999997</v>
      </c>
      <c r="AD483" s="1">
        <f t="shared" si="86"/>
        <v>3.2499806702397334E-2</v>
      </c>
    </row>
    <row r="484" spans="2:30" x14ac:dyDescent="0.2">
      <c r="B484" s="2">
        <v>200.01933</v>
      </c>
      <c r="C484" s="1">
        <v>239</v>
      </c>
      <c r="D484" s="3">
        <v>100.15728</v>
      </c>
      <c r="E484" s="3">
        <f t="shared" si="87"/>
        <v>100.87058</v>
      </c>
      <c r="F484" s="1">
        <f t="shared" si="85"/>
        <v>1.8668362132364625E-3</v>
      </c>
      <c r="H484" s="4">
        <v>225.00800000000001</v>
      </c>
      <c r="I484" s="1">
        <v>239</v>
      </c>
      <c r="J484" s="3">
        <v>93.381119999999996</v>
      </c>
      <c r="K484" s="3">
        <f t="shared" si="88"/>
        <v>97.488699999999994</v>
      </c>
      <c r="L484" s="1">
        <f t="shared" si="92"/>
        <v>3.5001799989359351E-2</v>
      </c>
      <c r="N484" s="4">
        <v>225.01473999999999</v>
      </c>
      <c r="O484" s="1">
        <v>239</v>
      </c>
      <c r="P484" s="3">
        <v>100.55107</v>
      </c>
      <c r="Q484" s="3">
        <f t="shared" si="89"/>
        <v>100.68665</v>
      </c>
      <c r="R484" s="1">
        <f t="shared" si="94"/>
        <v>3.8948169241812274E-3</v>
      </c>
      <c r="T484" s="4">
        <v>250.00701000000001</v>
      </c>
      <c r="U484" s="1">
        <v>239</v>
      </c>
      <c r="V484" s="5">
        <v>90.560540000000003</v>
      </c>
      <c r="W484" s="3">
        <f t="shared" si="90"/>
        <v>94.717939999999999</v>
      </c>
      <c r="X484" s="1">
        <f t="shared" si="93"/>
        <v>7.1051339824370147E-2</v>
      </c>
      <c r="Z484" s="4">
        <v>250.01306</v>
      </c>
      <c r="AA484" s="1">
        <v>239</v>
      </c>
      <c r="AB484" s="5">
        <v>98.567549999999997</v>
      </c>
      <c r="AC484" s="3">
        <f t="shared" si="91"/>
        <v>98.490809999999996</v>
      </c>
      <c r="AD484" s="1">
        <f t="shared" si="86"/>
        <v>3.0914823673581355E-2</v>
      </c>
    </row>
    <row r="485" spans="2:30" x14ac:dyDescent="0.2">
      <c r="B485" s="2">
        <v>200.01535999999999</v>
      </c>
      <c r="C485" s="1">
        <v>239.5</v>
      </c>
      <c r="D485" s="5">
        <v>100.16836000000001</v>
      </c>
      <c r="E485" s="3">
        <f t="shared" si="87"/>
        <v>100.88166000000001</v>
      </c>
      <c r="F485" s="1">
        <f t="shared" si="85"/>
        <v>1.7342514735231526E-3</v>
      </c>
      <c r="H485" s="4">
        <v>225.00789</v>
      </c>
      <c r="I485" s="1">
        <v>239.5</v>
      </c>
      <c r="J485" s="5">
        <v>93.396550000000005</v>
      </c>
      <c r="K485" s="3">
        <f t="shared" si="88"/>
        <v>97.504130000000004</v>
      </c>
      <c r="L485" s="1">
        <f t="shared" si="92"/>
        <v>3.4816001938638236E-2</v>
      </c>
      <c r="N485" s="4">
        <v>225.01836</v>
      </c>
      <c r="O485" s="1">
        <v>239.5</v>
      </c>
      <c r="P485" s="5">
        <v>100.29863</v>
      </c>
      <c r="Q485" s="3">
        <f t="shared" si="89"/>
        <v>100.43421000000001</v>
      </c>
      <c r="R485" s="1">
        <f t="shared" si="94"/>
        <v>6.9159808386978208E-3</v>
      </c>
      <c r="T485" s="4">
        <v>250.00399999999999</v>
      </c>
      <c r="U485" s="1">
        <v>239.5</v>
      </c>
      <c r="V485" s="3">
        <v>90.524469999999994</v>
      </c>
      <c r="W485" s="3">
        <f t="shared" si="90"/>
        <v>94.681869999999989</v>
      </c>
      <c r="X485" s="1">
        <f t="shared" si="93"/>
        <v>7.1484648556319835E-2</v>
      </c>
      <c r="Z485" s="4">
        <v>250.01695000000001</v>
      </c>
      <c r="AA485" s="1">
        <v>239.5</v>
      </c>
      <c r="AB485" s="3">
        <v>98.463260000000005</v>
      </c>
      <c r="AC485" s="3">
        <f t="shared" si="91"/>
        <v>98.386520000000004</v>
      </c>
      <c r="AD485" s="1">
        <f t="shared" si="86"/>
        <v>3.216216656578786E-2</v>
      </c>
    </row>
    <row r="486" spans="2:30" x14ac:dyDescent="0.2">
      <c r="T486" s="4">
        <v>249.99897000000001</v>
      </c>
      <c r="U486" s="1">
        <v>240</v>
      </c>
      <c r="V486" s="5">
        <v>90.516440000000003</v>
      </c>
      <c r="W486" s="3">
        <f t="shared" si="90"/>
        <v>94.673839999999998</v>
      </c>
      <c r="X486" s="1">
        <f t="shared" si="93"/>
        <v>7.1581112906681663E-2</v>
      </c>
      <c r="Z486" s="4">
        <v>250.01919000000001</v>
      </c>
      <c r="AA486" s="1">
        <v>240</v>
      </c>
      <c r="AB486" s="5">
        <v>98.579009999999997</v>
      </c>
      <c r="AC486" s="3">
        <f t="shared" si="91"/>
        <v>98.502269999999996</v>
      </c>
      <c r="AD486" s="1">
        <f t="shared" si="86"/>
        <v>3.0777758283374364E-2</v>
      </c>
    </row>
    <row r="487" spans="2:30" x14ac:dyDescent="0.2">
      <c r="T487" s="4">
        <v>250.00899000000001</v>
      </c>
      <c r="U487" s="1">
        <v>240.5</v>
      </c>
      <c r="V487" s="3">
        <v>90.528350000000003</v>
      </c>
      <c r="W487" s="3">
        <f t="shared" si="90"/>
        <v>94.685749999999999</v>
      </c>
      <c r="X487" s="1">
        <f t="shared" si="93"/>
        <v>7.1438038135472365E-2</v>
      </c>
      <c r="Z487" s="4">
        <v>250.01499999999999</v>
      </c>
      <c r="AA487" s="1">
        <v>240.5</v>
      </c>
      <c r="AB487" s="3">
        <v>98.585499999999996</v>
      </c>
      <c r="AC487" s="3">
        <f t="shared" si="91"/>
        <v>98.508759999999995</v>
      </c>
      <c r="AD487" s="1">
        <f t="shared" si="86"/>
        <v>3.0700135736913339E-2</v>
      </c>
    </row>
    <row r="488" spans="2:30" x14ac:dyDescent="0.2">
      <c r="T488" s="4">
        <v>250.00904</v>
      </c>
      <c r="U488" s="1">
        <v>241</v>
      </c>
      <c r="V488" s="5">
        <v>90.516450000000006</v>
      </c>
      <c r="W488" s="3">
        <f t="shared" si="90"/>
        <v>94.673850000000002</v>
      </c>
      <c r="X488" s="1">
        <f t="shared" si="93"/>
        <v>7.1580992776730981E-2</v>
      </c>
      <c r="Z488" s="4">
        <v>250.01156</v>
      </c>
      <c r="AA488" s="1">
        <v>241</v>
      </c>
      <c r="AB488" s="5">
        <v>98.45214</v>
      </c>
      <c r="AC488" s="3">
        <f t="shared" si="91"/>
        <v>98.375399999999999</v>
      </c>
      <c r="AD488" s="1">
        <f t="shared" si="86"/>
        <v>3.22951654435455E-2</v>
      </c>
    </row>
    <row r="489" spans="2:30" x14ac:dyDescent="0.2">
      <c r="T489" s="4">
        <v>250.00602000000001</v>
      </c>
      <c r="U489" s="1">
        <v>241.5</v>
      </c>
      <c r="V489" s="3">
        <v>90.486220000000003</v>
      </c>
      <c r="W489" s="3">
        <f t="shared" si="90"/>
        <v>94.643619999999999</v>
      </c>
      <c r="X489" s="1">
        <f t="shared" si="93"/>
        <v>7.1944145617508282E-2</v>
      </c>
      <c r="Z489" s="4">
        <v>250.01096000000001</v>
      </c>
      <c r="AA489" s="1">
        <v>241.5</v>
      </c>
      <c r="AB489" s="3">
        <v>98.530559999999994</v>
      </c>
      <c r="AC489" s="3">
        <f t="shared" si="91"/>
        <v>98.453819999999993</v>
      </c>
      <c r="AD489" s="1">
        <f t="shared" si="86"/>
        <v>3.1357236307417061E-2</v>
      </c>
    </row>
    <row r="490" spans="2:30" x14ac:dyDescent="0.2">
      <c r="T490" s="4">
        <v>249.99701999999999</v>
      </c>
      <c r="U490" s="1">
        <v>242</v>
      </c>
      <c r="V490" s="5">
        <v>90.466369999999998</v>
      </c>
      <c r="W490" s="3">
        <f t="shared" si="90"/>
        <v>94.623769999999993</v>
      </c>
      <c r="X490" s="1">
        <f t="shared" si="93"/>
        <v>7.2182603569523843E-2</v>
      </c>
      <c r="Z490" s="4">
        <v>250.01141000000001</v>
      </c>
      <c r="AA490" s="1">
        <v>242</v>
      </c>
      <c r="AB490" s="5">
        <v>98.479089999999999</v>
      </c>
      <c r="AC490" s="3">
        <f t="shared" si="91"/>
        <v>98.402349999999998</v>
      </c>
      <c r="AD490" s="1">
        <f t="shared" si="86"/>
        <v>3.1972834530275128E-2</v>
      </c>
    </row>
    <row r="491" spans="2:30" x14ac:dyDescent="0.2">
      <c r="T491" s="4">
        <v>250.00297</v>
      </c>
      <c r="U491" s="1">
        <v>242.5</v>
      </c>
      <c r="V491" s="3">
        <v>90.456180000000003</v>
      </c>
      <c r="W491" s="3">
        <f t="shared" si="90"/>
        <v>94.613579999999999</v>
      </c>
      <c r="X491" s="1">
        <f t="shared" si="93"/>
        <v>7.2305015989223412E-2</v>
      </c>
      <c r="Z491" s="4">
        <v>250.00971000000001</v>
      </c>
      <c r="AA491" s="1">
        <v>242.5</v>
      </c>
      <c r="AB491" s="3">
        <v>98.341300000000004</v>
      </c>
      <c r="AC491" s="3">
        <f t="shared" si="91"/>
        <v>98.264560000000003</v>
      </c>
      <c r="AD491" s="1">
        <f t="shared" si="86"/>
        <v>3.3620848502057106E-2</v>
      </c>
    </row>
    <row r="492" spans="2:30" x14ac:dyDescent="0.2">
      <c r="T492" s="4">
        <v>250.00297</v>
      </c>
      <c r="U492" s="1">
        <v>243</v>
      </c>
      <c r="V492" s="5">
        <v>90.448170000000005</v>
      </c>
      <c r="W492" s="3">
        <f t="shared" si="90"/>
        <v>94.60557</v>
      </c>
      <c r="X492" s="1">
        <f t="shared" si="93"/>
        <v>7.2401240079684057E-2</v>
      </c>
      <c r="Z492" s="4">
        <v>250.01231999999999</v>
      </c>
      <c r="AA492" s="1">
        <v>243</v>
      </c>
      <c r="AB492" s="5">
        <v>98.459310000000002</v>
      </c>
      <c r="AC492" s="3">
        <f t="shared" si="91"/>
        <v>98.382570000000001</v>
      </c>
      <c r="AD492" s="1">
        <f t="shared" si="86"/>
        <v>3.2209409872185596E-2</v>
      </c>
    </row>
    <row r="493" spans="2:30" x14ac:dyDescent="0.2">
      <c r="T493" s="4">
        <v>250.00801999999999</v>
      </c>
      <c r="U493" s="1">
        <v>243.5</v>
      </c>
      <c r="V493" s="3">
        <v>90.438090000000003</v>
      </c>
      <c r="W493" s="3">
        <f t="shared" si="90"/>
        <v>94.595489999999998</v>
      </c>
      <c r="X493" s="1">
        <f t="shared" si="93"/>
        <v>7.2522331069926713E-2</v>
      </c>
      <c r="Z493" s="4">
        <v>250.01965999999999</v>
      </c>
      <c r="AA493" s="1">
        <v>243.5</v>
      </c>
      <c r="AB493" s="3">
        <v>98.316730000000007</v>
      </c>
      <c r="AC493" s="3">
        <f t="shared" si="91"/>
        <v>98.239990000000006</v>
      </c>
      <c r="AD493" s="1">
        <f t="shared" si="86"/>
        <v>3.3914713828181495E-2</v>
      </c>
    </row>
    <row r="494" spans="2:30" x14ac:dyDescent="0.2">
      <c r="T494" s="4">
        <v>250.00903</v>
      </c>
      <c r="U494" s="1">
        <v>244</v>
      </c>
      <c r="V494" s="5">
        <v>90.436210000000003</v>
      </c>
      <c r="W494" s="3">
        <f t="shared" si="90"/>
        <v>94.593609999999998</v>
      </c>
      <c r="X494" s="1">
        <f t="shared" si="93"/>
        <v>7.2544915500646567E-2</v>
      </c>
      <c r="Z494" s="4">
        <v>250.0215</v>
      </c>
      <c r="AA494" s="1">
        <v>244</v>
      </c>
      <c r="AB494" s="5">
        <v>98.426169999999999</v>
      </c>
      <c r="AC494" s="3">
        <f t="shared" si="91"/>
        <v>98.349429999999998</v>
      </c>
      <c r="AD494" s="1">
        <f t="shared" si="86"/>
        <v>3.2605775232696969E-2</v>
      </c>
    </row>
    <row r="495" spans="2:30" x14ac:dyDescent="0.2">
      <c r="T495" s="4">
        <v>250.00699</v>
      </c>
      <c r="U495" s="1">
        <v>244.5</v>
      </c>
      <c r="V495" s="3">
        <v>90.418040000000005</v>
      </c>
      <c r="W495" s="3">
        <f t="shared" si="90"/>
        <v>94.57544</v>
      </c>
      <c r="X495" s="1">
        <f t="shared" si="93"/>
        <v>7.2763191620954945E-2</v>
      </c>
      <c r="Z495" s="4">
        <v>250.01781</v>
      </c>
      <c r="AA495" s="1">
        <v>244.5</v>
      </c>
      <c r="AB495" s="3">
        <v>98.366929999999996</v>
      </c>
      <c r="AC495" s="3">
        <f t="shared" si="91"/>
        <v>98.290189999999996</v>
      </c>
      <c r="AD495" s="1">
        <f t="shared" si="86"/>
        <v>3.3314305225355161E-2</v>
      </c>
    </row>
    <row r="496" spans="2:30" x14ac:dyDescent="0.2">
      <c r="T496" s="4">
        <v>250.00390999999999</v>
      </c>
      <c r="U496" s="1">
        <v>245</v>
      </c>
      <c r="V496" s="5">
        <v>90.402109999999993</v>
      </c>
      <c r="W496" s="3">
        <f t="shared" si="90"/>
        <v>94.559509999999989</v>
      </c>
      <c r="X496" s="1">
        <f t="shared" si="93"/>
        <v>7.2954558632320671E-2</v>
      </c>
      <c r="Z496" s="4">
        <v>250.01779999999999</v>
      </c>
      <c r="AA496" s="1">
        <v>245</v>
      </c>
      <c r="AB496" s="5">
        <v>98.397890000000004</v>
      </c>
      <c r="AC496" s="3">
        <f t="shared" si="91"/>
        <v>98.321150000000003</v>
      </c>
      <c r="AD496" s="1">
        <f t="shared" si="86"/>
        <v>3.294401338584297E-2</v>
      </c>
    </row>
    <row r="497" spans="20:30" x14ac:dyDescent="0.2">
      <c r="T497" s="4">
        <v>250</v>
      </c>
      <c r="U497" s="1">
        <v>245.5</v>
      </c>
      <c r="V497" s="3">
        <v>90.386039999999994</v>
      </c>
      <c r="W497" s="3">
        <f t="shared" si="90"/>
        <v>94.54343999999999</v>
      </c>
      <c r="X497" s="1">
        <f t="shared" si="93"/>
        <v>7.3147607462995173E-2</v>
      </c>
      <c r="Z497" s="4">
        <v>250.01859999999999</v>
      </c>
      <c r="AA497" s="1">
        <v>245.5</v>
      </c>
      <c r="AB497" s="3">
        <v>98.388180000000006</v>
      </c>
      <c r="AC497" s="3">
        <f t="shared" si="91"/>
        <v>98.311440000000005</v>
      </c>
      <c r="AD497" s="1">
        <f t="shared" si="86"/>
        <v>3.3060148197266159E-2</v>
      </c>
    </row>
    <row r="498" spans="20:30" x14ac:dyDescent="0.2">
      <c r="T498" s="4">
        <v>250.00702999999999</v>
      </c>
      <c r="U498" s="1">
        <v>246</v>
      </c>
      <c r="V498" s="5">
        <v>90.387910000000005</v>
      </c>
      <c r="W498" s="3">
        <f t="shared" si="90"/>
        <v>94.545310000000001</v>
      </c>
      <c r="X498" s="1">
        <f t="shared" si="93"/>
        <v>7.312514316222582E-2</v>
      </c>
      <c r="Z498" s="4">
        <v>250.02141</v>
      </c>
      <c r="AA498" s="1">
        <v>246</v>
      </c>
      <c r="AB498" s="5">
        <v>98.401489999999995</v>
      </c>
      <c r="AC498" s="3">
        <f t="shared" si="91"/>
        <v>98.324749999999995</v>
      </c>
      <c r="AD498" s="1">
        <f t="shared" si="86"/>
        <v>3.2900956195202134E-2</v>
      </c>
    </row>
    <row r="499" spans="20:30" x14ac:dyDescent="0.2">
      <c r="T499" s="4">
        <v>250.00400999999999</v>
      </c>
      <c r="U499" s="1">
        <v>246.5</v>
      </c>
      <c r="V499" s="3">
        <v>90.363919999999993</v>
      </c>
      <c r="W499" s="3">
        <f t="shared" si="90"/>
        <v>94.521319999999989</v>
      </c>
      <c r="X499" s="1">
        <f t="shared" si="93"/>
        <v>7.3413334913805403E-2</v>
      </c>
      <c r="Z499" s="4">
        <v>250.02002999999999</v>
      </c>
      <c r="AA499" s="1">
        <v>246.5</v>
      </c>
      <c r="AB499" s="3">
        <v>98.411580000000001</v>
      </c>
      <c r="AC499" s="3">
        <f t="shared" si="91"/>
        <v>98.33484</v>
      </c>
      <c r="AD499" s="1">
        <f t="shared" si="86"/>
        <v>3.2780276458100097E-2</v>
      </c>
    </row>
    <row r="500" spans="20:30" x14ac:dyDescent="0.2">
      <c r="T500" s="4">
        <v>249.99800999999999</v>
      </c>
      <c r="U500" s="1">
        <v>247</v>
      </c>
      <c r="V500" s="5">
        <v>90.348050000000001</v>
      </c>
      <c r="W500" s="3">
        <f t="shared" si="90"/>
        <v>94.505449999999996</v>
      </c>
      <c r="X500" s="1">
        <f t="shared" si="93"/>
        <v>7.3603981145467068E-2</v>
      </c>
      <c r="Z500" s="4">
        <v>250.02202</v>
      </c>
      <c r="AA500" s="1">
        <v>247</v>
      </c>
      <c r="AB500" s="5">
        <v>98.336399999999998</v>
      </c>
      <c r="AC500" s="3">
        <f t="shared" si="91"/>
        <v>98.259659999999997</v>
      </c>
      <c r="AD500" s="1">
        <f t="shared" si="86"/>
        <v>3.3679454122651796E-2</v>
      </c>
    </row>
    <row r="501" spans="20:30" x14ac:dyDescent="0.2">
      <c r="T501" s="4">
        <v>250.00604999999999</v>
      </c>
      <c r="U501" s="1">
        <v>247.5</v>
      </c>
      <c r="V501" s="3">
        <v>90.348089999999999</v>
      </c>
      <c r="W501" s="3">
        <f t="shared" si="90"/>
        <v>94.505489999999995</v>
      </c>
      <c r="X501" s="1">
        <f t="shared" si="93"/>
        <v>7.3603500625664536E-2</v>
      </c>
      <c r="Z501" s="4">
        <v>250.02234999999999</v>
      </c>
      <c r="AA501" s="1">
        <v>247.5</v>
      </c>
      <c r="AB501" s="3">
        <v>98.432900000000004</v>
      </c>
      <c r="AC501" s="3">
        <f t="shared" si="91"/>
        <v>98.356160000000003</v>
      </c>
      <c r="AD501" s="1">
        <f t="shared" si="86"/>
        <v>3.2525282206859824E-2</v>
      </c>
    </row>
    <row r="502" spans="20:30" x14ac:dyDescent="0.2">
      <c r="T502" s="4">
        <v>250.00801999999999</v>
      </c>
      <c r="U502" s="1">
        <v>248</v>
      </c>
      <c r="V502" s="5">
        <v>90.325969999999998</v>
      </c>
      <c r="W502" s="3">
        <f t="shared" si="90"/>
        <v>94.483369999999994</v>
      </c>
      <c r="X502" s="1">
        <f t="shared" si="93"/>
        <v>7.3869228076474766E-2</v>
      </c>
      <c r="Z502" s="4">
        <v>250.0241</v>
      </c>
      <c r="AA502" s="1">
        <v>248</v>
      </c>
      <c r="AB502" s="5">
        <v>98.377939999999995</v>
      </c>
      <c r="AC502" s="3">
        <f t="shared" si="91"/>
        <v>98.301199999999994</v>
      </c>
      <c r="AD502" s="1">
        <f t="shared" si="86"/>
        <v>3.318262198397829E-2</v>
      </c>
    </row>
    <row r="503" spans="20:30" x14ac:dyDescent="0.2">
      <c r="T503" s="4">
        <v>250.01</v>
      </c>
      <c r="U503" s="1">
        <v>248.5</v>
      </c>
      <c r="V503" s="3">
        <v>90.313649999999996</v>
      </c>
      <c r="W503" s="3">
        <f t="shared" si="90"/>
        <v>94.471049999999991</v>
      </c>
      <c r="X503" s="1">
        <f t="shared" si="93"/>
        <v>7.4017228175660241E-2</v>
      </c>
      <c r="Z503" s="4">
        <v>250.02520999999999</v>
      </c>
      <c r="AA503" s="1">
        <v>248.5</v>
      </c>
      <c r="AB503" s="3">
        <v>98.455849999999998</v>
      </c>
      <c r="AC503" s="3">
        <f t="shared" si="91"/>
        <v>98.379109999999997</v>
      </c>
      <c r="AD503" s="1">
        <f t="shared" si="86"/>
        <v>3.2250792616523888E-2</v>
      </c>
    </row>
    <row r="504" spans="20:30" x14ac:dyDescent="0.2">
      <c r="T504" s="4">
        <v>250.00700000000001</v>
      </c>
      <c r="U504" s="1">
        <v>249</v>
      </c>
      <c r="V504" s="5">
        <v>90.291539999999998</v>
      </c>
      <c r="W504" s="3">
        <f t="shared" si="90"/>
        <v>94.448939999999993</v>
      </c>
      <c r="X504" s="1">
        <f t="shared" si="93"/>
        <v>7.4282835496519789E-2</v>
      </c>
      <c r="Z504" s="4">
        <v>250.02020999999999</v>
      </c>
      <c r="AA504" s="1">
        <v>249</v>
      </c>
      <c r="AB504" s="5">
        <v>98.350520000000003</v>
      </c>
      <c r="AC504" s="3">
        <f t="shared" si="91"/>
        <v>98.273780000000002</v>
      </c>
      <c r="AD504" s="1">
        <f t="shared" si="86"/>
        <v>3.3510574252693368E-2</v>
      </c>
    </row>
    <row r="505" spans="20:30" x14ac:dyDescent="0.2">
      <c r="T505" s="4">
        <v>250.01000999999999</v>
      </c>
      <c r="U505" s="1">
        <v>249.5</v>
      </c>
      <c r="V505" s="3">
        <v>90.281490000000005</v>
      </c>
      <c r="W505" s="3">
        <f t="shared" si="90"/>
        <v>94.438890000000001</v>
      </c>
      <c r="X505" s="1">
        <f t="shared" si="93"/>
        <v>7.4403566096910415E-2</v>
      </c>
      <c r="Z505" s="4">
        <v>250.02301</v>
      </c>
      <c r="AA505" s="1">
        <v>249.5</v>
      </c>
      <c r="AB505" s="3">
        <v>98.345110000000005</v>
      </c>
      <c r="AC505" s="3">
        <f t="shared" si="91"/>
        <v>98.268370000000004</v>
      </c>
      <c r="AD505" s="1">
        <f t="shared" si="86"/>
        <v>3.3575279641962087E-2</v>
      </c>
    </row>
    <row r="506" spans="20:30" x14ac:dyDescent="0.2">
      <c r="T506" s="4">
        <v>250.00699</v>
      </c>
      <c r="U506" s="1">
        <v>250</v>
      </c>
      <c r="V506" s="5">
        <v>90.255439999999993</v>
      </c>
      <c r="W506" s="3">
        <f t="shared" si="90"/>
        <v>94.412839999999989</v>
      </c>
      <c r="X506" s="1">
        <f t="shared" si="93"/>
        <v>7.4716504618321328E-2</v>
      </c>
      <c r="Z506" s="4">
        <v>250.02524</v>
      </c>
      <c r="AA506" s="1">
        <v>250</v>
      </c>
      <c r="AB506" s="5">
        <v>98.365960000000001</v>
      </c>
      <c r="AC506" s="3">
        <f t="shared" si="91"/>
        <v>98.28922</v>
      </c>
      <c r="AD506" s="1">
        <f t="shared" si="86"/>
        <v>3.3325906746166686E-2</v>
      </c>
    </row>
    <row r="507" spans="20:30" x14ac:dyDescent="0.2">
      <c r="T507" s="4">
        <v>250.00602000000001</v>
      </c>
      <c r="U507" s="1">
        <v>250.5</v>
      </c>
      <c r="V507" s="3">
        <v>90.245459999999994</v>
      </c>
      <c r="W507" s="3">
        <f t="shared" si="90"/>
        <v>94.40285999999999</v>
      </c>
      <c r="X507" s="1">
        <f t="shared" si="93"/>
        <v>7.4836394309057572E-2</v>
      </c>
      <c r="Z507" s="4">
        <v>250.02038999999999</v>
      </c>
      <c r="AA507" s="1">
        <v>250.5</v>
      </c>
      <c r="AB507" s="3">
        <v>98.38973</v>
      </c>
      <c r="AC507" s="3">
        <f t="shared" si="91"/>
        <v>98.312989999999999</v>
      </c>
      <c r="AD507" s="1">
        <f t="shared" si="86"/>
        <v>3.3041609684629152E-2</v>
      </c>
    </row>
    <row r="508" spans="20:30" x14ac:dyDescent="0.2">
      <c r="T508" s="4">
        <v>250.00802999999999</v>
      </c>
      <c r="U508" s="1">
        <v>251</v>
      </c>
      <c r="V508" s="5">
        <v>90.267709999999994</v>
      </c>
      <c r="W508" s="3">
        <f t="shared" si="90"/>
        <v>94.425109999999989</v>
      </c>
      <c r="X508" s="1">
        <f t="shared" si="93"/>
        <v>7.4569105168889066E-2</v>
      </c>
      <c r="Z508" s="4">
        <v>250.01791</v>
      </c>
      <c r="AA508" s="1">
        <v>251</v>
      </c>
      <c r="AB508" s="5">
        <v>98.356669999999994</v>
      </c>
      <c r="AC508" s="3">
        <f t="shared" si="91"/>
        <v>98.279929999999993</v>
      </c>
      <c r="AD508" s="1">
        <f t="shared" si="86"/>
        <v>3.343701821868187E-2</v>
      </c>
    </row>
    <row r="509" spans="20:30" x14ac:dyDescent="0.2">
      <c r="T509" s="4">
        <v>250.01000999999999</v>
      </c>
      <c r="U509" s="1">
        <v>251.5</v>
      </c>
      <c r="V509" s="3">
        <v>90.247600000000006</v>
      </c>
      <c r="W509" s="3">
        <f t="shared" si="90"/>
        <v>94.405000000000001</v>
      </c>
      <c r="X509" s="1">
        <f t="shared" si="93"/>
        <v>7.4810686499620999E-2</v>
      </c>
      <c r="Z509" s="4">
        <v>250.01281</v>
      </c>
      <c r="AA509" s="1">
        <v>251.5</v>
      </c>
      <c r="AB509" s="3">
        <v>98.265140000000002</v>
      </c>
      <c r="AC509" s="3">
        <f t="shared" si="91"/>
        <v>98.188400000000001</v>
      </c>
      <c r="AD509" s="1">
        <f t="shared" si="86"/>
        <v>3.4531747290727707E-2</v>
      </c>
    </row>
    <row r="510" spans="20:30" x14ac:dyDescent="0.2">
      <c r="T510" s="4">
        <v>250.01298</v>
      </c>
      <c r="U510" s="1">
        <v>252</v>
      </c>
      <c r="V510" s="5">
        <v>90.249629999999996</v>
      </c>
      <c r="W510" s="3">
        <f t="shared" si="90"/>
        <v>94.407029999999992</v>
      </c>
      <c r="X510" s="1">
        <f t="shared" si="93"/>
        <v>7.4786300119641699E-2</v>
      </c>
      <c r="Z510" s="4">
        <v>250.01161999999999</v>
      </c>
      <c r="AA510" s="1">
        <v>252</v>
      </c>
      <c r="AB510" s="5">
        <v>98.319519999999997</v>
      </c>
      <c r="AC510" s="3">
        <f t="shared" si="91"/>
        <v>98.242779999999996</v>
      </c>
      <c r="AD510" s="1">
        <f t="shared" si="86"/>
        <v>3.3881344505434882E-2</v>
      </c>
    </row>
    <row r="511" spans="20:30" x14ac:dyDescent="0.2">
      <c r="T511" s="4">
        <v>250.00801000000001</v>
      </c>
      <c r="U511" s="1">
        <v>252.5</v>
      </c>
      <c r="V511" s="3">
        <v>90.221590000000006</v>
      </c>
      <c r="W511" s="3">
        <f t="shared" si="90"/>
        <v>94.378990000000002</v>
      </c>
      <c r="X511" s="1">
        <f t="shared" si="93"/>
        <v>7.5123144501229214E-2</v>
      </c>
      <c r="Z511" s="4">
        <v>250.01441</v>
      </c>
      <c r="AA511" s="1">
        <v>252.5</v>
      </c>
      <c r="AB511" s="3">
        <v>98.300389999999993</v>
      </c>
      <c r="AC511" s="3">
        <f t="shared" si="91"/>
        <v>98.223649999999992</v>
      </c>
      <c r="AD511" s="1">
        <f t="shared" ref="AD511:AD574" si="95">($AC$62-AC511)/($AC$62*(1-$M$1))</f>
        <v>3.4110145632368596E-2</v>
      </c>
    </row>
    <row r="512" spans="20:30" x14ac:dyDescent="0.2">
      <c r="T512" s="4">
        <v>250.00299000000001</v>
      </c>
      <c r="U512" s="1">
        <v>253</v>
      </c>
      <c r="V512" s="5">
        <v>90.195499999999996</v>
      </c>
      <c r="W512" s="3">
        <f t="shared" si="90"/>
        <v>94.352899999999991</v>
      </c>
      <c r="X512" s="1">
        <f t="shared" si="93"/>
        <v>7.5436563542442658E-2</v>
      </c>
      <c r="Z512" s="4">
        <v>250.01446000000001</v>
      </c>
      <c r="AA512" s="1">
        <v>253</v>
      </c>
      <c r="AB512" s="5">
        <v>98.241050000000001</v>
      </c>
      <c r="AC512" s="3">
        <f t="shared" si="91"/>
        <v>98.16431</v>
      </c>
      <c r="AD512" s="1">
        <f t="shared" si="95"/>
        <v>3.4819871658100014E-2</v>
      </c>
    </row>
    <row r="513" spans="20:30" x14ac:dyDescent="0.2">
      <c r="T513" s="4">
        <v>250.00200000000001</v>
      </c>
      <c r="U513" s="1">
        <v>253.5</v>
      </c>
      <c r="V513" s="3">
        <v>90.175330000000002</v>
      </c>
      <c r="W513" s="3">
        <f t="shared" si="90"/>
        <v>94.332729999999998</v>
      </c>
      <c r="X513" s="1">
        <f t="shared" si="93"/>
        <v>7.5678865652878471E-2</v>
      </c>
      <c r="Z513" s="4">
        <v>250.01194000000001</v>
      </c>
      <c r="AA513" s="1">
        <v>253.5</v>
      </c>
      <c r="AB513" s="3">
        <v>98.206639999999993</v>
      </c>
      <c r="AC513" s="3">
        <f t="shared" si="91"/>
        <v>98.129899999999992</v>
      </c>
      <c r="AD513" s="1">
        <f t="shared" si="95"/>
        <v>3.5231426638643114E-2</v>
      </c>
    </row>
    <row r="514" spans="20:30" x14ac:dyDescent="0.2">
      <c r="T514" s="4">
        <v>250.00702999999999</v>
      </c>
      <c r="U514" s="1">
        <v>254</v>
      </c>
      <c r="V514" s="5">
        <v>90.17313</v>
      </c>
      <c r="W514" s="3">
        <f t="shared" si="90"/>
        <v>94.330529999999996</v>
      </c>
      <c r="X514" s="1">
        <f t="shared" si="93"/>
        <v>7.5705294242018759E-2</v>
      </c>
      <c r="Z514" s="4">
        <v>250.00815</v>
      </c>
      <c r="AA514" s="1">
        <v>254</v>
      </c>
      <c r="AB514" s="5">
        <v>98.339830000000006</v>
      </c>
      <c r="AC514" s="3">
        <f t="shared" si="91"/>
        <v>98.263090000000005</v>
      </c>
      <c r="AD514" s="1">
        <f t="shared" si="95"/>
        <v>3.3638430188235459E-2</v>
      </c>
    </row>
    <row r="515" spans="20:30" x14ac:dyDescent="0.2">
      <c r="T515" s="4">
        <v>250.00698</v>
      </c>
      <c r="U515" s="1">
        <v>254.5</v>
      </c>
      <c r="V515" s="3">
        <v>90.147030000000001</v>
      </c>
      <c r="W515" s="3">
        <f t="shared" si="90"/>
        <v>94.304429999999996</v>
      </c>
      <c r="X515" s="1">
        <f t="shared" si="93"/>
        <v>7.6018833413182704E-2</v>
      </c>
      <c r="Z515" s="4">
        <v>250.00842</v>
      </c>
      <c r="AA515" s="1">
        <v>254.5</v>
      </c>
      <c r="AB515" s="3">
        <v>98.253360000000001</v>
      </c>
      <c r="AC515" s="3">
        <f t="shared" si="91"/>
        <v>98.17662</v>
      </c>
      <c r="AD515" s="1">
        <f t="shared" si="95"/>
        <v>3.467263998676947E-2</v>
      </c>
    </row>
    <row r="516" spans="20:30" x14ac:dyDescent="0.2">
      <c r="T516" s="4">
        <v>250.00398999999999</v>
      </c>
      <c r="U516" s="1">
        <v>255</v>
      </c>
      <c r="V516" s="5">
        <v>90.141270000000006</v>
      </c>
      <c r="W516" s="3">
        <f t="shared" si="90"/>
        <v>94.298670000000001</v>
      </c>
      <c r="X516" s="1">
        <f t="shared" si="93"/>
        <v>7.6088028264749863E-2</v>
      </c>
      <c r="Z516" s="4">
        <v>250.01101</v>
      </c>
      <c r="AA516" s="1">
        <v>255</v>
      </c>
      <c r="AB516" s="5">
        <v>98.251829999999998</v>
      </c>
      <c r="AC516" s="3">
        <f t="shared" si="91"/>
        <v>98.175089999999997</v>
      </c>
      <c r="AD516" s="1">
        <f t="shared" si="95"/>
        <v>3.4690939292791899E-2</v>
      </c>
    </row>
    <row r="517" spans="20:30" x14ac:dyDescent="0.2">
      <c r="T517" s="4">
        <v>250.00703999999999</v>
      </c>
      <c r="U517" s="1">
        <v>255.5</v>
      </c>
      <c r="V517" s="3">
        <v>90.121049999999997</v>
      </c>
      <c r="W517" s="3">
        <f t="shared" si="90"/>
        <v>94.278449999999992</v>
      </c>
      <c r="X517" s="1">
        <f t="shared" si="93"/>
        <v>7.6330931024939069E-2</v>
      </c>
      <c r="Z517" s="4">
        <v>250.01109</v>
      </c>
      <c r="AA517" s="1">
        <v>255.5</v>
      </c>
      <c r="AB517" s="3">
        <v>98.333029999999994</v>
      </c>
      <c r="AC517" s="3">
        <f t="shared" si="91"/>
        <v>98.256289999999993</v>
      </c>
      <c r="AD517" s="1">
        <f t="shared" si="95"/>
        <v>3.3719760437224057E-2</v>
      </c>
    </row>
    <row r="518" spans="20:30" x14ac:dyDescent="0.2">
      <c r="T518" s="4">
        <v>250.00496999999999</v>
      </c>
      <c r="U518" s="1">
        <v>256</v>
      </c>
      <c r="V518" s="5">
        <v>90.131129999999999</v>
      </c>
      <c r="W518" s="3">
        <f t="shared" si="90"/>
        <v>94.288529999999994</v>
      </c>
      <c r="X518" s="1">
        <f t="shared" si="93"/>
        <v>7.6209840034696413E-2</v>
      </c>
      <c r="Z518" s="4">
        <v>250.01507000000001</v>
      </c>
      <c r="AA518" s="1">
        <v>256</v>
      </c>
      <c r="AB518" s="5">
        <v>98.317419999999998</v>
      </c>
      <c r="AC518" s="3">
        <f t="shared" si="91"/>
        <v>98.240679999999998</v>
      </c>
      <c r="AD518" s="1">
        <f t="shared" si="95"/>
        <v>3.390646119997541E-2</v>
      </c>
    </row>
    <row r="519" spans="20:30" x14ac:dyDescent="0.2">
      <c r="T519" s="4">
        <v>250.00402</v>
      </c>
      <c r="U519" s="1">
        <v>256.5</v>
      </c>
      <c r="V519" s="3">
        <v>90.103179999999995</v>
      </c>
      <c r="W519" s="3">
        <f t="shared" ref="W519:W582" si="96">100-($V$6-V519)</f>
        <v>94.26057999999999</v>
      </c>
      <c r="X519" s="1">
        <f t="shared" si="93"/>
        <v>7.654560324672835E-2</v>
      </c>
      <c r="Z519" s="4">
        <v>250.01859999999999</v>
      </c>
      <c r="AA519" s="1">
        <v>256.5</v>
      </c>
      <c r="AB519" s="3">
        <v>98.319860000000006</v>
      </c>
      <c r="AC519" s="3">
        <f t="shared" ref="AC519:AC582" si="97">100-($AB$6-AB519)</f>
        <v>98.243120000000005</v>
      </c>
      <c r="AD519" s="1">
        <f t="shared" si="95"/>
        <v>3.3877277992985358E-2</v>
      </c>
    </row>
    <row r="520" spans="20:30" x14ac:dyDescent="0.2">
      <c r="T520" s="4">
        <v>250.00998000000001</v>
      </c>
      <c r="U520" s="1">
        <v>257</v>
      </c>
      <c r="V520" s="5">
        <v>90.083100000000002</v>
      </c>
      <c r="W520" s="3">
        <f t="shared" si="96"/>
        <v>94.240499999999997</v>
      </c>
      <c r="X520" s="1">
        <f t="shared" si="93"/>
        <v>7.6786824187608432E-2</v>
      </c>
      <c r="Z520" s="4">
        <v>250.02108999999999</v>
      </c>
      <c r="AA520" s="1">
        <v>257</v>
      </c>
      <c r="AB520" s="5">
        <v>98.373850000000004</v>
      </c>
      <c r="AC520" s="3">
        <f t="shared" si="97"/>
        <v>98.297110000000004</v>
      </c>
      <c r="AD520" s="1">
        <f t="shared" si="95"/>
        <v>3.3231539736678584E-2</v>
      </c>
    </row>
    <row r="521" spans="20:30" x14ac:dyDescent="0.2">
      <c r="T521" s="4">
        <v>250.00702000000001</v>
      </c>
      <c r="U521" s="1">
        <v>257.5</v>
      </c>
      <c r="V521" s="3">
        <v>90.076980000000006</v>
      </c>
      <c r="W521" s="3">
        <f t="shared" si="96"/>
        <v>94.234380000000002</v>
      </c>
      <c r="X521" s="1">
        <f t="shared" si="93"/>
        <v>7.6860343717398555E-2</v>
      </c>
      <c r="Z521" s="4">
        <v>250.02359999999999</v>
      </c>
      <c r="AA521" s="1">
        <v>257.5</v>
      </c>
      <c r="AB521" s="3">
        <v>98.282480000000007</v>
      </c>
      <c r="AC521" s="3">
        <f t="shared" si="97"/>
        <v>98.205740000000006</v>
      </c>
      <c r="AD521" s="1">
        <f t="shared" si="95"/>
        <v>3.4324355155807118E-2</v>
      </c>
    </row>
    <row r="522" spans="20:30" x14ac:dyDescent="0.2">
      <c r="T522" s="4">
        <v>250.00402</v>
      </c>
      <c r="U522" s="1">
        <v>258</v>
      </c>
      <c r="V522" s="5">
        <v>90.079170000000005</v>
      </c>
      <c r="W522" s="3">
        <f t="shared" si="96"/>
        <v>94.23657</v>
      </c>
      <c r="X522" s="1">
        <f t="shared" si="93"/>
        <v>7.6834035258208949E-2</v>
      </c>
      <c r="Z522" s="4">
        <v>250.01819</v>
      </c>
      <c r="AA522" s="1">
        <v>258</v>
      </c>
      <c r="AB522" s="5">
        <v>98.138800000000003</v>
      </c>
      <c r="AC522" s="3">
        <f t="shared" si="97"/>
        <v>98.062060000000002</v>
      </c>
      <c r="AD522" s="1">
        <f t="shared" si="95"/>
        <v>3.6042815475610064E-2</v>
      </c>
    </row>
    <row r="523" spans="20:30" x14ac:dyDescent="0.2">
      <c r="T523" s="4">
        <v>250.00305</v>
      </c>
      <c r="U523" s="1">
        <v>258.5</v>
      </c>
      <c r="V523" s="3">
        <v>90.052869999999999</v>
      </c>
      <c r="W523" s="3">
        <f t="shared" si="96"/>
        <v>94.210269999999994</v>
      </c>
      <c r="X523" s="1">
        <f t="shared" si="93"/>
        <v>7.7149977028385719E-2</v>
      </c>
      <c r="Z523" s="4">
        <v>250.01398</v>
      </c>
      <c r="AA523" s="1">
        <v>258.5</v>
      </c>
      <c r="AB523" s="3">
        <v>98.21611</v>
      </c>
      <c r="AC523" s="3">
        <f t="shared" si="97"/>
        <v>98.13937</v>
      </c>
      <c r="AD523" s="1">
        <f t="shared" si="95"/>
        <v>3.5118162306595882E-2</v>
      </c>
    </row>
    <row r="524" spans="20:30" x14ac:dyDescent="0.2">
      <c r="T524" s="4">
        <v>250.00398999999999</v>
      </c>
      <c r="U524" s="1">
        <v>259</v>
      </c>
      <c r="V524" s="5">
        <v>90.042879999999997</v>
      </c>
      <c r="W524" s="3">
        <f t="shared" si="96"/>
        <v>94.200279999999992</v>
      </c>
      <c r="X524" s="1">
        <f t="shared" si="93"/>
        <v>7.7269986849072644E-2</v>
      </c>
      <c r="Z524" s="4">
        <v>250.01136</v>
      </c>
      <c r="AA524" s="1">
        <v>259</v>
      </c>
      <c r="AB524" s="5">
        <v>98.177430000000001</v>
      </c>
      <c r="AC524" s="3">
        <f t="shared" si="97"/>
        <v>98.10069</v>
      </c>
      <c r="AD524" s="1">
        <f t="shared" si="95"/>
        <v>3.5580787899371323E-2</v>
      </c>
    </row>
    <row r="525" spans="20:30" x14ac:dyDescent="0.2">
      <c r="T525" s="4">
        <v>250.00299000000001</v>
      </c>
      <c r="U525" s="1">
        <v>259.5</v>
      </c>
      <c r="V525" s="3">
        <v>90.056910000000002</v>
      </c>
      <c r="W525" s="3">
        <f t="shared" si="96"/>
        <v>94.214309999999998</v>
      </c>
      <c r="X525" s="1">
        <f t="shared" si="93"/>
        <v>7.7101444528328122E-2</v>
      </c>
      <c r="Z525" s="4">
        <v>250.01233999999999</v>
      </c>
      <c r="AA525" s="1">
        <v>259.5</v>
      </c>
      <c r="AB525" s="3">
        <v>98.195539999999994</v>
      </c>
      <c r="AC525" s="3">
        <f t="shared" si="97"/>
        <v>98.118799999999993</v>
      </c>
      <c r="AD525" s="1">
        <f t="shared" si="95"/>
        <v>3.5364186309786001E-2</v>
      </c>
    </row>
    <row r="526" spans="20:30" x14ac:dyDescent="0.2">
      <c r="T526" s="4">
        <v>249.99902</v>
      </c>
      <c r="U526" s="1">
        <v>260</v>
      </c>
      <c r="V526" s="5">
        <v>90.024820000000005</v>
      </c>
      <c r="W526" s="3">
        <f t="shared" si="96"/>
        <v>94.182220000000001</v>
      </c>
      <c r="X526" s="1">
        <f t="shared" si="93"/>
        <v>7.7486941539923915E-2</v>
      </c>
      <c r="Z526" s="4">
        <v>250.01444000000001</v>
      </c>
      <c r="AA526" s="1">
        <v>260</v>
      </c>
      <c r="AB526" s="5">
        <v>98.260090000000005</v>
      </c>
      <c r="AC526" s="3">
        <f t="shared" si="97"/>
        <v>98.183350000000004</v>
      </c>
      <c r="AD526" s="1">
        <f t="shared" si="95"/>
        <v>3.4592146960932324E-2</v>
      </c>
    </row>
    <row r="527" spans="20:30" x14ac:dyDescent="0.2">
      <c r="T527" s="4">
        <v>250.00601</v>
      </c>
      <c r="U527" s="1">
        <v>260.5</v>
      </c>
      <c r="V527" s="3">
        <v>90.016829999999999</v>
      </c>
      <c r="W527" s="3">
        <f t="shared" si="96"/>
        <v>94.174229999999994</v>
      </c>
      <c r="X527" s="1">
        <f t="shared" si="93"/>
        <v>7.7582925370483391E-2</v>
      </c>
      <c r="Z527" s="4">
        <v>250.01076</v>
      </c>
      <c r="AA527" s="1">
        <v>260.5</v>
      </c>
      <c r="AB527" s="3">
        <v>98.255849999999995</v>
      </c>
      <c r="AC527" s="3">
        <f t="shared" si="97"/>
        <v>98.179109999999994</v>
      </c>
      <c r="AD527" s="1">
        <f t="shared" si="95"/>
        <v>3.4642858763242884E-2</v>
      </c>
    </row>
    <row r="528" spans="20:30" x14ac:dyDescent="0.2">
      <c r="T528" s="4">
        <v>250.01101</v>
      </c>
      <c r="U528" s="1">
        <v>261</v>
      </c>
      <c r="V528" s="5">
        <v>90.010850000000005</v>
      </c>
      <c r="W528" s="3">
        <f t="shared" si="96"/>
        <v>94.16825</v>
      </c>
      <c r="X528" s="1">
        <f t="shared" si="93"/>
        <v>7.7654763080964556E-2</v>
      </c>
      <c r="Z528" s="4">
        <v>250.01129</v>
      </c>
      <c r="AA528" s="1">
        <v>261</v>
      </c>
      <c r="AB528" s="5">
        <v>98.304569999999998</v>
      </c>
      <c r="AC528" s="3">
        <f t="shared" si="97"/>
        <v>98.227829999999997</v>
      </c>
      <c r="AD528" s="1">
        <f t="shared" si="95"/>
        <v>3.4060151449902112E-2</v>
      </c>
    </row>
    <row r="529" spans="20:30" x14ac:dyDescent="0.2">
      <c r="T529" s="4">
        <v>250.00806</v>
      </c>
      <c r="U529" s="1">
        <v>261.5</v>
      </c>
      <c r="V529" s="3">
        <v>89.978729999999999</v>
      </c>
      <c r="W529" s="3">
        <f t="shared" si="96"/>
        <v>94.136129999999994</v>
      </c>
      <c r="X529" s="1">
        <f t="shared" si="93"/>
        <v>7.8040620482412379E-2</v>
      </c>
      <c r="Z529" s="4">
        <v>250.01732000000001</v>
      </c>
      <c r="AA529" s="1">
        <v>261.5</v>
      </c>
      <c r="AB529" s="3">
        <v>98.204149999999998</v>
      </c>
      <c r="AC529" s="3">
        <f t="shared" si="97"/>
        <v>98.127409999999998</v>
      </c>
      <c r="AD529" s="1">
        <f t="shared" si="95"/>
        <v>3.5261207862169699E-2</v>
      </c>
    </row>
    <row r="530" spans="20:30" x14ac:dyDescent="0.2">
      <c r="T530" s="4">
        <v>250.00699</v>
      </c>
      <c r="U530" s="1">
        <v>262</v>
      </c>
      <c r="V530" s="5">
        <v>89.988810000000001</v>
      </c>
      <c r="W530" s="3">
        <f t="shared" si="96"/>
        <v>94.146209999999996</v>
      </c>
      <c r="X530" s="1">
        <f t="shared" si="93"/>
        <v>7.7919529492169723E-2</v>
      </c>
      <c r="Z530" s="4">
        <v>250.01996</v>
      </c>
      <c r="AA530" s="1">
        <v>262</v>
      </c>
      <c r="AB530" s="5">
        <v>98.074700000000007</v>
      </c>
      <c r="AC530" s="3">
        <f t="shared" si="97"/>
        <v>97.997960000000006</v>
      </c>
      <c r="AD530" s="1">
        <f t="shared" si="95"/>
        <v>3.6809472675633448E-2</v>
      </c>
    </row>
    <row r="531" spans="20:30" x14ac:dyDescent="0.2">
      <c r="T531" s="4">
        <v>250.00694999999999</v>
      </c>
      <c r="U531" s="1">
        <v>262.5</v>
      </c>
      <c r="V531" s="3">
        <v>89.97269</v>
      </c>
      <c r="W531" s="3">
        <f t="shared" si="96"/>
        <v>94.130089999999996</v>
      </c>
      <c r="X531" s="1">
        <f t="shared" si="93"/>
        <v>7.8113178972597425E-2</v>
      </c>
      <c r="Z531" s="4">
        <v>250.01868999999999</v>
      </c>
      <c r="AA531" s="1">
        <v>262.5</v>
      </c>
      <c r="AB531" s="3">
        <v>98.177639999999997</v>
      </c>
      <c r="AC531" s="3">
        <f t="shared" si="97"/>
        <v>98.100899999999996</v>
      </c>
      <c r="AD531" s="1">
        <f t="shared" si="95"/>
        <v>3.557827622991732E-2</v>
      </c>
    </row>
    <row r="532" spans="20:30" x14ac:dyDescent="0.2">
      <c r="T532" s="4">
        <v>250.00603000000001</v>
      </c>
      <c r="U532" s="1">
        <v>263</v>
      </c>
      <c r="V532" s="5">
        <v>89.956469999999996</v>
      </c>
      <c r="W532" s="3">
        <f t="shared" si="96"/>
        <v>94.113869999999991</v>
      </c>
      <c r="X532" s="1">
        <f t="shared" si="93"/>
        <v>7.8308029752531552E-2</v>
      </c>
      <c r="Z532" s="4">
        <v>250.01255</v>
      </c>
      <c r="AA532" s="1">
        <v>263</v>
      </c>
      <c r="AB532" s="5">
        <v>98.175079999999994</v>
      </c>
      <c r="AC532" s="3">
        <f t="shared" si="97"/>
        <v>98.098339999999993</v>
      </c>
      <c r="AD532" s="1">
        <f t="shared" si="95"/>
        <v>3.5608894676595351E-2</v>
      </c>
    </row>
    <row r="533" spans="20:30" x14ac:dyDescent="0.2">
      <c r="T533" s="4">
        <v>250.00297</v>
      </c>
      <c r="U533" s="1">
        <v>263.5</v>
      </c>
      <c r="V533" s="3">
        <v>89.942350000000005</v>
      </c>
      <c r="W533" s="3">
        <f t="shared" si="96"/>
        <v>94.09975</v>
      </c>
      <c r="X533" s="1">
        <f t="shared" si="93"/>
        <v>7.8477653242831638E-2</v>
      </c>
      <c r="Z533" s="4">
        <v>250.01231999999999</v>
      </c>
      <c r="AA533" s="1">
        <v>263.5</v>
      </c>
      <c r="AB533" s="3">
        <v>98.199550000000002</v>
      </c>
      <c r="AC533" s="3">
        <f t="shared" si="97"/>
        <v>98.122810000000001</v>
      </c>
      <c r="AD533" s="1">
        <f t="shared" si="95"/>
        <v>3.5316225383544189E-2</v>
      </c>
    </row>
    <row r="534" spans="20:30" x14ac:dyDescent="0.2">
      <c r="T534" s="4">
        <v>250.00894</v>
      </c>
      <c r="U534" s="1">
        <v>264</v>
      </c>
      <c r="V534" s="5">
        <v>89.936440000000005</v>
      </c>
      <c r="W534" s="3">
        <f t="shared" si="96"/>
        <v>94.09384</v>
      </c>
      <c r="X534" s="1">
        <f t="shared" ref="X534:X597" si="98">($W$21-W534)/($W$21*(1-$M$1))</f>
        <v>7.8548650043658422E-2</v>
      </c>
      <c r="Z534" s="4">
        <v>250.01017999999999</v>
      </c>
      <c r="AA534" s="1">
        <v>264</v>
      </c>
      <c r="AB534" s="5">
        <v>98.082419999999999</v>
      </c>
      <c r="AC534" s="3">
        <f t="shared" si="97"/>
        <v>98.005679999999998</v>
      </c>
      <c r="AD534" s="1">
        <f t="shared" si="95"/>
        <v>3.6717138922370191E-2</v>
      </c>
    </row>
    <row r="535" spans="20:30" x14ac:dyDescent="0.2">
      <c r="T535" s="4">
        <v>250.00299999999999</v>
      </c>
      <c r="U535" s="1">
        <v>264.5</v>
      </c>
      <c r="V535" s="3">
        <v>89.930719999999994</v>
      </c>
      <c r="W535" s="3">
        <f t="shared" si="96"/>
        <v>94.088119999999989</v>
      </c>
      <c r="X535" s="1">
        <f t="shared" si="98"/>
        <v>7.8617364375423215E-2</v>
      </c>
      <c r="Z535" s="4">
        <v>250.01078999999999</v>
      </c>
      <c r="AA535" s="1">
        <v>264.5</v>
      </c>
      <c r="AB535" s="3">
        <v>98.070909999999998</v>
      </c>
      <c r="AC535" s="3">
        <f t="shared" si="97"/>
        <v>97.994169999999997</v>
      </c>
      <c r="AD535" s="1">
        <f t="shared" si="95"/>
        <v>3.6854802329113881E-2</v>
      </c>
    </row>
    <row r="536" spans="20:30" x14ac:dyDescent="0.2">
      <c r="T536" s="4">
        <v>250.00601</v>
      </c>
      <c r="U536" s="1">
        <v>265</v>
      </c>
      <c r="V536" s="5">
        <v>89.918379999999999</v>
      </c>
      <c r="W536" s="3">
        <f t="shared" si="96"/>
        <v>94.075779999999995</v>
      </c>
      <c r="X536" s="1">
        <f t="shared" si="98"/>
        <v>7.8765604734509873E-2</v>
      </c>
      <c r="Z536" s="4">
        <v>250.01075</v>
      </c>
      <c r="AA536" s="1">
        <v>265</v>
      </c>
      <c r="AB536" s="5">
        <v>98.18338</v>
      </c>
      <c r="AC536" s="3">
        <f t="shared" si="97"/>
        <v>98.106639999999999</v>
      </c>
      <c r="AD536" s="1">
        <f t="shared" si="95"/>
        <v>3.5509623931506452E-2</v>
      </c>
    </row>
    <row r="537" spans="20:30" x14ac:dyDescent="0.2">
      <c r="T537" s="4">
        <v>250.00202999999999</v>
      </c>
      <c r="U537" s="1">
        <v>265.5</v>
      </c>
      <c r="V537" s="3">
        <v>89.884280000000004</v>
      </c>
      <c r="W537" s="3">
        <f t="shared" si="96"/>
        <v>94.041679999999999</v>
      </c>
      <c r="X537" s="1">
        <f t="shared" si="98"/>
        <v>7.9175247866183796E-2</v>
      </c>
      <c r="Z537" s="4">
        <v>250.01526000000001</v>
      </c>
      <c r="AA537" s="1">
        <v>265.5</v>
      </c>
      <c r="AB537" s="3">
        <v>98.092839999999995</v>
      </c>
      <c r="AC537" s="3">
        <f t="shared" si="97"/>
        <v>98.016099999999994</v>
      </c>
      <c r="AD537" s="1">
        <f t="shared" si="95"/>
        <v>3.6592512276126178E-2</v>
      </c>
    </row>
    <row r="538" spans="20:30" x14ac:dyDescent="0.2">
      <c r="T538" s="4">
        <v>249.99901</v>
      </c>
      <c r="U538" s="1">
        <v>266</v>
      </c>
      <c r="V538" s="5">
        <v>89.904650000000004</v>
      </c>
      <c r="W538" s="3">
        <f t="shared" si="96"/>
        <v>94.062049999999999</v>
      </c>
      <c r="X538" s="1">
        <f t="shared" si="98"/>
        <v>7.8930543156735145E-2</v>
      </c>
      <c r="Z538" s="4">
        <v>250.02021999999999</v>
      </c>
      <c r="AA538" s="1">
        <v>266</v>
      </c>
      <c r="AB538" s="5">
        <v>98.231470000000002</v>
      </c>
      <c r="AC538" s="3">
        <f t="shared" si="97"/>
        <v>98.154730000000001</v>
      </c>
      <c r="AD538" s="1">
        <f t="shared" si="95"/>
        <v>3.4934451626527849E-2</v>
      </c>
    </row>
    <row r="539" spans="20:30" x14ac:dyDescent="0.2">
      <c r="T539" s="4">
        <v>249.99803</v>
      </c>
      <c r="U539" s="1">
        <v>266.5</v>
      </c>
      <c r="V539" s="3">
        <v>89.894360000000006</v>
      </c>
      <c r="W539" s="3">
        <f t="shared" si="96"/>
        <v>94.051760000000002</v>
      </c>
      <c r="X539" s="1">
        <f t="shared" si="98"/>
        <v>7.9054156875941139E-2</v>
      </c>
      <c r="Z539" s="4">
        <v>250.02027000000001</v>
      </c>
      <c r="AA539" s="1">
        <v>266.5</v>
      </c>
      <c r="AB539" s="3">
        <v>98.079970000000003</v>
      </c>
      <c r="AC539" s="3">
        <f t="shared" si="97"/>
        <v>98.003230000000002</v>
      </c>
      <c r="AD539" s="1">
        <f t="shared" si="95"/>
        <v>3.6746441732667452E-2</v>
      </c>
    </row>
    <row r="540" spans="20:30" x14ac:dyDescent="0.2">
      <c r="T540" s="4">
        <v>250.00604000000001</v>
      </c>
      <c r="U540" s="1">
        <v>267</v>
      </c>
      <c r="V540" s="5">
        <v>89.872280000000003</v>
      </c>
      <c r="W540" s="3">
        <f t="shared" si="96"/>
        <v>94.029679999999999</v>
      </c>
      <c r="X540" s="1">
        <f t="shared" si="98"/>
        <v>7.9319403806948838E-2</v>
      </c>
      <c r="Z540" s="4">
        <v>250.01956000000001</v>
      </c>
      <c r="AA540" s="1">
        <v>267</v>
      </c>
      <c r="AB540" s="5">
        <v>98.061949999999996</v>
      </c>
      <c r="AC540" s="3">
        <f t="shared" si="97"/>
        <v>97.985209999999995</v>
      </c>
      <c r="AD540" s="1">
        <f t="shared" si="95"/>
        <v>3.6961966892486917E-2</v>
      </c>
    </row>
    <row r="541" spans="20:30" x14ac:dyDescent="0.2">
      <c r="T541" s="4">
        <v>250.00502</v>
      </c>
      <c r="U541" s="1">
        <v>267.5</v>
      </c>
      <c r="V541" s="3">
        <v>89.846279999999993</v>
      </c>
      <c r="W541" s="3">
        <f t="shared" si="96"/>
        <v>94.003679999999989</v>
      </c>
      <c r="X541" s="1">
        <f t="shared" si="98"/>
        <v>7.9631741678606538E-2</v>
      </c>
      <c r="Z541" s="4">
        <v>250.02090999999999</v>
      </c>
      <c r="AA541" s="1">
        <v>267.5</v>
      </c>
      <c r="AB541" s="3">
        <v>98.043769999999995</v>
      </c>
      <c r="AC541" s="3">
        <f t="shared" si="97"/>
        <v>97.967029999999994</v>
      </c>
      <c r="AD541" s="1">
        <f t="shared" si="95"/>
        <v>3.7179405705223677E-2</v>
      </c>
    </row>
    <row r="542" spans="20:30" x14ac:dyDescent="0.2">
      <c r="T542" s="4">
        <v>250.00697</v>
      </c>
      <c r="U542" s="1">
        <v>268</v>
      </c>
      <c r="V542" s="5">
        <v>89.864279999999994</v>
      </c>
      <c r="W542" s="3">
        <f t="shared" si="96"/>
        <v>94.021679999999989</v>
      </c>
      <c r="X542" s="1">
        <f t="shared" si="98"/>
        <v>7.9415507767458982E-2</v>
      </c>
      <c r="Z542" s="4">
        <v>250.01922999999999</v>
      </c>
      <c r="AA542" s="1">
        <v>268</v>
      </c>
      <c r="AB542" s="5">
        <v>98.098169999999996</v>
      </c>
      <c r="AC542" s="3">
        <f t="shared" si="97"/>
        <v>98.021429999999995</v>
      </c>
      <c r="AD542" s="1">
        <f t="shared" si="95"/>
        <v>3.6528763713316106E-2</v>
      </c>
    </row>
    <row r="543" spans="20:30" x14ac:dyDescent="0.2">
      <c r="T543" s="4">
        <v>250.01103000000001</v>
      </c>
      <c r="U543" s="1">
        <v>268.5</v>
      </c>
      <c r="V543" s="3">
        <v>89.832220000000007</v>
      </c>
      <c r="W543" s="3">
        <f t="shared" si="96"/>
        <v>93.989620000000002</v>
      </c>
      <c r="X543" s="1">
        <f t="shared" si="98"/>
        <v>7.9800644389202743E-2</v>
      </c>
      <c r="Z543" s="4">
        <v>250.02265</v>
      </c>
      <c r="AA543" s="1">
        <v>268.5</v>
      </c>
      <c r="AB543" s="3">
        <v>98.072450000000003</v>
      </c>
      <c r="AC543" s="3">
        <f t="shared" si="97"/>
        <v>97.995710000000003</v>
      </c>
      <c r="AD543" s="1">
        <f t="shared" si="95"/>
        <v>3.6836383419784076E-2</v>
      </c>
    </row>
    <row r="544" spans="20:30" x14ac:dyDescent="0.2">
      <c r="T544" s="4">
        <v>250.00798</v>
      </c>
      <c r="U544" s="1">
        <v>269</v>
      </c>
      <c r="V544" s="5">
        <v>89.822159999999997</v>
      </c>
      <c r="W544" s="3">
        <f t="shared" si="96"/>
        <v>93.979559999999992</v>
      </c>
      <c r="X544" s="1">
        <f t="shared" si="98"/>
        <v>7.9921495119544217E-2</v>
      </c>
      <c r="Z544" s="4">
        <v>250.02341000000001</v>
      </c>
      <c r="AA544" s="1">
        <v>269</v>
      </c>
      <c r="AB544" s="5">
        <v>97.995249999999999</v>
      </c>
      <c r="AC544" s="3">
        <f t="shared" si="97"/>
        <v>97.918509999999998</v>
      </c>
      <c r="AD544" s="1">
        <f t="shared" si="95"/>
        <v>3.7759720952417655E-2</v>
      </c>
    </row>
    <row r="545" spans="20:30" x14ac:dyDescent="0.2">
      <c r="T545" s="4">
        <v>250.00700000000001</v>
      </c>
      <c r="U545" s="1">
        <v>269.5</v>
      </c>
      <c r="V545" s="3">
        <v>89.806179999999998</v>
      </c>
      <c r="W545" s="3">
        <f t="shared" si="96"/>
        <v>93.963579999999993</v>
      </c>
      <c r="X545" s="1">
        <f t="shared" si="98"/>
        <v>8.0113462780662989E-2</v>
      </c>
      <c r="Z545" s="4">
        <v>250.02133000000001</v>
      </c>
      <c r="AA545" s="1">
        <v>269.5</v>
      </c>
      <c r="AB545" s="3">
        <v>98.024320000000003</v>
      </c>
      <c r="AC545" s="3">
        <f t="shared" si="97"/>
        <v>97.947580000000002</v>
      </c>
      <c r="AD545" s="1">
        <f t="shared" si="95"/>
        <v>3.7412034137992004E-2</v>
      </c>
    </row>
    <row r="546" spans="20:30" x14ac:dyDescent="0.2">
      <c r="T546" s="4">
        <v>250.00402</v>
      </c>
      <c r="U546" s="1">
        <v>270</v>
      </c>
      <c r="V546" s="5">
        <v>89.800110000000004</v>
      </c>
      <c r="W546" s="3">
        <f t="shared" si="96"/>
        <v>93.957509999999999</v>
      </c>
      <c r="X546" s="1">
        <f t="shared" si="98"/>
        <v>8.0186381660699899E-2</v>
      </c>
      <c r="Z546" s="4">
        <v>250.02070000000001</v>
      </c>
      <c r="AA546" s="1">
        <v>270</v>
      </c>
      <c r="AB546" s="5">
        <v>98.067850000000007</v>
      </c>
      <c r="AC546" s="3">
        <f t="shared" si="97"/>
        <v>97.991110000000006</v>
      </c>
      <c r="AD546" s="1">
        <f t="shared" si="95"/>
        <v>3.6891400941158572E-2</v>
      </c>
    </row>
    <row r="547" spans="20:30" x14ac:dyDescent="0.2">
      <c r="T547" s="4">
        <v>250.006</v>
      </c>
      <c r="U547" s="1">
        <v>270.5</v>
      </c>
      <c r="V547" s="3">
        <v>89.804249999999996</v>
      </c>
      <c r="W547" s="3">
        <f t="shared" si="96"/>
        <v>93.961649999999992</v>
      </c>
      <c r="X547" s="1">
        <f t="shared" si="98"/>
        <v>8.0136647861136043E-2</v>
      </c>
      <c r="Z547" s="4">
        <v>250.02063000000001</v>
      </c>
      <c r="AA547" s="1">
        <v>270.5</v>
      </c>
      <c r="AB547" s="3">
        <v>98.082250000000002</v>
      </c>
      <c r="AC547" s="3">
        <f t="shared" si="97"/>
        <v>98.005510000000001</v>
      </c>
      <c r="AD547" s="1">
        <f t="shared" si="95"/>
        <v>3.6719172178594869E-2</v>
      </c>
    </row>
    <row r="548" spans="20:30" x14ac:dyDescent="0.2">
      <c r="T548" s="4">
        <v>250.00595999999999</v>
      </c>
      <c r="U548" s="1">
        <v>271</v>
      </c>
      <c r="V548" s="5">
        <v>89.773929999999993</v>
      </c>
      <c r="W548" s="3">
        <f t="shared" si="96"/>
        <v>93.931329999999988</v>
      </c>
      <c r="X548" s="1">
        <f t="shared" si="98"/>
        <v>8.0500881871469074E-2</v>
      </c>
      <c r="Z548" s="4">
        <v>250.02396999999999</v>
      </c>
      <c r="AA548" s="1">
        <v>271</v>
      </c>
      <c r="AB548" s="5">
        <v>98.044020000000003</v>
      </c>
      <c r="AC548" s="3">
        <f t="shared" si="97"/>
        <v>97.967280000000002</v>
      </c>
      <c r="AD548" s="1">
        <f t="shared" si="95"/>
        <v>3.7176415622540183E-2</v>
      </c>
    </row>
    <row r="549" spans="20:30" x14ac:dyDescent="0.2">
      <c r="T549" s="4">
        <v>250.00899000000001</v>
      </c>
      <c r="U549" s="1">
        <v>271.5</v>
      </c>
      <c r="V549" s="3">
        <v>89.768119999999996</v>
      </c>
      <c r="W549" s="3">
        <f t="shared" si="96"/>
        <v>93.925519999999992</v>
      </c>
      <c r="X549" s="1">
        <f t="shared" si="98"/>
        <v>8.0570677372789445E-2</v>
      </c>
      <c r="Z549" s="4">
        <v>250.02643</v>
      </c>
      <c r="AA549" s="1">
        <v>271.5</v>
      </c>
      <c r="AB549" s="3">
        <v>98.035200000000003</v>
      </c>
      <c r="AC549" s="3">
        <f t="shared" si="97"/>
        <v>97.958460000000002</v>
      </c>
      <c r="AD549" s="1">
        <f t="shared" si="95"/>
        <v>3.7281905739610488E-2</v>
      </c>
    </row>
    <row r="550" spans="20:30" x14ac:dyDescent="0.2">
      <c r="T550" s="4">
        <v>250.011</v>
      </c>
      <c r="U550" s="1">
        <v>272</v>
      </c>
      <c r="V550" s="5">
        <v>89.746049999999997</v>
      </c>
      <c r="W550" s="3">
        <f t="shared" si="96"/>
        <v>93.903449999999992</v>
      </c>
      <c r="X550" s="1">
        <f t="shared" si="98"/>
        <v>8.0835804173846462E-2</v>
      </c>
      <c r="Z550" s="4">
        <v>250.02928</v>
      </c>
      <c r="AA550" s="1">
        <v>272</v>
      </c>
      <c r="AB550" s="5">
        <v>98.03783</v>
      </c>
      <c r="AC550" s="3">
        <f t="shared" si="97"/>
        <v>97.961089999999999</v>
      </c>
      <c r="AD550" s="1">
        <f t="shared" si="95"/>
        <v>3.7250450069781178E-2</v>
      </c>
    </row>
    <row r="551" spans="20:30" x14ac:dyDescent="0.2">
      <c r="T551" s="4">
        <v>250.00602000000001</v>
      </c>
      <c r="U551" s="1">
        <v>272.5</v>
      </c>
      <c r="V551" s="3">
        <v>89.728030000000004</v>
      </c>
      <c r="W551" s="3">
        <f t="shared" si="96"/>
        <v>93.885429999999999</v>
      </c>
      <c r="X551" s="1">
        <f t="shared" si="98"/>
        <v>8.1052278344895215E-2</v>
      </c>
      <c r="Z551" s="4">
        <v>250.02932000000001</v>
      </c>
      <c r="AA551" s="1">
        <v>272.5</v>
      </c>
      <c r="AB551" s="3">
        <v>98.079390000000004</v>
      </c>
      <c r="AC551" s="3">
        <f t="shared" si="97"/>
        <v>98.002650000000003</v>
      </c>
      <c r="AD551" s="1">
        <f t="shared" si="95"/>
        <v>3.6753378724492927E-2</v>
      </c>
    </row>
    <row r="552" spans="20:30" x14ac:dyDescent="0.2">
      <c r="T552" s="4">
        <v>250.005</v>
      </c>
      <c r="U552" s="1">
        <v>273</v>
      </c>
      <c r="V552" s="5">
        <v>89.703879999999998</v>
      </c>
      <c r="W552" s="3">
        <f t="shared" si="96"/>
        <v>93.861279999999994</v>
      </c>
      <c r="X552" s="1">
        <f t="shared" si="98"/>
        <v>8.1342392175684924E-2</v>
      </c>
      <c r="Z552" s="4">
        <v>250.02603999999999</v>
      </c>
      <c r="AA552" s="1">
        <v>273</v>
      </c>
      <c r="AB552" s="5">
        <v>97.951009999999997</v>
      </c>
      <c r="AC552" s="3">
        <f t="shared" si="97"/>
        <v>97.874269999999996</v>
      </c>
      <c r="AD552" s="1">
        <f t="shared" si="95"/>
        <v>3.8288845984071916E-2</v>
      </c>
    </row>
    <row r="553" spans="20:30" x14ac:dyDescent="0.2">
      <c r="T553" s="4">
        <v>250.00496999999999</v>
      </c>
      <c r="U553" s="1">
        <v>273.5</v>
      </c>
      <c r="V553" s="3">
        <v>89.709980000000002</v>
      </c>
      <c r="W553" s="3">
        <f t="shared" si="96"/>
        <v>93.867379999999997</v>
      </c>
      <c r="X553" s="1">
        <f t="shared" si="98"/>
        <v>8.1269112905795984E-2</v>
      </c>
      <c r="Z553" s="4">
        <v>250.02391</v>
      </c>
      <c r="AA553" s="1">
        <v>273.5</v>
      </c>
      <c r="AB553" s="3">
        <v>98.068359999999998</v>
      </c>
      <c r="AC553" s="3">
        <f t="shared" si="97"/>
        <v>97.991619999999998</v>
      </c>
      <c r="AD553" s="1">
        <f t="shared" si="95"/>
        <v>3.6885301172484543E-2</v>
      </c>
    </row>
    <row r="554" spans="20:30" x14ac:dyDescent="0.2">
      <c r="T554" s="4">
        <v>250.00102999999999</v>
      </c>
      <c r="U554" s="1">
        <v>274</v>
      </c>
      <c r="V554" s="5">
        <v>89.699929999999995</v>
      </c>
      <c r="W554" s="3">
        <f t="shared" si="96"/>
        <v>93.85732999999999</v>
      </c>
      <c r="X554" s="1">
        <f t="shared" si="98"/>
        <v>8.1389843506186776E-2</v>
      </c>
      <c r="Z554" s="4">
        <v>250.01994999999999</v>
      </c>
      <c r="AA554" s="1">
        <v>274</v>
      </c>
      <c r="AB554" s="5">
        <v>98.108369999999994</v>
      </c>
      <c r="AC554" s="3">
        <f t="shared" si="97"/>
        <v>98.031629999999993</v>
      </c>
      <c r="AD554" s="1">
        <f t="shared" si="95"/>
        <v>3.6406768339833473E-2</v>
      </c>
    </row>
    <row r="555" spans="20:30" x14ac:dyDescent="0.2">
      <c r="T555" s="4">
        <v>250.00398999999999</v>
      </c>
      <c r="U555" s="1">
        <v>274.5</v>
      </c>
      <c r="V555" s="3">
        <v>89.683599999999998</v>
      </c>
      <c r="W555" s="3">
        <f t="shared" si="96"/>
        <v>93.840999999999994</v>
      </c>
      <c r="X555" s="1">
        <f t="shared" si="98"/>
        <v>8.1586015715577831E-2</v>
      </c>
      <c r="Z555" s="4">
        <v>250.01906</v>
      </c>
      <c r="AA555" s="1">
        <v>274.5</v>
      </c>
      <c r="AB555" s="3">
        <v>97.947890000000001</v>
      </c>
      <c r="AC555" s="3">
        <f t="shared" si="97"/>
        <v>97.87115</v>
      </c>
      <c r="AD555" s="1">
        <f t="shared" si="95"/>
        <v>3.8326162215960677E-2</v>
      </c>
    </row>
    <row r="556" spans="20:30" x14ac:dyDescent="0.2">
      <c r="T556" s="4">
        <v>250.00502</v>
      </c>
      <c r="U556" s="1">
        <v>275</v>
      </c>
      <c r="V556" s="5">
        <v>89.627809999999997</v>
      </c>
      <c r="W556" s="3">
        <f t="shared" si="96"/>
        <v>93.785209999999992</v>
      </c>
      <c r="X556" s="1">
        <f t="shared" si="98"/>
        <v>8.2256220710184638E-2</v>
      </c>
      <c r="Z556" s="4">
        <v>250.01971</v>
      </c>
      <c r="AA556" s="1">
        <v>275</v>
      </c>
      <c r="AB556" s="5">
        <v>98.010660000000001</v>
      </c>
      <c r="AC556" s="3">
        <f t="shared" si="97"/>
        <v>97.933920000000001</v>
      </c>
      <c r="AD556" s="1">
        <f t="shared" si="95"/>
        <v>3.7575412255812929E-2</v>
      </c>
    </row>
    <row r="557" spans="20:30" x14ac:dyDescent="0.2">
      <c r="T557" s="4">
        <v>250.00593000000001</v>
      </c>
      <c r="U557" s="1">
        <v>275.5</v>
      </c>
      <c r="V557" s="3">
        <v>89.659620000000004</v>
      </c>
      <c r="W557" s="3">
        <f t="shared" si="96"/>
        <v>93.817019999999999</v>
      </c>
      <c r="X557" s="1">
        <f t="shared" si="98"/>
        <v>8.1874087337206566E-2</v>
      </c>
      <c r="Z557" s="4">
        <v>250.0138</v>
      </c>
      <c r="AA557" s="1">
        <v>275.5</v>
      </c>
      <c r="AB557" s="3">
        <v>97.986859999999993</v>
      </c>
      <c r="AC557" s="3">
        <f t="shared" si="97"/>
        <v>97.910119999999992</v>
      </c>
      <c r="AD557" s="1">
        <f t="shared" si="95"/>
        <v>3.7860068127272585E-2</v>
      </c>
    </row>
    <row r="558" spans="20:30" x14ac:dyDescent="0.2">
      <c r="T558" s="4">
        <v>250.00398000000001</v>
      </c>
      <c r="U558" s="1">
        <v>276</v>
      </c>
      <c r="V558" s="5">
        <v>89.637559999999993</v>
      </c>
      <c r="W558" s="3">
        <f t="shared" si="96"/>
        <v>93.794959999999989</v>
      </c>
      <c r="X558" s="1">
        <f t="shared" si="98"/>
        <v>8.2139094008313082E-2</v>
      </c>
      <c r="Z558" s="4">
        <v>250.01061000000001</v>
      </c>
      <c r="AA558" s="1">
        <v>276</v>
      </c>
      <c r="AB558" s="5">
        <v>98.230879999999999</v>
      </c>
      <c r="AC558" s="3">
        <f t="shared" si="97"/>
        <v>98.154139999999998</v>
      </c>
      <c r="AD558" s="1">
        <f t="shared" si="95"/>
        <v>3.49415082216607E-2</v>
      </c>
    </row>
    <row r="559" spans="20:30" x14ac:dyDescent="0.2">
      <c r="T559" s="4">
        <v>250.00599</v>
      </c>
      <c r="U559" s="1">
        <v>276.5</v>
      </c>
      <c r="V559" s="3">
        <v>89.641580000000005</v>
      </c>
      <c r="W559" s="3">
        <f t="shared" si="96"/>
        <v>93.79898</v>
      </c>
      <c r="X559" s="1">
        <f t="shared" si="98"/>
        <v>8.2090801768156654E-2</v>
      </c>
      <c r="Z559" s="4">
        <v>250.01134999999999</v>
      </c>
      <c r="AA559" s="1">
        <v>276.5</v>
      </c>
      <c r="AB559" s="3">
        <v>98.000709999999998</v>
      </c>
      <c r="AC559" s="3">
        <f t="shared" si="97"/>
        <v>97.923969999999997</v>
      </c>
      <c r="AD559" s="1">
        <f t="shared" si="95"/>
        <v>3.7694417546612236E-2</v>
      </c>
    </row>
    <row r="560" spans="20:30" x14ac:dyDescent="0.2">
      <c r="T560" s="4">
        <v>250.00203999999999</v>
      </c>
      <c r="U560" s="1">
        <v>277</v>
      </c>
      <c r="V560" s="5">
        <v>89.61354</v>
      </c>
      <c r="W560" s="3">
        <f t="shared" si="96"/>
        <v>93.770939999999996</v>
      </c>
      <c r="X560" s="1">
        <f t="shared" si="98"/>
        <v>8.2427646149744349E-2</v>
      </c>
      <c r="Z560" s="4">
        <v>250.01257000000001</v>
      </c>
      <c r="AA560" s="1">
        <v>277</v>
      </c>
      <c r="AB560" s="5">
        <v>98.004850000000005</v>
      </c>
      <c r="AC560" s="3">
        <f t="shared" si="97"/>
        <v>97.928110000000004</v>
      </c>
      <c r="AD560" s="1">
        <f t="shared" si="95"/>
        <v>3.7644901777375075E-2</v>
      </c>
    </row>
    <row r="561" spans="20:30" x14ac:dyDescent="0.2">
      <c r="T561" s="4">
        <v>250.00501</v>
      </c>
      <c r="U561" s="1">
        <v>277.5</v>
      </c>
      <c r="V561" s="3">
        <v>89.587450000000004</v>
      </c>
      <c r="W561" s="3">
        <f t="shared" si="96"/>
        <v>93.74485</v>
      </c>
      <c r="X561" s="1">
        <f t="shared" si="98"/>
        <v>8.2741065190957613E-2</v>
      </c>
      <c r="Z561" s="4">
        <v>250.01094000000001</v>
      </c>
      <c r="AA561" s="1">
        <v>277.5</v>
      </c>
      <c r="AB561" s="3">
        <v>97.993729999999999</v>
      </c>
      <c r="AC561" s="3">
        <f t="shared" si="97"/>
        <v>97.916989999999998</v>
      </c>
      <c r="AD561" s="1">
        <f t="shared" si="95"/>
        <v>3.7777900655132715E-2</v>
      </c>
    </row>
    <row r="562" spans="20:30" x14ac:dyDescent="0.2">
      <c r="T562" s="4">
        <v>250.00596999999999</v>
      </c>
      <c r="U562" s="1">
        <v>278</v>
      </c>
      <c r="V562" s="5">
        <v>89.579560000000001</v>
      </c>
      <c r="W562" s="3">
        <f t="shared" si="96"/>
        <v>93.736959999999996</v>
      </c>
      <c r="X562" s="1">
        <f t="shared" si="98"/>
        <v>8.2835847722010664E-2</v>
      </c>
      <c r="Z562" s="4">
        <v>250.01509999999999</v>
      </c>
      <c r="AA562" s="1">
        <v>278</v>
      </c>
      <c r="AB562" s="5">
        <v>97.9786</v>
      </c>
      <c r="AC562" s="3">
        <f t="shared" si="97"/>
        <v>97.901859999999999</v>
      </c>
      <c r="AD562" s="1">
        <f t="shared" si="95"/>
        <v>3.7958860459131993E-2</v>
      </c>
    </row>
    <row r="563" spans="20:30" x14ac:dyDescent="0.2">
      <c r="T563" s="4">
        <v>250.00898000000001</v>
      </c>
      <c r="U563" s="1">
        <v>278.5</v>
      </c>
      <c r="V563" s="3">
        <v>89.595560000000006</v>
      </c>
      <c r="W563" s="3">
        <f t="shared" si="96"/>
        <v>93.752960000000002</v>
      </c>
      <c r="X563" s="1">
        <f t="shared" si="98"/>
        <v>8.2643639800990557E-2</v>
      </c>
      <c r="Z563" s="4">
        <v>250.01898</v>
      </c>
      <c r="AA563" s="1">
        <v>278.5</v>
      </c>
      <c r="AB563" s="3">
        <v>97.961730000000003</v>
      </c>
      <c r="AC563" s="3">
        <f t="shared" si="97"/>
        <v>97.884990000000002</v>
      </c>
      <c r="AD563" s="1">
        <f t="shared" si="95"/>
        <v>3.8160631238607703E-2</v>
      </c>
    </row>
    <row r="564" spans="20:30" x14ac:dyDescent="0.2">
      <c r="T564" s="4">
        <v>250.00505000000001</v>
      </c>
      <c r="U564" s="1">
        <v>279</v>
      </c>
      <c r="V564" s="5">
        <v>89.559579999999997</v>
      </c>
      <c r="W564" s="3">
        <f t="shared" si="96"/>
        <v>93.716979999999992</v>
      </c>
      <c r="X564" s="1">
        <f t="shared" si="98"/>
        <v>8.3075867363384501E-2</v>
      </c>
      <c r="Z564" s="4">
        <v>250.01979</v>
      </c>
      <c r="AA564" s="1">
        <v>279</v>
      </c>
      <c r="AB564" s="5">
        <v>98.068640000000002</v>
      </c>
      <c r="AC564" s="3">
        <f t="shared" si="97"/>
        <v>97.991900000000001</v>
      </c>
      <c r="AD564" s="1">
        <f t="shared" si="95"/>
        <v>3.6881952279879095E-2</v>
      </c>
    </row>
    <row r="565" spans="20:30" x14ac:dyDescent="0.2">
      <c r="T565" s="4">
        <v>250.00704999999999</v>
      </c>
      <c r="U565" s="1">
        <v>279.5</v>
      </c>
      <c r="V565" s="3">
        <v>89.543300000000002</v>
      </c>
      <c r="W565" s="3">
        <f t="shared" si="96"/>
        <v>93.700699999999998</v>
      </c>
      <c r="X565" s="1">
        <f t="shared" si="98"/>
        <v>8.3271438923022342E-2</v>
      </c>
      <c r="Z565" s="4">
        <v>250.02171999999999</v>
      </c>
      <c r="AA565" s="1">
        <v>279.5</v>
      </c>
      <c r="AB565" s="3">
        <v>98.008250000000004</v>
      </c>
      <c r="AC565" s="3">
        <f t="shared" si="97"/>
        <v>97.931510000000003</v>
      </c>
      <c r="AD565" s="1">
        <f t="shared" si="95"/>
        <v>3.760423665288086E-2</v>
      </c>
    </row>
    <row r="566" spans="20:30" x14ac:dyDescent="0.2">
      <c r="T566" s="4">
        <v>250.00501</v>
      </c>
      <c r="U566" s="1">
        <v>280</v>
      </c>
      <c r="V566" s="5">
        <v>89.53125</v>
      </c>
      <c r="W566" s="3">
        <f t="shared" si="96"/>
        <v>93.688649999999996</v>
      </c>
      <c r="X566" s="1">
        <f t="shared" si="98"/>
        <v>8.3416195513540584E-2</v>
      </c>
      <c r="Z566" s="4">
        <v>250.02268000000001</v>
      </c>
      <c r="AA566" s="1">
        <v>280</v>
      </c>
      <c r="AB566" s="5">
        <v>97.874139999999997</v>
      </c>
      <c r="AC566" s="3">
        <f t="shared" si="97"/>
        <v>97.797399999999996</v>
      </c>
      <c r="AD566" s="1">
        <f t="shared" si="95"/>
        <v>3.9208236607563347E-2</v>
      </c>
    </row>
    <row r="567" spans="20:30" x14ac:dyDescent="0.2">
      <c r="T567" s="4">
        <v>250.00793999999999</v>
      </c>
      <c r="U567" s="1">
        <v>280.5</v>
      </c>
      <c r="V567" s="3">
        <v>89.531239999999997</v>
      </c>
      <c r="W567" s="3">
        <f t="shared" si="96"/>
        <v>93.688639999999992</v>
      </c>
      <c r="X567" s="1">
        <f t="shared" si="98"/>
        <v>8.3416315643491265E-2</v>
      </c>
      <c r="Z567" s="4">
        <v>250.02340000000001</v>
      </c>
      <c r="AA567" s="1">
        <v>280.5</v>
      </c>
      <c r="AB567" s="3">
        <v>97.817930000000004</v>
      </c>
      <c r="AC567" s="3">
        <f t="shared" si="97"/>
        <v>97.741190000000003</v>
      </c>
      <c r="AD567" s="1">
        <f t="shared" si="95"/>
        <v>3.9880526798098628E-2</v>
      </c>
    </row>
    <row r="568" spans="20:30" x14ac:dyDescent="0.2">
      <c r="T568" s="4">
        <v>250.00702999999999</v>
      </c>
      <c r="U568" s="1">
        <v>281</v>
      </c>
      <c r="V568" s="5">
        <v>89.529160000000005</v>
      </c>
      <c r="W568" s="3">
        <f t="shared" si="96"/>
        <v>93.68656</v>
      </c>
      <c r="X568" s="1">
        <f t="shared" si="98"/>
        <v>8.3441302673223777E-2</v>
      </c>
      <c r="Z568" s="4">
        <v>250.01876999999999</v>
      </c>
      <c r="AA568" s="1">
        <v>281</v>
      </c>
      <c r="AB568" s="5">
        <v>97.962230000000005</v>
      </c>
      <c r="AC568" s="3">
        <f t="shared" si="97"/>
        <v>97.885490000000004</v>
      </c>
      <c r="AD568" s="1">
        <f t="shared" si="95"/>
        <v>3.8154651073240876E-2</v>
      </c>
    </row>
    <row r="569" spans="20:30" x14ac:dyDescent="0.2">
      <c r="T569" s="4">
        <v>250.00303</v>
      </c>
      <c r="U569" s="1">
        <v>281.5</v>
      </c>
      <c r="V569" s="3">
        <v>89.495149999999995</v>
      </c>
      <c r="W569" s="3">
        <f t="shared" si="96"/>
        <v>93.652549999999991</v>
      </c>
      <c r="X569" s="1">
        <f t="shared" si="98"/>
        <v>8.3849864635342136E-2</v>
      </c>
      <c r="Z569" s="4">
        <v>250.01795999999999</v>
      </c>
      <c r="AA569" s="1">
        <v>281.5</v>
      </c>
      <c r="AB569" s="3">
        <v>97.961799999999997</v>
      </c>
      <c r="AC569" s="3">
        <f t="shared" si="97"/>
        <v>97.885059999999996</v>
      </c>
      <c r="AD569" s="1">
        <f t="shared" si="95"/>
        <v>3.8159794015456432E-2</v>
      </c>
    </row>
    <row r="570" spans="20:30" x14ac:dyDescent="0.2">
      <c r="T570" s="4">
        <v>250.00601</v>
      </c>
      <c r="U570" s="1">
        <v>282</v>
      </c>
      <c r="V570" s="5">
        <v>89.507350000000002</v>
      </c>
      <c r="W570" s="3">
        <f t="shared" si="96"/>
        <v>93.664749999999998</v>
      </c>
      <c r="X570" s="1">
        <f t="shared" si="98"/>
        <v>8.3703306095564256E-2</v>
      </c>
      <c r="Z570" s="4">
        <v>250.01712000000001</v>
      </c>
      <c r="AA570" s="1">
        <v>282</v>
      </c>
      <c r="AB570" s="5">
        <v>97.800870000000003</v>
      </c>
      <c r="AC570" s="3">
        <f t="shared" si="97"/>
        <v>97.724130000000002</v>
      </c>
      <c r="AD570" s="1">
        <f t="shared" si="95"/>
        <v>4.0084570040413763E-2</v>
      </c>
    </row>
    <row r="571" spans="20:30" x14ac:dyDescent="0.2">
      <c r="T571" s="4">
        <v>250.00701000000001</v>
      </c>
      <c r="U571" s="1">
        <v>282.5</v>
      </c>
      <c r="V571" s="3">
        <v>89.479079999999996</v>
      </c>
      <c r="W571" s="3">
        <f t="shared" si="96"/>
        <v>93.636479999999992</v>
      </c>
      <c r="X571" s="1">
        <f t="shared" si="98"/>
        <v>8.4042913466016639E-2</v>
      </c>
      <c r="Z571" s="4">
        <v>250.01849999999999</v>
      </c>
      <c r="AA571" s="1">
        <v>282.5</v>
      </c>
      <c r="AB571" s="3">
        <v>97.859449999999995</v>
      </c>
      <c r="AC571" s="3">
        <f t="shared" si="97"/>
        <v>97.782709999999994</v>
      </c>
      <c r="AD571" s="1">
        <f t="shared" si="95"/>
        <v>3.9383933866039875E-2</v>
      </c>
    </row>
    <row r="572" spans="20:30" x14ac:dyDescent="0.2">
      <c r="T572" s="4">
        <v>250.00496999999999</v>
      </c>
      <c r="U572" s="1">
        <v>283</v>
      </c>
      <c r="V572" s="5">
        <v>89.442980000000006</v>
      </c>
      <c r="W572" s="3">
        <f t="shared" si="96"/>
        <v>93.600380000000001</v>
      </c>
      <c r="X572" s="1">
        <f t="shared" si="98"/>
        <v>8.4476582587818011E-2</v>
      </c>
      <c r="Z572" s="4">
        <v>250.01897</v>
      </c>
      <c r="AA572" s="1">
        <v>283</v>
      </c>
      <c r="AB572" s="5">
        <v>97.869429999999994</v>
      </c>
      <c r="AC572" s="3">
        <f t="shared" si="97"/>
        <v>97.792689999999993</v>
      </c>
      <c r="AD572" s="1">
        <f t="shared" si="95"/>
        <v>3.9264569765318613E-2</v>
      </c>
    </row>
    <row r="573" spans="20:30" x14ac:dyDescent="0.2">
      <c r="T573" s="4">
        <v>250.00799000000001</v>
      </c>
      <c r="U573" s="1">
        <v>283.5</v>
      </c>
      <c r="V573" s="3">
        <v>89.455039999999997</v>
      </c>
      <c r="W573" s="3">
        <f t="shared" si="96"/>
        <v>93.612439999999992</v>
      </c>
      <c r="X573" s="1">
        <f t="shared" si="98"/>
        <v>8.4331705867349255E-2</v>
      </c>
      <c r="Z573" s="4">
        <v>250.01723999999999</v>
      </c>
      <c r="AA573" s="1">
        <v>283.5</v>
      </c>
      <c r="AB573" s="3">
        <v>97.906940000000006</v>
      </c>
      <c r="AC573" s="3">
        <f t="shared" si="97"/>
        <v>97.830200000000005</v>
      </c>
      <c r="AD573" s="1">
        <f t="shared" si="95"/>
        <v>3.8815937759501332E-2</v>
      </c>
    </row>
    <row r="574" spans="20:30" x14ac:dyDescent="0.2">
      <c r="T574" s="4">
        <v>250.00800000000001</v>
      </c>
      <c r="U574" s="1">
        <v>284</v>
      </c>
      <c r="V574" s="5">
        <v>89.415009999999995</v>
      </c>
      <c r="W574" s="3">
        <f t="shared" si="96"/>
        <v>93.572409999999991</v>
      </c>
      <c r="X574" s="1">
        <f t="shared" si="98"/>
        <v>8.481258605975131E-2</v>
      </c>
      <c r="Z574" s="4">
        <v>250.01707999999999</v>
      </c>
      <c r="AA574" s="1">
        <v>284</v>
      </c>
      <c r="AB574" s="5">
        <v>97.855180000000004</v>
      </c>
      <c r="AC574" s="3">
        <f t="shared" si="97"/>
        <v>97.778440000000003</v>
      </c>
      <c r="AD574" s="1">
        <f t="shared" si="95"/>
        <v>3.9435004478272216E-2</v>
      </c>
    </row>
    <row r="575" spans="20:30" x14ac:dyDescent="0.2">
      <c r="T575" s="4">
        <v>250.00800000000001</v>
      </c>
      <c r="U575" s="1">
        <v>284.5</v>
      </c>
      <c r="V575" s="3">
        <v>89.418819999999997</v>
      </c>
      <c r="W575" s="3">
        <f t="shared" si="96"/>
        <v>93.576219999999992</v>
      </c>
      <c r="X575" s="1">
        <f t="shared" si="98"/>
        <v>8.4766816548558388E-2</v>
      </c>
      <c r="Z575" s="4">
        <v>250.01763</v>
      </c>
      <c r="AA575" s="1">
        <v>284.5</v>
      </c>
      <c r="AB575" s="3">
        <v>97.831649999999996</v>
      </c>
      <c r="AC575" s="3">
        <f t="shared" si="97"/>
        <v>97.754909999999995</v>
      </c>
      <c r="AD575" s="1">
        <f t="shared" ref="AD575:AD638" si="99">($AC$62-AC575)/($AC$62*(1-$M$1))</f>
        <v>3.97164310604338E-2</v>
      </c>
    </row>
    <row r="576" spans="20:30" x14ac:dyDescent="0.2">
      <c r="T576" s="4">
        <v>250.01000999999999</v>
      </c>
      <c r="U576" s="1">
        <v>285</v>
      </c>
      <c r="V576" s="5">
        <v>89.412989999999994</v>
      </c>
      <c r="W576" s="3">
        <f t="shared" si="96"/>
        <v>93.570389999999989</v>
      </c>
      <c r="X576" s="1">
        <f t="shared" si="98"/>
        <v>8.4836852309780109E-2</v>
      </c>
      <c r="Z576" s="4">
        <v>250.01759999999999</v>
      </c>
      <c r="AA576" s="1">
        <v>285</v>
      </c>
      <c r="AB576" s="5">
        <v>97.847170000000006</v>
      </c>
      <c r="AC576" s="3">
        <f t="shared" si="97"/>
        <v>97.770430000000005</v>
      </c>
      <c r="AD576" s="1">
        <f t="shared" si="99"/>
        <v>3.9530806727448298E-2</v>
      </c>
    </row>
    <row r="577" spans="20:30" x14ac:dyDescent="0.2">
      <c r="T577" s="4">
        <v>250.00502</v>
      </c>
      <c r="U577" s="1">
        <v>285.5</v>
      </c>
      <c r="V577" s="3">
        <v>89.393159999999995</v>
      </c>
      <c r="W577" s="3">
        <f t="shared" si="96"/>
        <v>93.55055999999999</v>
      </c>
      <c r="X577" s="1">
        <f t="shared" si="98"/>
        <v>8.5075070001894321E-2</v>
      </c>
      <c r="Z577" s="4">
        <v>250.01345000000001</v>
      </c>
      <c r="AA577" s="1">
        <v>285.5</v>
      </c>
      <c r="AB577" s="3">
        <v>97.865949999999998</v>
      </c>
      <c r="AC577" s="3">
        <f t="shared" si="97"/>
        <v>97.789209999999997</v>
      </c>
      <c r="AD577" s="1">
        <f t="shared" si="99"/>
        <v>3.9306191716271477E-2</v>
      </c>
    </row>
    <row r="578" spans="20:30" x14ac:dyDescent="0.2">
      <c r="T578" s="4">
        <v>250.00102999999999</v>
      </c>
      <c r="U578" s="1">
        <v>286</v>
      </c>
      <c r="V578" s="5">
        <v>89.38682</v>
      </c>
      <c r="W578" s="3">
        <f t="shared" si="96"/>
        <v>93.544219999999996</v>
      </c>
      <c r="X578" s="1">
        <f t="shared" si="98"/>
        <v>8.515123239059845E-2</v>
      </c>
      <c r="Z578" s="4">
        <v>250.00998999999999</v>
      </c>
      <c r="AA578" s="1">
        <v>286</v>
      </c>
      <c r="AB578" s="5">
        <v>97.87473</v>
      </c>
      <c r="AC578" s="3">
        <f t="shared" si="97"/>
        <v>97.797989999999999</v>
      </c>
      <c r="AD578" s="1">
        <f t="shared" si="99"/>
        <v>3.9201180012430496E-2</v>
      </c>
    </row>
    <row r="579" spans="20:30" x14ac:dyDescent="0.2">
      <c r="T579" s="4">
        <v>250.00899999999999</v>
      </c>
      <c r="U579" s="1">
        <v>286.5</v>
      </c>
      <c r="V579" s="3">
        <v>89.386690000000002</v>
      </c>
      <c r="W579" s="3">
        <f t="shared" si="96"/>
        <v>93.544089999999997</v>
      </c>
      <c r="X579" s="1">
        <f t="shared" si="98"/>
        <v>8.5152794079956712E-2</v>
      </c>
      <c r="Z579" s="4">
        <v>250.00906000000001</v>
      </c>
      <c r="AA579" s="1">
        <v>286.5</v>
      </c>
      <c r="AB579" s="3">
        <v>97.929479999999998</v>
      </c>
      <c r="AC579" s="3">
        <f t="shared" si="97"/>
        <v>97.852739999999997</v>
      </c>
      <c r="AD579" s="1">
        <f t="shared" si="99"/>
        <v>3.8546351904766199E-2</v>
      </c>
    </row>
    <row r="580" spans="20:30" x14ac:dyDescent="0.2">
      <c r="T580" s="4">
        <v>250.00496000000001</v>
      </c>
      <c r="U580" s="1">
        <v>287</v>
      </c>
      <c r="V580" s="5">
        <v>89.354699999999994</v>
      </c>
      <c r="W580" s="3">
        <f t="shared" si="96"/>
        <v>93.51209999999999</v>
      </c>
      <c r="X580" s="1">
        <f t="shared" si="98"/>
        <v>8.5537089792046272E-2</v>
      </c>
      <c r="Z580" s="4">
        <v>250.01122000000001</v>
      </c>
      <c r="AA580" s="1">
        <v>287</v>
      </c>
      <c r="AB580" s="5">
        <v>97.874780000000001</v>
      </c>
      <c r="AC580" s="3">
        <f t="shared" si="97"/>
        <v>97.79804</v>
      </c>
      <c r="AD580" s="1">
        <f t="shared" si="99"/>
        <v>3.9200581995893796E-2</v>
      </c>
    </row>
    <row r="581" spans="20:30" x14ac:dyDescent="0.2">
      <c r="T581" s="4">
        <v>250.00404</v>
      </c>
      <c r="U581" s="1">
        <v>287.5</v>
      </c>
      <c r="V581" s="3">
        <v>89.364720000000005</v>
      </c>
      <c r="W581" s="3">
        <f t="shared" si="96"/>
        <v>93.522120000000001</v>
      </c>
      <c r="X581" s="1">
        <f t="shared" si="98"/>
        <v>8.5416719581507317E-2</v>
      </c>
      <c r="Z581" s="4">
        <v>250.01349999999999</v>
      </c>
      <c r="AA581" s="1">
        <v>287.5</v>
      </c>
      <c r="AB581" s="3">
        <v>97.768619999999999</v>
      </c>
      <c r="AC581" s="3">
        <f t="shared" si="97"/>
        <v>97.691879999999998</v>
      </c>
      <c r="AD581" s="1">
        <f t="shared" si="99"/>
        <v>4.0470290706572258E-2</v>
      </c>
    </row>
    <row r="582" spans="20:30" x14ac:dyDescent="0.2">
      <c r="T582" s="4">
        <v>250.00298000000001</v>
      </c>
      <c r="U582" s="1">
        <v>288</v>
      </c>
      <c r="V582" s="5">
        <v>89.340860000000006</v>
      </c>
      <c r="W582" s="3">
        <f t="shared" si="96"/>
        <v>93.498260000000002</v>
      </c>
      <c r="X582" s="1">
        <f t="shared" si="98"/>
        <v>8.5703349643728458E-2</v>
      </c>
      <c r="Z582" s="4">
        <v>250.01426000000001</v>
      </c>
      <c r="AA582" s="1">
        <v>288</v>
      </c>
      <c r="AB582" s="5">
        <v>97.80744</v>
      </c>
      <c r="AC582" s="3">
        <f t="shared" si="97"/>
        <v>97.730699999999999</v>
      </c>
      <c r="AD582" s="1">
        <f t="shared" si="99"/>
        <v>4.0005990667494093E-2</v>
      </c>
    </row>
    <row r="583" spans="20:30" x14ac:dyDescent="0.2">
      <c r="T583" s="4">
        <v>250.00702000000001</v>
      </c>
      <c r="U583" s="1">
        <v>288.5</v>
      </c>
      <c r="V583" s="3">
        <v>89.342879999999994</v>
      </c>
      <c r="W583" s="3">
        <f t="shared" ref="W583:W646" si="100">100-($V$6-V583)</f>
        <v>93.500279999999989</v>
      </c>
      <c r="X583" s="1">
        <f t="shared" si="98"/>
        <v>8.5679083393699826E-2</v>
      </c>
      <c r="Z583" s="4">
        <v>250.01886999999999</v>
      </c>
      <c r="AA583" s="1">
        <v>288.5</v>
      </c>
      <c r="AB583" s="3">
        <v>97.811850000000007</v>
      </c>
      <c r="AC583" s="3">
        <f t="shared" ref="AC583:AC646" si="101">100-($AB$6-AB583)</f>
        <v>97.735110000000006</v>
      </c>
      <c r="AD583" s="1">
        <f t="shared" si="99"/>
        <v>3.9953245608958854E-2</v>
      </c>
    </row>
    <row r="584" spans="20:30" x14ac:dyDescent="0.2">
      <c r="T584" s="4">
        <v>250.01002</v>
      </c>
      <c r="U584" s="1">
        <v>289</v>
      </c>
      <c r="V584" s="5">
        <v>89.330560000000006</v>
      </c>
      <c r="W584" s="3">
        <f t="shared" si="100"/>
        <v>93.487960000000001</v>
      </c>
      <c r="X584" s="1">
        <f t="shared" si="98"/>
        <v>8.5827083492885134E-2</v>
      </c>
      <c r="Z584" s="4">
        <v>250.02077</v>
      </c>
      <c r="AA584" s="1">
        <v>289</v>
      </c>
      <c r="AB584" s="5">
        <v>97.843760000000003</v>
      </c>
      <c r="AC584" s="3">
        <f t="shared" si="101"/>
        <v>97.767020000000002</v>
      </c>
      <c r="AD584" s="1">
        <f t="shared" si="99"/>
        <v>3.9571591455249883E-2</v>
      </c>
    </row>
    <row r="585" spans="20:30" x14ac:dyDescent="0.2">
      <c r="T585" s="4">
        <v>250.01197999999999</v>
      </c>
      <c r="U585" s="1">
        <v>289.5</v>
      </c>
      <c r="V585" s="3">
        <v>89.314710000000005</v>
      </c>
      <c r="W585" s="3">
        <f t="shared" si="100"/>
        <v>93.472110000000001</v>
      </c>
      <c r="X585" s="1">
        <f t="shared" si="98"/>
        <v>8.6017489464645616E-2</v>
      </c>
      <c r="Z585" s="4">
        <v>250.0204</v>
      </c>
      <c r="AA585" s="1">
        <v>289.5</v>
      </c>
      <c r="AB585" s="3">
        <v>97.782079999999993</v>
      </c>
      <c r="AC585" s="3">
        <f t="shared" si="101"/>
        <v>97.705339999999993</v>
      </c>
      <c r="AD585" s="1">
        <f t="shared" si="99"/>
        <v>4.0309304654898133E-2</v>
      </c>
    </row>
    <row r="586" spans="20:30" x14ac:dyDescent="0.2">
      <c r="T586" s="4">
        <v>250.00901999999999</v>
      </c>
      <c r="U586" s="1">
        <v>290</v>
      </c>
      <c r="V586" s="5">
        <v>89.308620000000005</v>
      </c>
      <c r="W586" s="3">
        <f t="shared" si="100"/>
        <v>93.46602</v>
      </c>
      <c r="X586" s="1">
        <f t="shared" si="98"/>
        <v>8.6090648604583875E-2</v>
      </c>
      <c r="Z586" s="4">
        <v>250.02255</v>
      </c>
      <c r="AA586" s="1">
        <v>290</v>
      </c>
      <c r="AB586" s="5">
        <v>97.769199999999998</v>
      </c>
      <c r="AC586" s="3">
        <f t="shared" si="101"/>
        <v>97.692459999999997</v>
      </c>
      <c r="AD586" s="1">
        <f t="shared" si="99"/>
        <v>4.0463353714746776E-2</v>
      </c>
    </row>
    <row r="587" spans="20:30" x14ac:dyDescent="0.2">
      <c r="T587" s="4">
        <v>250.00703999999999</v>
      </c>
      <c r="U587" s="1">
        <v>290.5</v>
      </c>
      <c r="V587" s="3">
        <v>89.284779999999998</v>
      </c>
      <c r="W587" s="3">
        <f t="shared" si="100"/>
        <v>93.442179999999993</v>
      </c>
      <c r="X587" s="1">
        <f t="shared" si="98"/>
        <v>8.6377038406903833E-2</v>
      </c>
      <c r="Z587" s="4">
        <v>250.02109999999999</v>
      </c>
      <c r="AA587" s="1">
        <v>290.5</v>
      </c>
      <c r="AB587" s="3">
        <v>97.786150000000006</v>
      </c>
      <c r="AC587" s="3">
        <f t="shared" si="101"/>
        <v>97.709410000000005</v>
      </c>
      <c r="AD587" s="1">
        <f t="shared" si="99"/>
        <v>4.0260626108812245E-2</v>
      </c>
    </row>
    <row r="588" spans="20:30" x14ac:dyDescent="0.2">
      <c r="T588" s="4">
        <v>250.00697</v>
      </c>
      <c r="U588" s="1">
        <v>291</v>
      </c>
      <c r="V588" s="5">
        <v>89.270399999999995</v>
      </c>
      <c r="W588" s="3">
        <f t="shared" si="100"/>
        <v>93.427799999999991</v>
      </c>
      <c r="X588" s="1">
        <f t="shared" si="98"/>
        <v>8.6549785275920638E-2</v>
      </c>
      <c r="Z588" s="4">
        <v>250.02055999999999</v>
      </c>
      <c r="AA588" s="1">
        <v>291</v>
      </c>
      <c r="AB588" s="5">
        <v>97.783879999999996</v>
      </c>
      <c r="AC588" s="3">
        <f t="shared" si="101"/>
        <v>97.707139999999995</v>
      </c>
      <c r="AD588" s="1">
        <f t="shared" si="99"/>
        <v>4.0287776059577625E-2</v>
      </c>
    </row>
    <row r="589" spans="20:30" x14ac:dyDescent="0.2">
      <c r="T589" s="4">
        <v>250.00299999999999</v>
      </c>
      <c r="U589" s="1">
        <v>291.5</v>
      </c>
      <c r="V589" s="3">
        <v>89.282449999999997</v>
      </c>
      <c r="W589" s="3">
        <f t="shared" si="100"/>
        <v>93.439849999999993</v>
      </c>
      <c r="X589" s="1">
        <f t="shared" si="98"/>
        <v>8.6405028685402382E-2</v>
      </c>
      <c r="Z589" s="4">
        <v>250.02436</v>
      </c>
      <c r="AA589" s="1">
        <v>291.5</v>
      </c>
      <c r="AB589" s="3">
        <v>97.875799999999998</v>
      </c>
      <c r="AC589" s="3">
        <f t="shared" si="101"/>
        <v>97.799059999999997</v>
      </c>
      <c r="AD589" s="1">
        <f t="shared" si="99"/>
        <v>3.9188382458545563E-2</v>
      </c>
    </row>
    <row r="590" spans="20:30" x14ac:dyDescent="0.2">
      <c r="T590" s="4">
        <v>250.00498999999999</v>
      </c>
      <c r="U590" s="1">
        <v>292</v>
      </c>
      <c r="V590" s="5">
        <v>89.246499999999997</v>
      </c>
      <c r="W590" s="3">
        <f t="shared" si="100"/>
        <v>93.403899999999993</v>
      </c>
      <c r="X590" s="1">
        <f t="shared" si="98"/>
        <v>8.683689585794431E-2</v>
      </c>
      <c r="Z590" s="4">
        <v>250.02529999999999</v>
      </c>
      <c r="AA590" s="1">
        <v>292</v>
      </c>
      <c r="AB590" s="5">
        <v>97.869349999999997</v>
      </c>
      <c r="AC590" s="3">
        <f t="shared" si="101"/>
        <v>97.792609999999996</v>
      </c>
      <c r="AD590" s="1">
        <f t="shared" si="99"/>
        <v>3.9265526591777261E-2</v>
      </c>
    </row>
    <row r="591" spans="20:30" x14ac:dyDescent="0.2">
      <c r="T591" s="4">
        <v>250.00198</v>
      </c>
      <c r="U591" s="1">
        <v>292.5</v>
      </c>
      <c r="V591" s="3">
        <v>89.230230000000006</v>
      </c>
      <c r="W591" s="3">
        <f t="shared" si="100"/>
        <v>93.387630000000001</v>
      </c>
      <c r="X591" s="1">
        <f t="shared" si="98"/>
        <v>8.703234728763147E-2</v>
      </c>
      <c r="Z591" s="4">
        <v>250.02186</v>
      </c>
      <c r="AA591" s="1">
        <v>292.5</v>
      </c>
      <c r="AB591" s="3">
        <v>97.74812</v>
      </c>
      <c r="AC591" s="3">
        <f t="shared" si="101"/>
        <v>97.671379999999999</v>
      </c>
      <c r="AD591" s="1">
        <f t="shared" si="99"/>
        <v>4.0715477486610932E-2</v>
      </c>
    </row>
    <row r="592" spans="20:30" x14ac:dyDescent="0.2">
      <c r="T592" s="4">
        <v>250.00203999999999</v>
      </c>
      <c r="U592" s="1">
        <v>293</v>
      </c>
      <c r="V592" s="5">
        <v>89.214219999999997</v>
      </c>
      <c r="W592" s="3">
        <f t="shared" si="100"/>
        <v>93.371619999999993</v>
      </c>
      <c r="X592" s="1">
        <f t="shared" si="98"/>
        <v>8.7224675338602259E-2</v>
      </c>
      <c r="Z592" s="4">
        <v>250.01954000000001</v>
      </c>
      <c r="AA592" s="1">
        <v>293</v>
      </c>
      <c r="AB592" s="5">
        <v>97.732939999999999</v>
      </c>
      <c r="AC592" s="3">
        <f t="shared" si="101"/>
        <v>97.656199999999998</v>
      </c>
      <c r="AD592" s="1">
        <f t="shared" si="99"/>
        <v>4.089703530714691E-2</v>
      </c>
    </row>
    <row r="593" spans="20:30" x14ac:dyDescent="0.2">
      <c r="T593" s="4">
        <v>249.99600000000001</v>
      </c>
      <c r="U593" s="1">
        <v>293.5</v>
      </c>
      <c r="V593" s="3">
        <v>89.208380000000005</v>
      </c>
      <c r="W593" s="3">
        <f t="shared" si="100"/>
        <v>93.365780000000001</v>
      </c>
      <c r="X593" s="1">
        <f t="shared" si="98"/>
        <v>8.7294831229774481E-2</v>
      </c>
      <c r="Z593" s="4">
        <v>250.02</v>
      </c>
      <c r="AA593" s="1">
        <v>293.5</v>
      </c>
      <c r="AB593" s="3">
        <v>97.814440000000005</v>
      </c>
      <c r="AC593" s="3">
        <f t="shared" si="101"/>
        <v>97.737700000000004</v>
      </c>
      <c r="AD593" s="1">
        <f t="shared" si="99"/>
        <v>3.9922268352358868E-2</v>
      </c>
    </row>
    <row r="594" spans="20:30" x14ac:dyDescent="0.2">
      <c r="T594" s="4">
        <v>249.99698000000001</v>
      </c>
      <c r="U594" s="1">
        <v>294</v>
      </c>
      <c r="V594" s="5">
        <v>89.18432</v>
      </c>
      <c r="W594" s="3">
        <f t="shared" si="100"/>
        <v>93.341719999999995</v>
      </c>
      <c r="X594" s="1">
        <f t="shared" si="98"/>
        <v>8.7583863891008445E-2</v>
      </c>
      <c r="Z594" s="4">
        <v>250.01674</v>
      </c>
      <c r="AA594" s="1">
        <v>294</v>
      </c>
      <c r="AB594" s="5">
        <v>97.717960000000005</v>
      </c>
      <c r="AC594" s="3">
        <f t="shared" si="101"/>
        <v>97.641220000000004</v>
      </c>
      <c r="AD594" s="1">
        <f t="shared" si="99"/>
        <v>4.1076201061536088E-2</v>
      </c>
    </row>
    <row r="595" spans="20:30" x14ac:dyDescent="0.2">
      <c r="T595" s="4">
        <v>250.00400999999999</v>
      </c>
      <c r="U595" s="1">
        <v>294.5</v>
      </c>
      <c r="V595" s="3">
        <v>89.198480000000004</v>
      </c>
      <c r="W595" s="3">
        <f t="shared" si="100"/>
        <v>93.355879999999999</v>
      </c>
      <c r="X595" s="1">
        <f t="shared" si="98"/>
        <v>8.7413759880905662E-2</v>
      </c>
      <c r="Z595" s="4">
        <v>250.01531</v>
      </c>
      <c r="AA595" s="1">
        <v>294.5</v>
      </c>
      <c r="AB595" s="3">
        <v>97.730109999999996</v>
      </c>
      <c r="AC595" s="3">
        <f t="shared" si="101"/>
        <v>97.653369999999995</v>
      </c>
      <c r="AD595" s="1">
        <f t="shared" si="99"/>
        <v>4.093088304312302E-2</v>
      </c>
    </row>
    <row r="596" spans="20:30" x14ac:dyDescent="0.2">
      <c r="T596" s="4">
        <v>250.00802999999999</v>
      </c>
      <c r="U596" s="1">
        <v>295</v>
      </c>
      <c r="V596" s="5">
        <v>89.156220000000005</v>
      </c>
      <c r="W596" s="3">
        <f t="shared" si="100"/>
        <v>93.31362</v>
      </c>
      <c r="X596" s="1">
        <f t="shared" si="98"/>
        <v>8.7921429052299854E-2</v>
      </c>
      <c r="Z596" s="4">
        <v>250.01604</v>
      </c>
      <c r="AA596" s="1">
        <v>295</v>
      </c>
      <c r="AB596" s="5">
        <v>97.740520000000004</v>
      </c>
      <c r="AC596" s="3">
        <f t="shared" si="101"/>
        <v>97.663780000000003</v>
      </c>
      <c r="AD596" s="1">
        <f t="shared" si="99"/>
        <v>4.0806376000186211E-2</v>
      </c>
    </row>
    <row r="597" spans="20:30" x14ac:dyDescent="0.2">
      <c r="T597" s="4">
        <v>250.00796</v>
      </c>
      <c r="U597" s="1">
        <v>295.5</v>
      </c>
      <c r="V597" s="3">
        <v>89.144130000000004</v>
      </c>
      <c r="W597" s="3">
        <f t="shared" si="100"/>
        <v>93.30153</v>
      </c>
      <c r="X597" s="1">
        <f t="shared" si="98"/>
        <v>8.8066666162620627E-2</v>
      </c>
      <c r="Z597" s="4">
        <v>250.01373000000001</v>
      </c>
      <c r="AA597" s="1">
        <v>295.5</v>
      </c>
      <c r="AB597" s="3">
        <v>97.755920000000003</v>
      </c>
      <c r="AC597" s="3">
        <f t="shared" si="101"/>
        <v>97.679180000000002</v>
      </c>
      <c r="AD597" s="1">
        <f t="shared" si="99"/>
        <v>4.0622186906888853E-2</v>
      </c>
    </row>
    <row r="598" spans="20:30" x14ac:dyDescent="0.2">
      <c r="T598" s="4">
        <v>250.00899000000001</v>
      </c>
      <c r="U598" s="1">
        <v>296</v>
      </c>
      <c r="V598" s="5">
        <v>89.140150000000006</v>
      </c>
      <c r="W598" s="3">
        <f t="shared" si="100"/>
        <v>93.297550000000001</v>
      </c>
      <c r="X598" s="1">
        <f t="shared" ref="X598:X661" si="102">($W$21-W598)/($W$21*(1-$M$1))</f>
        <v>8.8114477882974357E-2</v>
      </c>
      <c r="Z598" s="4">
        <v>250.01369</v>
      </c>
      <c r="AA598" s="1">
        <v>296</v>
      </c>
      <c r="AB598" s="5">
        <v>97.778019999999998</v>
      </c>
      <c r="AC598" s="3">
        <f t="shared" si="101"/>
        <v>97.701279999999997</v>
      </c>
      <c r="AD598" s="1">
        <f t="shared" si="99"/>
        <v>4.0357863597676472E-2</v>
      </c>
    </row>
    <row r="599" spans="20:30" x14ac:dyDescent="0.2">
      <c r="T599" s="4">
        <v>250.00701000000001</v>
      </c>
      <c r="U599" s="1">
        <v>296.5</v>
      </c>
      <c r="V599" s="3">
        <v>89.128</v>
      </c>
      <c r="W599" s="3">
        <f t="shared" si="100"/>
        <v>93.285399999999996</v>
      </c>
      <c r="X599" s="1">
        <f t="shared" si="102"/>
        <v>8.826043577299901E-2</v>
      </c>
      <c r="Z599" s="4">
        <v>250.01034000000001</v>
      </c>
      <c r="AA599" s="1">
        <v>296.5</v>
      </c>
      <c r="AB599" s="3">
        <v>97.703450000000004</v>
      </c>
      <c r="AC599" s="3">
        <f t="shared" si="101"/>
        <v>97.626710000000003</v>
      </c>
      <c r="AD599" s="1">
        <f t="shared" si="99"/>
        <v>4.1249745460480568E-2</v>
      </c>
    </row>
    <row r="600" spans="20:30" x14ac:dyDescent="0.2">
      <c r="T600" s="4">
        <v>250.00702000000001</v>
      </c>
      <c r="U600" s="1">
        <v>297</v>
      </c>
      <c r="V600" s="5">
        <v>89.12012</v>
      </c>
      <c r="W600" s="3">
        <f t="shared" si="100"/>
        <v>93.277519999999996</v>
      </c>
      <c r="X600" s="1">
        <f t="shared" si="102"/>
        <v>8.8355098174101393E-2</v>
      </c>
      <c r="Z600" s="4">
        <v>250.01024000000001</v>
      </c>
      <c r="AA600" s="1">
        <v>297</v>
      </c>
      <c r="AB600" s="5">
        <v>97.851839999999996</v>
      </c>
      <c r="AC600" s="3">
        <f t="shared" si="101"/>
        <v>97.775099999999995</v>
      </c>
      <c r="AD600" s="1">
        <f t="shared" si="99"/>
        <v>3.9474951982922529E-2</v>
      </c>
    </row>
    <row r="601" spans="20:30" x14ac:dyDescent="0.2">
      <c r="T601" s="4">
        <v>250.00601</v>
      </c>
      <c r="U601" s="1">
        <v>297.5</v>
      </c>
      <c r="V601" s="3">
        <v>89.087950000000006</v>
      </c>
      <c r="W601" s="3">
        <f t="shared" si="100"/>
        <v>93.245350000000002</v>
      </c>
      <c r="X601" s="1">
        <f t="shared" si="102"/>
        <v>8.8741556225302248E-2</v>
      </c>
      <c r="Z601" s="4">
        <v>250.00738000000001</v>
      </c>
      <c r="AA601" s="1">
        <v>297.5</v>
      </c>
      <c r="AB601" s="3">
        <v>97.691310000000001</v>
      </c>
      <c r="AC601" s="3">
        <f t="shared" si="101"/>
        <v>97.614570000000001</v>
      </c>
      <c r="AD601" s="1">
        <f t="shared" si="99"/>
        <v>4.139494387558644E-2</v>
      </c>
    </row>
    <row r="602" spans="20:30" x14ac:dyDescent="0.2">
      <c r="T602" s="4">
        <v>250.00198</v>
      </c>
      <c r="U602" s="1">
        <v>298</v>
      </c>
      <c r="V602" s="5">
        <v>89.06183</v>
      </c>
      <c r="W602" s="3">
        <f t="shared" si="100"/>
        <v>93.219229999999996</v>
      </c>
      <c r="X602" s="1">
        <f t="shared" si="102"/>
        <v>8.9055335656367557E-2</v>
      </c>
      <c r="Z602" s="4">
        <v>250.00829999999999</v>
      </c>
      <c r="AA602" s="1">
        <v>298</v>
      </c>
      <c r="AB602" s="5">
        <v>97.732209999999995</v>
      </c>
      <c r="AC602" s="3">
        <f t="shared" si="101"/>
        <v>97.655469999999994</v>
      </c>
      <c r="AD602" s="1">
        <f t="shared" si="99"/>
        <v>4.0905766348582485E-2</v>
      </c>
    </row>
    <row r="603" spans="20:30" x14ac:dyDescent="0.2">
      <c r="T603" s="4">
        <v>250.00202999999999</v>
      </c>
      <c r="U603" s="1">
        <v>298.5</v>
      </c>
      <c r="V603" s="3">
        <v>89.051869999999994</v>
      </c>
      <c r="W603" s="3">
        <f t="shared" si="100"/>
        <v>93.209269999999989</v>
      </c>
      <c r="X603" s="1">
        <f t="shared" si="102"/>
        <v>8.9174985087202618E-2</v>
      </c>
      <c r="Z603" s="4">
        <v>250.0094</v>
      </c>
      <c r="AA603" s="1">
        <v>298.5</v>
      </c>
      <c r="AB603" s="3">
        <v>97.75403</v>
      </c>
      <c r="AC603" s="3">
        <f t="shared" si="101"/>
        <v>97.677289999999999</v>
      </c>
      <c r="AD603" s="1">
        <f t="shared" si="99"/>
        <v>4.0644791931975385E-2</v>
      </c>
    </row>
    <row r="604" spans="20:30" x14ac:dyDescent="0.2">
      <c r="T604" s="4">
        <v>250.00498999999999</v>
      </c>
      <c r="U604" s="1">
        <v>299</v>
      </c>
      <c r="V604" s="5">
        <v>89.057990000000004</v>
      </c>
      <c r="W604" s="3">
        <f t="shared" si="100"/>
        <v>93.215389999999999</v>
      </c>
      <c r="X604" s="1">
        <f t="shared" si="102"/>
        <v>8.9101465557412329E-2</v>
      </c>
      <c r="Z604" s="4">
        <v>250.01011</v>
      </c>
      <c r="AA604" s="1">
        <v>299</v>
      </c>
      <c r="AB604" s="5">
        <v>97.644880000000001</v>
      </c>
      <c r="AC604" s="3">
        <f t="shared" si="101"/>
        <v>97.56814</v>
      </c>
      <c r="AD604" s="1">
        <f t="shared" si="99"/>
        <v>4.1950262031547253E-2</v>
      </c>
    </row>
    <row r="605" spans="20:30" x14ac:dyDescent="0.2">
      <c r="T605" s="4">
        <v>250.00798</v>
      </c>
      <c r="U605" s="1">
        <v>299.5</v>
      </c>
      <c r="V605" s="3">
        <v>89.041849999999997</v>
      </c>
      <c r="W605" s="3">
        <f t="shared" si="100"/>
        <v>93.199249999999992</v>
      </c>
      <c r="X605" s="1">
        <f t="shared" si="102"/>
        <v>8.929535529774138E-2</v>
      </c>
      <c r="Z605" s="4">
        <v>250.01164</v>
      </c>
      <c r="AA605" s="1">
        <v>299.5</v>
      </c>
      <c r="AB605" s="3">
        <v>97.695179999999993</v>
      </c>
      <c r="AC605" s="3">
        <f t="shared" si="101"/>
        <v>97.618439999999993</v>
      </c>
      <c r="AD605" s="1">
        <f t="shared" si="99"/>
        <v>4.1348657395647519E-2</v>
      </c>
    </row>
    <row r="606" spans="20:30" x14ac:dyDescent="0.2">
      <c r="T606" s="4">
        <v>250.00502</v>
      </c>
      <c r="U606" s="1">
        <v>300</v>
      </c>
      <c r="V606" s="5">
        <v>89.007649999999998</v>
      </c>
      <c r="W606" s="3">
        <f t="shared" si="100"/>
        <v>93.165049999999994</v>
      </c>
      <c r="X606" s="1">
        <f t="shared" si="102"/>
        <v>8.9706199728921715E-2</v>
      </c>
      <c r="Z606" s="4">
        <v>250.01005000000001</v>
      </c>
      <c r="AA606" s="1">
        <v>300</v>
      </c>
      <c r="AB606" s="5">
        <v>97.764030000000005</v>
      </c>
      <c r="AC606" s="3">
        <f t="shared" si="101"/>
        <v>97.687290000000004</v>
      </c>
      <c r="AD606" s="1">
        <f t="shared" si="99"/>
        <v>4.0525188624639372E-2</v>
      </c>
    </row>
    <row r="607" spans="20:30" x14ac:dyDescent="0.2">
      <c r="T607" s="4">
        <v>250.00504000000001</v>
      </c>
      <c r="U607" s="1">
        <v>300.5</v>
      </c>
      <c r="V607" s="3">
        <v>89.009510000000006</v>
      </c>
      <c r="W607" s="3">
        <f t="shared" si="100"/>
        <v>93.166910000000001</v>
      </c>
      <c r="X607" s="1">
        <f t="shared" si="102"/>
        <v>8.9683855558103043E-2</v>
      </c>
      <c r="Z607" s="4">
        <v>250.00879</v>
      </c>
      <c r="AA607" s="1">
        <v>300.5</v>
      </c>
      <c r="AB607" s="3">
        <v>97.633129999999994</v>
      </c>
      <c r="AC607" s="3">
        <f t="shared" si="101"/>
        <v>97.556389999999993</v>
      </c>
      <c r="AD607" s="1">
        <f t="shared" si="99"/>
        <v>4.2090795917667068E-2</v>
      </c>
    </row>
    <row r="608" spans="20:30" x14ac:dyDescent="0.2">
      <c r="T608" s="4">
        <v>250.00502</v>
      </c>
      <c r="U608" s="1">
        <v>301</v>
      </c>
      <c r="V608" s="5">
        <v>88.989649999999997</v>
      </c>
      <c r="W608" s="3">
        <f t="shared" si="100"/>
        <v>93.147049999999993</v>
      </c>
      <c r="X608" s="1">
        <f t="shared" si="102"/>
        <v>8.9922433640069285E-2</v>
      </c>
      <c r="Z608" s="4">
        <v>250.00980000000001</v>
      </c>
      <c r="AA608" s="1">
        <v>301</v>
      </c>
      <c r="AB608" s="5">
        <v>97.618200000000002</v>
      </c>
      <c r="AC608" s="3">
        <f t="shared" si="101"/>
        <v>97.541460000000001</v>
      </c>
      <c r="AD608" s="1">
        <f t="shared" si="99"/>
        <v>4.2269363655519553E-2</v>
      </c>
    </row>
    <row r="609" spans="20:30" x14ac:dyDescent="0.2">
      <c r="T609" s="4">
        <v>250.00898000000001</v>
      </c>
      <c r="U609" s="1">
        <v>301.5</v>
      </c>
      <c r="V609" s="3">
        <v>88.973669999999998</v>
      </c>
      <c r="W609" s="3">
        <f t="shared" si="100"/>
        <v>93.131069999999994</v>
      </c>
      <c r="X609" s="1">
        <f t="shared" si="102"/>
        <v>9.0114401301188043E-2</v>
      </c>
      <c r="Z609" s="4">
        <v>250.01327000000001</v>
      </c>
      <c r="AA609" s="1">
        <v>301.5</v>
      </c>
      <c r="AB609" s="3">
        <v>97.683409999999995</v>
      </c>
      <c r="AC609" s="3">
        <f t="shared" si="101"/>
        <v>97.606669999999994</v>
      </c>
      <c r="AD609" s="1">
        <f t="shared" si="99"/>
        <v>4.1489430488381912E-2</v>
      </c>
    </row>
    <row r="610" spans="20:30" x14ac:dyDescent="0.2">
      <c r="T610" s="4">
        <v>250.00695999999999</v>
      </c>
      <c r="U610" s="1">
        <v>302</v>
      </c>
      <c r="V610" s="5">
        <v>88.989549999999994</v>
      </c>
      <c r="W610" s="3">
        <f t="shared" si="100"/>
        <v>93.14694999999999</v>
      </c>
      <c r="X610" s="1">
        <f t="shared" si="102"/>
        <v>8.9923634939575697E-2</v>
      </c>
      <c r="Z610" s="4">
        <v>250.01588000000001</v>
      </c>
      <c r="AA610" s="1">
        <v>302</v>
      </c>
      <c r="AB610" s="5">
        <v>97.691950000000006</v>
      </c>
      <c r="AC610" s="3">
        <f t="shared" si="101"/>
        <v>97.615210000000005</v>
      </c>
      <c r="AD610" s="1">
        <f t="shared" si="99"/>
        <v>4.1387289263916889E-2</v>
      </c>
    </row>
    <row r="611" spans="20:30" x14ac:dyDescent="0.2">
      <c r="T611" s="4">
        <v>250.01201</v>
      </c>
      <c r="U611" s="1">
        <v>302.5</v>
      </c>
      <c r="V611" s="3">
        <v>88.971500000000006</v>
      </c>
      <c r="W611" s="3">
        <f t="shared" si="100"/>
        <v>93.128900000000002</v>
      </c>
      <c r="X611" s="1">
        <f t="shared" si="102"/>
        <v>9.01404695004763E-2</v>
      </c>
      <c r="Z611" s="4">
        <v>250.018</v>
      </c>
      <c r="AA611" s="1">
        <v>302.5</v>
      </c>
      <c r="AB611" s="3">
        <v>97.609350000000006</v>
      </c>
      <c r="AC611" s="3">
        <f t="shared" si="101"/>
        <v>97.532610000000005</v>
      </c>
      <c r="AD611" s="1">
        <f t="shared" si="99"/>
        <v>4.2375212582511812E-2</v>
      </c>
    </row>
    <row r="612" spans="20:30" x14ac:dyDescent="0.2">
      <c r="T612" s="4">
        <v>250.00798</v>
      </c>
      <c r="U612" s="1">
        <v>303</v>
      </c>
      <c r="V612" s="5">
        <v>88.959460000000007</v>
      </c>
      <c r="W612" s="3">
        <f t="shared" si="100"/>
        <v>93.116860000000003</v>
      </c>
      <c r="X612" s="1">
        <f t="shared" si="102"/>
        <v>9.0285105961043874E-2</v>
      </c>
      <c r="Z612" s="4">
        <v>250.01971</v>
      </c>
      <c r="AA612" s="1">
        <v>303</v>
      </c>
      <c r="AB612" s="5">
        <v>97.578519999999997</v>
      </c>
      <c r="AC612" s="3">
        <f t="shared" si="101"/>
        <v>97.501779999999997</v>
      </c>
      <c r="AD612" s="1">
        <f t="shared" si="99"/>
        <v>4.2743949579028648E-2</v>
      </c>
    </row>
    <row r="613" spans="20:30" x14ac:dyDescent="0.2">
      <c r="T613" s="4">
        <v>250.00900999999999</v>
      </c>
      <c r="U613" s="1">
        <v>303.5</v>
      </c>
      <c r="V613" s="3">
        <v>88.939279999999997</v>
      </c>
      <c r="W613" s="3">
        <f t="shared" si="100"/>
        <v>93.096679999999992</v>
      </c>
      <c r="X613" s="1">
        <f t="shared" si="102"/>
        <v>9.0527528201430535E-2</v>
      </c>
      <c r="Z613" s="4">
        <v>250.01591999999999</v>
      </c>
      <c r="AA613" s="1">
        <v>303.5</v>
      </c>
      <c r="AB613" s="3">
        <v>97.560509999999994</v>
      </c>
      <c r="AC613" s="3">
        <f t="shared" si="101"/>
        <v>97.483769999999993</v>
      </c>
      <c r="AD613" s="1">
        <f t="shared" si="99"/>
        <v>4.2959355135540736E-2</v>
      </c>
    </row>
    <row r="614" spans="20:30" x14ac:dyDescent="0.2">
      <c r="T614" s="4">
        <v>250.00599</v>
      </c>
      <c r="U614" s="1">
        <v>304</v>
      </c>
      <c r="V614" s="5">
        <v>88.91722</v>
      </c>
      <c r="W614" s="3">
        <f t="shared" si="100"/>
        <v>93.074619999999996</v>
      </c>
      <c r="X614" s="1">
        <f t="shared" si="102"/>
        <v>9.0792534872536884E-2</v>
      </c>
      <c r="Z614" s="4">
        <v>250.01336000000001</v>
      </c>
      <c r="AA614" s="1">
        <v>304</v>
      </c>
      <c r="AB614" s="5">
        <v>97.618549999999999</v>
      </c>
      <c r="AC614" s="3">
        <f t="shared" si="101"/>
        <v>97.541809999999998</v>
      </c>
      <c r="AD614" s="1">
        <f t="shared" si="99"/>
        <v>4.2265177539762826E-2</v>
      </c>
    </row>
    <row r="615" spans="20:30" x14ac:dyDescent="0.2">
      <c r="T615" s="4">
        <v>250.00299000000001</v>
      </c>
      <c r="U615" s="1">
        <v>304.5</v>
      </c>
      <c r="V615" s="3">
        <v>88.915409999999994</v>
      </c>
      <c r="W615" s="3">
        <f t="shared" si="100"/>
        <v>93.07280999999999</v>
      </c>
      <c r="X615" s="1">
        <f t="shared" si="102"/>
        <v>9.0814278393602357E-2</v>
      </c>
      <c r="Z615" s="4">
        <v>250.01378</v>
      </c>
      <c r="AA615" s="1">
        <v>304.5</v>
      </c>
      <c r="AB615" s="3">
        <v>97.631320000000002</v>
      </c>
      <c r="AC615" s="3">
        <f t="shared" si="101"/>
        <v>97.554580000000001</v>
      </c>
      <c r="AD615" s="1">
        <f t="shared" si="99"/>
        <v>4.2112444116294778E-2</v>
      </c>
    </row>
    <row r="616" spans="20:30" x14ac:dyDescent="0.2">
      <c r="T616" s="4">
        <v>250.00498999999999</v>
      </c>
      <c r="U616" s="1">
        <v>305</v>
      </c>
      <c r="V616" s="5">
        <v>88.885279999999995</v>
      </c>
      <c r="W616" s="3">
        <f t="shared" si="100"/>
        <v>93.04267999999999</v>
      </c>
      <c r="X616" s="1">
        <f t="shared" si="102"/>
        <v>9.1176229934873232E-2</v>
      </c>
      <c r="Z616" s="4">
        <v>250.01066</v>
      </c>
      <c r="AA616" s="1">
        <v>305</v>
      </c>
      <c r="AB616" s="5">
        <v>97.621189999999999</v>
      </c>
      <c r="AC616" s="3">
        <f t="shared" si="101"/>
        <v>97.544449999999998</v>
      </c>
      <c r="AD616" s="1">
        <f t="shared" si="99"/>
        <v>4.223360226662614E-2</v>
      </c>
    </row>
    <row r="617" spans="20:30" x14ac:dyDescent="0.2">
      <c r="T617" s="4">
        <v>250.00198</v>
      </c>
      <c r="U617" s="1">
        <v>305.5</v>
      </c>
      <c r="V617" s="3">
        <v>88.875249999999994</v>
      </c>
      <c r="W617" s="3">
        <f t="shared" si="100"/>
        <v>93.03264999999999</v>
      </c>
      <c r="X617" s="1">
        <f t="shared" si="102"/>
        <v>9.1296720275362675E-2</v>
      </c>
      <c r="Z617" s="4">
        <v>250.01080999999999</v>
      </c>
      <c r="AA617" s="1">
        <v>305.5</v>
      </c>
      <c r="AB617" s="3">
        <v>97.654349999999994</v>
      </c>
      <c r="AC617" s="3">
        <f t="shared" si="101"/>
        <v>97.577609999999993</v>
      </c>
      <c r="AD617" s="1">
        <f t="shared" si="99"/>
        <v>4.1836997699500195E-2</v>
      </c>
    </row>
    <row r="618" spans="20:30" x14ac:dyDescent="0.2">
      <c r="T618" s="4">
        <v>250.00507999999999</v>
      </c>
      <c r="U618" s="1">
        <v>306</v>
      </c>
      <c r="V618" s="5">
        <v>88.881230000000002</v>
      </c>
      <c r="W618" s="3">
        <f t="shared" si="100"/>
        <v>93.038629999999998</v>
      </c>
      <c r="X618" s="1">
        <f t="shared" si="102"/>
        <v>9.1224882564881343E-2</v>
      </c>
      <c r="Z618" s="4">
        <v>250.01396</v>
      </c>
      <c r="AA618" s="1">
        <v>306</v>
      </c>
      <c r="AB618" s="5">
        <v>97.689390000000003</v>
      </c>
      <c r="AC618" s="3">
        <f t="shared" si="101"/>
        <v>97.612650000000002</v>
      </c>
      <c r="AD618" s="1">
        <f t="shared" si="99"/>
        <v>4.141790771059492E-2</v>
      </c>
    </row>
    <row r="619" spans="20:30" x14ac:dyDescent="0.2">
      <c r="T619" s="4">
        <v>250.00397000000001</v>
      </c>
      <c r="U619" s="1">
        <v>306.5</v>
      </c>
      <c r="V619" s="3">
        <v>88.875249999999994</v>
      </c>
      <c r="W619" s="3">
        <f t="shared" si="100"/>
        <v>93.03264999999999</v>
      </c>
      <c r="X619" s="1">
        <f t="shared" si="102"/>
        <v>9.1296720275362675E-2</v>
      </c>
      <c r="Z619" s="4">
        <v>250.01481999999999</v>
      </c>
      <c r="AA619" s="1">
        <v>306.5</v>
      </c>
      <c r="AB619" s="3">
        <v>97.632779999999997</v>
      </c>
      <c r="AC619" s="3">
        <f t="shared" si="101"/>
        <v>97.556039999999996</v>
      </c>
      <c r="AD619" s="1">
        <f t="shared" si="99"/>
        <v>4.2094982033423795E-2</v>
      </c>
    </row>
    <row r="620" spans="20:30" x14ac:dyDescent="0.2">
      <c r="T620" s="4">
        <v>250.00597999999999</v>
      </c>
      <c r="U620" s="1">
        <v>307</v>
      </c>
      <c r="V620" s="5">
        <v>88.853160000000003</v>
      </c>
      <c r="W620" s="3">
        <f t="shared" si="100"/>
        <v>93.010559999999998</v>
      </c>
      <c r="X620" s="1">
        <f t="shared" si="102"/>
        <v>9.1562087336320874E-2</v>
      </c>
      <c r="Z620" s="4">
        <v>250.01308</v>
      </c>
      <c r="AA620" s="1">
        <v>307</v>
      </c>
      <c r="AB620" s="5">
        <v>97.660420000000002</v>
      </c>
      <c r="AC620" s="3">
        <f t="shared" si="101"/>
        <v>97.583680000000001</v>
      </c>
      <c r="AD620" s="1">
        <f t="shared" si="99"/>
        <v>4.1764398491947172E-2</v>
      </c>
    </row>
    <row r="621" spans="20:30" x14ac:dyDescent="0.2">
      <c r="T621" s="4">
        <v>250.00899000000001</v>
      </c>
      <c r="U621" s="1">
        <v>307.5</v>
      </c>
      <c r="V621" s="3">
        <v>88.853179999999995</v>
      </c>
      <c r="W621" s="3">
        <f t="shared" si="100"/>
        <v>93.01057999999999</v>
      </c>
      <c r="X621" s="1">
        <f t="shared" si="102"/>
        <v>9.1561847076419706E-2</v>
      </c>
      <c r="Z621" s="4">
        <v>250.01400000000001</v>
      </c>
      <c r="AA621" s="1">
        <v>307.5</v>
      </c>
      <c r="AB621" s="3">
        <v>97.650499999999994</v>
      </c>
      <c r="AC621" s="3">
        <f t="shared" si="101"/>
        <v>97.573759999999993</v>
      </c>
      <c r="AD621" s="1">
        <f t="shared" si="99"/>
        <v>4.188304497282453E-2</v>
      </c>
    </row>
    <row r="622" spans="20:30" x14ac:dyDescent="0.2">
      <c r="T622" s="4">
        <v>250.00702999999999</v>
      </c>
      <c r="U622" s="1">
        <v>308</v>
      </c>
      <c r="V622" s="5">
        <v>88.819220000000001</v>
      </c>
      <c r="W622" s="3">
        <f t="shared" si="100"/>
        <v>92.976619999999997</v>
      </c>
      <c r="X622" s="1">
        <f t="shared" si="102"/>
        <v>9.1969808388784671E-2</v>
      </c>
      <c r="Z622" s="4">
        <v>250.01401999999999</v>
      </c>
      <c r="AA622" s="1">
        <v>308</v>
      </c>
      <c r="AB622" s="5">
        <v>97.554850000000002</v>
      </c>
      <c r="AC622" s="3">
        <f t="shared" si="101"/>
        <v>97.478110000000001</v>
      </c>
      <c r="AD622" s="1">
        <f t="shared" si="99"/>
        <v>4.3027050607492782E-2</v>
      </c>
    </row>
    <row r="623" spans="20:30" x14ac:dyDescent="0.2">
      <c r="T623" s="4">
        <v>250.00703999999999</v>
      </c>
      <c r="U623" s="1">
        <v>308.5</v>
      </c>
      <c r="V623" s="3">
        <v>88.814989999999995</v>
      </c>
      <c r="W623" s="3">
        <f t="shared" si="100"/>
        <v>92.97238999999999</v>
      </c>
      <c r="X623" s="1">
        <f t="shared" si="102"/>
        <v>9.2020623357904438E-2</v>
      </c>
      <c r="Z623" s="4">
        <v>250.01326</v>
      </c>
      <c r="AA623" s="1">
        <v>308.5</v>
      </c>
      <c r="AB623" s="3">
        <v>97.612160000000003</v>
      </c>
      <c r="AC623" s="3">
        <f t="shared" si="101"/>
        <v>97.535420000000002</v>
      </c>
      <c r="AD623" s="1">
        <f t="shared" si="99"/>
        <v>4.2341604053150447E-2</v>
      </c>
    </row>
    <row r="624" spans="20:30" x14ac:dyDescent="0.2">
      <c r="T624" s="4">
        <v>250</v>
      </c>
      <c r="U624" s="1">
        <v>309</v>
      </c>
      <c r="V624" s="5">
        <v>88.783019999999993</v>
      </c>
      <c r="W624" s="3">
        <f t="shared" si="100"/>
        <v>92.940419999999989</v>
      </c>
      <c r="X624" s="1">
        <f t="shared" si="102"/>
        <v>9.2404678810092636E-2</v>
      </c>
      <c r="Z624" s="4">
        <v>250.01599999999999</v>
      </c>
      <c r="AA624" s="1">
        <v>309</v>
      </c>
      <c r="AB624" s="5">
        <v>97.589309999999998</v>
      </c>
      <c r="AC624" s="3">
        <f t="shared" si="101"/>
        <v>97.512569999999997</v>
      </c>
      <c r="AD624" s="1">
        <f t="shared" si="99"/>
        <v>4.2614897610413156E-2</v>
      </c>
    </row>
    <row r="625" spans="20:30" x14ac:dyDescent="0.2">
      <c r="T625" s="4">
        <v>250.00501</v>
      </c>
      <c r="U625" s="1">
        <v>309.5</v>
      </c>
      <c r="V625" s="3">
        <v>88.787019999999998</v>
      </c>
      <c r="W625" s="3">
        <f t="shared" si="100"/>
        <v>92.944419999999994</v>
      </c>
      <c r="X625" s="1">
        <f t="shared" si="102"/>
        <v>9.2356626829837557E-2</v>
      </c>
      <c r="Z625" s="4">
        <v>250.01531</v>
      </c>
      <c r="AA625" s="1">
        <v>309.5</v>
      </c>
      <c r="AB625" s="3">
        <v>97.510980000000004</v>
      </c>
      <c r="AC625" s="3">
        <f t="shared" si="101"/>
        <v>97.434240000000003</v>
      </c>
      <c r="AD625" s="1">
        <f t="shared" si="99"/>
        <v>4.3551750316775564E-2</v>
      </c>
    </row>
    <row r="626" spans="20:30" x14ac:dyDescent="0.2">
      <c r="T626" s="4">
        <v>250.00898000000001</v>
      </c>
      <c r="U626" s="1">
        <v>310</v>
      </c>
      <c r="V626" s="5">
        <v>88.790840000000003</v>
      </c>
      <c r="W626" s="3">
        <f t="shared" si="100"/>
        <v>92.948239999999998</v>
      </c>
      <c r="X626" s="1">
        <f t="shared" si="102"/>
        <v>9.2310737188693967E-2</v>
      </c>
      <c r="Z626" s="4">
        <v>250.01289</v>
      </c>
      <c r="AA626" s="1">
        <v>310</v>
      </c>
      <c r="AB626" s="5">
        <v>97.558509999999998</v>
      </c>
      <c r="AC626" s="3">
        <f t="shared" si="101"/>
        <v>97.481769999999997</v>
      </c>
      <c r="AD626" s="1">
        <f t="shared" si="99"/>
        <v>4.2983275797007871E-2</v>
      </c>
    </row>
    <row r="627" spans="20:30" x14ac:dyDescent="0.2">
      <c r="T627" s="4">
        <v>250.00501</v>
      </c>
      <c r="U627" s="1">
        <v>310.5</v>
      </c>
      <c r="V627" s="3">
        <v>88.760509999999996</v>
      </c>
      <c r="W627" s="3">
        <f t="shared" si="100"/>
        <v>92.917909999999992</v>
      </c>
      <c r="X627" s="1">
        <f t="shared" si="102"/>
        <v>9.267509132897768E-2</v>
      </c>
      <c r="Z627" s="4">
        <v>250.00740999999999</v>
      </c>
      <c r="AA627" s="1">
        <v>310.5</v>
      </c>
      <c r="AB627" s="3">
        <v>97.520880000000005</v>
      </c>
      <c r="AC627" s="3">
        <f t="shared" si="101"/>
        <v>97.444140000000004</v>
      </c>
      <c r="AD627" s="1">
        <f t="shared" si="99"/>
        <v>4.3433343042512958E-2</v>
      </c>
    </row>
    <row r="628" spans="20:30" x14ac:dyDescent="0.2">
      <c r="T628" s="4">
        <v>250.00396000000001</v>
      </c>
      <c r="U628" s="1">
        <v>311</v>
      </c>
      <c r="V628" s="5">
        <v>88.748549999999994</v>
      </c>
      <c r="W628" s="3">
        <f t="shared" si="100"/>
        <v>92.90594999999999</v>
      </c>
      <c r="X628" s="1">
        <f t="shared" si="102"/>
        <v>9.281876674994019E-2</v>
      </c>
      <c r="Z628" s="4">
        <v>250.00337999999999</v>
      </c>
      <c r="AA628" s="1">
        <v>311</v>
      </c>
      <c r="AB628" s="5">
        <v>97.516019999999997</v>
      </c>
      <c r="AC628" s="3">
        <f t="shared" si="101"/>
        <v>97.439279999999997</v>
      </c>
      <c r="AD628" s="1">
        <f t="shared" si="99"/>
        <v>4.3491470249878324E-2</v>
      </c>
    </row>
    <row r="629" spans="20:30" x14ac:dyDescent="0.2">
      <c r="T629" s="4">
        <v>250.00398000000001</v>
      </c>
      <c r="U629" s="1">
        <v>311.5</v>
      </c>
      <c r="V629" s="3">
        <v>88.728729999999999</v>
      </c>
      <c r="W629" s="3">
        <f t="shared" si="100"/>
        <v>92.886129999999994</v>
      </c>
      <c r="X629" s="1">
        <f t="shared" si="102"/>
        <v>9.3056864312103721E-2</v>
      </c>
      <c r="Z629" s="4">
        <v>250.00756999999999</v>
      </c>
      <c r="AA629" s="1">
        <v>311.5</v>
      </c>
      <c r="AB629" s="3">
        <v>97.452979999999997</v>
      </c>
      <c r="AC629" s="3">
        <f t="shared" si="101"/>
        <v>97.376239999999996</v>
      </c>
      <c r="AD629" s="1">
        <f t="shared" si="99"/>
        <v>4.4245449499324151E-2</v>
      </c>
    </row>
    <row r="630" spans="20:30" x14ac:dyDescent="0.2">
      <c r="T630" s="4">
        <v>250.00599</v>
      </c>
      <c r="U630" s="1">
        <v>312</v>
      </c>
      <c r="V630" s="5">
        <v>88.730770000000007</v>
      </c>
      <c r="W630" s="3">
        <f t="shared" si="100"/>
        <v>92.888170000000002</v>
      </c>
      <c r="X630" s="1">
        <f t="shared" si="102"/>
        <v>9.3032357802173574E-2</v>
      </c>
      <c r="Z630" s="4">
        <v>250.01173</v>
      </c>
      <c r="AA630" s="1">
        <v>312</v>
      </c>
      <c r="AB630" s="5">
        <v>97.648070000000004</v>
      </c>
      <c r="AC630" s="3">
        <f t="shared" si="101"/>
        <v>97.571330000000003</v>
      </c>
      <c r="AD630" s="1">
        <f t="shared" si="99"/>
        <v>4.1912108576507047E-2</v>
      </c>
    </row>
    <row r="631" spans="20:30" x14ac:dyDescent="0.2">
      <c r="T631" s="4">
        <v>250.00397000000001</v>
      </c>
      <c r="U631" s="1">
        <v>312.5</v>
      </c>
      <c r="V631" s="3">
        <v>88.710610000000003</v>
      </c>
      <c r="W631" s="3">
        <f t="shared" si="100"/>
        <v>92.868009999999998</v>
      </c>
      <c r="X631" s="1">
        <f t="shared" si="102"/>
        <v>9.3274539782658886E-2</v>
      </c>
      <c r="Z631" s="4">
        <v>250.0136</v>
      </c>
      <c r="AA631" s="1">
        <v>312.5</v>
      </c>
      <c r="AB631" s="3">
        <v>97.542259999999999</v>
      </c>
      <c r="AC631" s="3">
        <f t="shared" si="101"/>
        <v>97.465519999999998</v>
      </c>
      <c r="AD631" s="1">
        <f t="shared" si="99"/>
        <v>4.3177631171428775E-2</v>
      </c>
    </row>
    <row r="632" spans="20:30" x14ac:dyDescent="0.2">
      <c r="T632" s="4">
        <v>250.00698</v>
      </c>
      <c r="U632" s="1">
        <v>313</v>
      </c>
      <c r="V632" s="5">
        <v>88.682680000000005</v>
      </c>
      <c r="W632" s="3">
        <f t="shared" si="100"/>
        <v>92.84008</v>
      </c>
      <c r="X632" s="1">
        <f t="shared" si="102"/>
        <v>9.3610062734789473E-2</v>
      </c>
      <c r="Z632" s="4">
        <v>250.01468</v>
      </c>
      <c r="AA632" s="1">
        <v>313</v>
      </c>
      <c r="AB632" s="5">
        <v>97.417109999999994</v>
      </c>
      <c r="AC632" s="3">
        <f t="shared" si="101"/>
        <v>97.340369999999993</v>
      </c>
      <c r="AD632" s="1">
        <f t="shared" si="99"/>
        <v>4.4674466562738227E-2</v>
      </c>
    </row>
    <row r="633" spans="20:30" x14ac:dyDescent="0.2">
      <c r="T633" s="4">
        <v>250.00596999999999</v>
      </c>
      <c r="U633" s="1">
        <v>313.5</v>
      </c>
      <c r="V633" s="3">
        <v>88.688649999999996</v>
      </c>
      <c r="W633" s="3">
        <f t="shared" si="100"/>
        <v>92.846049999999991</v>
      </c>
      <c r="X633" s="1">
        <f t="shared" si="102"/>
        <v>9.3538345154258989E-2</v>
      </c>
      <c r="Z633" s="4">
        <v>250.01382000000001</v>
      </c>
      <c r="AA633" s="1">
        <v>313.5</v>
      </c>
      <c r="AB633" s="3">
        <v>97.424530000000004</v>
      </c>
      <c r="AC633" s="3">
        <f t="shared" si="101"/>
        <v>97.347790000000003</v>
      </c>
      <c r="AD633" s="1">
        <f t="shared" si="99"/>
        <v>4.458572090869483E-2</v>
      </c>
    </row>
    <row r="634" spans="20:30" x14ac:dyDescent="0.2">
      <c r="T634" s="4">
        <v>250.00599</v>
      </c>
      <c r="U634" s="1">
        <v>314</v>
      </c>
      <c r="V634" s="5">
        <v>88.666629999999998</v>
      </c>
      <c r="W634" s="3">
        <f t="shared" si="100"/>
        <v>92.824029999999993</v>
      </c>
      <c r="X634" s="1">
        <f t="shared" si="102"/>
        <v>9.3802871305562793E-2</v>
      </c>
      <c r="Z634" s="4">
        <v>250.01554999999999</v>
      </c>
      <c r="AA634" s="1">
        <v>314</v>
      </c>
      <c r="AB634" s="5">
        <v>97.534319999999994</v>
      </c>
      <c r="AC634" s="3">
        <f t="shared" si="101"/>
        <v>97.457579999999993</v>
      </c>
      <c r="AD634" s="1">
        <f t="shared" si="99"/>
        <v>4.3272596197453578E-2</v>
      </c>
    </row>
    <row r="635" spans="20:30" x14ac:dyDescent="0.2">
      <c r="T635" s="4">
        <v>250.005</v>
      </c>
      <c r="U635" s="1">
        <v>314.5</v>
      </c>
      <c r="V635" s="3">
        <v>88.654489999999996</v>
      </c>
      <c r="W635" s="3">
        <f t="shared" si="100"/>
        <v>92.811889999999991</v>
      </c>
      <c r="X635" s="1">
        <f t="shared" si="102"/>
        <v>9.3948709065636793E-2</v>
      </c>
      <c r="Z635" s="4">
        <v>250.01787999999999</v>
      </c>
      <c r="AA635" s="1">
        <v>314.5</v>
      </c>
      <c r="AB635" s="3">
        <v>97.513949999999994</v>
      </c>
      <c r="AC635" s="3">
        <f t="shared" si="101"/>
        <v>97.437209999999993</v>
      </c>
      <c r="AD635" s="1">
        <f t="shared" si="99"/>
        <v>4.3516228134496904E-2</v>
      </c>
    </row>
    <row r="636" spans="20:30" x14ac:dyDescent="0.2">
      <c r="T636" s="4">
        <v>250.00305</v>
      </c>
      <c r="U636" s="1">
        <v>315</v>
      </c>
      <c r="V636" s="5">
        <v>88.650540000000007</v>
      </c>
      <c r="W636" s="3">
        <f t="shared" si="100"/>
        <v>92.807940000000002</v>
      </c>
      <c r="X636" s="1">
        <f t="shared" si="102"/>
        <v>9.3996160396138478E-2</v>
      </c>
      <c r="Z636" s="4">
        <v>250.01992000000001</v>
      </c>
      <c r="AA636" s="1">
        <v>315</v>
      </c>
      <c r="AB636" s="5">
        <v>97.483689999999996</v>
      </c>
      <c r="AC636" s="3">
        <f t="shared" si="101"/>
        <v>97.406949999999995</v>
      </c>
      <c r="AD636" s="1">
        <f t="shared" si="99"/>
        <v>4.387814774249546E-2</v>
      </c>
    </row>
    <row r="637" spans="20:30" x14ac:dyDescent="0.2">
      <c r="T637" s="4">
        <v>250.00396000000001</v>
      </c>
      <c r="U637" s="1">
        <v>315.5</v>
      </c>
      <c r="V637" s="3">
        <v>88.644450000000006</v>
      </c>
      <c r="W637" s="3">
        <f t="shared" si="100"/>
        <v>92.801850000000002</v>
      </c>
      <c r="X637" s="1">
        <f t="shared" si="102"/>
        <v>9.4069319536076737E-2</v>
      </c>
      <c r="Z637" s="4">
        <v>250.02085</v>
      </c>
      <c r="AA637" s="1">
        <v>315.5</v>
      </c>
      <c r="AB637" s="3">
        <v>97.474819999999994</v>
      </c>
      <c r="AC637" s="3">
        <f t="shared" si="101"/>
        <v>97.398079999999993</v>
      </c>
      <c r="AD637" s="1">
        <f t="shared" si="99"/>
        <v>4.3984235876102472E-2</v>
      </c>
    </row>
    <row r="638" spans="20:30" x14ac:dyDescent="0.2">
      <c r="T638" s="4">
        <v>250.01101</v>
      </c>
      <c r="U638" s="1">
        <v>316</v>
      </c>
      <c r="V638" s="5">
        <v>88.618489999999994</v>
      </c>
      <c r="W638" s="3">
        <f t="shared" si="100"/>
        <v>92.77588999999999</v>
      </c>
      <c r="X638" s="1">
        <f t="shared" si="102"/>
        <v>9.438117688793192E-2</v>
      </c>
      <c r="Z638" s="4">
        <v>250.02037999999999</v>
      </c>
      <c r="AA638" s="1">
        <v>316</v>
      </c>
      <c r="AB638" s="5">
        <v>97.476230000000001</v>
      </c>
      <c r="AC638" s="3">
        <f t="shared" si="101"/>
        <v>97.39949</v>
      </c>
      <c r="AD638" s="1">
        <f t="shared" si="99"/>
        <v>4.3967371809768015E-2</v>
      </c>
    </row>
    <row r="639" spans="20:30" x14ac:dyDescent="0.2">
      <c r="T639" s="4">
        <v>250.00899000000001</v>
      </c>
      <c r="U639" s="1">
        <v>316.5</v>
      </c>
      <c r="V639" s="3">
        <v>88.614459999999994</v>
      </c>
      <c r="W639" s="3">
        <f t="shared" si="100"/>
        <v>92.77185999999999</v>
      </c>
      <c r="X639" s="1">
        <f t="shared" si="102"/>
        <v>9.4429589258038849E-2</v>
      </c>
      <c r="Z639" s="4">
        <v>250.02212</v>
      </c>
      <c r="AA639" s="1">
        <v>316.5</v>
      </c>
      <c r="AB639" s="3">
        <v>97.321960000000004</v>
      </c>
      <c r="AC639" s="3">
        <f t="shared" si="101"/>
        <v>97.245220000000003</v>
      </c>
      <c r="AD639" s="1">
        <f t="shared" ref="AD639:AD702" si="103">($AC$62-AC639)/($AC$62*(1-$M$1))</f>
        <v>4.5812492032039652E-2</v>
      </c>
    </row>
    <row r="640" spans="20:30" x14ac:dyDescent="0.2">
      <c r="T640" s="4">
        <v>250.00702999999999</v>
      </c>
      <c r="U640" s="1">
        <v>317</v>
      </c>
      <c r="V640" s="5">
        <v>88.600560000000002</v>
      </c>
      <c r="W640" s="3">
        <f t="shared" si="100"/>
        <v>92.757959999999997</v>
      </c>
      <c r="X640" s="1">
        <f t="shared" si="102"/>
        <v>9.4596569889424914E-2</v>
      </c>
      <c r="Z640" s="4">
        <v>250.01992000000001</v>
      </c>
      <c r="AA640" s="1">
        <v>317</v>
      </c>
      <c r="AB640" s="5">
        <v>97.411320000000003</v>
      </c>
      <c r="AC640" s="3">
        <f t="shared" si="101"/>
        <v>97.334580000000003</v>
      </c>
      <c r="AD640" s="1">
        <f t="shared" si="103"/>
        <v>4.4743716877685628E-2</v>
      </c>
    </row>
    <row r="641" spans="20:30" x14ac:dyDescent="0.2">
      <c r="T641" s="4">
        <v>250.00406000000001</v>
      </c>
      <c r="U641" s="1">
        <v>317.5</v>
      </c>
      <c r="V641" s="3">
        <v>88.592349999999996</v>
      </c>
      <c r="W641" s="3">
        <f t="shared" si="100"/>
        <v>92.749749999999992</v>
      </c>
      <c r="X641" s="1">
        <f t="shared" si="102"/>
        <v>9.4695196578898397E-2</v>
      </c>
      <c r="Z641" s="4">
        <v>250.01633000000001</v>
      </c>
      <c r="AA641" s="1">
        <v>317.5</v>
      </c>
      <c r="AB641" s="3">
        <v>97.362089999999995</v>
      </c>
      <c r="AC641" s="3">
        <f t="shared" si="101"/>
        <v>97.285349999999994</v>
      </c>
      <c r="AD641" s="1">
        <f t="shared" si="103"/>
        <v>4.5332523959700603E-2</v>
      </c>
    </row>
    <row r="642" spans="20:30" x14ac:dyDescent="0.2">
      <c r="T642" s="4">
        <v>250.00502</v>
      </c>
      <c r="U642" s="1">
        <v>318</v>
      </c>
      <c r="V642" s="5">
        <v>88.574370000000002</v>
      </c>
      <c r="W642" s="3">
        <f t="shared" si="100"/>
        <v>92.731769999999997</v>
      </c>
      <c r="X642" s="1">
        <f t="shared" si="102"/>
        <v>9.4911190230144604E-2</v>
      </c>
      <c r="Z642" s="4">
        <v>250.01526999999999</v>
      </c>
      <c r="AA642" s="1">
        <v>318</v>
      </c>
      <c r="AB642" s="5">
        <v>97.462990000000005</v>
      </c>
      <c r="AC642" s="3">
        <f t="shared" si="101"/>
        <v>97.386250000000004</v>
      </c>
      <c r="AD642" s="1">
        <f t="shared" si="103"/>
        <v>4.4125726588680768E-2</v>
      </c>
    </row>
    <row r="643" spans="20:30" x14ac:dyDescent="0.2">
      <c r="T643" s="4">
        <v>250.00400999999999</v>
      </c>
      <c r="U643" s="1">
        <v>318.5</v>
      </c>
      <c r="V643" s="3">
        <v>88.570430000000002</v>
      </c>
      <c r="W643" s="3">
        <f t="shared" si="100"/>
        <v>92.727829999999997</v>
      </c>
      <c r="X643" s="1">
        <f t="shared" si="102"/>
        <v>9.4958521430695803E-2</v>
      </c>
      <c r="Z643" s="4">
        <v>250.01768999999999</v>
      </c>
      <c r="AA643" s="1">
        <v>318.5</v>
      </c>
      <c r="AB643" s="3">
        <v>97.344279999999998</v>
      </c>
      <c r="AC643" s="3">
        <f t="shared" si="101"/>
        <v>97.267539999999997</v>
      </c>
      <c r="AD643" s="1">
        <f t="shared" si="103"/>
        <v>4.5545537450065898E-2</v>
      </c>
    </row>
    <row r="644" spans="20:30" x14ac:dyDescent="0.2">
      <c r="T644" s="4">
        <v>250.00505000000001</v>
      </c>
      <c r="U644" s="1">
        <v>319</v>
      </c>
      <c r="V644" s="5">
        <v>88.540440000000004</v>
      </c>
      <c r="W644" s="3">
        <f t="shared" si="100"/>
        <v>92.697839999999999</v>
      </c>
      <c r="X644" s="1">
        <f t="shared" si="102"/>
        <v>9.5318791152657734E-2</v>
      </c>
      <c r="Z644" s="4">
        <v>250.02007</v>
      </c>
      <c r="AA644" s="1">
        <v>319</v>
      </c>
      <c r="AB644" s="5">
        <v>97.526820000000001</v>
      </c>
      <c r="AC644" s="3">
        <f t="shared" si="101"/>
        <v>97.45008</v>
      </c>
      <c r="AD644" s="1">
        <f t="shared" si="103"/>
        <v>4.3362298677955456E-2</v>
      </c>
    </row>
    <row r="645" spans="20:30" x14ac:dyDescent="0.2">
      <c r="T645" s="4">
        <v>250.00498999999999</v>
      </c>
      <c r="U645" s="1">
        <v>319.5</v>
      </c>
      <c r="V645" s="3">
        <v>88.524039999999999</v>
      </c>
      <c r="W645" s="3">
        <f t="shared" si="100"/>
        <v>92.681439999999995</v>
      </c>
      <c r="X645" s="1">
        <f t="shared" si="102"/>
        <v>9.5515804271703336E-2</v>
      </c>
      <c r="Z645" s="4">
        <v>250.01875999999999</v>
      </c>
      <c r="AA645" s="1">
        <v>319.5</v>
      </c>
      <c r="AB645" s="3">
        <v>97.398120000000006</v>
      </c>
      <c r="AC645" s="3">
        <f t="shared" si="101"/>
        <v>97.321380000000005</v>
      </c>
      <c r="AD645" s="1">
        <f t="shared" si="103"/>
        <v>4.4901593243369051E-2</v>
      </c>
    </row>
    <row r="646" spans="20:30" x14ac:dyDescent="0.2">
      <c r="T646" s="4">
        <v>250.00304</v>
      </c>
      <c r="U646" s="1">
        <v>320</v>
      </c>
      <c r="V646" s="5">
        <v>88.530289999999994</v>
      </c>
      <c r="W646" s="3">
        <f t="shared" si="100"/>
        <v>92.687689999999989</v>
      </c>
      <c r="X646" s="1">
        <f t="shared" si="102"/>
        <v>9.5440723052554938E-2</v>
      </c>
      <c r="Z646" s="4">
        <v>250.01956999999999</v>
      </c>
      <c r="AA646" s="1">
        <v>320</v>
      </c>
      <c r="AB646" s="5">
        <v>97.416799999999995</v>
      </c>
      <c r="AC646" s="3">
        <f t="shared" si="101"/>
        <v>97.340059999999994</v>
      </c>
      <c r="AD646" s="1">
        <f t="shared" si="103"/>
        <v>4.467817426526563E-2</v>
      </c>
    </row>
    <row r="647" spans="20:30" x14ac:dyDescent="0.2">
      <c r="T647" s="4">
        <v>250.00505000000001</v>
      </c>
      <c r="U647" s="1">
        <v>320.5</v>
      </c>
      <c r="V647" s="3">
        <v>88.506290000000007</v>
      </c>
      <c r="W647" s="3">
        <f t="shared" ref="W647:W710" si="104">100-($V$6-V647)</f>
        <v>92.663690000000003</v>
      </c>
      <c r="X647" s="1">
        <f t="shared" si="102"/>
        <v>9.5729034934084856E-2</v>
      </c>
      <c r="Z647" s="4">
        <v>250.02544</v>
      </c>
      <c r="AA647" s="1">
        <v>320.5</v>
      </c>
      <c r="AB647" s="3">
        <v>97.429860000000005</v>
      </c>
      <c r="AC647" s="3">
        <f t="shared" ref="AC647:AC710" si="105">100-($AB$6-AB647)</f>
        <v>97.353120000000004</v>
      </c>
      <c r="AD647" s="1">
        <f t="shared" si="103"/>
        <v>4.4521972345884765E-2</v>
      </c>
    </row>
    <row r="648" spans="20:30" x14ac:dyDescent="0.2">
      <c r="T648" s="4">
        <v>250.00299999999999</v>
      </c>
      <c r="U648" s="1">
        <v>321</v>
      </c>
      <c r="V648" s="5">
        <v>88.492009999999993</v>
      </c>
      <c r="W648" s="3">
        <f t="shared" si="104"/>
        <v>92.649409999999989</v>
      </c>
      <c r="X648" s="1">
        <f t="shared" si="102"/>
        <v>9.5900580503595415E-2</v>
      </c>
      <c r="Z648" s="4">
        <v>250.02852999999999</v>
      </c>
      <c r="AA648" s="1">
        <v>321</v>
      </c>
      <c r="AB648" s="5">
        <v>97.475210000000004</v>
      </c>
      <c r="AC648" s="3">
        <f t="shared" si="105"/>
        <v>97.398470000000003</v>
      </c>
      <c r="AD648" s="1">
        <f t="shared" si="103"/>
        <v>4.3979571347116247E-2</v>
      </c>
    </row>
    <row r="649" spans="20:30" x14ac:dyDescent="0.2">
      <c r="T649" s="4">
        <v>249.99897999999999</v>
      </c>
      <c r="U649" s="1">
        <v>321.5</v>
      </c>
      <c r="V649" s="3">
        <v>88.492279999999994</v>
      </c>
      <c r="W649" s="3">
        <f t="shared" si="104"/>
        <v>92.649679999999989</v>
      </c>
      <c r="X649" s="1">
        <f t="shared" si="102"/>
        <v>9.5897336994928195E-2</v>
      </c>
      <c r="Z649" s="4">
        <v>250.02786</v>
      </c>
      <c r="AA649" s="1">
        <v>321.5</v>
      </c>
      <c r="AB649" s="3">
        <v>97.375780000000006</v>
      </c>
      <c r="AC649" s="3">
        <f t="shared" si="105"/>
        <v>97.299040000000005</v>
      </c>
      <c r="AD649" s="1">
        <f t="shared" si="103"/>
        <v>4.5168787031957557E-2</v>
      </c>
    </row>
    <row r="650" spans="20:30" x14ac:dyDescent="0.2">
      <c r="T650" s="4">
        <v>250.00595999999999</v>
      </c>
      <c r="U650" s="1">
        <v>322</v>
      </c>
      <c r="V650" s="5">
        <v>88.483999999999995</v>
      </c>
      <c r="W650" s="3">
        <f t="shared" si="104"/>
        <v>92.64139999999999</v>
      </c>
      <c r="X650" s="1">
        <f t="shared" si="102"/>
        <v>9.5996804594056059E-2</v>
      </c>
      <c r="Z650" s="4">
        <v>250.02933999999999</v>
      </c>
      <c r="AA650" s="1">
        <v>322</v>
      </c>
      <c r="AB650" s="5">
        <v>97.405789999999996</v>
      </c>
      <c r="AC650" s="3">
        <f t="shared" si="105"/>
        <v>97.329049999999995</v>
      </c>
      <c r="AD650" s="1">
        <f t="shared" si="103"/>
        <v>4.4809857506642493E-2</v>
      </c>
    </row>
    <row r="651" spans="20:30" x14ac:dyDescent="0.2">
      <c r="T651" s="4">
        <v>250.00798</v>
      </c>
      <c r="U651" s="1">
        <v>322.5</v>
      </c>
      <c r="V651" s="3">
        <v>88.461910000000003</v>
      </c>
      <c r="W651" s="3">
        <f t="shared" si="104"/>
        <v>92.619309999999999</v>
      </c>
      <c r="X651" s="1">
        <f t="shared" si="102"/>
        <v>9.6262171655014259E-2</v>
      </c>
      <c r="Z651" s="4">
        <v>250.02578</v>
      </c>
      <c r="AA651" s="1">
        <v>322.5</v>
      </c>
      <c r="AB651" s="3">
        <v>97.242859999999993</v>
      </c>
      <c r="AC651" s="3">
        <f t="shared" si="105"/>
        <v>97.166119999999992</v>
      </c>
      <c r="AD651" s="1">
        <f t="shared" si="103"/>
        <v>4.6758554193067139E-2</v>
      </c>
    </row>
    <row r="652" spans="20:30" x14ac:dyDescent="0.2">
      <c r="T652" s="4">
        <v>250.00504000000001</v>
      </c>
      <c r="U652" s="1">
        <v>323</v>
      </c>
      <c r="V652" s="5">
        <v>88.454030000000003</v>
      </c>
      <c r="W652" s="3">
        <f t="shared" si="104"/>
        <v>92.611429999999999</v>
      </c>
      <c r="X652" s="1">
        <f t="shared" si="102"/>
        <v>9.6356834056116641E-2</v>
      </c>
      <c r="Z652" s="4">
        <v>250.02736999999999</v>
      </c>
      <c r="AA652" s="1">
        <v>323</v>
      </c>
      <c r="AB652" s="5">
        <v>97.39819</v>
      </c>
      <c r="AC652" s="3">
        <f t="shared" si="105"/>
        <v>97.321449999999999</v>
      </c>
      <c r="AD652" s="1">
        <f t="shared" si="103"/>
        <v>4.4900756020217772E-2</v>
      </c>
    </row>
    <row r="653" spans="20:30" x14ac:dyDescent="0.2">
      <c r="T653" s="4">
        <v>250.00595999999999</v>
      </c>
      <c r="U653" s="1">
        <v>323.5</v>
      </c>
      <c r="V653" s="3">
        <v>88.432010000000005</v>
      </c>
      <c r="W653" s="3">
        <f t="shared" si="104"/>
        <v>92.589410000000001</v>
      </c>
      <c r="X653" s="1">
        <f t="shared" si="102"/>
        <v>9.6621360207420459E-2</v>
      </c>
      <c r="Z653" s="4">
        <v>250.02704</v>
      </c>
      <c r="AA653" s="1">
        <v>323.5</v>
      </c>
      <c r="AB653" s="3">
        <v>97.391210000000001</v>
      </c>
      <c r="AC653" s="3">
        <f t="shared" si="105"/>
        <v>97.31447</v>
      </c>
      <c r="AD653" s="1">
        <f t="shared" si="103"/>
        <v>4.4984239128738251E-2</v>
      </c>
    </row>
    <row r="654" spans="20:30" x14ac:dyDescent="0.2">
      <c r="T654" s="4">
        <v>250.00602000000001</v>
      </c>
      <c r="U654" s="1">
        <v>324</v>
      </c>
      <c r="V654" s="5">
        <v>88.437880000000007</v>
      </c>
      <c r="W654" s="3">
        <f t="shared" si="104"/>
        <v>92.595280000000002</v>
      </c>
      <c r="X654" s="1">
        <f t="shared" si="102"/>
        <v>9.6550843926396207E-2</v>
      </c>
      <c r="Z654" s="4">
        <v>250.02393000000001</v>
      </c>
      <c r="AA654" s="1">
        <v>324</v>
      </c>
      <c r="AB654" s="5">
        <v>97.388540000000006</v>
      </c>
      <c r="AC654" s="3">
        <f t="shared" si="105"/>
        <v>97.311800000000005</v>
      </c>
      <c r="AD654" s="1">
        <f t="shared" si="103"/>
        <v>4.5016173211796885E-2</v>
      </c>
    </row>
    <row r="655" spans="20:30" x14ac:dyDescent="0.2">
      <c r="T655" s="4">
        <v>250.00994</v>
      </c>
      <c r="U655" s="1">
        <v>324.5</v>
      </c>
      <c r="V655" s="3">
        <v>88.413839999999993</v>
      </c>
      <c r="W655" s="3">
        <f t="shared" si="104"/>
        <v>92.571239999999989</v>
      </c>
      <c r="X655" s="1">
        <f t="shared" si="102"/>
        <v>9.683963632772899E-2</v>
      </c>
      <c r="Z655" s="4">
        <v>250.01824999999999</v>
      </c>
      <c r="AA655" s="1">
        <v>324.5</v>
      </c>
      <c r="AB655" s="3">
        <v>97.29374</v>
      </c>
      <c r="AC655" s="3">
        <f t="shared" si="105"/>
        <v>97.216999999999999</v>
      </c>
      <c r="AD655" s="1">
        <f t="shared" si="103"/>
        <v>4.6150012565341757E-2</v>
      </c>
    </row>
    <row r="656" spans="20:30" x14ac:dyDescent="0.2">
      <c r="T656" s="4">
        <v>250.00703999999999</v>
      </c>
      <c r="U656" s="1">
        <v>325</v>
      </c>
      <c r="V656" s="5">
        <v>88.413929999999993</v>
      </c>
      <c r="W656" s="3">
        <f t="shared" si="104"/>
        <v>92.571329999999989</v>
      </c>
      <c r="X656" s="1">
        <f t="shared" si="102"/>
        <v>9.6838555158173259E-2</v>
      </c>
      <c r="Z656" s="4">
        <v>250.0189</v>
      </c>
      <c r="AA656" s="1">
        <v>325</v>
      </c>
      <c r="AB656" s="5">
        <v>97.318420000000003</v>
      </c>
      <c r="AC656" s="3">
        <f t="shared" si="105"/>
        <v>97.241680000000002</v>
      </c>
      <c r="AD656" s="1">
        <f t="shared" si="103"/>
        <v>4.5854831602836592E-2</v>
      </c>
    </row>
    <row r="657" spans="20:30" x14ac:dyDescent="0.2">
      <c r="T657" s="4">
        <v>250.00994</v>
      </c>
      <c r="U657" s="1">
        <v>325.5</v>
      </c>
      <c r="V657" s="3">
        <v>88.409850000000006</v>
      </c>
      <c r="W657" s="3">
        <f t="shared" si="104"/>
        <v>92.567250000000001</v>
      </c>
      <c r="X657" s="1">
        <f t="shared" si="102"/>
        <v>9.688756817803322E-2</v>
      </c>
      <c r="Z657" s="4">
        <v>250.02068</v>
      </c>
      <c r="AA657" s="1">
        <v>325.5</v>
      </c>
      <c r="AB657" s="3">
        <v>97.387799999999999</v>
      </c>
      <c r="AC657" s="3">
        <f t="shared" si="105"/>
        <v>97.311059999999998</v>
      </c>
      <c r="AD657" s="1">
        <f t="shared" si="103"/>
        <v>4.5025023856539836E-2</v>
      </c>
    </row>
    <row r="658" spans="20:30" x14ac:dyDescent="0.2">
      <c r="T658" s="4">
        <v>250.00703999999999</v>
      </c>
      <c r="U658" s="1">
        <v>326</v>
      </c>
      <c r="V658" s="5">
        <v>88.395920000000004</v>
      </c>
      <c r="W658" s="3">
        <f t="shared" si="104"/>
        <v>92.553319999999999</v>
      </c>
      <c r="X658" s="1">
        <f t="shared" si="102"/>
        <v>9.7054909199271316E-2</v>
      </c>
      <c r="Z658" s="4">
        <v>250.02146999999999</v>
      </c>
      <c r="AA658" s="1">
        <v>326</v>
      </c>
      <c r="AB658" s="5">
        <v>97.379850000000005</v>
      </c>
      <c r="AC658" s="3">
        <f t="shared" si="105"/>
        <v>97.303110000000004</v>
      </c>
      <c r="AD658" s="1">
        <f t="shared" si="103"/>
        <v>4.5120108485871842E-2</v>
      </c>
    </row>
    <row r="659" spans="20:30" x14ac:dyDescent="0.2">
      <c r="T659" s="4">
        <v>250.00299000000001</v>
      </c>
      <c r="U659" s="1">
        <v>326.5</v>
      </c>
      <c r="V659" s="3">
        <v>88.381609999999995</v>
      </c>
      <c r="W659" s="3">
        <f t="shared" si="104"/>
        <v>92.53900999999999</v>
      </c>
      <c r="X659" s="1">
        <f t="shared" si="102"/>
        <v>9.7226815158633739E-2</v>
      </c>
      <c r="Z659" s="4">
        <v>250.02534</v>
      </c>
      <c r="AA659" s="1">
        <v>326.5</v>
      </c>
      <c r="AB659" s="3">
        <v>97.306079999999994</v>
      </c>
      <c r="AC659" s="3">
        <f t="shared" si="105"/>
        <v>97.229339999999993</v>
      </c>
      <c r="AD659" s="1">
        <f t="shared" si="103"/>
        <v>4.6002422084089258E-2</v>
      </c>
    </row>
    <row r="660" spans="20:30" x14ac:dyDescent="0.2">
      <c r="T660" s="4">
        <v>250.00604000000001</v>
      </c>
      <c r="U660" s="1">
        <v>327</v>
      </c>
      <c r="V660" s="5">
        <v>88.375730000000004</v>
      </c>
      <c r="W660" s="3">
        <f t="shared" si="104"/>
        <v>92.53313</v>
      </c>
      <c r="X660" s="1">
        <f t="shared" si="102"/>
        <v>9.7297451569608492E-2</v>
      </c>
      <c r="Z660" s="4">
        <v>250.02468999999999</v>
      </c>
      <c r="AA660" s="1">
        <v>327</v>
      </c>
      <c r="AB660" s="5">
        <v>97.287440000000004</v>
      </c>
      <c r="AC660" s="3">
        <f t="shared" si="105"/>
        <v>97.210700000000003</v>
      </c>
      <c r="AD660" s="1">
        <f t="shared" si="103"/>
        <v>4.6225362648963354E-2</v>
      </c>
    </row>
    <row r="661" spans="20:30" x14ac:dyDescent="0.2">
      <c r="T661" s="4">
        <v>250.00101000000001</v>
      </c>
      <c r="U661" s="1">
        <v>327.5</v>
      </c>
      <c r="V661" s="3">
        <v>88.365650000000002</v>
      </c>
      <c r="W661" s="3">
        <f t="shared" si="104"/>
        <v>92.523049999999998</v>
      </c>
      <c r="X661" s="1">
        <f t="shared" si="102"/>
        <v>9.7418542559851148E-2</v>
      </c>
      <c r="Z661" s="4">
        <v>250.02099999999999</v>
      </c>
      <c r="AA661" s="1">
        <v>327.5</v>
      </c>
      <c r="AB661" s="3">
        <v>97.27064</v>
      </c>
      <c r="AC661" s="3">
        <f t="shared" si="105"/>
        <v>97.193899999999999</v>
      </c>
      <c r="AD661" s="1">
        <f t="shared" si="103"/>
        <v>4.6426296205287786E-2</v>
      </c>
    </row>
    <row r="662" spans="20:30" x14ac:dyDescent="0.2">
      <c r="T662" s="4">
        <v>250.00398999999999</v>
      </c>
      <c r="U662" s="1">
        <v>328</v>
      </c>
      <c r="V662" s="5">
        <v>88.339550000000003</v>
      </c>
      <c r="W662" s="3">
        <f t="shared" si="104"/>
        <v>92.496949999999998</v>
      </c>
      <c r="X662" s="1">
        <f t="shared" ref="X662:X725" si="106">($W$21-W662)/($W$21*(1-$M$1))</f>
        <v>9.7732081731015094E-2</v>
      </c>
      <c r="Z662" s="4">
        <v>250.01665</v>
      </c>
      <c r="AA662" s="1">
        <v>328</v>
      </c>
      <c r="AB662" s="5">
        <v>97.331620000000001</v>
      </c>
      <c r="AC662" s="3">
        <f t="shared" si="105"/>
        <v>97.25488</v>
      </c>
      <c r="AD662" s="1">
        <f t="shared" si="103"/>
        <v>4.569695523715317E-2</v>
      </c>
    </row>
    <row r="663" spans="20:30" x14ac:dyDescent="0.2">
      <c r="T663" s="4">
        <v>250.00701000000001</v>
      </c>
      <c r="U663" s="1">
        <v>328.5</v>
      </c>
      <c r="V663" s="3">
        <v>88.327610000000007</v>
      </c>
      <c r="W663" s="3">
        <f t="shared" si="104"/>
        <v>92.485010000000003</v>
      </c>
      <c r="X663" s="1">
        <f t="shared" si="106"/>
        <v>9.7875516892076256E-2</v>
      </c>
      <c r="Z663" s="4">
        <v>250.01677000000001</v>
      </c>
      <c r="AA663" s="1">
        <v>328.5</v>
      </c>
      <c r="AB663" s="3">
        <v>97.346739999999997</v>
      </c>
      <c r="AC663" s="3">
        <f t="shared" si="105"/>
        <v>97.27</v>
      </c>
      <c r="AD663" s="1">
        <f t="shared" si="103"/>
        <v>4.551611503646126E-2</v>
      </c>
    </row>
    <row r="664" spans="20:30" x14ac:dyDescent="0.2">
      <c r="T664" s="4">
        <v>250.00398999999999</v>
      </c>
      <c r="U664" s="1">
        <v>329</v>
      </c>
      <c r="V664" s="5">
        <v>88.337549999999993</v>
      </c>
      <c r="W664" s="3">
        <f t="shared" si="104"/>
        <v>92.494949999999989</v>
      </c>
      <c r="X664" s="1">
        <f t="shared" si="106"/>
        <v>9.7756107721142724E-2</v>
      </c>
      <c r="Z664" s="4">
        <v>250.01534000000001</v>
      </c>
      <c r="AA664" s="1">
        <v>329</v>
      </c>
      <c r="AB664" s="5">
        <v>97.398169999999993</v>
      </c>
      <c r="AC664" s="3">
        <f t="shared" si="105"/>
        <v>97.321429999999992</v>
      </c>
      <c r="AD664" s="1">
        <f t="shared" si="103"/>
        <v>4.4900995226832524E-2</v>
      </c>
    </row>
    <row r="665" spans="20:30" x14ac:dyDescent="0.2">
      <c r="T665" s="4">
        <v>250.00192999999999</v>
      </c>
      <c r="U665" s="1">
        <v>329.5</v>
      </c>
      <c r="V665" s="3">
        <v>88.329520000000002</v>
      </c>
      <c r="W665" s="3">
        <f t="shared" si="104"/>
        <v>92.486919999999998</v>
      </c>
      <c r="X665" s="1">
        <f t="shared" si="106"/>
        <v>9.7852572071504551E-2</v>
      </c>
      <c r="Z665" s="4">
        <v>250.01577</v>
      </c>
      <c r="AA665" s="1">
        <v>329.5</v>
      </c>
      <c r="AB665" s="3">
        <v>97.328109999999995</v>
      </c>
      <c r="AC665" s="3">
        <f t="shared" si="105"/>
        <v>97.251369999999994</v>
      </c>
      <c r="AD665" s="1">
        <f t="shared" si="103"/>
        <v>4.5738935998028155E-2</v>
      </c>
    </row>
    <row r="666" spans="20:30" x14ac:dyDescent="0.2">
      <c r="T666" s="4">
        <v>250.00505000000001</v>
      </c>
      <c r="U666" s="1">
        <v>330</v>
      </c>
      <c r="V666" s="5">
        <v>88.289370000000005</v>
      </c>
      <c r="W666" s="3">
        <f t="shared" si="104"/>
        <v>92.446770000000001</v>
      </c>
      <c r="X666" s="1">
        <f t="shared" si="106"/>
        <v>9.8334893823314201E-2</v>
      </c>
      <c r="Z666" s="4">
        <v>250.01827</v>
      </c>
      <c r="AA666" s="1">
        <v>330</v>
      </c>
      <c r="AB666" s="5">
        <v>97.226309999999998</v>
      </c>
      <c r="AC666" s="3">
        <f t="shared" si="105"/>
        <v>97.149569999999997</v>
      </c>
      <c r="AD666" s="1">
        <f t="shared" si="103"/>
        <v>4.6956497666708071E-2</v>
      </c>
    </row>
    <row r="667" spans="20:30" x14ac:dyDescent="0.2">
      <c r="T667" s="4">
        <v>250.00803999999999</v>
      </c>
      <c r="U667" s="1">
        <v>330.5</v>
      </c>
      <c r="V667" s="3">
        <v>88.271299999999997</v>
      </c>
      <c r="W667" s="3">
        <f t="shared" si="104"/>
        <v>92.428699999999992</v>
      </c>
      <c r="X667" s="1">
        <f t="shared" si="106"/>
        <v>9.855196864411632E-2</v>
      </c>
      <c r="Z667" s="4">
        <v>250.01623000000001</v>
      </c>
      <c r="AA667" s="1">
        <v>330.5</v>
      </c>
      <c r="AB667" s="3">
        <v>97.205070000000006</v>
      </c>
      <c r="AC667" s="3">
        <f t="shared" si="105"/>
        <v>97.128330000000005</v>
      </c>
      <c r="AD667" s="1">
        <f t="shared" si="103"/>
        <v>4.7210535091489529E-2</v>
      </c>
    </row>
    <row r="668" spans="20:30" x14ac:dyDescent="0.2">
      <c r="T668" s="4">
        <v>250.00496000000001</v>
      </c>
      <c r="U668" s="1">
        <v>331</v>
      </c>
      <c r="V668" s="5">
        <v>88.261309999999995</v>
      </c>
      <c r="W668" s="3">
        <f t="shared" si="104"/>
        <v>92.41870999999999</v>
      </c>
      <c r="X668" s="1">
        <f t="shared" si="106"/>
        <v>9.8671978464803231E-2</v>
      </c>
      <c r="Z668" s="4">
        <v>250.01427000000001</v>
      </c>
      <c r="AA668" s="1">
        <v>331</v>
      </c>
      <c r="AB668" s="5">
        <v>97.227130000000002</v>
      </c>
      <c r="AC668" s="3">
        <f t="shared" si="105"/>
        <v>97.150390000000002</v>
      </c>
      <c r="AD668" s="1">
        <f t="shared" si="103"/>
        <v>4.6946690195506471E-2</v>
      </c>
    </row>
    <row r="669" spans="20:30" x14ac:dyDescent="0.2">
      <c r="T669" s="4">
        <v>250.00699</v>
      </c>
      <c r="U669" s="1">
        <v>331.5</v>
      </c>
      <c r="V669" s="3">
        <v>88.249260000000007</v>
      </c>
      <c r="W669" s="3">
        <f t="shared" si="104"/>
        <v>92.406660000000002</v>
      </c>
      <c r="X669" s="1">
        <f t="shared" si="106"/>
        <v>9.881673505532132E-2</v>
      </c>
      <c r="Z669" s="4">
        <v>250.01393999999999</v>
      </c>
      <c r="AA669" s="1">
        <v>331.5</v>
      </c>
      <c r="AB669" s="3">
        <v>97.330699999999993</v>
      </c>
      <c r="AC669" s="3">
        <f t="shared" si="105"/>
        <v>97.253959999999992</v>
      </c>
      <c r="AD669" s="1">
        <f t="shared" si="103"/>
        <v>4.5707958741428169E-2</v>
      </c>
    </row>
    <row r="670" spans="20:30" x14ac:dyDescent="0.2">
      <c r="T670" s="4">
        <v>250.00599</v>
      </c>
      <c r="U670" s="1">
        <v>332</v>
      </c>
      <c r="V670" s="5">
        <v>88.241159999999994</v>
      </c>
      <c r="W670" s="3">
        <f t="shared" si="104"/>
        <v>92.398559999999989</v>
      </c>
      <c r="X670" s="1">
        <f t="shared" si="106"/>
        <v>9.8914040315337876E-2</v>
      </c>
      <c r="Z670" s="4">
        <v>250.01289</v>
      </c>
      <c r="AA670" s="1">
        <v>332</v>
      </c>
      <c r="AB670" s="5">
        <v>97.317920000000001</v>
      </c>
      <c r="AC670" s="3">
        <f t="shared" si="105"/>
        <v>97.24118</v>
      </c>
      <c r="AD670" s="1">
        <f t="shared" si="103"/>
        <v>4.5860811768203419E-2</v>
      </c>
    </row>
    <row r="671" spans="20:30" x14ac:dyDescent="0.2">
      <c r="T671" s="4">
        <v>250.006</v>
      </c>
      <c r="U671" s="1">
        <v>332.5</v>
      </c>
      <c r="V671" s="3">
        <v>88.225279999999998</v>
      </c>
      <c r="W671" s="3">
        <f t="shared" si="104"/>
        <v>92.382679999999993</v>
      </c>
      <c r="X671" s="1">
        <f t="shared" si="106"/>
        <v>9.9104806676950222E-2</v>
      </c>
      <c r="Z671" s="4">
        <v>250.01106999999999</v>
      </c>
      <c r="AA671" s="1">
        <v>332.5</v>
      </c>
      <c r="AB671" s="3">
        <v>97.196770000000001</v>
      </c>
      <c r="AC671" s="3">
        <f t="shared" si="105"/>
        <v>97.12003</v>
      </c>
      <c r="AD671" s="1">
        <f t="shared" si="103"/>
        <v>4.7309805836578435E-2</v>
      </c>
    </row>
    <row r="672" spans="20:30" x14ac:dyDescent="0.2">
      <c r="T672" s="4">
        <v>250.00599</v>
      </c>
      <c r="U672" s="1">
        <v>333</v>
      </c>
      <c r="V672" s="5">
        <v>88.217190000000002</v>
      </c>
      <c r="W672" s="3">
        <f t="shared" si="104"/>
        <v>92.374589999999998</v>
      </c>
      <c r="X672" s="1">
        <f t="shared" si="106"/>
        <v>9.920199180701593E-2</v>
      </c>
      <c r="Z672" s="4">
        <v>250.00932</v>
      </c>
      <c r="AA672" s="1">
        <v>333</v>
      </c>
      <c r="AB672" s="5">
        <v>97.185540000000003</v>
      </c>
      <c r="AC672" s="3">
        <f t="shared" si="105"/>
        <v>97.108800000000002</v>
      </c>
      <c r="AD672" s="1">
        <f t="shared" si="103"/>
        <v>4.744412035071667E-2</v>
      </c>
    </row>
    <row r="673" spans="20:30" x14ac:dyDescent="0.2">
      <c r="T673" s="4">
        <v>250.00698</v>
      </c>
      <c r="U673" s="1">
        <v>333.5</v>
      </c>
      <c r="V673" s="3">
        <v>88.20908</v>
      </c>
      <c r="W673" s="3">
        <f t="shared" si="104"/>
        <v>92.366479999999996</v>
      </c>
      <c r="X673" s="1">
        <f t="shared" si="106"/>
        <v>9.9299417196982986E-2</v>
      </c>
      <c r="Z673" s="4">
        <v>250.00568999999999</v>
      </c>
      <c r="AA673" s="1">
        <v>333.5</v>
      </c>
      <c r="AB673" s="3">
        <v>97.204400000000007</v>
      </c>
      <c r="AC673" s="3">
        <f t="shared" si="105"/>
        <v>97.127660000000006</v>
      </c>
      <c r="AD673" s="1">
        <f t="shared" si="103"/>
        <v>4.7218548513081028E-2</v>
      </c>
    </row>
    <row r="674" spans="20:30" x14ac:dyDescent="0.2">
      <c r="T674" s="4">
        <v>250.005</v>
      </c>
      <c r="U674" s="1">
        <v>334</v>
      </c>
      <c r="V674" s="5">
        <v>88.19502</v>
      </c>
      <c r="W674" s="3">
        <f t="shared" si="104"/>
        <v>92.352419999999995</v>
      </c>
      <c r="X674" s="1">
        <f t="shared" si="106"/>
        <v>9.9468319907579372E-2</v>
      </c>
      <c r="Z674" s="4">
        <v>250.00237000000001</v>
      </c>
      <c r="AA674" s="1">
        <v>334</v>
      </c>
      <c r="AB674" s="5">
        <v>97.131799999999998</v>
      </c>
      <c r="AC674" s="3">
        <f t="shared" si="105"/>
        <v>97.055059999999997</v>
      </c>
      <c r="AD674" s="1">
        <f t="shared" si="103"/>
        <v>4.8086868524340118E-2</v>
      </c>
    </row>
    <row r="675" spans="20:30" x14ac:dyDescent="0.2">
      <c r="T675" s="4">
        <v>250.00599</v>
      </c>
      <c r="U675" s="1">
        <v>334.5</v>
      </c>
      <c r="V675" s="3">
        <v>88.189089999999993</v>
      </c>
      <c r="W675" s="3">
        <f t="shared" si="104"/>
        <v>92.346489999999989</v>
      </c>
      <c r="X675" s="1">
        <f t="shared" si="106"/>
        <v>9.9539556968307505E-2</v>
      </c>
      <c r="Z675" s="4">
        <v>250.00104999999999</v>
      </c>
      <c r="AA675" s="1">
        <v>334.5</v>
      </c>
      <c r="AB675" s="3">
        <v>97.204139999999995</v>
      </c>
      <c r="AC675" s="3">
        <f t="shared" si="105"/>
        <v>97.127399999999994</v>
      </c>
      <c r="AD675" s="1">
        <f t="shared" si="103"/>
        <v>4.7221658199071904E-2</v>
      </c>
    </row>
    <row r="676" spans="20:30" x14ac:dyDescent="0.2">
      <c r="T676" s="4">
        <v>250.00503</v>
      </c>
      <c r="U676" s="1">
        <v>335</v>
      </c>
      <c r="V676" s="5">
        <v>88.159000000000006</v>
      </c>
      <c r="W676" s="3">
        <f t="shared" si="104"/>
        <v>92.316400000000002</v>
      </c>
      <c r="X676" s="1">
        <f t="shared" si="106"/>
        <v>9.9901027989775681E-2</v>
      </c>
      <c r="Z676" s="4">
        <v>250.00379000000001</v>
      </c>
      <c r="AA676" s="1">
        <v>335</v>
      </c>
      <c r="AB676" s="5">
        <v>97.226370000000003</v>
      </c>
      <c r="AC676" s="3">
        <f t="shared" si="105"/>
        <v>97.149630000000002</v>
      </c>
      <c r="AD676" s="1">
        <f t="shared" si="103"/>
        <v>4.6955780046864001E-2</v>
      </c>
    </row>
    <row r="677" spans="20:30" x14ac:dyDescent="0.2">
      <c r="T677" s="4">
        <v>250.00604000000001</v>
      </c>
      <c r="U677" s="1">
        <v>335.5</v>
      </c>
      <c r="V677" s="3">
        <v>88.156890000000004</v>
      </c>
      <c r="W677" s="3">
        <f t="shared" si="104"/>
        <v>92.31429</v>
      </c>
      <c r="X677" s="1">
        <f t="shared" si="106"/>
        <v>9.992637540936021E-2</v>
      </c>
      <c r="Z677" s="4">
        <v>250.00673</v>
      </c>
      <c r="AA677" s="1">
        <v>335.5</v>
      </c>
      <c r="AB677" s="3">
        <v>97.252440000000007</v>
      </c>
      <c r="AC677" s="3">
        <f t="shared" si="105"/>
        <v>97.175700000000006</v>
      </c>
      <c r="AD677" s="1">
        <f t="shared" si="103"/>
        <v>4.6643974224639131E-2</v>
      </c>
    </row>
    <row r="678" spans="20:30" x14ac:dyDescent="0.2">
      <c r="T678" s="4">
        <v>250.00701000000001</v>
      </c>
      <c r="U678" s="1">
        <v>336</v>
      </c>
      <c r="V678" s="5">
        <v>88.130920000000003</v>
      </c>
      <c r="W678" s="3">
        <f t="shared" si="104"/>
        <v>92.288319999999999</v>
      </c>
      <c r="X678" s="1">
        <f t="shared" si="106"/>
        <v>0.10023835289116589</v>
      </c>
      <c r="Z678" s="4">
        <v>250.01044999999999</v>
      </c>
      <c r="AA678" s="1">
        <v>336</v>
      </c>
      <c r="AB678" s="5">
        <v>97.181489999999997</v>
      </c>
      <c r="AC678" s="3">
        <f t="shared" si="105"/>
        <v>97.104749999999996</v>
      </c>
      <c r="AD678" s="1">
        <f t="shared" si="103"/>
        <v>4.7492559690187813E-2</v>
      </c>
    </row>
    <row r="679" spans="20:30" x14ac:dyDescent="0.2">
      <c r="T679" s="4">
        <v>250.01000999999999</v>
      </c>
      <c r="U679" s="1">
        <v>336.5</v>
      </c>
      <c r="V679" s="3">
        <v>88.137010000000004</v>
      </c>
      <c r="W679" s="3">
        <f t="shared" si="104"/>
        <v>92.294409999999999</v>
      </c>
      <c r="X679" s="1">
        <f t="shared" si="106"/>
        <v>0.10016519375122764</v>
      </c>
      <c r="Z679" s="4">
        <v>250.01632000000001</v>
      </c>
      <c r="AA679" s="1">
        <v>336.5</v>
      </c>
      <c r="AB679" s="3">
        <v>97.228960000000001</v>
      </c>
      <c r="AC679" s="3">
        <f t="shared" si="105"/>
        <v>97.15222</v>
      </c>
      <c r="AD679" s="1">
        <f t="shared" si="103"/>
        <v>4.6924802790264016E-2</v>
      </c>
    </row>
    <row r="680" spans="20:30" x14ac:dyDescent="0.2">
      <c r="T680" s="4">
        <v>250.00299999999999</v>
      </c>
      <c r="U680" s="1">
        <v>337</v>
      </c>
      <c r="V680" s="5">
        <v>88.094939999999994</v>
      </c>
      <c r="W680" s="3">
        <f t="shared" si="104"/>
        <v>92.25233999999999</v>
      </c>
      <c r="X680" s="1">
        <f t="shared" si="106"/>
        <v>0.10067058045355984</v>
      </c>
      <c r="Z680" s="4">
        <v>250.01792</v>
      </c>
      <c r="AA680" s="1">
        <v>337</v>
      </c>
      <c r="AB680" s="5">
        <v>97.201329999999999</v>
      </c>
      <c r="AC680" s="3">
        <f t="shared" si="105"/>
        <v>97.124589999999998</v>
      </c>
      <c r="AD680" s="1">
        <f t="shared" si="103"/>
        <v>4.7255266728433262E-2</v>
      </c>
    </row>
    <row r="681" spans="20:30" x14ac:dyDescent="0.2">
      <c r="T681" s="4">
        <v>250.00399999999999</v>
      </c>
      <c r="U681" s="1">
        <v>337.5</v>
      </c>
      <c r="V681" s="3">
        <v>88.092730000000003</v>
      </c>
      <c r="W681" s="3">
        <f t="shared" si="104"/>
        <v>92.250129999999999</v>
      </c>
      <c r="X681" s="1">
        <f t="shared" si="106"/>
        <v>0.10069712917265063</v>
      </c>
      <c r="Z681" s="4">
        <v>250.01893999999999</v>
      </c>
      <c r="AA681" s="1">
        <v>337.5</v>
      </c>
      <c r="AB681" s="3">
        <v>97.165639999999996</v>
      </c>
      <c r="AC681" s="3">
        <f t="shared" si="105"/>
        <v>97.088899999999995</v>
      </c>
      <c r="AD681" s="1">
        <f t="shared" si="103"/>
        <v>4.7682130932315291E-2</v>
      </c>
    </row>
    <row r="682" spans="20:30" x14ac:dyDescent="0.2">
      <c r="T682" s="4">
        <v>250.00298000000001</v>
      </c>
      <c r="U682" s="1">
        <v>338</v>
      </c>
      <c r="V682" s="5">
        <v>88.078729999999993</v>
      </c>
      <c r="W682" s="3">
        <f t="shared" si="104"/>
        <v>92.236129999999989</v>
      </c>
      <c r="X682" s="1">
        <f t="shared" si="106"/>
        <v>0.10086531110354328</v>
      </c>
      <c r="Z682" s="4">
        <v>250.02076</v>
      </c>
      <c r="AA682" s="1">
        <v>338</v>
      </c>
      <c r="AB682" s="5">
        <v>97.165760000000006</v>
      </c>
      <c r="AC682" s="3">
        <f t="shared" si="105"/>
        <v>97.089020000000005</v>
      </c>
      <c r="AD682" s="1">
        <f t="shared" si="103"/>
        <v>4.7680695692627145E-2</v>
      </c>
    </row>
    <row r="683" spans="20:30" x14ac:dyDescent="0.2">
      <c r="T683" s="4">
        <v>250.00206</v>
      </c>
      <c r="U683" s="1">
        <v>338.5</v>
      </c>
      <c r="V683" s="3">
        <v>88.076779999999999</v>
      </c>
      <c r="W683" s="3">
        <f t="shared" si="104"/>
        <v>92.234179999999995</v>
      </c>
      <c r="X683" s="1">
        <f t="shared" si="106"/>
        <v>0.10088873644391753</v>
      </c>
      <c r="Z683" s="4">
        <v>250.0213</v>
      </c>
      <c r="AA683" s="1">
        <v>338.5</v>
      </c>
      <c r="AB683" s="3">
        <v>97.182090000000002</v>
      </c>
      <c r="AC683" s="3">
        <f t="shared" si="105"/>
        <v>97.105350000000001</v>
      </c>
      <c r="AD683" s="1">
        <f t="shared" si="103"/>
        <v>4.7485383491747586E-2</v>
      </c>
    </row>
    <row r="684" spans="20:30" x14ac:dyDescent="0.2">
      <c r="T684" s="4">
        <v>250.00706</v>
      </c>
      <c r="U684" s="1">
        <v>339</v>
      </c>
      <c r="V684" s="5">
        <v>88.038830000000004</v>
      </c>
      <c r="W684" s="3">
        <f t="shared" si="104"/>
        <v>92.19623</v>
      </c>
      <c r="X684" s="1">
        <f t="shared" si="106"/>
        <v>0.1013446296065869</v>
      </c>
      <c r="Z684" s="4">
        <v>250.02068</v>
      </c>
      <c r="AA684" s="1">
        <v>339</v>
      </c>
      <c r="AB684" s="5">
        <v>97.193150000000003</v>
      </c>
      <c r="AC684" s="3">
        <f t="shared" si="105"/>
        <v>97.116410000000002</v>
      </c>
      <c r="AD684" s="1">
        <f t="shared" si="103"/>
        <v>4.7353102233834023E-2</v>
      </c>
    </row>
    <row r="685" spans="20:30" x14ac:dyDescent="0.2">
      <c r="T685" s="4">
        <v>250.00697</v>
      </c>
      <c r="U685" s="1">
        <v>339.5</v>
      </c>
      <c r="V685" s="3">
        <v>88.052719999999994</v>
      </c>
      <c r="W685" s="3">
        <f t="shared" si="104"/>
        <v>92.210119999999989</v>
      </c>
      <c r="X685" s="1">
        <f t="shared" si="106"/>
        <v>0.1011777691051515</v>
      </c>
      <c r="Z685" s="4">
        <v>250.01904999999999</v>
      </c>
      <c r="AA685" s="1">
        <v>339.5</v>
      </c>
      <c r="AB685" s="3">
        <v>97.079440000000005</v>
      </c>
      <c r="AC685" s="3">
        <f t="shared" si="105"/>
        <v>97.002700000000004</v>
      </c>
      <c r="AD685" s="1">
        <f t="shared" si="103"/>
        <v>4.8713111441551056E-2</v>
      </c>
    </row>
    <row r="686" spans="20:30" x14ac:dyDescent="0.2">
      <c r="T686" s="4">
        <v>250.00402</v>
      </c>
      <c r="U686" s="1">
        <v>340</v>
      </c>
      <c r="V686" s="5">
        <v>88.038690000000003</v>
      </c>
      <c r="W686" s="3">
        <f t="shared" si="104"/>
        <v>92.196089999999998</v>
      </c>
      <c r="X686" s="1">
        <f t="shared" si="106"/>
        <v>0.10134631142589585</v>
      </c>
      <c r="Z686" s="4">
        <v>250.02034</v>
      </c>
      <c r="AA686" s="1">
        <v>340</v>
      </c>
      <c r="AB686" s="5">
        <v>97.088269999999994</v>
      </c>
      <c r="AC686" s="3">
        <f t="shared" si="105"/>
        <v>97.011529999999993</v>
      </c>
      <c r="AD686" s="1">
        <f t="shared" si="103"/>
        <v>4.8607501721173549E-2</v>
      </c>
    </row>
    <row r="687" spans="20:30" x14ac:dyDescent="0.2">
      <c r="T687" s="4">
        <v>250.00398999999999</v>
      </c>
      <c r="U687" s="1">
        <v>340.5</v>
      </c>
      <c r="V687" s="3">
        <v>88.026660000000007</v>
      </c>
      <c r="W687" s="3">
        <f t="shared" si="104"/>
        <v>92.184060000000002</v>
      </c>
      <c r="X687" s="1">
        <f t="shared" si="106"/>
        <v>0.10149082775651275</v>
      </c>
      <c r="Z687" s="4">
        <v>250.01942</v>
      </c>
      <c r="AA687" s="1">
        <v>340.5</v>
      </c>
      <c r="AB687" s="3">
        <v>97.124740000000003</v>
      </c>
      <c r="AC687" s="3">
        <f t="shared" si="105"/>
        <v>97.048000000000002</v>
      </c>
      <c r="AD687" s="1">
        <f t="shared" si="103"/>
        <v>4.8171308459319245E-2</v>
      </c>
    </row>
    <row r="688" spans="20:30" x14ac:dyDescent="0.2">
      <c r="T688" s="4">
        <v>250.00501</v>
      </c>
      <c r="U688" s="1">
        <v>341</v>
      </c>
      <c r="V688" s="5">
        <v>88.008679999999998</v>
      </c>
      <c r="W688" s="3">
        <f t="shared" si="104"/>
        <v>92.166079999999994</v>
      </c>
      <c r="X688" s="1">
        <f t="shared" si="106"/>
        <v>0.10170682140775913</v>
      </c>
      <c r="Z688" s="4">
        <v>250.01424</v>
      </c>
      <c r="AA688" s="1">
        <v>341</v>
      </c>
      <c r="AB688" s="5">
        <v>97.034099999999995</v>
      </c>
      <c r="AC688" s="3">
        <f t="shared" si="105"/>
        <v>96.957359999999994</v>
      </c>
      <c r="AD688" s="1">
        <f t="shared" si="103"/>
        <v>4.9255392837012371E-2</v>
      </c>
    </row>
    <row r="689" spans="20:30" x14ac:dyDescent="0.2">
      <c r="T689" s="4">
        <v>250.00402</v>
      </c>
      <c r="U689" s="1">
        <v>341.5</v>
      </c>
      <c r="V689" s="3">
        <v>87.99033</v>
      </c>
      <c r="W689" s="3">
        <f t="shared" si="104"/>
        <v>92.147729999999996</v>
      </c>
      <c r="X689" s="1">
        <f t="shared" si="106"/>
        <v>0.10192725986717897</v>
      </c>
      <c r="Z689" s="4">
        <v>250.01687000000001</v>
      </c>
      <c r="AA689" s="1">
        <v>341.5</v>
      </c>
      <c r="AB689" s="3">
        <v>97.121849999999995</v>
      </c>
      <c r="AC689" s="3">
        <f t="shared" si="105"/>
        <v>97.045109999999994</v>
      </c>
      <c r="AD689" s="1">
        <f t="shared" si="103"/>
        <v>4.8205873815139424E-2</v>
      </c>
    </row>
    <row r="690" spans="20:30" x14ac:dyDescent="0.2">
      <c r="T690" s="4">
        <v>250.00108</v>
      </c>
      <c r="U690" s="1">
        <v>342</v>
      </c>
      <c r="V690" s="5">
        <v>87.990589999999997</v>
      </c>
      <c r="W690" s="3">
        <f t="shared" si="104"/>
        <v>92.147989999999993</v>
      </c>
      <c r="X690" s="1">
        <f t="shared" si="106"/>
        <v>0.10192413648846244</v>
      </c>
      <c r="Z690" s="4">
        <v>250.01881</v>
      </c>
      <c r="AA690" s="1">
        <v>342</v>
      </c>
      <c r="AB690" s="5">
        <v>97.199560000000005</v>
      </c>
      <c r="AC690" s="3">
        <f t="shared" si="105"/>
        <v>97.122820000000004</v>
      </c>
      <c r="AD690" s="1">
        <f t="shared" si="103"/>
        <v>4.7276436513831649E-2</v>
      </c>
    </row>
    <row r="691" spans="20:30" x14ac:dyDescent="0.2">
      <c r="T691" s="4">
        <v>250.006</v>
      </c>
      <c r="U691" s="1">
        <v>342.5</v>
      </c>
      <c r="V691" s="3">
        <v>87.982470000000006</v>
      </c>
      <c r="W691" s="3">
        <f t="shared" si="104"/>
        <v>92.139870000000002</v>
      </c>
      <c r="X691" s="1">
        <f t="shared" si="106"/>
        <v>0.10202168200838001</v>
      </c>
      <c r="Z691" s="4">
        <v>250.01836</v>
      </c>
      <c r="AA691" s="1">
        <v>342.5</v>
      </c>
      <c r="AB691" s="3">
        <v>97.147360000000006</v>
      </c>
      <c r="AC691" s="3">
        <f t="shared" si="105"/>
        <v>97.070620000000005</v>
      </c>
      <c r="AD691" s="1">
        <f t="shared" si="103"/>
        <v>4.7900765778125291E-2</v>
      </c>
    </row>
    <row r="692" spans="20:30" x14ac:dyDescent="0.2">
      <c r="T692" s="4">
        <v>250.00702000000001</v>
      </c>
      <c r="U692" s="1">
        <v>343</v>
      </c>
      <c r="V692" s="5">
        <v>87.968469999999996</v>
      </c>
      <c r="W692" s="3">
        <f t="shared" si="104"/>
        <v>92.125869999999992</v>
      </c>
      <c r="X692" s="1">
        <f t="shared" si="106"/>
        <v>0.10218986393927267</v>
      </c>
      <c r="Z692" s="4">
        <v>250.01514</v>
      </c>
      <c r="AA692" s="1">
        <v>343</v>
      </c>
      <c r="AB692" s="5">
        <v>97.065269999999998</v>
      </c>
      <c r="AC692" s="3">
        <f t="shared" si="105"/>
        <v>96.988529999999997</v>
      </c>
      <c r="AD692" s="1">
        <f t="shared" si="103"/>
        <v>4.8882589328046185E-2</v>
      </c>
    </row>
    <row r="693" spans="20:30" x14ac:dyDescent="0.2">
      <c r="T693" s="4">
        <v>250.00501</v>
      </c>
      <c r="U693" s="1">
        <v>343.5</v>
      </c>
      <c r="V693" s="3">
        <v>87.966620000000006</v>
      </c>
      <c r="W693" s="3">
        <f t="shared" si="104"/>
        <v>92.124020000000002</v>
      </c>
      <c r="X693" s="1">
        <f t="shared" si="106"/>
        <v>0.10221208798014049</v>
      </c>
      <c r="Z693" s="4">
        <v>250.01156</v>
      </c>
      <c r="AA693" s="1">
        <v>343.5</v>
      </c>
      <c r="AB693" s="3">
        <v>97.141540000000006</v>
      </c>
      <c r="AC693" s="3">
        <f t="shared" si="105"/>
        <v>97.064800000000005</v>
      </c>
      <c r="AD693" s="1">
        <f t="shared" si="103"/>
        <v>4.7970374902994807E-2</v>
      </c>
    </row>
    <row r="694" spans="20:30" x14ac:dyDescent="0.2">
      <c r="T694" s="4">
        <v>250.01106999999999</v>
      </c>
      <c r="U694" s="1">
        <v>344</v>
      </c>
      <c r="V694" s="5">
        <v>87.944299999999998</v>
      </c>
      <c r="W694" s="3">
        <f t="shared" si="104"/>
        <v>92.101699999999994</v>
      </c>
      <c r="X694" s="1">
        <f t="shared" si="106"/>
        <v>0.10248021802996356</v>
      </c>
      <c r="Z694" s="4">
        <v>250.01501999999999</v>
      </c>
      <c r="AA694" s="1">
        <v>344</v>
      </c>
      <c r="AB694" s="5">
        <v>97.088849999999994</v>
      </c>
      <c r="AC694" s="3">
        <f t="shared" si="105"/>
        <v>97.012109999999993</v>
      </c>
      <c r="AD694" s="1">
        <f t="shared" si="103"/>
        <v>4.8600564729348074E-2</v>
      </c>
    </row>
    <row r="695" spans="20:30" x14ac:dyDescent="0.2">
      <c r="T695" s="4">
        <v>250.00701000000001</v>
      </c>
      <c r="U695" s="1">
        <v>344.5</v>
      </c>
      <c r="V695" s="3">
        <v>87.958359999999999</v>
      </c>
      <c r="W695" s="3">
        <f t="shared" si="104"/>
        <v>92.115759999999995</v>
      </c>
      <c r="X695" s="1">
        <f t="shared" si="106"/>
        <v>0.10231131531936717</v>
      </c>
      <c r="Z695" s="4">
        <v>250.01586</v>
      </c>
      <c r="AA695" s="1">
        <v>344.5</v>
      </c>
      <c r="AB695" s="3">
        <v>97.125640000000004</v>
      </c>
      <c r="AC695" s="3">
        <f t="shared" si="105"/>
        <v>97.048900000000003</v>
      </c>
      <c r="AD695" s="1">
        <f t="shared" si="103"/>
        <v>4.8160544161658991E-2</v>
      </c>
    </row>
    <row r="696" spans="20:30" x14ac:dyDescent="0.2">
      <c r="T696" s="4">
        <v>250.00993</v>
      </c>
      <c r="U696" s="1">
        <v>345</v>
      </c>
      <c r="V696" s="5">
        <v>87.932280000000006</v>
      </c>
      <c r="W696" s="3">
        <f t="shared" si="104"/>
        <v>92.089680000000001</v>
      </c>
      <c r="X696" s="1">
        <f t="shared" si="106"/>
        <v>0.10262461423062978</v>
      </c>
      <c r="Z696" s="4">
        <v>250.02113</v>
      </c>
      <c r="AA696" s="1">
        <v>345</v>
      </c>
      <c r="AB696" s="5">
        <v>96.954509999999999</v>
      </c>
      <c r="AC696" s="3">
        <f t="shared" si="105"/>
        <v>96.877769999999998</v>
      </c>
      <c r="AD696" s="1">
        <f t="shared" si="103"/>
        <v>5.0207315560099136E-2</v>
      </c>
    </row>
    <row r="697" spans="20:30" x14ac:dyDescent="0.2">
      <c r="T697" s="4">
        <v>250.00399999999999</v>
      </c>
      <c r="U697" s="1">
        <v>345.5</v>
      </c>
      <c r="V697" s="3">
        <v>87.910349999999994</v>
      </c>
      <c r="W697" s="3">
        <f t="shared" si="104"/>
        <v>92.06774999999999</v>
      </c>
      <c r="X697" s="1">
        <f t="shared" si="106"/>
        <v>0.10288805921237802</v>
      </c>
      <c r="Z697" s="4">
        <v>250.02270999999999</v>
      </c>
      <c r="AA697" s="1">
        <v>345.5</v>
      </c>
      <c r="AB697" s="3">
        <v>97.2423</v>
      </c>
      <c r="AC697" s="3">
        <f t="shared" si="105"/>
        <v>97.165559999999999</v>
      </c>
      <c r="AD697" s="1">
        <f t="shared" si="103"/>
        <v>4.6765251978277869E-2</v>
      </c>
    </row>
    <row r="698" spans="20:30" x14ac:dyDescent="0.2">
      <c r="T698" s="4">
        <v>250.00498999999999</v>
      </c>
      <c r="U698" s="1">
        <v>346</v>
      </c>
      <c r="V698" s="5">
        <v>87.902119999999996</v>
      </c>
      <c r="W698" s="3">
        <f t="shared" si="104"/>
        <v>92.059519999999992</v>
      </c>
      <c r="X698" s="1">
        <f t="shared" si="106"/>
        <v>0.10298692616175267</v>
      </c>
      <c r="Z698" s="4">
        <v>250.02135000000001</v>
      </c>
      <c r="AA698" s="1">
        <v>346</v>
      </c>
      <c r="AB698" s="5">
        <v>97.097949999999997</v>
      </c>
      <c r="AC698" s="3">
        <f t="shared" si="105"/>
        <v>97.021209999999996</v>
      </c>
      <c r="AD698" s="1">
        <f t="shared" si="103"/>
        <v>4.8491725719672314E-2</v>
      </c>
    </row>
    <row r="699" spans="20:30" x14ac:dyDescent="0.2">
      <c r="T699" s="4">
        <v>250.00405000000001</v>
      </c>
      <c r="U699" s="1">
        <v>346.5</v>
      </c>
      <c r="V699" s="3">
        <v>87.908259999999999</v>
      </c>
      <c r="W699" s="3">
        <f t="shared" si="104"/>
        <v>92.065659999999994</v>
      </c>
      <c r="X699" s="1">
        <f t="shared" si="106"/>
        <v>0.10291316637206122</v>
      </c>
      <c r="Z699" s="4">
        <v>250.02046000000001</v>
      </c>
      <c r="AA699" s="1">
        <v>346.5</v>
      </c>
      <c r="AB699" s="3">
        <v>97.068169999999995</v>
      </c>
      <c r="AC699" s="3">
        <f t="shared" si="105"/>
        <v>96.991429999999994</v>
      </c>
      <c r="AD699" s="1">
        <f t="shared" si="103"/>
        <v>4.8847904368918796E-2</v>
      </c>
    </row>
    <row r="700" spans="20:30" x14ac:dyDescent="0.2">
      <c r="T700" s="4">
        <v>250.01101</v>
      </c>
      <c r="U700" s="1">
        <v>347</v>
      </c>
      <c r="V700" s="5">
        <v>87.87791</v>
      </c>
      <c r="W700" s="3">
        <f t="shared" si="104"/>
        <v>92.035309999999996</v>
      </c>
      <c r="X700" s="1">
        <f t="shared" si="106"/>
        <v>0.1032777607722461</v>
      </c>
      <c r="Z700" s="4">
        <v>250.01911999999999</v>
      </c>
      <c r="AA700" s="1">
        <v>347</v>
      </c>
      <c r="AB700" s="5">
        <v>97.036000000000001</v>
      </c>
      <c r="AC700" s="3">
        <f t="shared" si="105"/>
        <v>96.95926</v>
      </c>
      <c r="AD700" s="1">
        <f t="shared" si="103"/>
        <v>4.9232668208618463E-2</v>
      </c>
    </row>
    <row r="701" spans="20:30" x14ac:dyDescent="0.2">
      <c r="T701" s="4">
        <v>250.00994</v>
      </c>
      <c r="U701" s="1">
        <v>347.5</v>
      </c>
      <c r="V701" s="3">
        <v>87.888019999999997</v>
      </c>
      <c r="W701" s="3">
        <f t="shared" si="104"/>
        <v>92.045419999999993</v>
      </c>
      <c r="X701" s="1">
        <f t="shared" si="106"/>
        <v>0.10315630939215159</v>
      </c>
      <c r="Z701" s="4">
        <v>250.01836</v>
      </c>
      <c r="AA701" s="1">
        <v>347.5</v>
      </c>
      <c r="AB701" s="3">
        <v>97.009569999999997</v>
      </c>
      <c r="AC701" s="3">
        <f t="shared" si="105"/>
        <v>96.932829999999996</v>
      </c>
      <c r="AD701" s="1">
        <f t="shared" si="103"/>
        <v>4.9548779749907436E-2</v>
      </c>
    </row>
    <row r="702" spans="20:30" x14ac:dyDescent="0.2">
      <c r="T702" s="4">
        <v>250.00601</v>
      </c>
      <c r="U702" s="1">
        <v>348</v>
      </c>
      <c r="V702" s="5">
        <v>87.862039999999993</v>
      </c>
      <c r="W702" s="3">
        <f t="shared" si="104"/>
        <v>92.019439999999989</v>
      </c>
      <c r="X702" s="1">
        <f t="shared" si="106"/>
        <v>0.10346840700390794</v>
      </c>
      <c r="Z702" s="4">
        <v>250.01902000000001</v>
      </c>
      <c r="AA702" s="1">
        <v>348</v>
      </c>
      <c r="AB702" s="5">
        <v>96.975970000000004</v>
      </c>
      <c r="AC702" s="3">
        <f t="shared" si="105"/>
        <v>96.899230000000003</v>
      </c>
      <c r="AD702" s="1">
        <f t="shared" si="103"/>
        <v>4.9950646862556132E-2</v>
      </c>
    </row>
    <row r="703" spans="20:30" x14ac:dyDescent="0.2">
      <c r="T703" s="4">
        <v>250.006</v>
      </c>
      <c r="U703" s="1">
        <v>348.5</v>
      </c>
      <c r="V703" s="3">
        <v>87.833889999999997</v>
      </c>
      <c r="W703" s="3">
        <f t="shared" si="104"/>
        <v>91.991289999999992</v>
      </c>
      <c r="X703" s="1">
        <f t="shared" si="106"/>
        <v>0.10380657281495255</v>
      </c>
      <c r="Z703" s="4">
        <v>250.02081999999999</v>
      </c>
      <c r="AA703" s="1">
        <v>348.5</v>
      </c>
      <c r="AB703" s="3">
        <v>97.134900000000002</v>
      </c>
      <c r="AC703" s="3">
        <f t="shared" si="105"/>
        <v>97.058160000000001</v>
      </c>
      <c r="AD703" s="1">
        <f t="shared" ref="AD703:AD766" si="107">($AC$62-AC703)/($AC$62*(1-$M$1))</f>
        <v>4.8049791499065929E-2</v>
      </c>
    </row>
    <row r="704" spans="20:30" x14ac:dyDescent="0.2">
      <c r="T704" s="4">
        <v>250.00698</v>
      </c>
      <c r="U704" s="1">
        <v>349</v>
      </c>
      <c r="V704" s="5">
        <v>87.823909999999998</v>
      </c>
      <c r="W704" s="3">
        <f t="shared" si="104"/>
        <v>91.981309999999993</v>
      </c>
      <c r="X704" s="1">
        <f t="shared" si="106"/>
        <v>0.10392646250568879</v>
      </c>
      <c r="Z704" s="4">
        <v>250.02121</v>
      </c>
      <c r="AA704" s="1">
        <v>349</v>
      </c>
      <c r="AB704" s="5">
        <v>97.078959999999995</v>
      </c>
      <c r="AC704" s="3">
        <f t="shared" si="105"/>
        <v>97.002219999999994</v>
      </c>
      <c r="AD704" s="1">
        <f t="shared" si="107"/>
        <v>4.8718852400303304E-2</v>
      </c>
    </row>
    <row r="705" spans="20:30" x14ac:dyDescent="0.2">
      <c r="T705" s="4">
        <v>250.00596999999999</v>
      </c>
      <c r="U705" s="1">
        <v>349.5</v>
      </c>
      <c r="V705" s="3">
        <v>87.807879999999997</v>
      </c>
      <c r="W705" s="3">
        <f t="shared" si="104"/>
        <v>91.965279999999993</v>
      </c>
      <c r="X705" s="1">
        <f t="shared" si="106"/>
        <v>0.10411903081656076</v>
      </c>
      <c r="Z705" s="4">
        <v>250.02155999999999</v>
      </c>
      <c r="AA705" s="1">
        <v>349.5</v>
      </c>
      <c r="AB705" s="3">
        <v>97.026650000000004</v>
      </c>
      <c r="AC705" s="3">
        <f t="shared" si="105"/>
        <v>96.949910000000003</v>
      </c>
      <c r="AD705" s="1">
        <f t="shared" si="107"/>
        <v>4.9344497300977549E-2</v>
      </c>
    </row>
    <row r="706" spans="20:30" x14ac:dyDescent="0.2">
      <c r="T706" s="4">
        <v>250.00794999999999</v>
      </c>
      <c r="U706" s="1">
        <v>350</v>
      </c>
      <c r="V706" s="5">
        <v>87.799819999999997</v>
      </c>
      <c r="W706" s="3">
        <f t="shared" si="104"/>
        <v>91.957219999999992</v>
      </c>
      <c r="X706" s="1">
        <f t="shared" si="106"/>
        <v>0.10421585555677461</v>
      </c>
      <c r="Z706" s="4">
        <v>250.02404999999999</v>
      </c>
      <c r="AA706" s="1">
        <v>350</v>
      </c>
      <c r="AB706" s="5">
        <v>97.07526</v>
      </c>
      <c r="AC706" s="3">
        <f t="shared" si="105"/>
        <v>96.998519999999999</v>
      </c>
      <c r="AD706" s="1">
        <f t="shared" si="107"/>
        <v>4.8763105624017547E-2</v>
      </c>
    </row>
    <row r="707" spans="20:30" x14ac:dyDescent="0.2">
      <c r="T707" s="4">
        <v>250.00698</v>
      </c>
      <c r="U707" s="1">
        <v>350.5</v>
      </c>
      <c r="V707" s="3">
        <v>87.791709999999995</v>
      </c>
      <c r="W707" s="3">
        <f t="shared" si="104"/>
        <v>91.94910999999999</v>
      </c>
      <c r="X707" s="1">
        <f t="shared" si="106"/>
        <v>0.10431328094674168</v>
      </c>
      <c r="Z707" s="4">
        <v>250.02374</v>
      </c>
      <c r="AA707" s="1">
        <v>350.5</v>
      </c>
      <c r="AB707" s="3">
        <v>97.010530000000003</v>
      </c>
      <c r="AC707" s="3">
        <f t="shared" si="105"/>
        <v>96.933790000000002</v>
      </c>
      <c r="AD707" s="1">
        <f t="shared" si="107"/>
        <v>4.9537297832403106E-2</v>
      </c>
    </row>
    <row r="708" spans="20:30" x14ac:dyDescent="0.2">
      <c r="T708" s="4">
        <v>250.00001</v>
      </c>
      <c r="U708" s="1">
        <v>351</v>
      </c>
      <c r="V708" s="5">
        <v>87.769869999999997</v>
      </c>
      <c r="W708" s="3">
        <f t="shared" si="104"/>
        <v>91.927269999999993</v>
      </c>
      <c r="X708" s="1">
        <f t="shared" si="106"/>
        <v>0.10457564475893401</v>
      </c>
      <c r="Z708" s="4">
        <v>250.02157</v>
      </c>
      <c r="AA708" s="1">
        <v>351</v>
      </c>
      <c r="AB708" s="5">
        <v>97.021379999999994</v>
      </c>
      <c r="AC708" s="3">
        <f t="shared" si="105"/>
        <v>96.944639999999993</v>
      </c>
      <c r="AD708" s="1">
        <f t="shared" si="107"/>
        <v>4.9407528243943719E-2</v>
      </c>
    </row>
    <row r="709" spans="20:30" x14ac:dyDescent="0.2">
      <c r="T709" s="4">
        <v>250.00201999999999</v>
      </c>
      <c r="U709" s="1">
        <v>351.5</v>
      </c>
      <c r="V709" s="3">
        <v>87.745590000000007</v>
      </c>
      <c r="W709" s="3">
        <f t="shared" si="104"/>
        <v>91.902990000000003</v>
      </c>
      <c r="X709" s="1">
        <f t="shared" si="106"/>
        <v>0.10486732027908183</v>
      </c>
      <c r="Z709" s="4">
        <v>250.01913999999999</v>
      </c>
      <c r="AA709" s="1">
        <v>351.5</v>
      </c>
      <c r="AB709" s="3">
        <v>96.934190000000001</v>
      </c>
      <c r="AC709" s="3">
        <f t="shared" si="105"/>
        <v>96.85745</v>
      </c>
      <c r="AD709" s="1">
        <f t="shared" si="107"/>
        <v>5.0450349480605762E-2</v>
      </c>
    </row>
    <row r="710" spans="20:30" x14ac:dyDescent="0.2">
      <c r="T710" s="4">
        <v>250.00198</v>
      </c>
      <c r="U710" s="1">
        <v>352</v>
      </c>
      <c r="V710" s="5">
        <v>87.751819999999995</v>
      </c>
      <c r="W710" s="3">
        <f t="shared" si="104"/>
        <v>91.909219999999991</v>
      </c>
      <c r="X710" s="1">
        <f t="shared" si="106"/>
        <v>0.10479247931983478</v>
      </c>
      <c r="Z710" s="4">
        <v>250.01827</v>
      </c>
      <c r="AA710" s="1">
        <v>352</v>
      </c>
      <c r="AB710" s="5">
        <v>97.008390000000006</v>
      </c>
      <c r="AC710" s="3">
        <f t="shared" si="105"/>
        <v>96.931650000000005</v>
      </c>
      <c r="AD710" s="1">
        <f t="shared" si="107"/>
        <v>4.9562892940172965E-2</v>
      </c>
    </row>
    <row r="711" spans="20:30" x14ac:dyDescent="0.2">
      <c r="T711" s="4">
        <v>250.006</v>
      </c>
      <c r="U711" s="1">
        <v>352.5</v>
      </c>
      <c r="V711" s="3">
        <v>87.749740000000003</v>
      </c>
      <c r="W711" s="3">
        <f t="shared" ref="W711:W774" si="108">100-($V$6-V711)</f>
        <v>91.907139999999998</v>
      </c>
      <c r="X711" s="1">
        <f t="shared" si="106"/>
        <v>0.1048174663495673</v>
      </c>
      <c r="Z711" s="4">
        <v>250.01580999999999</v>
      </c>
      <c r="AA711" s="1">
        <v>352.5</v>
      </c>
      <c r="AB711" s="3">
        <v>96.955780000000004</v>
      </c>
      <c r="AC711" s="3">
        <f t="shared" ref="AC711:AC774" si="109">100-($AB$6-AB711)</f>
        <v>96.879040000000003</v>
      </c>
      <c r="AD711" s="1">
        <f t="shared" si="107"/>
        <v>5.019212594006741E-2</v>
      </c>
    </row>
    <row r="712" spans="20:30" x14ac:dyDescent="0.2">
      <c r="T712" s="4">
        <v>250.00793999999999</v>
      </c>
      <c r="U712" s="1">
        <v>353</v>
      </c>
      <c r="V712" s="5">
        <v>87.745670000000004</v>
      </c>
      <c r="W712" s="3">
        <f t="shared" si="108"/>
        <v>91.90307</v>
      </c>
      <c r="X712" s="1">
        <f t="shared" si="106"/>
        <v>0.10486635923947676</v>
      </c>
      <c r="Z712" s="4">
        <v>250.01687000000001</v>
      </c>
      <c r="AA712" s="1">
        <v>353</v>
      </c>
      <c r="AB712" s="5">
        <v>96.932270000000003</v>
      </c>
      <c r="AC712" s="3">
        <f t="shared" si="109"/>
        <v>96.855530000000002</v>
      </c>
      <c r="AD712" s="1">
        <f t="shared" si="107"/>
        <v>5.0473313315614242E-2</v>
      </c>
    </row>
    <row r="713" spans="20:30" x14ac:dyDescent="0.2">
      <c r="T713" s="4">
        <v>250.00801000000001</v>
      </c>
      <c r="U713" s="1">
        <v>353.5</v>
      </c>
      <c r="V713" s="3">
        <v>87.731780000000001</v>
      </c>
      <c r="W713" s="3">
        <f t="shared" si="108"/>
        <v>91.889179999999996</v>
      </c>
      <c r="X713" s="1">
        <f t="shared" si="106"/>
        <v>0.10503321974091233</v>
      </c>
      <c r="Z713" s="4">
        <v>250.01569000000001</v>
      </c>
      <c r="AA713" s="1">
        <v>353.5</v>
      </c>
      <c r="AB713" s="3">
        <v>97.010810000000006</v>
      </c>
      <c r="AC713" s="3">
        <f t="shared" si="109"/>
        <v>96.934070000000006</v>
      </c>
      <c r="AD713" s="1">
        <f t="shared" si="107"/>
        <v>4.9533948939797658E-2</v>
      </c>
    </row>
    <row r="714" spans="20:30" x14ac:dyDescent="0.2">
      <c r="T714" s="4">
        <v>250.00702999999999</v>
      </c>
      <c r="U714" s="1">
        <v>354</v>
      </c>
      <c r="V714" s="5">
        <v>87.717950000000002</v>
      </c>
      <c r="W714" s="3">
        <f t="shared" si="108"/>
        <v>91.875349999999997</v>
      </c>
      <c r="X714" s="1">
        <f t="shared" si="106"/>
        <v>0.10519935946264401</v>
      </c>
      <c r="Z714" s="4">
        <v>250.01057</v>
      </c>
      <c r="AA714" s="1">
        <v>354</v>
      </c>
      <c r="AB714" s="5">
        <v>96.963859999999997</v>
      </c>
      <c r="AC714" s="3">
        <f t="shared" si="109"/>
        <v>96.887119999999996</v>
      </c>
      <c r="AD714" s="1">
        <f t="shared" si="107"/>
        <v>5.009548646774005E-2</v>
      </c>
    </row>
    <row r="715" spans="20:30" x14ac:dyDescent="0.2">
      <c r="T715" s="4">
        <v>250.006</v>
      </c>
      <c r="U715" s="1">
        <v>354.5</v>
      </c>
      <c r="V715" s="3">
        <v>87.699590000000001</v>
      </c>
      <c r="W715" s="3">
        <f t="shared" si="108"/>
        <v>91.856989999999996</v>
      </c>
      <c r="X715" s="1">
        <f t="shared" si="106"/>
        <v>0.10541991805201455</v>
      </c>
      <c r="Z715" s="4">
        <v>250.00946999999999</v>
      </c>
      <c r="AA715" s="1">
        <v>354.5</v>
      </c>
      <c r="AB715" s="3">
        <v>96.904769999999999</v>
      </c>
      <c r="AC715" s="3">
        <f t="shared" si="109"/>
        <v>96.828029999999998</v>
      </c>
      <c r="AD715" s="1">
        <f t="shared" si="107"/>
        <v>5.0802222410788141E-2</v>
      </c>
    </row>
    <row r="716" spans="20:30" x14ac:dyDescent="0.2">
      <c r="T716" s="4">
        <v>250.00691</v>
      </c>
      <c r="U716" s="1">
        <v>355</v>
      </c>
      <c r="V716" s="5">
        <v>87.669420000000002</v>
      </c>
      <c r="W716" s="3">
        <f t="shared" si="108"/>
        <v>91.826819999999998</v>
      </c>
      <c r="X716" s="1">
        <f t="shared" si="106"/>
        <v>0.10578235011308795</v>
      </c>
      <c r="Z716" s="4">
        <v>250.01161999999999</v>
      </c>
      <c r="AA716" s="1">
        <v>355</v>
      </c>
      <c r="AB716" s="5">
        <v>96.892579999999995</v>
      </c>
      <c r="AC716" s="3">
        <f t="shared" si="109"/>
        <v>96.815839999999994</v>
      </c>
      <c r="AD716" s="1">
        <f t="shared" si="107"/>
        <v>5.0948018842430706E-2</v>
      </c>
    </row>
    <row r="717" spans="20:30" x14ac:dyDescent="0.2">
      <c r="T717" s="4">
        <v>250.00797</v>
      </c>
      <c r="U717" s="1">
        <v>355.5</v>
      </c>
      <c r="V717" s="3">
        <v>87.65352</v>
      </c>
      <c r="W717" s="3">
        <f t="shared" si="108"/>
        <v>91.810919999999996</v>
      </c>
      <c r="X717" s="1">
        <f t="shared" si="106"/>
        <v>0.10597335673460165</v>
      </c>
      <c r="Z717" s="4">
        <v>250.00783000000001</v>
      </c>
      <c r="AA717" s="1">
        <v>355.5</v>
      </c>
      <c r="AB717" s="3">
        <v>96.870540000000005</v>
      </c>
      <c r="AC717" s="3">
        <f t="shared" si="109"/>
        <v>96.793800000000005</v>
      </c>
      <c r="AD717" s="1">
        <f t="shared" si="107"/>
        <v>5.1211624531799019E-2</v>
      </c>
    </row>
    <row r="718" spans="20:30" x14ac:dyDescent="0.2">
      <c r="T718" s="4">
        <v>250.00597999999999</v>
      </c>
      <c r="U718" s="1">
        <v>356</v>
      </c>
      <c r="V718" s="5">
        <v>87.657340000000005</v>
      </c>
      <c r="W718" s="3">
        <f t="shared" si="108"/>
        <v>91.81474</v>
      </c>
      <c r="X718" s="1">
        <f t="shared" si="106"/>
        <v>0.10592746709345806</v>
      </c>
      <c r="Z718" s="4">
        <v>250.01048</v>
      </c>
      <c r="AA718" s="1">
        <v>356</v>
      </c>
      <c r="AB718" s="5">
        <v>96.95335</v>
      </c>
      <c r="AC718" s="3">
        <f t="shared" si="109"/>
        <v>96.876609999999999</v>
      </c>
      <c r="AD718" s="1">
        <f t="shared" si="107"/>
        <v>5.0221189543750093E-2</v>
      </c>
    </row>
    <row r="719" spans="20:30" x14ac:dyDescent="0.2">
      <c r="T719" s="4">
        <v>250.00603000000001</v>
      </c>
      <c r="U719" s="1">
        <v>356.5</v>
      </c>
      <c r="V719" s="3">
        <v>87.665419999999997</v>
      </c>
      <c r="W719" s="3">
        <f t="shared" si="108"/>
        <v>91.822819999999993</v>
      </c>
      <c r="X719" s="1">
        <f t="shared" si="106"/>
        <v>0.10583040209334302</v>
      </c>
      <c r="Z719" s="4">
        <v>250.00973999999999</v>
      </c>
      <c r="AA719" s="1">
        <v>356.5</v>
      </c>
      <c r="AB719" s="3">
        <v>96.862189999999998</v>
      </c>
      <c r="AC719" s="3">
        <f t="shared" si="109"/>
        <v>96.785449999999997</v>
      </c>
      <c r="AD719" s="1">
        <f t="shared" si="107"/>
        <v>5.1311493293424618E-2</v>
      </c>
    </row>
    <row r="720" spans="20:30" x14ac:dyDescent="0.2">
      <c r="T720" s="4">
        <v>250.00398000000001</v>
      </c>
      <c r="U720" s="1">
        <v>357</v>
      </c>
      <c r="V720" s="5">
        <v>87.649540000000002</v>
      </c>
      <c r="W720" s="3">
        <f t="shared" si="108"/>
        <v>91.806939999999997</v>
      </c>
      <c r="X720" s="1">
        <f t="shared" si="106"/>
        <v>0.10602116845495536</v>
      </c>
      <c r="Z720" s="4">
        <v>250.00899000000001</v>
      </c>
      <c r="AA720" s="1">
        <v>357</v>
      </c>
      <c r="AB720" s="5">
        <v>96.914159999999995</v>
      </c>
      <c r="AC720" s="3">
        <f t="shared" si="109"/>
        <v>96.837419999999995</v>
      </c>
      <c r="AD720" s="1">
        <f t="shared" si="107"/>
        <v>5.068991490519973E-2</v>
      </c>
    </row>
    <row r="721" spans="20:30" x14ac:dyDescent="0.2">
      <c r="T721" s="4">
        <v>250.00197</v>
      </c>
      <c r="U721" s="1">
        <v>357.5</v>
      </c>
      <c r="V721" s="3">
        <v>87.619420000000005</v>
      </c>
      <c r="W721" s="3">
        <f t="shared" si="108"/>
        <v>91.776820000000001</v>
      </c>
      <c r="X721" s="1">
        <f t="shared" si="106"/>
        <v>0.10638299986627557</v>
      </c>
      <c r="Z721" s="4">
        <v>250.00985</v>
      </c>
      <c r="AA721" s="1">
        <v>357.5</v>
      </c>
      <c r="AB721" s="3">
        <v>96.739930000000001</v>
      </c>
      <c r="AC721" s="3">
        <f t="shared" si="109"/>
        <v>96.66319</v>
      </c>
      <c r="AD721" s="1">
        <f t="shared" si="107"/>
        <v>5.277376332891389E-2</v>
      </c>
    </row>
    <row r="722" spans="20:30" x14ac:dyDescent="0.2">
      <c r="T722" s="4">
        <v>250.00700000000001</v>
      </c>
      <c r="U722" s="1">
        <v>358</v>
      </c>
      <c r="V722" s="5">
        <v>87.623440000000002</v>
      </c>
      <c r="W722" s="3">
        <f t="shared" si="108"/>
        <v>91.780839999999998</v>
      </c>
      <c r="X722" s="1">
        <f t="shared" si="106"/>
        <v>0.10633470762611932</v>
      </c>
      <c r="Z722" s="4">
        <v>250.00962000000001</v>
      </c>
      <c r="AA722" s="1">
        <v>358</v>
      </c>
      <c r="AB722" s="5">
        <v>96.978129999999993</v>
      </c>
      <c r="AC722" s="3">
        <f t="shared" si="109"/>
        <v>96.901389999999992</v>
      </c>
      <c r="AD722" s="1">
        <f t="shared" si="107"/>
        <v>4.9924812548171695E-2</v>
      </c>
    </row>
    <row r="723" spans="20:30" x14ac:dyDescent="0.2">
      <c r="T723" s="4">
        <v>250.00397000000001</v>
      </c>
      <c r="U723" s="1">
        <v>358.5</v>
      </c>
      <c r="V723" s="3">
        <v>87.62133</v>
      </c>
      <c r="W723" s="3">
        <f t="shared" si="108"/>
        <v>91.778729999999996</v>
      </c>
      <c r="X723" s="1">
        <f t="shared" si="106"/>
        <v>0.10636005504570385</v>
      </c>
      <c r="Z723" s="4">
        <v>250.01201</v>
      </c>
      <c r="AA723" s="1">
        <v>358.5</v>
      </c>
      <c r="AB723" s="3">
        <v>96.982280000000003</v>
      </c>
      <c r="AC723" s="3">
        <f t="shared" si="109"/>
        <v>96.905540000000002</v>
      </c>
      <c r="AD723" s="1">
        <f t="shared" si="107"/>
        <v>4.9875177175627158E-2</v>
      </c>
    </row>
    <row r="724" spans="20:30" x14ac:dyDescent="0.2">
      <c r="T724" s="4">
        <v>250.005</v>
      </c>
      <c r="U724" s="1">
        <v>359</v>
      </c>
      <c r="V724" s="5">
        <v>87.605429999999998</v>
      </c>
      <c r="W724" s="3">
        <f t="shared" si="108"/>
        <v>91.762829999999994</v>
      </c>
      <c r="X724" s="1">
        <f t="shared" si="106"/>
        <v>0.10655106166721756</v>
      </c>
      <c r="Z724" s="4">
        <v>250.01349999999999</v>
      </c>
      <c r="AA724" s="1">
        <v>359</v>
      </c>
      <c r="AB724" s="5">
        <v>96.955789999999993</v>
      </c>
      <c r="AC724" s="3">
        <f t="shared" si="109"/>
        <v>96.879049999999992</v>
      </c>
      <c r="AD724" s="1">
        <f t="shared" si="107"/>
        <v>5.01920063367602E-2</v>
      </c>
    </row>
    <row r="725" spans="20:30" x14ac:dyDescent="0.2">
      <c r="T725" s="4">
        <v>250.00703999999999</v>
      </c>
      <c r="U725" s="1">
        <v>359.5</v>
      </c>
      <c r="V725" s="3">
        <v>87.57929</v>
      </c>
      <c r="W725" s="3">
        <f t="shared" si="108"/>
        <v>91.736689999999996</v>
      </c>
      <c r="X725" s="1">
        <f t="shared" si="106"/>
        <v>0.10686508135818404</v>
      </c>
      <c r="Z725" s="4">
        <v>250.01526000000001</v>
      </c>
      <c r="AA725" s="1">
        <v>359.5</v>
      </c>
      <c r="AB725" s="3">
        <v>96.942859999999996</v>
      </c>
      <c r="AC725" s="3">
        <f t="shared" si="109"/>
        <v>96.866119999999995</v>
      </c>
      <c r="AD725" s="1">
        <f t="shared" si="107"/>
        <v>5.0346653413145551E-2</v>
      </c>
    </row>
    <row r="726" spans="20:30" x14ac:dyDescent="0.2">
      <c r="T726" s="4">
        <v>250.00801999999999</v>
      </c>
      <c r="U726" s="1">
        <v>360</v>
      </c>
      <c r="V726" s="5">
        <v>87.565259999999995</v>
      </c>
      <c r="W726" s="3">
        <f t="shared" si="108"/>
        <v>91.722659999999991</v>
      </c>
      <c r="X726" s="1">
        <f t="shared" ref="X726:X789" si="110">($W$21-W726)/($W$21*(1-$M$1))</f>
        <v>0.10703362367892856</v>
      </c>
      <c r="Z726" s="4">
        <v>250.01705000000001</v>
      </c>
      <c r="AA726" s="1">
        <v>360</v>
      </c>
      <c r="AB726" s="5">
        <v>96.887979999999999</v>
      </c>
      <c r="AC726" s="3">
        <f t="shared" si="109"/>
        <v>96.811239999999998</v>
      </c>
      <c r="AD726" s="1">
        <f t="shared" si="107"/>
        <v>5.1003036363805203E-2</v>
      </c>
    </row>
    <row r="727" spans="20:30" x14ac:dyDescent="0.2">
      <c r="T727" s="4">
        <v>250.01302999999999</v>
      </c>
      <c r="U727" s="1">
        <v>360.5</v>
      </c>
      <c r="V727" s="3">
        <v>87.56738</v>
      </c>
      <c r="W727" s="3">
        <f t="shared" si="108"/>
        <v>91.724779999999996</v>
      </c>
      <c r="X727" s="1">
        <f t="shared" si="110"/>
        <v>0.10700815612939334</v>
      </c>
      <c r="Z727" s="4">
        <v>250.01698999999999</v>
      </c>
      <c r="AA727" s="1">
        <v>360.5</v>
      </c>
      <c r="AB727" s="3">
        <v>96.886960000000002</v>
      </c>
      <c r="AC727" s="3">
        <f t="shared" si="109"/>
        <v>96.810220000000001</v>
      </c>
      <c r="AD727" s="1">
        <f t="shared" si="107"/>
        <v>5.1015235901153429E-2</v>
      </c>
    </row>
    <row r="728" spans="20:30" x14ac:dyDescent="0.2">
      <c r="T728" s="4">
        <v>250.00597999999999</v>
      </c>
      <c r="U728" s="1">
        <v>361</v>
      </c>
      <c r="V728" s="5">
        <v>87.543000000000006</v>
      </c>
      <c r="W728" s="3">
        <f t="shared" si="108"/>
        <v>91.700400000000002</v>
      </c>
      <c r="X728" s="1">
        <f t="shared" si="110"/>
        <v>0.10730103294904757</v>
      </c>
      <c r="Z728" s="4">
        <v>250.02091999999999</v>
      </c>
      <c r="AA728" s="1">
        <v>361</v>
      </c>
      <c r="AB728" s="5">
        <v>96.892439999999993</v>
      </c>
      <c r="AC728" s="3">
        <f t="shared" si="109"/>
        <v>96.815699999999993</v>
      </c>
      <c r="AD728" s="1">
        <f t="shared" si="107"/>
        <v>5.0949693288733437E-2</v>
      </c>
    </row>
    <row r="729" spans="20:30" x14ac:dyDescent="0.2">
      <c r="T729" s="4">
        <v>250.00102000000001</v>
      </c>
      <c r="U729" s="1">
        <v>361.5</v>
      </c>
      <c r="V729" s="3">
        <v>87.533050000000003</v>
      </c>
      <c r="W729" s="3">
        <f t="shared" si="108"/>
        <v>91.690449999999998</v>
      </c>
      <c r="X729" s="1">
        <f t="shared" si="110"/>
        <v>0.10742056224993195</v>
      </c>
      <c r="Z729" s="4">
        <v>250.02035000000001</v>
      </c>
      <c r="AA729" s="1">
        <v>361.5</v>
      </c>
      <c r="AB729" s="3">
        <v>96.896180000000001</v>
      </c>
      <c r="AC729" s="3">
        <f t="shared" si="109"/>
        <v>96.81944</v>
      </c>
      <c r="AD729" s="1">
        <f t="shared" si="107"/>
        <v>5.0904961651789697E-2</v>
      </c>
    </row>
    <row r="730" spans="20:30" x14ac:dyDescent="0.2">
      <c r="T730" s="4">
        <v>250.00303</v>
      </c>
      <c r="U730" s="1">
        <v>362</v>
      </c>
      <c r="V730" s="5">
        <v>87.521039999999999</v>
      </c>
      <c r="W730" s="3">
        <f t="shared" si="108"/>
        <v>91.678439999999995</v>
      </c>
      <c r="X730" s="1">
        <f t="shared" si="110"/>
        <v>0.10756483832064767</v>
      </c>
      <c r="Z730" s="4">
        <v>250.01839000000001</v>
      </c>
      <c r="AA730" s="1">
        <v>362</v>
      </c>
      <c r="AB730" s="5">
        <v>96.852549999999994</v>
      </c>
      <c r="AC730" s="3">
        <f t="shared" si="109"/>
        <v>96.775809999999993</v>
      </c>
      <c r="AD730" s="1">
        <f t="shared" si="107"/>
        <v>5.1426790881696528E-2</v>
      </c>
    </row>
    <row r="731" spans="20:30" x14ac:dyDescent="0.2">
      <c r="T731" s="4">
        <v>250.00502</v>
      </c>
      <c r="U731" s="1">
        <v>362.5</v>
      </c>
      <c r="V731" s="3">
        <v>87.486779999999996</v>
      </c>
      <c r="W731" s="3">
        <f t="shared" si="108"/>
        <v>91.644179999999992</v>
      </c>
      <c r="X731" s="1">
        <f t="shared" si="110"/>
        <v>0.10797640353153189</v>
      </c>
      <c r="Z731" s="4">
        <v>250.01894999999999</v>
      </c>
      <c r="AA731" s="1">
        <v>362.5</v>
      </c>
      <c r="AB731" s="3">
        <v>96.953419999999994</v>
      </c>
      <c r="AC731" s="3">
        <f t="shared" si="109"/>
        <v>96.876679999999993</v>
      </c>
      <c r="AD731" s="1">
        <f t="shared" si="107"/>
        <v>5.0220352320598814E-2</v>
      </c>
    </row>
    <row r="732" spans="20:30" x14ac:dyDescent="0.2">
      <c r="T732" s="4">
        <v>250.00702999999999</v>
      </c>
      <c r="U732" s="1">
        <v>363</v>
      </c>
      <c r="V732" s="5">
        <v>87.501050000000006</v>
      </c>
      <c r="W732" s="3">
        <f t="shared" si="108"/>
        <v>91.658450000000002</v>
      </c>
      <c r="X732" s="1">
        <f t="shared" si="110"/>
        <v>0.10780497809197201</v>
      </c>
      <c r="Z732" s="4">
        <v>250.02074999999999</v>
      </c>
      <c r="AA732" s="1">
        <v>363</v>
      </c>
      <c r="AB732" s="5">
        <v>96.852140000000006</v>
      </c>
      <c r="AC732" s="3">
        <f t="shared" si="109"/>
        <v>96.775400000000005</v>
      </c>
      <c r="AD732" s="1">
        <f t="shared" si="107"/>
        <v>5.1431694617297158E-2</v>
      </c>
    </row>
    <row r="733" spans="20:30" x14ac:dyDescent="0.2">
      <c r="T733" s="4">
        <v>250.00697</v>
      </c>
      <c r="U733" s="1">
        <v>363.5</v>
      </c>
      <c r="V733" s="3">
        <v>87.502939999999995</v>
      </c>
      <c r="W733" s="3">
        <f t="shared" si="108"/>
        <v>91.660339999999991</v>
      </c>
      <c r="X733" s="1">
        <f t="shared" si="110"/>
        <v>0.10778227353130165</v>
      </c>
      <c r="Z733" s="4">
        <v>250.02167</v>
      </c>
      <c r="AA733" s="1">
        <v>363.5</v>
      </c>
      <c r="AB733" s="3">
        <v>96.853269999999995</v>
      </c>
      <c r="AC733" s="3">
        <f t="shared" si="109"/>
        <v>96.776529999999994</v>
      </c>
      <c r="AD733" s="1">
        <f t="shared" si="107"/>
        <v>5.1418179443568329E-2</v>
      </c>
    </row>
    <row r="734" spans="20:30" x14ac:dyDescent="0.2">
      <c r="T734" s="4">
        <v>250.00305</v>
      </c>
      <c r="U734" s="1">
        <v>364</v>
      </c>
      <c r="V734" s="5">
        <v>87.464849999999998</v>
      </c>
      <c r="W734" s="3">
        <f t="shared" si="108"/>
        <v>91.622249999999994</v>
      </c>
      <c r="X734" s="1">
        <f t="shared" si="110"/>
        <v>0.10823984851327996</v>
      </c>
      <c r="Z734" s="4">
        <v>250.02036000000001</v>
      </c>
      <c r="AA734" s="1">
        <v>364</v>
      </c>
      <c r="AB734" s="5">
        <v>96.845150000000004</v>
      </c>
      <c r="AC734" s="3">
        <f t="shared" si="109"/>
        <v>96.768410000000003</v>
      </c>
      <c r="AD734" s="1">
        <f t="shared" si="107"/>
        <v>5.1515297329125007E-2</v>
      </c>
    </row>
    <row r="735" spans="20:30" x14ac:dyDescent="0.2">
      <c r="T735" s="4">
        <v>250.00501</v>
      </c>
      <c r="U735" s="1">
        <v>364.5</v>
      </c>
      <c r="V735" s="3">
        <v>87.466849999999994</v>
      </c>
      <c r="W735" s="3">
        <f t="shared" si="108"/>
        <v>91.624249999999989</v>
      </c>
      <c r="X735" s="1">
        <f t="shared" si="110"/>
        <v>0.10821582252315251</v>
      </c>
      <c r="Z735" s="4">
        <v>250.01523</v>
      </c>
      <c r="AA735" s="1">
        <v>364.5</v>
      </c>
      <c r="AB735" s="3">
        <v>96.780720000000002</v>
      </c>
      <c r="AC735" s="3">
        <f t="shared" si="109"/>
        <v>96.703980000000001</v>
      </c>
      <c r="AD735" s="1">
        <f t="shared" si="107"/>
        <v>5.2285901438290545E-2</v>
      </c>
    </row>
    <row r="736" spans="20:30" x14ac:dyDescent="0.2">
      <c r="T736" s="4">
        <v>250.00599</v>
      </c>
      <c r="U736" s="1">
        <v>365</v>
      </c>
      <c r="V736" s="5">
        <v>87.442869999999999</v>
      </c>
      <c r="W736" s="3">
        <f t="shared" si="108"/>
        <v>91.600269999999995</v>
      </c>
      <c r="X736" s="1">
        <f t="shared" si="110"/>
        <v>0.10850389414478125</v>
      </c>
      <c r="Z736" s="4">
        <v>250.01400000000001</v>
      </c>
      <c r="AA736" s="1">
        <v>365</v>
      </c>
      <c r="AB736" s="5">
        <v>96.79871</v>
      </c>
      <c r="AC736" s="3">
        <f t="shared" si="109"/>
        <v>96.721969999999999</v>
      </c>
      <c r="AD736" s="1">
        <f t="shared" si="107"/>
        <v>5.2070735088393202E-2</v>
      </c>
    </row>
    <row r="737" spans="20:30" x14ac:dyDescent="0.2">
      <c r="T737" s="4">
        <v>250.00700000000001</v>
      </c>
      <c r="U737" s="1">
        <v>365.5</v>
      </c>
      <c r="V737" s="3">
        <v>87.432820000000007</v>
      </c>
      <c r="W737" s="3">
        <f t="shared" si="108"/>
        <v>91.590220000000002</v>
      </c>
      <c r="X737" s="1">
        <f t="shared" si="110"/>
        <v>0.10862462474517187</v>
      </c>
      <c r="Z737" s="4">
        <v>250.01603</v>
      </c>
      <c r="AA737" s="1">
        <v>365.5</v>
      </c>
      <c r="AB737" s="3">
        <v>96.871070000000003</v>
      </c>
      <c r="AC737" s="3">
        <f t="shared" si="109"/>
        <v>96.794330000000002</v>
      </c>
      <c r="AD737" s="1">
        <f t="shared" si="107"/>
        <v>5.1205285556510237E-2</v>
      </c>
    </row>
    <row r="738" spans="20:30" x14ac:dyDescent="0.2">
      <c r="T738" s="4">
        <v>250.00299000000001</v>
      </c>
      <c r="U738" s="1">
        <v>366</v>
      </c>
      <c r="V738" s="5">
        <v>87.402780000000007</v>
      </c>
      <c r="W738" s="3">
        <f t="shared" si="108"/>
        <v>91.560180000000003</v>
      </c>
      <c r="X738" s="1">
        <f t="shared" si="110"/>
        <v>0.10898549511688702</v>
      </c>
      <c r="Z738" s="4">
        <v>250.01920000000001</v>
      </c>
      <c r="AA738" s="1">
        <v>366</v>
      </c>
      <c r="AB738" s="5">
        <v>96.732429999999994</v>
      </c>
      <c r="AC738" s="3">
        <f t="shared" si="109"/>
        <v>96.655689999999993</v>
      </c>
      <c r="AD738" s="1">
        <f t="shared" si="107"/>
        <v>5.2863465809415942E-2</v>
      </c>
    </row>
    <row r="739" spans="20:30" x14ac:dyDescent="0.2">
      <c r="T739" s="4">
        <v>250.00501</v>
      </c>
      <c r="U739" s="1">
        <v>366.5</v>
      </c>
      <c r="V739" s="3">
        <v>87.39855</v>
      </c>
      <c r="W739" s="3">
        <f t="shared" si="108"/>
        <v>91.555949999999996</v>
      </c>
      <c r="X739" s="1">
        <f t="shared" si="110"/>
        <v>0.10903631008600677</v>
      </c>
      <c r="Z739" s="4">
        <v>250.01920000000001</v>
      </c>
      <c r="AA739" s="1">
        <v>366.5</v>
      </c>
      <c r="AB739" s="3">
        <v>96.808189999999996</v>
      </c>
      <c r="AC739" s="3">
        <f t="shared" si="109"/>
        <v>96.731449999999995</v>
      </c>
      <c r="AD739" s="1">
        <f t="shared" si="107"/>
        <v>5.1957351153038768E-2</v>
      </c>
    </row>
    <row r="740" spans="20:30" x14ac:dyDescent="0.2">
      <c r="T740" s="4">
        <v>250.00601</v>
      </c>
      <c r="U740" s="1">
        <v>367</v>
      </c>
      <c r="V740" s="5">
        <v>87.402609999999996</v>
      </c>
      <c r="W740" s="3">
        <f t="shared" si="108"/>
        <v>91.560009999999991</v>
      </c>
      <c r="X740" s="1">
        <f t="shared" si="110"/>
        <v>0.10898753732604799</v>
      </c>
      <c r="Z740" s="4">
        <v>250.01967999999999</v>
      </c>
      <c r="AA740" s="1">
        <v>367</v>
      </c>
      <c r="AB740" s="5">
        <v>96.78492</v>
      </c>
      <c r="AC740" s="3">
        <f t="shared" si="109"/>
        <v>96.708179999999999</v>
      </c>
      <c r="AD740" s="1">
        <f t="shared" si="107"/>
        <v>5.2235668049209476E-2</v>
      </c>
    </row>
    <row r="741" spans="20:30" x14ac:dyDescent="0.2">
      <c r="T741" s="4">
        <v>250.00597999999999</v>
      </c>
      <c r="U741" s="1">
        <v>367.5</v>
      </c>
      <c r="V741" s="3">
        <v>87.388599999999997</v>
      </c>
      <c r="W741" s="3">
        <f t="shared" si="108"/>
        <v>91.545999999999992</v>
      </c>
      <c r="X741" s="1">
        <f t="shared" si="110"/>
        <v>0.10915583938689116</v>
      </c>
      <c r="Z741" s="4">
        <v>250.02076</v>
      </c>
      <c r="AA741" s="1">
        <v>367.5</v>
      </c>
      <c r="AB741" s="3">
        <v>96.770809999999997</v>
      </c>
      <c r="AC741" s="3">
        <f t="shared" si="109"/>
        <v>96.694069999999996</v>
      </c>
      <c r="AD741" s="1">
        <f t="shared" si="107"/>
        <v>5.2404428315860528E-2</v>
      </c>
    </row>
    <row r="742" spans="20:30" x14ac:dyDescent="0.2">
      <c r="T742" s="4">
        <v>250.00798</v>
      </c>
      <c r="U742" s="1">
        <v>368</v>
      </c>
      <c r="V742" s="5">
        <v>87.386809999999997</v>
      </c>
      <c r="W742" s="3">
        <f t="shared" si="108"/>
        <v>91.544209999999993</v>
      </c>
      <c r="X742" s="1">
        <f t="shared" si="110"/>
        <v>0.10917734264805527</v>
      </c>
      <c r="Z742" s="4">
        <v>250.01868999999999</v>
      </c>
      <c r="AA742" s="1">
        <v>368</v>
      </c>
      <c r="AB742" s="5">
        <v>96.749629999999996</v>
      </c>
      <c r="AC742" s="3">
        <f t="shared" si="109"/>
        <v>96.672889999999995</v>
      </c>
      <c r="AD742" s="1">
        <f t="shared" si="107"/>
        <v>5.2657748120798077E-2</v>
      </c>
    </row>
    <row r="743" spans="20:30" x14ac:dyDescent="0.2">
      <c r="T743" s="4">
        <v>249.99896000000001</v>
      </c>
      <c r="U743" s="1">
        <v>368.5</v>
      </c>
      <c r="V743" s="3">
        <v>87.368570000000005</v>
      </c>
      <c r="W743" s="3">
        <f t="shared" si="108"/>
        <v>91.525970000000001</v>
      </c>
      <c r="X743" s="1">
        <f t="shared" si="110"/>
        <v>0.10939645967801803</v>
      </c>
      <c r="Z743" s="4">
        <v>250.01900000000001</v>
      </c>
      <c r="AA743" s="1">
        <v>368.5</v>
      </c>
      <c r="AB743" s="3">
        <v>96.685569999999998</v>
      </c>
      <c r="AC743" s="3">
        <f t="shared" si="109"/>
        <v>96.608829999999998</v>
      </c>
      <c r="AD743" s="1">
        <f t="shared" si="107"/>
        <v>5.3423926907592137E-2</v>
      </c>
    </row>
    <row r="744" spans="20:30" x14ac:dyDescent="0.2">
      <c r="T744" s="4">
        <v>249.99805000000001</v>
      </c>
      <c r="U744" s="1">
        <v>369</v>
      </c>
      <c r="V744" s="5">
        <v>87.342389999999995</v>
      </c>
      <c r="W744" s="3">
        <f t="shared" si="108"/>
        <v>91.49978999999999</v>
      </c>
      <c r="X744" s="1">
        <f t="shared" si="110"/>
        <v>0.10971095988878721</v>
      </c>
      <c r="Z744" s="4">
        <v>250.02091999999999</v>
      </c>
      <c r="AA744" s="1">
        <v>369</v>
      </c>
      <c r="AB744" s="5">
        <v>96.87379</v>
      </c>
      <c r="AC744" s="3">
        <f t="shared" si="109"/>
        <v>96.797049999999999</v>
      </c>
      <c r="AD744" s="1">
        <f t="shared" si="107"/>
        <v>5.1172753456914903E-2</v>
      </c>
    </row>
    <row r="745" spans="20:30" x14ac:dyDescent="0.2">
      <c r="T745" s="4">
        <v>250.00198</v>
      </c>
      <c r="U745" s="1">
        <v>369.5</v>
      </c>
      <c r="V745" s="3">
        <v>87.350650000000002</v>
      </c>
      <c r="W745" s="3">
        <f t="shared" si="108"/>
        <v>91.508049999999997</v>
      </c>
      <c r="X745" s="1">
        <f t="shared" si="110"/>
        <v>0.10961173254956053</v>
      </c>
      <c r="Z745" s="4">
        <v>250.01656</v>
      </c>
      <c r="AA745" s="1">
        <v>369.5</v>
      </c>
      <c r="AB745" s="3">
        <v>96.698080000000004</v>
      </c>
      <c r="AC745" s="3">
        <f t="shared" si="109"/>
        <v>96.621340000000004</v>
      </c>
      <c r="AD745" s="1">
        <f t="shared" si="107"/>
        <v>5.3274303170114792E-2</v>
      </c>
    </row>
    <row r="746" spans="20:30" x14ac:dyDescent="0.2">
      <c r="T746" s="4">
        <v>250.001</v>
      </c>
      <c r="U746" s="1">
        <v>370</v>
      </c>
      <c r="V746" s="5">
        <v>87.328479999999999</v>
      </c>
      <c r="W746" s="3">
        <f t="shared" si="108"/>
        <v>91.485879999999995</v>
      </c>
      <c r="X746" s="1">
        <f t="shared" si="110"/>
        <v>0.10987806065012397</v>
      </c>
      <c r="Z746" s="4">
        <v>250.01202000000001</v>
      </c>
      <c r="AA746" s="1">
        <v>370</v>
      </c>
      <c r="AB746" s="5">
        <v>96.706389999999999</v>
      </c>
      <c r="AC746" s="3">
        <f t="shared" si="109"/>
        <v>96.629649999999998</v>
      </c>
      <c r="AD746" s="1">
        <f t="shared" si="107"/>
        <v>5.3174912821718684E-2</v>
      </c>
    </row>
    <row r="747" spans="20:30" x14ac:dyDescent="0.2">
      <c r="T747" s="4">
        <v>250.011</v>
      </c>
      <c r="U747" s="1">
        <v>370.5</v>
      </c>
      <c r="V747" s="3">
        <v>87.330389999999994</v>
      </c>
      <c r="W747" s="3">
        <f t="shared" si="108"/>
        <v>91.48778999999999</v>
      </c>
      <c r="X747" s="1">
        <f t="shared" si="110"/>
        <v>0.10985511582955225</v>
      </c>
      <c r="Z747" s="4">
        <v>250.01427000000001</v>
      </c>
      <c r="AA747" s="1">
        <v>370.5</v>
      </c>
      <c r="AB747" s="3">
        <v>96.807950000000005</v>
      </c>
      <c r="AC747" s="3">
        <f t="shared" si="109"/>
        <v>96.731210000000004</v>
      </c>
      <c r="AD747" s="1">
        <f t="shared" si="107"/>
        <v>5.1960221632414719E-2</v>
      </c>
    </row>
    <row r="748" spans="20:30" x14ac:dyDescent="0.2">
      <c r="T748" s="4">
        <v>250.00805</v>
      </c>
      <c r="U748" s="1">
        <v>371</v>
      </c>
      <c r="V748" s="5">
        <v>87.302599999999998</v>
      </c>
      <c r="W748" s="3">
        <f t="shared" si="108"/>
        <v>91.46</v>
      </c>
      <c r="X748" s="1">
        <f t="shared" si="110"/>
        <v>0.11018895696237391</v>
      </c>
      <c r="Z748" s="4">
        <v>250.01859999999999</v>
      </c>
      <c r="AA748" s="1">
        <v>371</v>
      </c>
      <c r="AB748" s="5">
        <v>96.80444</v>
      </c>
      <c r="AC748" s="3">
        <f t="shared" si="109"/>
        <v>96.727699999999999</v>
      </c>
      <c r="AD748" s="1">
        <f t="shared" si="107"/>
        <v>5.2002202393289704E-2</v>
      </c>
    </row>
    <row r="749" spans="20:30" x14ac:dyDescent="0.2">
      <c r="T749" s="4">
        <v>250.00799000000001</v>
      </c>
      <c r="U749" s="1">
        <v>371.5</v>
      </c>
      <c r="V749" s="3">
        <v>87.294269999999997</v>
      </c>
      <c r="W749" s="3">
        <f t="shared" si="108"/>
        <v>91.451669999999993</v>
      </c>
      <c r="X749" s="1">
        <f t="shared" si="110"/>
        <v>0.11028902521125497</v>
      </c>
      <c r="Z749" s="4">
        <v>250.01909000000001</v>
      </c>
      <c r="AA749" s="1">
        <v>371.5</v>
      </c>
      <c r="AB749" s="3">
        <v>96.641689999999997</v>
      </c>
      <c r="AC749" s="3">
        <f t="shared" si="109"/>
        <v>96.564949999999996</v>
      </c>
      <c r="AD749" s="1">
        <f t="shared" si="107"/>
        <v>5.3948746220182295E-2</v>
      </c>
    </row>
    <row r="750" spans="20:30" x14ac:dyDescent="0.2">
      <c r="T750" s="4">
        <v>250.00703999999999</v>
      </c>
      <c r="U750" s="1">
        <v>372</v>
      </c>
      <c r="V750" s="5">
        <v>87.276269999999997</v>
      </c>
      <c r="W750" s="3">
        <f t="shared" si="108"/>
        <v>91.433669999999992</v>
      </c>
      <c r="X750" s="1">
        <f t="shared" si="110"/>
        <v>0.11050525912240254</v>
      </c>
      <c r="Z750" s="4">
        <v>250.01728</v>
      </c>
      <c r="AA750" s="1">
        <v>372</v>
      </c>
      <c r="AB750" s="5">
        <v>96.859570000000005</v>
      </c>
      <c r="AC750" s="3">
        <f t="shared" si="109"/>
        <v>96.782830000000004</v>
      </c>
      <c r="AD750" s="1">
        <f t="shared" si="107"/>
        <v>5.1342829359946558E-2</v>
      </c>
    </row>
    <row r="751" spans="20:30" x14ac:dyDescent="0.2">
      <c r="T751" s="4">
        <v>250.00701000000001</v>
      </c>
      <c r="U751" s="1">
        <v>372.5</v>
      </c>
      <c r="V751" s="3">
        <v>87.27225</v>
      </c>
      <c r="W751" s="3">
        <f t="shared" si="108"/>
        <v>91.429649999999995</v>
      </c>
      <c r="X751" s="1">
        <f t="shared" si="110"/>
        <v>0.11055355136255879</v>
      </c>
      <c r="Z751" s="4">
        <v>250.01608999999999</v>
      </c>
      <c r="AA751" s="1">
        <v>372.5</v>
      </c>
      <c r="AB751" s="3">
        <v>96.761750000000006</v>
      </c>
      <c r="AC751" s="3">
        <f t="shared" si="109"/>
        <v>96.685010000000005</v>
      </c>
      <c r="AD751" s="1">
        <f t="shared" si="107"/>
        <v>5.251278891230679E-2</v>
      </c>
    </row>
    <row r="752" spans="20:30" x14ac:dyDescent="0.2">
      <c r="T752" s="4">
        <v>250.00900999999999</v>
      </c>
      <c r="U752" s="1">
        <v>373</v>
      </c>
      <c r="V752" s="5">
        <v>87.268259999999998</v>
      </c>
      <c r="W752" s="3">
        <f t="shared" si="108"/>
        <v>91.425659999999993</v>
      </c>
      <c r="X752" s="1">
        <f t="shared" si="110"/>
        <v>0.11060148321286319</v>
      </c>
      <c r="Z752" s="4">
        <v>250.01712000000001</v>
      </c>
      <c r="AA752" s="1">
        <v>373</v>
      </c>
      <c r="AB752" s="5">
        <v>96.790710000000004</v>
      </c>
      <c r="AC752" s="3">
        <f t="shared" si="109"/>
        <v>96.713970000000003</v>
      </c>
      <c r="AD752" s="1">
        <f t="shared" si="107"/>
        <v>5.2166417734261908E-2</v>
      </c>
    </row>
    <row r="753" spans="20:30" x14ac:dyDescent="0.2">
      <c r="T753" s="4">
        <v>250.012</v>
      </c>
      <c r="U753" s="1">
        <v>373.5</v>
      </c>
      <c r="V753" s="3">
        <v>87.236279999999994</v>
      </c>
      <c r="W753" s="3">
        <f t="shared" si="108"/>
        <v>91.393679999999989</v>
      </c>
      <c r="X753" s="1">
        <f t="shared" si="110"/>
        <v>0.11098565879500207</v>
      </c>
      <c r="Z753" s="4">
        <v>250.01588000000001</v>
      </c>
      <c r="AA753" s="1">
        <v>373.5</v>
      </c>
      <c r="AB753" s="3">
        <v>96.739099999999993</v>
      </c>
      <c r="AC753" s="3">
        <f t="shared" si="109"/>
        <v>96.662359999999993</v>
      </c>
      <c r="AD753" s="1">
        <f t="shared" si="107"/>
        <v>5.2783690403422866E-2</v>
      </c>
    </row>
    <row r="754" spans="20:30" x14ac:dyDescent="0.2">
      <c r="T754" s="4">
        <v>250.00801000000001</v>
      </c>
      <c r="U754" s="1">
        <v>374</v>
      </c>
      <c r="V754" s="5">
        <v>87.256039999999999</v>
      </c>
      <c r="W754" s="3">
        <f t="shared" si="108"/>
        <v>91.413439999999994</v>
      </c>
      <c r="X754" s="1">
        <f t="shared" si="110"/>
        <v>0.11074828201254223</v>
      </c>
      <c r="Z754" s="4">
        <v>250.01478</v>
      </c>
      <c r="AA754" s="1">
        <v>374</v>
      </c>
      <c r="AB754" s="5">
        <v>96.732500000000002</v>
      </c>
      <c r="AC754" s="3">
        <f t="shared" si="109"/>
        <v>96.655760000000001</v>
      </c>
      <c r="AD754" s="1">
        <f t="shared" si="107"/>
        <v>5.286262858626449E-2</v>
      </c>
    </row>
    <row r="755" spans="20:30" x14ac:dyDescent="0.2">
      <c r="T755" s="4">
        <v>250.00398000000001</v>
      </c>
      <c r="U755" s="1">
        <v>374.5</v>
      </c>
      <c r="V755" s="3">
        <v>87.23818</v>
      </c>
      <c r="W755" s="3">
        <f t="shared" si="108"/>
        <v>91.395579999999995</v>
      </c>
      <c r="X755" s="1">
        <f t="shared" si="110"/>
        <v>0.11096283410438086</v>
      </c>
      <c r="Z755" s="4">
        <v>250.01455000000001</v>
      </c>
      <c r="AA755" s="1">
        <v>374.5</v>
      </c>
      <c r="AB755" s="3">
        <v>96.598190000000002</v>
      </c>
      <c r="AC755" s="3">
        <f t="shared" si="109"/>
        <v>96.521450000000002</v>
      </c>
      <c r="AD755" s="1">
        <f t="shared" si="107"/>
        <v>5.4469020607093604E-2</v>
      </c>
    </row>
    <row r="756" spans="20:30" x14ac:dyDescent="0.2">
      <c r="T756" s="4">
        <v>250.00002000000001</v>
      </c>
      <c r="U756" s="1">
        <v>375</v>
      </c>
      <c r="V756" s="5">
        <v>87.198049999999995</v>
      </c>
      <c r="W756" s="3">
        <f t="shared" si="108"/>
        <v>91.35544999999999</v>
      </c>
      <c r="X756" s="1">
        <f t="shared" si="110"/>
        <v>0.11144491559628933</v>
      </c>
      <c r="Z756" s="4">
        <v>250.01485</v>
      </c>
      <c r="AA756" s="1">
        <v>375</v>
      </c>
      <c r="AB756" s="5">
        <v>96.730350000000001</v>
      </c>
      <c r="AC756" s="3">
        <f t="shared" si="109"/>
        <v>96.65361</v>
      </c>
      <c r="AD756" s="1">
        <f t="shared" si="107"/>
        <v>5.2888343297341725E-2</v>
      </c>
    </row>
    <row r="757" spans="20:30" x14ac:dyDescent="0.2">
      <c r="T757" s="4">
        <v>250.00104999999999</v>
      </c>
      <c r="U757" s="1">
        <v>375.5</v>
      </c>
      <c r="V757" s="3">
        <v>87.172049999999999</v>
      </c>
      <c r="W757" s="3">
        <f t="shared" si="108"/>
        <v>91.329449999999994</v>
      </c>
      <c r="X757" s="1">
        <f t="shared" si="110"/>
        <v>0.11175725346794686</v>
      </c>
      <c r="Z757" s="4">
        <v>250.01439999999999</v>
      </c>
      <c r="AA757" s="1">
        <v>375.5</v>
      </c>
      <c r="AB757" s="3">
        <v>96.638050000000007</v>
      </c>
      <c r="AC757" s="3">
        <f t="shared" si="109"/>
        <v>96.561310000000006</v>
      </c>
      <c r="AD757" s="1">
        <f t="shared" si="107"/>
        <v>5.3992281824052461E-2</v>
      </c>
    </row>
    <row r="758" spans="20:30" x14ac:dyDescent="0.2">
      <c r="T758" s="4">
        <v>250.00101000000001</v>
      </c>
      <c r="U758" s="1">
        <v>376</v>
      </c>
      <c r="V758" s="5">
        <v>87.186000000000007</v>
      </c>
      <c r="W758" s="3">
        <f t="shared" si="108"/>
        <v>91.343400000000003</v>
      </c>
      <c r="X758" s="1">
        <f t="shared" si="110"/>
        <v>0.1115896721868074</v>
      </c>
      <c r="Z758" s="4">
        <v>250.01670999999999</v>
      </c>
      <c r="AA758" s="1">
        <v>376</v>
      </c>
      <c r="AB758" s="5">
        <v>96.732709999999997</v>
      </c>
      <c r="AC758" s="3">
        <f t="shared" si="109"/>
        <v>96.655969999999996</v>
      </c>
      <c r="AD758" s="1">
        <f t="shared" si="107"/>
        <v>5.2860116916810487E-2</v>
      </c>
    </row>
    <row r="759" spans="20:30" x14ac:dyDescent="0.2">
      <c r="T759" s="4">
        <v>250.00603000000001</v>
      </c>
      <c r="U759" s="1">
        <v>376.5</v>
      </c>
      <c r="V759" s="3">
        <v>87.190209999999993</v>
      </c>
      <c r="W759" s="3">
        <f t="shared" si="108"/>
        <v>91.347609999999989</v>
      </c>
      <c r="X759" s="1">
        <f t="shared" si="110"/>
        <v>0.11153909747758917</v>
      </c>
      <c r="Z759" s="4">
        <v>250.02149</v>
      </c>
      <c r="AA759" s="1">
        <v>376.5</v>
      </c>
      <c r="AB759" s="3">
        <v>96.638909999999996</v>
      </c>
      <c r="AC759" s="3">
        <f t="shared" si="109"/>
        <v>96.562169999999995</v>
      </c>
      <c r="AD759" s="1">
        <f t="shared" si="107"/>
        <v>5.3981995939621705E-2</v>
      </c>
    </row>
    <row r="760" spans="20:30" x14ac:dyDescent="0.2">
      <c r="T760" s="4">
        <v>250.00800000000001</v>
      </c>
      <c r="U760" s="1">
        <v>377</v>
      </c>
      <c r="V760" s="5">
        <v>87.157849999999996</v>
      </c>
      <c r="W760" s="3">
        <f t="shared" si="108"/>
        <v>91.315249999999992</v>
      </c>
      <c r="X760" s="1">
        <f t="shared" si="110"/>
        <v>0.11192783799785218</v>
      </c>
      <c r="Z760" s="4">
        <v>250.02037999999999</v>
      </c>
      <c r="AA760" s="1">
        <v>377</v>
      </c>
      <c r="AB760" s="5">
        <v>96.782960000000003</v>
      </c>
      <c r="AC760" s="3">
        <f t="shared" si="109"/>
        <v>96.706220000000002</v>
      </c>
      <c r="AD760" s="1">
        <f t="shared" si="107"/>
        <v>5.2259110297447287E-2</v>
      </c>
    </row>
    <row r="761" spans="20:30" x14ac:dyDescent="0.2">
      <c r="T761" s="4">
        <v>250.00899999999999</v>
      </c>
      <c r="U761" s="1">
        <v>377.5</v>
      </c>
      <c r="V761" s="3">
        <v>87.166049999999998</v>
      </c>
      <c r="W761" s="3">
        <f t="shared" si="108"/>
        <v>91.323449999999994</v>
      </c>
      <c r="X761" s="1">
        <f t="shared" si="110"/>
        <v>0.11182933143832938</v>
      </c>
      <c r="Z761" s="4">
        <v>250.01900000000001</v>
      </c>
      <c r="AA761" s="1">
        <v>377.5</v>
      </c>
      <c r="AB761" s="3">
        <v>96.57647</v>
      </c>
      <c r="AC761" s="3">
        <f t="shared" si="109"/>
        <v>96.49973</v>
      </c>
      <c r="AD761" s="1">
        <f t="shared" si="107"/>
        <v>5.4728798990627311E-2</v>
      </c>
    </row>
    <row r="762" spans="20:30" x14ac:dyDescent="0.2">
      <c r="T762" s="4">
        <v>250.00497999999999</v>
      </c>
      <c r="U762" s="1">
        <v>378</v>
      </c>
      <c r="V762" s="5">
        <v>87.1721</v>
      </c>
      <c r="W762" s="3">
        <f t="shared" si="108"/>
        <v>91.329499999999996</v>
      </c>
      <c r="X762" s="1">
        <f t="shared" si="110"/>
        <v>0.11175665281819365</v>
      </c>
      <c r="Z762" s="4">
        <v>250.01674</v>
      </c>
      <c r="AA762" s="1">
        <v>378</v>
      </c>
      <c r="AB762" s="5">
        <v>96.620559999999998</v>
      </c>
      <c r="AC762" s="3">
        <f t="shared" si="109"/>
        <v>96.543819999999997</v>
      </c>
      <c r="AD762" s="1">
        <f t="shared" si="107"/>
        <v>5.4201468008583144E-2</v>
      </c>
    </row>
    <row r="763" spans="20:30" x14ac:dyDescent="0.2">
      <c r="T763" s="4">
        <v>250.00602000000001</v>
      </c>
      <c r="U763" s="1">
        <v>378.5</v>
      </c>
      <c r="V763" s="3">
        <v>87.150080000000003</v>
      </c>
      <c r="W763" s="3">
        <f t="shared" si="108"/>
        <v>91.307479999999998</v>
      </c>
      <c r="X763" s="1">
        <f t="shared" si="110"/>
        <v>0.11202117896949747</v>
      </c>
      <c r="Z763" s="4">
        <v>250.01425</v>
      </c>
      <c r="AA763" s="1">
        <v>378.5</v>
      </c>
      <c r="AB763" s="3">
        <v>96.641800000000003</v>
      </c>
      <c r="AC763" s="3">
        <f t="shared" si="109"/>
        <v>96.565060000000003</v>
      </c>
      <c r="AD763" s="1">
        <f t="shared" si="107"/>
        <v>5.3947430583801526E-2</v>
      </c>
    </row>
    <row r="764" spans="20:30" x14ac:dyDescent="0.2">
      <c r="T764" s="4">
        <v>250.00199000000001</v>
      </c>
      <c r="U764" s="1">
        <v>379</v>
      </c>
      <c r="V764" s="5">
        <v>87.12988</v>
      </c>
      <c r="W764" s="3">
        <f t="shared" si="108"/>
        <v>91.287279999999996</v>
      </c>
      <c r="X764" s="1">
        <f t="shared" si="110"/>
        <v>0.11226384146978531</v>
      </c>
      <c r="Z764" s="4">
        <v>250.01661999999999</v>
      </c>
      <c r="AA764" s="1">
        <v>379</v>
      </c>
      <c r="AB764" s="5">
        <v>96.641689999999997</v>
      </c>
      <c r="AC764" s="3">
        <f t="shared" si="109"/>
        <v>96.564949999999996</v>
      </c>
      <c r="AD764" s="1">
        <f t="shared" si="107"/>
        <v>5.3948746220182295E-2</v>
      </c>
    </row>
    <row r="765" spans="20:30" x14ac:dyDescent="0.2">
      <c r="T765" s="4">
        <v>250.00898000000001</v>
      </c>
      <c r="U765" s="1">
        <v>379.5</v>
      </c>
      <c r="V765" s="3">
        <v>87.103840000000005</v>
      </c>
      <c r="W765" s="3">
        <f t="shared" si="108"/>
        <v>91.261240000000001</v>
      </c>
      <c r="X765" s="1">
        <f t="shared" si="110"/>
        <v>0.11257665986124538</v>
      </c>
      <c r="Z765" s="4">
        <v>250.01947000000001</v>
      </c>
      <c r="AA765" s="1">
        <v>379.5</v>
      </c>
      <c r="AB765" s="3">
        <v>96.658810000000003</v>
      </c>
      <c r="AC765" s="3">
        <f t="shared" si="109"/>
        <v>96.582070000000002</v>
      </c>
      <c r="AD765" s="1">
        <f t="shared" si="107"/>
        <v>5.3743985358023084E-2</v>
      </c>
    </row>
    <row r="766" spans="20:30" x14ac:dyDescent="0.2">
      <c r="T766" s="4">
        <v>250.00603000000001</v>
      </c>
      <c r="U766" s="1">
        <v>380</v>
      </c>
      <c r="V766" s="5">
        <v>87.099670000000003</v>
      </c>
      <c r="W766" s="3">
        <f t="shared" si="108"/>
        <v>91.257069999999999</v>
      </c>
      <c r="X766" s="1">
        <f t="shared" si="110"/>
        <v>0.11262675405066125</v>
      </c>
      <c r="Z766" s="4">
        <v>250.01796999999999</v>
      </c>
      <c r="AA766" s="1">
        <v>380</v>
      </c>
      <c r="AB766" s="5">
        <v>96.716629999999995</v>
      </c>
      <c r="AC766" s="3">
        <f t="shared" si="109"/>
        <v>96.639889999999994</v>
      </c>
      <c r="AD766" s="1">
        <f t="shared" si="107"/>
        <v>5.305243903500672E-2</v>
      </c>
    </row>
    <row r="767" spans="20:30" x14ac:dyDescent="0.2">
      <c r="T767" s="4">
        <v>250.00900999999999</v>
      </c>
      <c r="U767" s="1">
        <v>380.5</v>
      </c>
      <c r="V767" s="3">
        <v>87.075739999999996</v>
      </c>
      <c r="W767" s="3">
        <f t="shared" si="108"/>
        <v>91.233139999999992</v>
      </c>
      <c r="X767" s="1">
        <f t="shared" si="110"/>
        <v>0.11291422502253695</v>
      </c>
      <c r="Z767" s="4">
        <v>250.01573999999999</v>
      </c>
      <c r="AA767" s="1">
        <v>380.5</v>
      </c>
      <c r="AB767" s="3">
        <v>96.551320000000004</v>
      </c>
      <c r="AC767" s="3">
        <f t="shared" si="109"/>
        <v>96.474580000000003</v>
      </c>
      <c r="AD767" s="1">
        <f t="shared" ref="AD767:AD830" si="111">($AC$62-AC767)/($AC$62*(1-$M$1))</f>
        <v>5.5029601308577175E-2</v>
      </c>
    </row>
    <row r="768" spans="20:30" x14ac:dyDescent="0.2">
      <c r="T768" s="4">
        <v>250.00897000000001</v>
      </c>
      <c r="U768" s="1">
        <v>381</v>
      </c>
      <c r="V768" s="5">
        <v>87.065629999999999</v>
      </c>
      <c r="W768" s="3">
        <f t="shared" si="108"/>
        <v>91.223029999999994</v>
      </c>
      <c r="X768" s="1">
        <f t="shared" si="110"/>
        <v>0.11303567640263146</v>
      </c>
      <c r="Z768" s="4">
        <v>250.01764</v>
      </c>
      <c r="AA768" s="1">
        <v>381</v>
      </c>
      <c r="AB768" s="5">
        <v>96.632540000000006</v>
      </c>
      <c r="AC768" s="3">
        <f t="shared" si="109"/>
        <v>96.555800000000005</v>
      </c>
      <c r="AD768" s="1">
        <f t="shared" si="111"/>
        <v>5.4058183246394581E-2</v>
      </c>
    </row>
    <row r="769" spans="20:30" x14ac:dyDescent="0.2">
      <c r="T769" s="4">
        <v>250.00898000000001</v>
      </c>
      <c r="U769" s="1">
        <v>381.5</v>
      </c>
      <c r="V769" s="3">
        <v>87.065629999999999</v>
      </c>
      <c r="W769" s="3">
        <f t="shared" si="108"/>
        <v>91.223029999999994</v>
      </c>
      <c r="X769" s="1">
        <f t="shared" si="110"/>
        <v>0.11303567640263146</v>
      </c>
      <c r="Z769" s="4">
        <v>250.01712000000001</v>
      </c>
      <c r="AA769" s="1">
        <v>381.5</v>
      </c>
      <c r="AB769" s="3">
        <v>96.591269999999994</v>
      </c>
      <c r="AC769" s="3">
        <f t="shared" si="109"/>
        <v>96.514529999999993</v>
      </c>
      <c r="AD769" s="1">
        <f t="shared" si="111"/>
        <v>5.4551786095770174E-2</v>
      </c>
    </row>
    <row r="770" spans="20:30" x14ac:dyDescent="0.2">
      <c r="T770" s="4">
        <v>250.00799000000001</v>
      </c>
      <c r="U770" s="1">
        <v>382</v>
      </c>
      <c r="V770" s="5">
        <v>87.043459999999996</v>
      </c>
      <c r="W770" s="3">
        <f t="shared" si="108"/>
        <v>91.200859999999992</v>
      </c>
      <c r="X770" s="1">
        <f t="shared" si="110"/>
        <v>0.1133020045031949</v>
      </c>
      <c r="Z770" s="4">
        <v>250.01642000000001</v>
      </c>
      <c r="AA770" s="1">
        <v>382</v>
      </c>
      <c r="AB770" s="5">
        <v>96.650689999999997</v>
      </c>
      <c r="AC770" s="3">
        <f t="shared" si="109"/>
        <v>96.573949999999996</v>
      </c>
      <c r="AD770" s="1">
        <f t="shared" si="111"/>
        <v>5.3841103243579935E-2</v>
      </c>
    </row>
    <row r="771" spans="20:30" x14ac:dyDescent="0.2">
      <c r="T771" s="4">
        <v>250.00301999999999</v>
      </c>
      <c r="U771" s="1">
        <v>382.5</v>
      </c>
      <c r="V771" s="3">
        <v>87.025499999999994</v>
      </c>
      <c r="W771" s="3">
        <f t="shared" si="108"/>
        <v>91.182899999999989</v>
      </c>
      <c r="X771" s="1">
        <f t="shared" si="110"/>
        <v>0.11351775789453994</v>
      </c>
      <c r="Z771" s="4">
        <v>250.01548</v>
      </c>
      <c r="AA771" s="1">
        <v>382.5</v>
      </c>
      <c r="AB771" s="3">
        <v>96.669290000000004</v>
      </c>
      <c r="AC771" s="3">
        <f t="shared" si="109"/>
        <v>96.592550000000003</v>
      </c>
      <c r="AD771" s="1">
        <f t="shared" si="111"/>
        <v>5.3618641091934996E-2</v>
      </c>
    </row>
    <row r="772" spans="20:30" x14ac:dyDescent="0.2">
      <c r="T772" s="4">
        <v>250.00201999999999</v>
      </c>
      <c r="U772" s="1">
        <v>383</v>
      </c>
      <c r="V772" s="5">
        <v>87.005549999999999</v>
      </c>
      <c r="W772" s="3">
        <f t="shared" si="108"/>
        <v>91.162949999999995</v>
      </c>
      <c r="X772" s="1">
        <f t="shared" si="110"/>
        <v>0.11375741714606175</v>
      </c>
      <c r="Z772" s="4">
        <v>250.01841999999999</v>
      </c>
      <c r="AA772" s="1">
        <v>383</v>
      </c>
      <c r="AB772" s="5">
        <v>96.612399999999994</v>
      </c>
      <c r="AC772" s="3">
        <f t="shared" si="109"/>
        <v>96.535659999999993</v>
      </c>
      <c r="AD772" s="1">
        <f t="shared" si="111"/>
        <v>5.4299064307369325E-2</v>
      </c>
    </row>
    <row r="773" spans="20:30" x14ac:dyDescent="0.2">
      <c r="T773" s="4">
        <v>250.00501</v>
      </c>
      <c r="U773" s="1">
        <v>383.5</v>
      </c>
      <c r="V773" s="3">
        <v>87.003389999999996</v>
      </c>
      <c r="W773" s="3">
        <f t="shared" si="108"/>
        <v>91.160789999999992</v>
      </c>
      <c r="X773" s="1">
        <f t="shared" si="110"/>
        <v>0.11378336521539949</v>
      </c>
      <c r="Z773" s="4">
        <v>250.02149</v>
      </c>
      <c r="AA773" s="1">
        <v>383.5</v>
      </c>
      <c r="AB773" s="3">
        <v>96.619780000000006</v>
      </c>
      <c r="AC773" s="3">
        <f t="shared" si="109"/>
        <v>96.543040000000005</v>
      </c>
      <c r="AD773" s="1">
        <f t="shared" si="111"/>
        <v>5.4210797066555252E-2</v>
      </c>
    </row>
    <row r="774" spans="20:30" x14ac:dyDescent="0.2">
      <c r="T774" s="4">
        <v>250.00201000000001</v>
      </c>
      <c r="U774" s="1">
        <v>384</v>
      </c>
      <c r="V774" s="5">
        <v>86.995559999999998</v>
      </c>
      <c r="W774" s="3">
        <f t="shared" si="108"/>
        <v>91.152959999999993</v>
      </c>
      <c r="X774" s="1">
        <f t="shared" si="110"/>
        <v>0.11387742696674866</v>
      </c>
      <c r="Z774" s="4">
        <v>250.01644999999999</v>
      </c>
      <c r="AA774" s="1">
        <v>384</v>
      </c>
      <c r="AB774" s="5">
        <v>96.509969999999996</v>
      </c>
      <c r="AC774" s="3">
        <f t="shared" si="109"/>
        <v>96.433229999999995</v>
      </c>
      <c r="AD774" s="1">
        <f t="shared" si="111"/>
        <v>5.5524160984411423E-2</v>
      </c>
    </row>
    <row r="775" spans="20:30" x14ac:dyDescent="0.2">
      <c r="T775" s="4">
        <v>250.00299999999999</v>
      </c>
      <c r="U775" s="1">
        <v>384.5</v>
      </c>
      <c r="V775" s="3">
        <v>86.985389999999995</v>
      </c>
      <c r="W775" s="3">
        <f t="shared" ref="W775:W838" si="112">100-($V$6-V775)</f>
        <v>91.142789999999991</v>
      </c>
      <c r="X775" s="1">
        <f t="shared" si="110"/>
        <v>0.11399959912654706</v>
      </c>
      <c r="Z775" s="4">
        <v>250.01775000000001</v>
      </c>
      <c r="AA775" s="1">
        <v>384.5</v>
      </c>
      <c r="AB775" s="3">
        <v>96.524619999999999</v>
      </c>
      <c r="AC775" s="3">
        <f t="shared" ref="AC775:AC838" si="113">100-($AB$6-AB775)</f>
        <v>96.447879999999998</v>
      </c>
      <c r="AD775" s="1">
        <f t="shared" si="111"/>
        <v>5.534894213916422E-2</v>
      </c>
    </row>
    <row r="776" spans="20:30" x14ac:dyDescent="0.2">
      <c r="T776" s="4">
        <v>250.00299000000001</v>
      </c>
      <c r="U776" s="1">
        <v>385</v>
      </c>
      <c r="V776" s="5">
        <v>86.957279999999997</v>
      </c>
      <c r="W776" s="3">
        <f t="shared" si="112"/>
        <v>91.114679999999993</v>
      </c>
      <c r="X776" s="1">
        <f t="shared" si="110"/>
        <v>0.11433728441778913</v>
      </c>
      <c r="Z776" s="4">
        <v>250.02058</v>
      </c>
      <c r="AA776" s="1">
        <v>385</v>
      </c>
      <c r="AB776" s="5">
        <v>96.517600000000002</v>
      </c>
      <c r="AC776" s="3">
        <f t="shared" si="113"/>
        <v>96.440860000000001</v>
      </c>
      <c r="AD776" s="1">
        <f t="shared" si="111"/>
        <v>5.5432903660914024E-2</v>
      </c>
    </row>
    <row r="777" spans="20:30" x14ac:dyDescent="0.2">
      <c r="T777" s="4">
        <v>250.01196999999999</v>
      </c>
      <c r="U777" s="1">
        <v>385.5</v>
      </c>
      <c r="V777" s="3">
        <v>86.955240000000003</v>
      </c>
      <c r="W777" s="3">
        <f t="shared" si="112"/>
        <v>91.112639999999999</v>
      </c>
      <c r="X777" s="1">
        <f t="shared" si="110"/>
        <v>0.11436179092771911</v>
      </c>
      <c r="Z777" s="4">
        <v>250.01976999999999</v>
      </c>
      <c r="AA777" s="1">
        <v>385.5</v>
      </c>
      <c r="AB777" s="3">
        <v>96.472790000000003</v>
      </c>
      <c r="AC777" s="3">
        <f t="shared" si="113"/>
        <v>96.396050000000002</v>
      </c>
      <c r="AD777" s="1">
        <f t="shared" si="111"/>
        <v>5.5968846081086383E-2</v>
      </c>
    </row>
    <row r="778" spans="20:30" x14ac:dyDescent="0.2">
      <c r="T778" s="4">
        <v>250.00800000000001</v>
      </c>
      <c r="U778" s="1">
        <v>386</v>
      </c>
      <c r="V778" s="5">
        <v>86.947280000000006</v>
      </c>
      <c r="W778" s="3">
        <f t="shared" si="112"/>
        <v>91.104680000000002</v>
      </c>
      <c r="X778" s="1">
        <f t="shared" si="110"/>
        <v>0.11445741436842655</v>
      </c>
      <c r="Z778" s="4">
        <v>250.02252999999999</v>
      </c>
      <c r="AA778" s="1">
        <v>386</v>
      </c>
      <c r="AB778" s="5">
        <v>96.567970000000003</v>
      </c>
      <c r="AC778" s="3">
        <f t="shared" si="113"/>
        <v>96.491230000000002</v>
      </c>
      <c r="AD778" s="1">
        <f t="shared" si="111"/>
        <v>5.4830461801862837E-2</v>
      </c>
    </row>
    <row r="779" spans="20:30" x14ac:dyDescent="0.2">
      <c r="T779" s="4">
        <v>250.00898000000001</v>
      </c>
      <c r="U779" s="1">
        <v>386.5</v>
      </c>
      <c r="V779" s="3">
        <v>86.911190000000005</v>
      </c>
      <c r="W779" s="3">
        <f t="shared" si="112"/>
        <v>91.06859</v>
      </c>
      <c r="X779" s="1">
        <f t="shared" si="110"/>
        <v>0.11489096336027742</v>
      </c>
      <c r="Z779" s="4">
        <v>250.02139</v>
      </c>
      <c r="AA779" s="1">
        <v>386.5</v>
      </c>
      <c r="AB779" s="3">
        <v>96.645229999999998</v>
      </c>
      <c r="AC779" s="3">
        <f t="shared" si="113"/>
        <v>96.568489999999997</v>
      </c>
      <c r="AD779" s="1">
        <f t="shared" si="111"/>
        <v>5.3906406649385355E-2</v>
      </c>
    </row>
    <row r="780" spans="20:30" x14ac:dyDescent="0.2">
      <c r="T780" s="4">
        <v>250.00402</v>
      </c>
      <c r="U780" s="1">
        <v>387</v>
      </c>
      <c r="V780" s="5">
        <v>86.925359999999998</v>
      </c>
      <c r="W780" s="3">
        <f t="shared" si="112"/>
        <v>91.082759999999993</v>
      </c>
      <c r="X780" s="1">
        <f t="shared" si="110"/>
        <v>0.11472073922022412</v>
      </c>
      <c r="Z780" s="4">
        <v>250.01922999999999</v>
      </c>
      <c r="AA780" s="1">
        <v>387</v>
      </c>
      <c r="AB780" s="5">
        <v>96.536850000000001</v>
      </c>
      <c r="AC780" s="3">
        <f t="shared" si="113"/>
        <v>96.46011</v>
      </c>
      <c r="AD780" s="1">
        <f t="shared" si="111"/>
        <v>5.520266729429233E-2</v>
      </c>
    </row>
    <row r="781" spans="20:30" x14ac:dyDescent="0.2">
      <c r="T781" s="4">
        <v>249.99701999999999</v>
      </c>
      <c r="U781" s="1">
        <v>387.5</v>
      </c>
      <c r="V781" s="3">
        <v>86.925240000000002</v>
      </c>
      <c r="W781" s="3">
        <f t="shared" si="112"/>
        <v>91.082639999999998</v>
      </c>
      <c r="X781" s="1">
        <f t="shared" si="110"/>
        <v>0.11472218077963171</v>
      </c>
      <c r="Z781" s="4">
        <v>250.02216999999999</v>
      </c>
      <c r="AA781" s="1">
        <v>387.5</v>
      </c>
      <c r="AB781" s="3">
        <v>96.42671</v>
      </c>
      <c r="AC781" s="3">
        <f t="shared" si="113"/>
        <v>96.349969999999999</v>
      </c>
      <c r="AD781" s="1">
        <f t="shared" si="111"/>
        <v>5.6519978121290476E-2</v>
      </c>
    </row>
    <row r="782" spans="20:30" x14ac:dyDescent="0.2">
      <c r="T782" s="4">
        <v>250.00201999999999</v>
      </c>
      <c r="U782" s="1">
        <v>388</v>
      </c>
      <c r="V782" s="5">
        <v>86.905230000000003</v>
      </c>
      <c r="W782" s="3">
        <f t="shared" si="112"/>
        <v>91.062629999999999</v>
      </c>
      <c r="X782" s="1">
        <f t="shared" si="110"/>
        <v>0.1149625608108574</v>
      </c>
      <c r="Z782" s="4">
        <v>250.02151000000001</v>
      </c>
      <c r="AA782" s="1">
        <v>388</v>
      </c>
      <c r="AB782" s="5">
        <v>96.574430000000007</v>
      </c>
      <c r="AC782" s="3">
        <f t="shared" si="113"/>
        <v>96.497690000000006</v>
      </c>
      <c r="AD782" s="1">
        <f t="shared" si="111"/>
        <v>5.475319806532377E-2</v>
      </c>
    </row>
    <row r="783" spans="20:30" x14ac:dyDescent="0.2">
      <c r="T783" s="4">
        <v>250.00601</v>
      </c>
      <c r="U783" s="1">
        <v>388.5</v>
      </c>
      <c r="V783" s="3">
        <v>86.905320000000003</v>
      </c>
      <c r="W783" s="3">
        <f t="shared" si="112"/>
        <v>91.062719999999999</v>
      </c>
      <c r="X783" s="1">
        <f t="shared" si="110"/>
        <v>0.11496147964130167</v>
      </c>
      <c r="Z783" s="4">
        <v>250.01714000000001</v>
      </c>
      <c r="AA783" s="1">
        <v>388.5</v>
      </c>
      <c r="AB783" s="3">
        <v>96.420379999999994</v>
      </c>
      <c r="AC783" s="3">
        <f t="shared" si="113"/>
        <v>96.343639999999994</v>
      </c>
      <c r="AD783" s="1">
        <f t="shared" si="111"/>
        <v>5.6595687014834195E-2</v>
      </c>
    </row>
    <row r="784" spans="20:30" x14ac:dyDescent="0.2">
      <c r="T784" s="4">
        <v>250.00796</v>
      </c>
      <c r="U784" s="1">
        <v>389</v>
      </c>
      <c r="V784" s="5">
        <v>86.886899999999997</v>
      </c>
      <c r="W784" s="3">
        <f t="shared" si="112"/>
        <v>91.044299999999993</v>
      </c>
      <c r="X784" s="1">
        <f t="shared" si="110"/>
        <v>0.11518275901037607</v>
      </c>
      <c r="Z784" s="4">
        <v>250.01952</v>
      </c>
      <c r="AA784" s="1">
        <v>389</v>
      </c>
      <c r="AB784" s="5">
        <v>96.504360000000005</v>
      </c>
      <c r="AC784" s="3">
        <f t="shared" si="113"/>
        <v>96.427620000000005</v>
      </c>
      <c r="AD784" s="1">
        <f t="shared" si="111"/>
        <v>5.559125843982677E-2</v>
      </c>
    </row>
    <row r="785" spans="20:30" x14ac:dyDescent="0.2">
      <c r="T785" s="4">
        <v>250.00699</v>
      </c>
      <c r="U785" s="1">
        <v>389.5</v>
      </c>
      <c r="V785" s="3">
        <v>86.865110000000001</v>
      </c>
      <c r="W785" s="3">
        <f t="shared" si="112"/>
        <v>91.022509999999997</v>
      </c>
      <c r="X785" s="1">
        <f t="shared" si="110"/>
        <v>0.1154445221728152</v>
      </c>
      <c r="Z785" s="4">
        <v>250.01979</v>
      </c>
      <c r="AA785" s="1">
        <v>389.5</v>
      </c>
      <c r="AB785" s="3">
        <v>96.409989999999993</v>
      </c>
      <c r="AC785" s="3">
        <f t="shared" si="113"/>
        <v>96.333249999999992</v>
      </c>
      <c r="AD785" s="1">
        <f t="shared" si="111"/>
        <v>5.671995485115626E-2</v>
      </c>
    </row>
    <row r="786" spans="20:30" x14ac:dyDescent="0.2">
      <c r="T786" s="4">
        <v>250.01405</v>
      </c>
      <c r="U786" s="1">
        <v>390</v>
      </c>
      <c r="V786" s="5">
        <v>86.858990000000006</v>
      </c>
      <c r="W786" s="3">
        <f t="shared" si="112"/>
        <v>91.016390000000001</v>
      </c>
      <c r="X786" s="1">
        <f t="shared" si="110"/>
        <v>0.11551804170260531</v>
      </c>
      <c r="Z786" s="4">
        <v>250.01785000000001</v>
      </c>
      <c r="AA786" s="1">
        <v>390</v>
      </c>
      <c r="AB786" s="5">
        <v>96.611369999999994</v>
      </c>
      <c r="AC786" s="3">
        <f t="shared" si="113"/>
        <v>96.534629999999993</v>
      </c>
      <c r="AD786" s="1">
        <f t="shared" si="111"/>
        <v>5.4311383448024927E-2</v>
      </c>
    </row>
    <row r="787" spans="20:30" x14ac:dyDescent="0.2">
      <c r="T787" s="4">
        <v>250.00800000000001</v>
      </c>
      <c r="U787" s="1">
        <v>390.5</v>
      </c>
      <c r="V787" s="3">
        <v>86.850899999999996</v>
      </c>
      <c r="W787" s="3">
        <f t="shared" si="112"/>
        <v>91.008299999999991</v>
      </c>
      <c r="X787" s="1">
        <f t="shared" si="110"/>
        <v>0.1156152268326712</v>
      </c>
      <c r="Z787" s="4">
        <v>250.01866000000001</v>
      </c>
      <c r="AA787" s="1">
        <v>390.5</v>
      </c>
      <c r="AB787" s="3">
        <v>96.44923</v>
      </c>
      <c r="AC787" s="3">
        <f t="shared" si="113"/>
        <v>96.372489999999999</v>
      </c>
      <c r="AD787" s="1">
        <f t="shared" si="111"/>
        <v>5.6250631473169922E-2</v>
      </c>
    </row>
    <row r="788" spans="20:30" x14ac:dyDescent="0.2">
      <c r="T788" s="4">
        <v>250.00398999999999</v>
      </c>
      <c r="U788" s="1">
        <v>391</v>
      </c>
      <c r="V788" s="5">
        <v>86.824879999999993</v>
      </c>
      <c r="W788" s="3">
        <f t="shared" si="112"/>
        <v>90.982279999999989</v>
      </c>
      <c r="X788" s="1">
        <f t="shared" si="110"/>
        <v>0.11592780496423008</v>
      </c>
      <c r="Z788" s="4">
        <v>250.02175</v>
      </c>
      <c r="AA788" s="1">
        <v>391</v>
      </c>
      <c r="AB788" s="5">
        <v>96.413139999999999</v>
      </c>
      <c r="AC788" s="3">
        <f t="shared" si="113"/>
        <v>96.336399999999998</v>
      </c>
      <c r="AD788" s="1">
        <f t="shared" si="111"/>
        <v>5.6682279809345378E-2</v>
      </c>
    </row>
    <row r="789" spans="20:30" x14ac:dyDescent="0.2">
      <c r="T789" s="4">
        <v>250.00998999999999</v>
      </c>
      <c r="U789" s="1">
        <v>391.5</v>
      </c>
      <c r="V789" s="3">
        <v>86.824889999999996</v>
      </c>
      <c r="W789" s="3">
        <f t="shared" si="112"/>
        <v>90.982289999999992</v>
      </c>
      <c r="X789" s="1">
        <f t="shared" si="110"/>
        <v>0.11592768483427941</v>
      </c>
      <c r="Z789" s="4">
        <v>250.01707999999999</v>
      </c>
      <c r="AA789" s="1">
        <v>391.5</v>
      </c>
      <c r="AB789" s="3">
        <v>96.439229999999995</v>
      </c>
      <c r="AC789" s="3">
        <f t="shared" si="113"/>
        <v>96.362489999999994</v>
      </c>
      <c r="AD789" s="1">
        <f t="shared" si="111"/>
        <v>5.6370234780505929E-2</v>
      </c>
    </row>
    <row r="790" spans="20:30" x14ac:dyDescent="0.2">
      <c r="T790" s="4">
        <v>250.00998000000001</v>
      </c>
      <c r="U790" s="1">
        <v>392</v>
      </c>
      <c r="V790" s="5">
        <v>86.814850000000007</v>
      </c>
      <c r="W790" s="3">
        <f t="shared" si="112"/>
        <v>90.972250000000003</v>
      </c>
      <c r="X790" s="1">
        <f t="shared" ref="X790:X853" si="114">($W$21-W790)/($W$21*(1-$M$1))</f>
        <v>0.11604829530471936</v>
      </c>
      <c r="Z790" s="4">
        <v>250.01054999999999</v>
      </c>
      <c r="AA790" s="1">
        <v>392</v>
      </c>
      <c r="AB790" s="5">
        <v>96.507620000000003</v>
      </c>
      <c r="AC790" s="3">
        <f t="shared" si="113"/>
        <v>96.430880000000002</v>
      </c>
      <c r="AD790" s="1">
        <f t="shared" si="111"/>
        <v>5.5552267761635285E-2</v>
      </c>
    </row>
    <row r="791" spans="20:30" x14ac:dyDescent="0.2">
      <c r="T791" s="4">
        <v>250.00201000000001</v>
      </c>
      <c r="U791" s="1">
        <v>392.5</v>
      </c>
      <c r="V791" s="3">
        <v>86.800939999999997</v>
      </c>
      <c r="W791" s="3">
        <f t="shared" si="112"/>
        <v>90.958339999999993</v>
      </c>
      <c r="X791" s="1">
        <f t="shared" si="114"/>
        <v>0.11621539606605628</v>
      </c>
      <c r="Z791" s="4">
        <v>250.01694000000001</v>
      </c>
      <c r="AA791" s="1">
        <v>392.5</v>
      </c>
      <c r="AB791" s="3">
        <v>96.437020000000004</v>
      </c>
      <c r="AC791" s="3">
        <f t="shared" si="113"/>
        <v>96.360280000000003</v>
      </c>
      <c r="AD791" s="1">
        <f t="shared" si="111"/>
        <v>5.6396667111427067E-2</v>
      </c>
    </row>
    <row r="792" spans="20:30" x14ac:dyDescent="0.2">
      <c r="T792" s="4">
        <v>250.00702000000001</v>
      </c>
      <c r="U792" s="1">
        <v>393</v>
      </c>
      <c r="V792" s="5">
        <v>86.792910000000006</v>
      </c>
      <c r="W792" s="3">
        <f t="shared" si="112"/>
        <v>90.950310000000002</v>
      </c>
      <c r="X792" s="1">
        <f t="shared" si="114"/>
        <v>0.11631186041641811</v>
      </c>
      <c r="Z792" s="4">
        <v>250.02167</v>
      </c>
      <c r="AA792" s="1">
        <v>393</v>
      </c>
      <c r="AB792" s="5">
        <v>96.37903</v>
      </c>
      <c r="AC792" s="3">
        <f t="shared" si="113"/>
        <v>96.302289999999999</v>
      </c>
      <c r="AD792" s="1">
        <f t="shared" si="111"/>
        <v>5.7090246690668277E-2</v>
      </c>
    </row>
    <row r="793" spans="20:30" x14ac:dyDescent="0.2">
      <c r="T793" s="4">
        <v>250.00201999999999</v>
      </c>
      <c r="U793" s="1">
        <v>393.5</v>
      </c>
      <c r="V793" s="3">
        <v>86.796859999999995</v>
      </c>
      <c r="W793" s="3">
        <f t="shared" si="112"/>
        <v>90.954259999999991</v>
      </c>
      <c r="X793" s="1">
        <f t="shared" si="114"/>
        <v>0.11626440908591643</v>
      </c>
      <c r="Z793" s="4">
        <v>250.02275</v>
      </c>
      <c r="AA793" s="1">
        <v>393.5</v>
      </c>
      <c r="AB793" s="3">
        <v>96.463130000000007</v>
      </c>
      <c r="AC793" s="3">
        <f t="shared" si="113"/>
        <v>96.386390000000006</v>
      </c>
      <c r="AD793" s="1">
        <f t="shared" si="111"/>
        <v>5.6084382875972873E-2</v>
      </c>
    </row>
    <row r="794" spans="20:30" x14ac:dyDescent="0.2">
      <c r="T794" s="4">
        <v>250.00899000000001</v>
      </c>
      <c r="U794" s="1">
        <v>394</v>
      </c>
      <c r="V794" s="5">
        <v>86.782719999999998</v>
      </c>
      <c r="W794" s="3">
        <f t="shared" si="112"/>
        <v>90.940119999999993</v>
      </c>
      <c r="X794" s="1">
        <f t="shared" si="114"/>
        <v>0.11643427283611786</v>
      </c>
      <c r="Z794" s="4">
        <v>250.02599000000001</v>
      </c>
      <c r="AA794" s="1">
        <v>394</v>
      </c>
      <c r="AB794" s="5">
        <v>96.482190000000003</v>
      </c>
      <c r="AC794" s="3">
        <f t="shared" si="113"/>
        <v>96.405450000000002</v>
      </c>
      <c r="AD794" s="1">
        <f t="shared" si="111"/>
        <v>5.5856418972190604E-2</v>
      </c>
    </row>
    <row r="795" spans="20:30" x14ac:dyDescent="0.2">
      <c r="T795" s="4">
        <v>250.00002000000001</v>
      </c>
      <c r="U795" s="1">
        <v>394.5</v>
      </c>
      <c r="V795" s="3">
        <v>86.770579999999995</v>
      </c>
      <c r="W795" s="3">
        <f t="shared" si="112"/>
        <v>90.927979999999991</v>
      </c>
      <c r="X795" s="1">
        <f t="shared" si="114"/>
        <v>0.11658011059619185</v>
      </c>
      <c r="Z795" s="4">
        <v>250.02473000000001</v>
      </c>
      <c r="AA795" s="1">
        <v>394.5</v>
      </c>
      <c r="AB795" s="3">
        <v>96.485950000000003</v>
      </c>
      <c r="AC795" s="3">
        <f t="shared" si="113"/>
        <v>96.409210000000002</v>
      </c>
      <c r="AD795" s="1">
        <f t="shared" si="111"/>
        <v>5.5811448128632285E-2</v>
      </c>
    </row>
    <row r="796" spans="20:30" x14ac:dyDescent="0.2">
      <c r="T796" s="4">
        <v>250.00602000000001</v>
      </c>
      <c r="U796" s="1">
        <v>395</v>
      </c>
      <c r="V796" s="5">
        <v>86.768720000000002</v>
      </c>
      <c r="W796" s="3">
        <f t="shared" si="112"/>
        <v>90.926119999999997</v>
      </c>
      <c r="X796" s="1">
        <f t="shared" si="114"/>
        <v>0.11660245476701035</v>
      </c>
      <c r="Z796" s="4">
        <v>250.02331000000001</v>
      </c>
      <c r="AA796" s="1">
        <v>395</v>
      </c>
      <c r="AB796" s="5">
        <v>96.4495</v>
      </c>
      <c r="AC796" s="3">
        <f t="shared" si="113"/>
        <v>96.37276</v>
      </c>
      <c r="AD796" s="1">
        <f t="shared" si="111"/>
        <v>5.6247402183871843E-2</v>
      </c>
    </row>
    <row r="797" spans="20:30" x14ac:dyDescent="0.2">
      <c r="T797" s="4">
        <v>250.00702000000001</v>
      </c>
      <c r="U797" s="1">
        <v>395.5</v>
      </c>
      <c r="V797" s="3">
        <v>86.760620000000003</v>
      </c>
      <c r="W797" s="3">
        <f t="shared" si="112"/>
        <v>90.918019999999999</v>
      </c>
      <c r="X797" s="1">
        <f t="shared" si="114"/>
        <v>0.11669976002702674</v>
      </c>
      <c r="Z797" s="4">
        <v>250.02359000000001</v>
      </c>
      <c r="AA797" s="1">
        <v>395.5</v>
      </c>
      <c r="AB797" s="3">
        <v>96.477850000000004</v>
      </c>
      <c r="AC797" s="3">
        <f t="shared" si="113"/>
        <v>96.401110000000003</v>
      </c>
      <c r="AD797" s="1">
        <f t="shared" si="111"/>
        <v>5.5908326807574391E-2</v>
      </c>
    </row>
    <row r="798" spans="20:30" x14ac:dyDescent="0.2">
      <c r="T798" s="4">
        <v>250.00404</v>
      </c>
      <c r="U798" s="1">
        <v>396</v>
      </c>
      <c r="V798" s="5">
        <v>86.732600000000005</v>
      </c>
      <c r="W798" s="3">
        <f t="shared" si="112"/>
        <v>90.89</v>
      </c>
      <c r="X798" s="1">
        <f t="shared" si="114"/>
        <v>0.11703636414871307</v>
      </c>
      <c r="Z798" s="4">
        <v>250.02216999999999</v>
      </c>
      <c r="AA798" s="1">
        <v>396</v>
      </c>
      <c r="AB798" s="5">
        <v>96.289029999999997</v>
      </c>
      <c r="AC798" s="3">
        <f t="shared" si="113"/>
        <v>96.212289999999996</v>
      </c>
      <c r="AD798" s="1">
        <f t="shared" si="111"/>
        <v>5.8166676456691851E-2</v>
      </c>
    </row>
    <row r="799" spans="20:30" x14ac:dyDescent="0.2">
      <c r="T799" s="4">
        <v>250.00402</v>
      </c>
      <c r="U799" s="1">
        <v>396.5</v>
      </c>
      <c r="V799" s="3">
        <v>86.728579999999994</v>
      </c>
      <c r="W799" s="3">
        <f t="shared" si="112"/>
        <v>90.885979999999989</v>
      </c>
      <c r="X799" s="1">
        <f t="shared" si="114"/>
        <v>0.1170846563888695</v>
      </c>
      <c r="Z799" s="4">
        <v>250.01956999999999</v>
      </c>
      <c r="AA799" s="1">
        <v>396.5</v>
      </c>
      <c r="AB799" s="3">
        <v>96.413880000000006</v>
      </c>
      <c r="AC799" s="3">
        <f t="shared" si="113"/>
        <v>96.337140000000005</v>
      </c>
      <c r="AD799" s="1">
        <f t="shared" si="111"/>
        <v>5.6673429164602426E-2</v>
      </c>
    </row>
    <row r="800" spans="20:30" x14ac:dyDescent="0.2">
      <c r="T800" s="4">
        <v>250.00596999999999</v>
      </c>
      <c r="U800" s="1">
        <v>397</v>
      </c>
      <c r="V800" s="5">
        <v>86.706429999999997</v>
      </c>
      <c r="W800" s="3">
        <f t="shared" si="112"/>
        <v>90.863829999999993</v>
      </c>
      <c r="X800" s="1">
        <f t="shared" si="114"/>
        <v>0.11735074422953158</v>
      </c>
      <c r="Z800" s="4">
        <v>250.01571999999999</v>
      </c>
      <c r="AA800" s="1">
        <v>397</v>
      </c>
      <c r="AB800" s="5">
        <v>96.370689999999996</v>
      </c>
      <c r="AC800" s="3">
        <f t="shared" si="113"/>
        <v>96.293949999999995</v>
      </c>
      <c r="AD800" s="1">
        <f t="shared" si="111"/>
        <v>5.7189995848986507E-2</v>
      </c>
    </row>
    <row r="801" spans="20:30" x14ac:dyDescent="0.2">
      <c r="T801" s="4">
        <v>250.00604999999999</v>
      </c>
      <c r="U801" s="1">
        <v>397.5</v>
      </c>
      <c r="V801" s="3">
        <v>86.710549999999998</v>
      </c>
      <c r="W801" s="3">
        <f t="shared" si="112"/>
        <v>90.867949999999993</v>
      </c>
      <c r="X801" s="1">
        <f t="shared" si="114"/>
        <v>0.11730125068986892</v>
      </c>
      <c r="Z801" s="4">
        <v>250.01792</v>
      </c>
      <c r="AA801" s="1">
        <v>397.5</v>
      </c>
      <c r="AB801" s="3">
        <v>96.38212</v>
      </c>
      <c r="AC801" s="3">
        <f t="shared" si="113"/>
        <v>96.30538</v>
      </c>
      <c r="AD801" s="1">
        <f t="shared" si="111"/>
        <v>5.7053289268701464E-2</v>
      </c>
    </row>
    <row r="802" spans="20:30" x14ac:dyDescent="0.2">
      <c r="T802" s="4">
        <v>250.00597999999999</v>
      </c>
      <c r="U802" s="1">
        <v>398</v>
      </c>
      <c r="V802" s="5">
        <v>86.712609999999998</v>
      </c>
      <c r="W802" s="3">
        <f t="shared" si="112"/>
        <v>90.870009999999994</v>
      </c>
      <c r="X802" s="1">
        <f t="shared" si="114"/>
        <v>0.11727650392003758</v>
      </c>
      <c r="Z802" s="4">
        <v>250.01769999999999</v>
      </c>
      <c r="AA802" s="1">
        <v>398</v>
      </c>
      <c r="AB802" s="5">
        <v>96.44614</v>
      </c>
      <c r="AC802" s="3">
        <f t="shared" si="113"/>
        <v>96.369399999999999</v>
      </c>
      <c r="AD802" s="1">
        <f t="shared" si="111"/>
        <v>5.6287588895136728E-2</v>
      </c>
    </row>
    <row r="803" spans="20:30" x14ac:dyDescent="0.2">
      <c r="T803" s="4">
        <v>250.00596999999999</v>
      </c>
      <c r="U803" s="1">
        <v>398.5</v>
      </c>
      <c r="V803" s="3">
        <v>86.690309999999997</v>
      </c>
      <c r="W803" s="3">
        <f t="shared" si="112"/>
        <v>90.847709999999992</v>
      </c>
      <c r="X803" s="1">
        <f t="shared" si="114"/>
        <v>0.1175443937099593</v>
      </c>
      <c r="Z803" s="4">
        <v>250.01908</v>
      </c>
      <c r="AA803" s="1">
        <v>398.5</v>
      </c>
      <c r="AB803" s="3">
        <v>96.297700000000006</v>
      </c>
      <c r="AC803" s="3">
        <f t="shared" si="113"/>
        <v>96.220960000000005</v>
      </c>
      <c r="AD803" s="1">
        <f t="shared" si="111"/>
        <v>5.8062980389231474E-2</v>
      </c>
    </row>
    <row r="804" spans="20:30" x14ac:dyDescent="0.2">
      <c r="T804" s="4">
        <v>250.00595999999999</v>
      </c>
      <c r="U804" s="1">
        <v>399</v>
      </c>
      <c r="V804" s="5">
        <v>86.672430000000006</v>
      </c>
      <c r="W804" s="3">
        <f t="shared" si="112"/>
        <v>90.829830000000001</v>
      </c>
      <c r="X804" s="1">
        <f t="shared" si="114"/>
        <v>0.11775918606169909</v>
      </c>
      <c r="Z804" s="4">
        <v>250.02189999999999</v>
      </c>
      <c r="AA804" s="1">
        <v>399</v>
      </c>
      <c r="AB804" s="5">
        <v>96.491849999999999</v>
      </c>
      <c r="AC804" s="3">
        <f t="shared" si="113"/>
        <v>96.415109999999999</v>
      </c>
      <c r="AD804" s="1">
        <f t="shared" si="111"/>
        <v>5.5740882177304114E-2</v>
      </c>
    </row>
    <row r="805" spans="20:30" x14ac:dyDescent="0.2">
      <c r="T805" s="4">
        <v>250.00601</v>
      </c>
      <c r="U805" s="1">
        <v>399.5</v>
      </c>
      <c r="V805" s="3">
        <v>86.662109999999998</v>
      </c>
      <c r="W805" s="3">
        <f t="shared" si="112"/>
        <v>90.819509999999994</v>
      </c>
      <c r="X805" s="1">
        <f t="shared" si="114"/>
        <v>0.1178831601707571</v>
      </c>
      <c r="Z805" s="4">
        <v>250.02266</v>
      </c>
      <c r="AA805" s="1">
        <v>399.5</v>
      </c>
      <c r="AB805" s="3">
        <v>96.406980000000004</v>
      </c>
      <c r="AC805" s="3">
        <f t="shared" si="113"/>
        <v>96.330240000000003</v>
      </c>
      <c r="AD805" s="1">
        <f t="shared" si="111"/>
        <v>5.6755955446664251E-2</v>
      </c>
    </row>
    <row r="806" spans="20:30" x14ac:dyDescent="0.2">
      <c r="T806" s="4">
        <v>250.00104999999999</v>
      </c>
      <c r="U806" s="1">
        <v>400</v>
      </c>
      <c r="V806" s="5">
        <v>86.644350000000003</v>
      </c>
      <c r="W806" s="3">
        <f t="shared" si="112"/>
        <v>90.801749999999998</v>
      </c>
      <c r="X806" s="1">
        <f t="shared" si="114"/>
        <v>0.1180965109630893</v>
      </c>
      <c r="Z806" s="4">
        <v>250.01676</v>
      </c>
      <c r="AA806" s="1">
        <v>400</v>
      </c>
      <c r="AB806" s="5">
        <v>96.35351</v>
      </c>
      <c r="AC806" s="3">
        <f t="shared" si="113"/>
        <v>96.276769999999999</v>
      </c>
      <c r="AD806" s="1">
        <f t="shared" si="111"/>
        <v>5.739547433098962E-2</v>
      </c>
    </row>
    <row r="807" spans="20:30" x14ac:dyDescent="0.2">
      <c r="T807" s="4">
        <v>250.00792000000001</v>
      </c>
      <c r="U807" s="1">
        <v>400.5</v>
      </c>
      <c r="V807" s="3">
        <v>86.638030000000001</v>
      </c>
      <c r="W807" s="3">
        <f t="shared" si="112"/>
        <v>90.795429999999996</v>
      </c>
      <c r="X807" s="1">
        <f t="shared" si="114"/>
        <v>0.11817243309189225</v>
      </c>
      <c r="Z807" s="4">
        <v>250.01496</v>
      </c>
      <c r="AA807" s="1">
        <v>400.5</v>
      </c>
      <c r="AB807" s="3">
        <v>96.293719999999993</v>
      </c>
      <c r="AC807" s="3">
        <f t="shared" si="113"/>
        <v>96.216979999999992</v>
      </c>
      <c r="AD807" s="1">
        <f t="shared" si="111"/>
        <v>5.8110582505551331E-2</v>
      </c>
    </row>
    <row r="808" spans="20:30" x14ac:dyDescent="0.2">
      <c r="T808" s="4">
        <v>250.00504000000001</v>
      </c>
      <c r="U808" s="1">
        <v>401</v>
      </c>
      <c r="V808" s="5">
        <v>86.656379999999999</v>
      </c>
      <c r="W808" s="3">
        <f t="shared" si="112"/>
        <v>90.813779999999994</v>
      </c>
      <c r="X808" s="1">
        <f t="shared" si="114"/>
        <v>0.11795199463247241</v>
      </c>
      <c r="Z808" s="4">
        <v>250.01459</v>
      </c>
      <c r="AA808" s="1">
        <v>401</v>
      </c>
      <c r="AB808" s="5">
        <v>96.485129999999998</v>
      </c>
      <c r="AC808" s="3">
        <f t="shared" si="113"/>
        <v>96.408389999999997</v>
      </c>
      <c r="AD808" s="1">
        <f t="shared" si="111"/>
        <v>5.5821255599833891E-2</v>
      </c>
    </row>
    <row r="809" spans="20:30" x14ac:dyDescent="0.2">
      <c r="T809" s="4">
        <v>250.00296</v>
      </c>
      <c r="U809" s="1">
        <v>401.5</v>
      </c>
      <c r="V809" s="3">
        <v>86.618160000000003</v>
      </c>
      <c r="W809" s="3">
        <f t="shared" si="112"/>
        <v>90.775559999999999</v>
      </c>
      <c r="X809" s="1">
        <f t="shared" si="114"/>
        <v>0.11841113130380899</v>
      </c>
      <c r="Z809" s="4">
        <v>250.01338999999999</v>
      </c>
      <c r="AA809" s="1">
        <v>401.5</v>
      </c>
      <c r="AB809" s="3">
        <v>96.349990000000005</v>
      </c>
      <c r="AC809" s="3">
        <f t="shared" si="113"/>
        <v>96.273250000000004</v>
      </c>
      <c r="AD809" s="1">
        <f t="shared" si="111"/>
        <v>5.7437574695171807E-2</v>
      </c>
    </row>
    <row r="810" spans="20:30" x14ac:dyDescent="0.2">
      <c r="T810" s="4">
        <v>250.00303</v>
      </c>
      <c r="U810" s="1">
        <v>402</v>
      </c>
      <c r="V810" s="5">
        <v>86.598339999999993</v>
      </c>
      <c r="W810" s="3">
        <f t="shared" si="112"/>
        <v>90.755739999999989</v>
      </c>
      <c r="X810" s="1">
        <f t="shared" si="114"/>
        <v>0.11864922886597271</v>
      </c>
      <c r="Z810" s="4">
        <v>250.01555999999999</v>
      </c>
      <c r="AA810" s="1">
        <v>402</v>
      </c>
      <c r="AB810" s="5">
        <v>96.329030000000003</v>
      </c>
      <c r="AC810" s="3">
        <f t="shared" si="113"/>
        <v>96.252290000000002</v>
      </c>
      <c r="AD810" s="1">
        <f t="shared" si="111"/>
        <v>5.7688263227347984E-2</v>
      </c>
    </row>
    <row r="811" spans="20:30" x14ac:dyDescent="0.2">
      <c r="T811" s="4">
        <v>250.00496000000001</v>
      </c>
      <c r="U811" s="1">
        <v>402.5</v>
      </c>
      <c r="V811" s="3">
        <v>86.602180000000004</v>
      </c>
      <c r="W811" s="3">
        <f t="shared" si="112"/>
        <v>90.75958</v>
      </c>
      <c r="X811" s="1">
        <f t="shared" si="114"/>
        <v>0.11860309896492777</v>
      </c>
      <c r="Z811" s="4">
        <v>250.01298</v>
      </c>
      <c r="AA811" s="1">
        <v>402.5</v>
      </c>
      <c r="AB811" s="3">
        <v>96.29589</v>
      </c>
      <c r="AC811" s="3">
        <f t="shared" si="113"/>
        <v>96.219149999999999</v>
      </c>
      <c r="AD811" s="1">
        <f t="shared" si="111"/>
        <v>5.8084628587859351E-2</v>
      </c>
    </row>
    <row r="812" spans="20:30" x14ac:dyDescent="0.2">
      <c r="T812" s="4">
        <v>250.00805</v>
      </c>
      <c r="U812" s="1">
        <v>403</v>
      </c>
      <c r="V812" s="5">
        <v>86.606070000000003</v>
      </c>
      <c r="W812" s="3">
        <f t="shared" si="112"/>
        <v>90.763469999999998</v>
      </c>
      <c r="X812" s="1">
        <f t="shared" si="114"/>
        <v>0.11855636841412978</v>
      </c>
      <c r="Z812" s="4">
        <v>250.01355000000001</v>
      </c>
      <c r="AA812" s="1">
        <v>403</v>
      </c>
      <c r="AB812" s="5">
        <v>96.295339999999996</v>
      </c>
      <c r="AC812" s="3">
        <f t="shared" si="113"/>
        <v>96.218599999999995</v>
      </c>
      <c r="AD812" s="1">
        <f t="shared" si="111"/>
        <v>5.8091206769762878E-2</v>
      </c>
    </row>
    <row r="813" spans="20:30" x14ac:dyDescent="0.2">
      <c r="T813" s="4">
        <v>250.00299000000001</v>
      </c>
      <c r="U813" s="1">
        <v>403.5</v>
      </c>
      <c r="V813" s="3">
        <v>86.571939999999998</v>
      </c>
      <c r="W813" s="3">
        <f t="shared" si="112"/>
        <v>90.729339999999993</v>
      </c>
      <c r="X813" s="1">
        <f t="shared" si="114"/>
        <v>0.11896637193565573</v>
      </c>
      <c r="Z813" s="4">
        <v>250.01503</v>
      </c>
      <c r="AA813" s="1">
        <v>403.5</v>
      </c>
      <c r="AB813" s="3">
        <v>96.39949</v>
      </c>
      <c r="AC813" s="3">
        <f t="shared" si="113"/>
        <v>96.322749999999999</v>
      </c>
      <c r="AD813" s="1">
        <f t="shared" si="111"/>
        <v>5.6845538323858927E-2</v>
      </c>
    </row>
    <row r="814" spans="20:30" x14ac:dyDescent="0.2">
      <c r="T814" s="4">
        <v>250.00501</v>
      </c>
      <c r="U814" s="1">
        <v>404</v>
      </c>
      <c r="V814" s="5">
        <v>86.569959999999995</v>
      </c>
      <c r="W814" s="3">
        <f t="shared" si="112"/>
        <v>90.72735999999999</v>
      </c>
      <c r="X814" s="1">
        <f t="shared" si="114"/>
        <v>0.118990157665882</v>
      </c>
      <c r="Z814" s="4">
        <v>250.0136</v>
      </c>
      <c r="AA814" s="1">
        <v>404</v>
      </c>
      <c r="AB814" s="5">
        <v>96.271569999999997</v>
      </c>
      <c r="AC814" s="3">
        <f t="shared" si="113"/>
        <v>96.194829999999996</v>
      </c>
      <c r="AD814" s="1">
        <f t="shared" si="111"/>
        <v>5.8375503831300413E-2</v>
      </c>
    </row>
    <row r="815" spans="20:30" x14ac:dyDescent="0.2">
      <c r="T815" s="4">
        <v>250.00297</v>
      </c>
      <c r="U815" s="1">
        <v>404.5</v>
      </c>
      <c r="V815" s="3">
        <v>86.566190000000006</v>
      </c>
      <c r="W815" s="3">
        <f t="shared" si="112"/>
        <v>90.723590000000002</v>
      </c>
      <c r="X815" s="1">
        <f t="shared" si="114"/>
        <v>0.11903544665727221</v>
      </c>
      <c r="Z815" s="4">
        <v>250.01177000000001</v>
      </c>
      <c r="AA815" s="1">
        <v>404.5</v>
      </c>
      <c r="AB815" s="3">
        <v>96.355069999999998</v>
      </c>
      <c r="AC815" s="3">
        <f t="shared" si="113"/>
        <v>96.278329999999997</v>
      </c>
      <c r="AD815" s="1">
        <f t="shared" si="111"/>
        <v>5.7376816215045236E-2</v>
      </c>
    </row>
    <row r="816" spans="20:30" x14ac:dyDescent="0.2">
      <c r="T816" s="4">
        <v>250.00198</v>
      </c>
      <c r="U816" s="1">
        <v>405</v>
      </c>
      <c r="V816" s="5">
        <v>86.553790000000006</v>
      </c>
      <c r="W816" s="3">
        <f t="shared" si="112"/>
        <v>90.711190000000002</v>
      </c>
      <c r="X816" s="1">
        <f t="shared" si="114"/>
        <v>0.11918440779606275</v>
      </c>
      <c r="Z816" s="4">
        <v>250.01335</v>
      </c>
      <c r="AA816" s="1">
        <v>405</v>
      </c>
      <c r="AB816" s="5">
        <v>96.344920000000002</v>
      </c>
      <c r="AC816" s="3">
        <f t="shared" si="113"/>
        <v>96.268180000000001</v>
      </c>
      <c r="AD816" s="1">
        <f t="shared" si="111"/>
        <v>5.7498213571991176E-2</v>
      </c>
    </row>
    <row r="817" spans="20:30" x14ac:dyDescent="0.2">
      <c r="T817" s="4">
        <v>250.00604000000001</v>
      </c>
      <c r="U817" s="1">
        <v>405.5</v>
      </c>
      <c r="V817" s="3">
        <v>86.555999999999997</v>
      </c>
      <c r="W817" s="3">
        <f t="shared" si="112"/>
        <v>90.713399999999993</v>
      </c>
      <c r="X817" s="1">
        <f t="shared" si="114"/>
        <v>0.11915785907697196</v>
      </c>
      <c r="Z817" s="4">
        <v>250.01142999999999</v>
      </c>
      <c r="AA817" s="1">
        <v>405.5</v>
      </c>
      <c r="AB817" s="3">
        <v>96.200249999999997</v>
      </c>
      <c r="AC817" s="3">
        <f t="shared" si="113"/>
        <v>96.123509999999996</v>
      </c>
      <c r="AD817" s="1">
        <f t="shared" si="111"/>
        <v>5.92285146192204E-2</v>
      </c>
    </row>
    <row r="818" spans="20:30" x14ac:dyDescent="0.2">
      <c r="T818" s="4">
        <v>250.00601</v>
      </c>
      <c r="U818" s="1">
        <v>406</v>
      </c>
      <c r="V818" s="5">
        <v>86.527990000000003</v>
      </c>
      <c r="W818" s="3">
        <f t="shared" si="112"/>
        <v>90.685389999999998</v>
      </c>
      <c r="X818" s="1">
        <f t="shared" si="114"/>
        <v>0.11949434306870763</v>
      </c>
      <c r="Z818" s="4">
        <v>250.01308</v>
      </c>
      <c r="AA818" s="1">
        <v>406</v>
      </c>
      <c r="AB818" s="5">
        <v>96.330709999999996</v>
      </c>
      <c r="AC818" s="3">
        <f t="shared" si="113"/>
        <v>96.253969999999995</v>
      </c>
      <c r="AD818" s="1">
        <f t="shared" si="111"/>
        <v>5.7668169871715622E-2</v>
      </c>
    </row>
    <row r="819" spans="20:30" x14ac:dyDescent="0.2">
      <c r="T819" s="4">
        <v>250.00695999999999</v>
      </c>
      <c r="U819" s="1">
        <v>406.5</v>
      </c>
      <c r="V819" s="3">
        <v>86.534000000000006</v>
      </c>
      <c r="W819" s="3">
        <f t="shared" si="112"/>
        <v>90.691400000000002</v>
      </c>
      <c r="X819" s="1">
        <f t="shared" si="114"/>
        <v>0.11942214496837443</v>
      </c>
      <c r="Z819" s="4">
        <v>250.01397</v>
      </c>
      <c r="AA819" s="1">
        <v>406.5</v>
      </c>
      <c r="AB819" s="3">
        <v>96.13767</v>
      </c>
      <c r="AC819" s="3">
        <f t="shared" si="113"/>
        <v>96.060929999999999</v>
      </c>
      <c r="AD819" s="1">
        <f t="shared" si="111"/>
        <v>5.9976992116528724E-2</v>
      </c>
    </row>
    <row r="820" spans="20:30" x14ac:dyDescent="0.2">
      <c r="T820" s="4">
        <v>250.01201</v>
      </c>
      <c r="U820" s="1">
        <v>407</v>
      </c>
      <c r="V820" s="5">
        <v>86.543959999999998</v>
      </c>
      <c r="W820" s="3">
        <f t="shared" si="112"/>
        <v>90.701359999999994</v>
      </c>
      <c r="X820" s="1">
        <f t="shared" si="114"/>
        <v>0.11930249553753954</v>
      </c>
      <c r="Z820" s="4">
        <v>250.00846000000001</v>
      </c>
      <c r="AA820" s="1">
        <v>407</v>
      </c>
      <c r="AB820" s="5">
        <v>96.180179999999993</v>
      </c>
      <c r="AC820" s="3">
        <f t="shared" si="113"/>
        <v>96.103439999999992</v>
      </c>
      <c r="AD820" s="1">
        <f t="shared" si="111"/>
        <v>5.9468558457043692E-2</v>
      </c>
    </row>
    <row r="821" spans="20:30" x14ac:dyDescent="0.2">
      <c r="T821" s="4">
        <v>250.01497000000001</v>
      </c>
      <c r="U821" s="1">
        <v>407.5</v>
      </c>
      <c r="V821" s="3">
        <v>86.551900000000003</v>
      </c>
      <c r="W821" s="3">
        <f t="shared" si="112"/>
        <v>90.709299999999999</v>
      </c>
      <c r="X821" s="1">
        <f t="shared" si="114"/>
        <v>0.11920711235673327</v>
      </c>
      <c r="Z821" s="4">
        <v>250.00037</v>
      </c>
      <c r="AA821" s="1">
        <v>407.5</v>
      </c>
      <c r="AB821" s="3">
        <v>96.319230000000005</v>
      </c>
      <c r="AC821" s="3">
        <f t="shared" si="113"/>
        <v>96.242490000000004</v>
      </c>
      <c r="AD821" s="1">
        <f t="shared" si="111"/>
        <v>5.7805474468537191E-2</v>
      </c>
    </row>
    <row r="822" spans="20:30" x14ac:dyDescent="0.2">
      <c r="T822" s="4">
        <v>250.00803999999999</v>
      </c>
      <c r="U822" s="1">
        <v>408</v>
      </c>
      <c r="V822" s="5">
        <v>86.508039999999994</v>
      </c>
      <c r="W822" s="3">
        <f t="shared" si="112"/>
        <v>90.66543999999999</v>
      </c>
      <c r="X822" s="1">
        <f t="shared" si="114"/>
        <v>0.1197340023202296</v>
      </c>
      <c r="Z822" s="4">
        <v>250.00020000000001</v>
      </c>
      <c r="AA822" s="1">
        <v>408</v>
      </c>
      <c r="AB822" s="5">
        <v>96.248390000000001</v>
      </c>
      <c r="AC822" s="3">
        <f t="shared" si="113"/>
        <v>96.17165</v>
      </c>
      <c r="AD822" s="1">
        <f t="shared" si="111"/>
        <v>5.8652744297705096E-2</v>
      </c>
    </row>
    <row r="823" spans="20:30" x14ac:dyDescent="0.2">
      <c r="T823" s="4">
        <v>249.99798999999999</v>
      </c>
      <c r="U823" s="1">
        <v>408.5</v>
      </c>
      <c r="V823" s="3">
        <v>86.471890000000002</v>
      </c>
      <c r="W823" s="3">
        <f t="shared" si="112"/>
        <v>90.629289999999997</v>
      </c>
      <c r="X823" s="1">
        <f t="shared" si="114"/>
        <v>0.12016827209178417</v>
      </c>
      <c r="Z823" s="4">
        <v>250.00313</v>
      </c>
      <c r="AA823" s="1">
        <v>408.5</v>
      </c>
      <c r="AB823" s="3">
        <v>96.193299999999994</v>
      </c>
      <c r="AC823" s="3">
        <f t="shared" si="113"/>
        <v>96.116559999999993</v>
      </c>
      <c r="AD823" s="1">
        <f t="shared" si="111"/>
        <v>5.9311638917818925E-2</v>
      </c>
    </row>
    <row r="824" spans="20:30" x14ac:dyDescent="0.2">
      <c r="T824" s="4">
        <v>249.99802</v>
      </c>
      <c r="U824" s="1">
        <v>409</v>
      </c>
      <c r="V824" s="5">
        <v>86.473770000000002</v>
      </c>
      <c r="W824" s="3">
        <f t="shared" si="112"/>
        <v>90.631169999999997</v>
      </c>
      <c r="X824" s="1">
        <f t="shared" si="114"/>
        <v>0.12014568766106432</v>
      </c>
      <c r="Z824" s="4">
        <v>250.00603000000001</v>
      </c>
      <c r="AA824" s="1">
        <v>409</v>
      </c>
      <c r="AB824" s="5">
        <v>96.168030000000002</v>
      </c>
      <c r="AC824" s="3">
        <f t="shared" si="113"/>
        <v>96.091290000000001</v>
      </c>
      <c r="AD824" s="1">
        <f t="shared" si="111"/>
        <v>5.9613876475456767E-2</v>
      </c>
    </row>
    <row r="825" spans="20:30" x14ac:dyDescent="0.2">
      <c r="T825" s="4">
        <v>250.00700000000001</v>
      </c>
      <c r="U825" s="1">
        <v>409.5</v>
      </c>
      <c r="V825" s="3">
        <v>86.499939999999995</v>
      </c>
      <c r="W825" s="3">
        <f t="shared" si="112"/>
        <v>90.657339999999991</v>
      </c>
      <c r="X825" s="1">
        <f t="shared" si="114"/>
        <v>0.11983130758024599</v>
      </c>
      <c r="Z825" s="4">
        <v>250.00805</v>
      </c>
      <c r="AA825" s="1">
        <v>409.5</v>
      </c>
      <c r="AB825" s="3">
        <v>96.282529999999994</v>
      </c>
      <c r="AC825" s="3">
        <f t="shared" si="113"/>
        <v>96.205789999999993</v>
      </c>
      <c r="AD825" s="1">
        <f t="shared" si="111"/>
        <v>5.8244418606460249E-2</v>
      </c>
    </row>
    <row r="826" spans="20:30" x14ac:dyDescent="0.2">
      <c r="T826" s="4">
        <v>250.00897000000001</v>
      </c>
      <c r="U826" s="1">
        <v>410</v>
      </c>
      <c r="V826" s="5">
        <v>86.467749999999995</v>
      </c>
      <c r="W826" s="3">
        <f t="shared" si="112"/>
        <v>90.625149999999991</v>
      </c>
      <c r="X826" s="1">
        <f t="shared" si="114"/>
        <v>0.12021800589134819</v>
      </c>
      <c r="Z826" s="4">
        <v>250.00923</v>
      </c>
      <c r="AA826" s="1">
        <v>410</v>
      </c>
      <c r="AB826" s="5">
        <v>96.189930000000004</v>
      </c>
      <c r="AC826" s="3">
        <f t="shared" si="113"/>
        <v>96.113190000000003</v>
      </c>
      <c r="AD826" s="1">
        <f t="shared" si="111"/>
        <v>5.9351945232391012E-2</v>
      </c>
    </row>
    <row r="827" spans="20:30" x14ac:dyDescent="0.2">
      <c r="T827" s="4">
        <v>250.00501</v>
      </c>
      <c r="U827" s="1">
        <v>410.5</v>
      </c>
      <c r="V827" s="3">
        <v>86.453639999999993</v>
      </c>
      <c r="W827" s="3">
        <f t="shared" si="112"/>
        <v>90.611039999999988</v>
      </c>
      <c r="X827" s="1">
        <f t="shared" si="114"/>
        <v>0.12038750925169778</v>
      </c>
      <c r="Z827" s="4">
        <v>250.00740999999999</v>
      </c>
      <c r="AA827" s="1">
        <v>410.5</v>
      </c>
      <c r="AB827" s="3">
        <v>96.242679999999993</v>
      </c>
      <c r="AC827" s="3">
        <f t="shared" si="113"/>
        <v>96.165939999999992</v>
      </c>
      <c r="AD827" s="1">
        <f t="shared" si="111"/>
        <v>5.8721037786194016E-2</v>
      </c>
    </row>
    <row r="828" spans="20:30" x14ac:dyDescent="0.2">
      <c r="T828" s="4">
        <v>250.00700000000001</v>
      </c>
      <c r="U828" s="1">
        <v>411</v>
      </c>
      <c r="V828" s="5">
        <v>86.439880000000002</v>
      </c>
      <c r="W828" s="3">
        <f t="shared" si="112"/>
        <v>90.597279999999998</v>
      </c>
      <c r="X828" s="1">
        <f t="shared" si="114"/>
        <v>0.12055280806377491</v>
      </c>
      <c r="Z828" s="4">
        <v>250.00865999999999</v>
      </c>
      <c r="AA828" s="1">
        <v>411</v>
      </c>
      <c r="AB828" s="5">
        <v>96.183850000000007</v>
      </c>
      <c r="AC828" s="3">
        <f t="shared" si="113"/>
        <v>96.107110000000006</v>
      </c>
      <c r="AD828" s="1">
        <f t="shared" si="111"/>
        <v>5.9424664043251238E-2</v>
      </c>
    </row>
    <row r="829" spans="20:30" x14ac:dyDescent="0.2">
      <c r="T829" s="4">
        <v>249.99805000000001</v>
      </c>
      <c r="U829" s="1">
        <v>411.5</v>
      </c>
      <c r="V829" s="3">
        <v>86.430220000000006</v>
      </c>
      <c r="W829" s="3">
        <f t="shared" si="112"/>
        <v>90.587620000000001</v>
      </c>
      <c r="X829" s="1">
        <f t="shared" si="114"/>
        <v>0.12066885359609072</v>
      </c>
      <c r="Z829" s="4">
        <v>250.01165</v>
      </c>
      <c r="AA829" s="1">
        <v>411.5</v>
      </c>
      <c r="AB829" s="3">
        <v>96.24973</v>
      </c>
      <c r="AC829" s="3">
        <f t="shared" si="113"/>
        <v>96.172989999999999</v>
      </c>
      <c r="AD829" s="1">
        <f t="shared" si="111"/>
        <v>5.8636717454522091E-2</v>
      </c>
    </row>
    <row r="830" spans="20:30" x14ac:dyDescent="0.2">
      <c r="T830" s="4">
        <v>250.00505000000001</v>
      </c>
      <c r="U830" s="1">
        <v>412</v>
      </c>
      <c r="V830" s="5">
        <v>86.429760000000002</v>
      </c>
      <c r="W830" s="3">
        <f t="shared" si="112"/>
        <v>90.587159999999997</v>
      </c>
      <c r="X830" s="1">
        <f t="shared" si="114"/>
        <v>0.1206743795738201</v>
      </c>
      <c r="Z830" s="4">
        <v>250.01398</v>
      </c>
      <c r="AA830" s="1">
        <v>412</v>
      </c>
      <c r="AB830" s="5">
        <v>96.184790000000007</v>
      </c>
      <c r="AC830" s="3">
        <f t="shared" si="113"/>
        <v>96.108050000000006</v>
      </c>
      <c r="AD830" s="1">
        <f t="shared" si="111"/>
        <v>5.941342133236166E-2</v>
      </c>
    </row>
    <row r="831" spans="20:30" x14ac:dyDescent="0.2">
      <c r="T831" s="4">
        <v>250.00398999999999</v>
      </c>
      <c r="U831" s="1">
        <v>412.5</v>
      </c>
      <c r="V831" s="3">
        <v>86.441649999999996</v>
      </c>
      <c r="W831" s="3">
        <f t="shared" si="112"/>
        <v>90.599049999999991</v>
      </c>
      <c r="X831" s="1">
        <f t="shared" si="114"/>
        <v>0.12053154506251214</v>
      </c>
      <c r="Z831" s="4">
        <v>250.01862</v>
      </c>
      <c r="AA831" s="1">
        <v>412.5</v>
      </c>
      <c r="AB831" s="3">
        <v>96.133340000000004</v>
      </c>
      <c r="AC831" s="3">
        <f t="shared" si="113"/>
        <v>96.056600000000003</v>
      </c>
      <c r="AD831" s="1">
        <f t="shared" ref="AD831:AD894" si="115">($AC$62-AC831)/($AC$62*(1-$M$1))</f>
        <v>6.0028780348605142E-2</v>
      </c>
    </row>
    <row r="832" spans="20:30" x14ac:dyDescent="0.2">
      <c r="T832" s="4">
        <v>250.00801000000001</v>
      </c>
      <c r="U832" s="1">
        <v>413</v>
      </c>
      <c r="V832" s="5">
        <v>86.455929999999995</v>
      </c>
      <c r="W832" s="3">
        <f t="shared" si="112"/>
        <v>90.613329999999991</v>
      </c>
      <c r="X832" s="1">
        <f t="shared" si="114"/>
        <v>0.12035999949300176</v>
      </c>
      <c r="Z832" s="4">
        <v>250.01990000000001</v>
      </c>
      <c r="AA832" s="1">
        <v>413</v>
      </c>
      <c r="AB832" s="5">
        <v>96.125960000000006</v>
      </c>
      <c r="AC832" s="3">
        <f t="shared" si="113"/>
        <v>96.049220000000005</v>
      </c>
      <c r="AD832" s="1">
        <f t="shared" si="115"/>
        <v>6.0117047589419048E-2</v>
      </c>
    </row>
    <row r="833" spans="20:30" x14ac:dyDescent="0.2">
      <c r="T833" s="4">
        <v>250.00791000000001</v>
      </c>
      <c r="U833" s="1">
        <v>413.5</v>
      </c>
      <c r="V833" s="3">
        <v>86.425659999999993</v>
      </c>
      <c r="W833" s="3">
        <f t="shared" si="112"/>
        <v>90.583059999999989</v>
      </c>
      <c r="X833" s="1">
        <f t="shared" si="114"/>
        <v>0.12072363285358158</v>
      </c>
      <c r="Z833" s="4">
        <v>250.02173999999999</v>
      </c>
      <c r="AA833" s="1">
        <v>413.5</v>
      </c>
      <c r="AB833" s="3">
        <v>96.165350000000004</v>
      </c>
      <c r="AC833" s="3">
        <f t="shared" si="113"/>
        <v>96.088610000000003</v>
      </c>
      <c r="AD833" s="1">
        <f t="shared" si="115"/>
        <v>5.9645930161822777E-2</v>
      </c>
    </row>
    <row r="834" spans="20:30" x14ac:dyDescent="0.2">
      <c r="T834" s="4">
        <v>250.00496000000001</v>
      </c>
      <c r="U834" s="1">
        <v>414</v>
      </c>
      <c r="V834" s="5">
        <v>86.417360000000002</v>
      </c>
      <c r="W834" s="3">
        <f t="shared" si="112"/>
        <v>90.574759999999998</v>
      </c>
      <c r="X834" s="1">
        <f t="shared" si="114"/>
        <v>0.12082334071261062</v>
      </c>
      <c r="Z834" s="4">
        <v>250.02587</v>
      </c>
      <c r="AA834" s="1">
        <v>414</v>
      </c>
      <c r="AB834" s="5">
        <v>96.140370000000004</v>
      </c>
      <c r="AC834" s="3">
        <f t="shared" si="113"/>
        <v>96.063630000000003</v>
      </c>
      <c r="AD834" s="1">
        <f t="shared" si="115"/>
        <v>5.9944699223547969E-2</v>
      </c>
    </row>
    <row r="835" spans="20:30" x14ac:dyDescent="0.2">
      <c r="T835" s="4">
        <v>250</v>
      </c>
      <c r="U835" s="1">
        <v>414.5</v>
      </c>
      <c r="V835" s="3">
        <v>86.381550000000004</v>
      </c>
      <c r="W835" s="3">
        <f t="shared" si="112"/>
        <v>90.53895</v>
      </c>
      <c r="X835" s="1">
        <f t="shared" si="114"/>
        <v>0.12125352606584359</v>
      </c>
      <c r="Z835" s="4">
        <v>250.02744999999999</v>
      </c>
      <c r="AA835" s="1">
        <v>414.5</v>
      </c>
      <c r="AB835" s="3">
        <v>96.183340000000001</v>
      </c>
      <c r="AC835" s="3">
        <f t="shared" si="113"/>
        <v>96.1066</v>
      </c>
      <c r="AD835" s="1">
        <f t="shared" si="115"/>
        <v>5.9430763811925434E-2</v>
      </c>
    </row>
    <row r="836" spans="20:30" x14ac:dyDescent="0.2">
      <c r="T836" s="4">
        <v>249.99697</v>
      </c>
      <c r="U836" s="1">
        <v>415</v>
      </c>
      <c r="V836" s="5">
        <v>86.377399999999994</v>
      </c>
      <c r="W836" s="3">
        <f t="shared" si="112"/>
        <v>90.53479999999999</v>
      </c>
      <c r="X836" s="1">
        <f t="shared" si="114"/>
        <v>0.1213033799953583</v>
      </c>
      <c r="Z836" s="4">
        <v>250.02643</v>
      </c>
      <c r="AA836" s="1">
        <v>415</v>
      </c>
      <c r="AB836" s="5">
        <v>96.161749999999998</v>
      </c>
      <c r="AC836" s="3">
        <f t="shared" si="113"/>
        <v>96.085009999999997</v>
      </c>
      <c r="AD836" s="1">
        <f t="shared" si="115"/>
        <v>5.9688987352463786E-2</v>
      </c>
    </row>
    <row r="837" spans="20:30" x14ac:dyDescent="0.2">
      <c r="T837" s="4">
        <v>250.00102999999999</v>
      </c>
      <c r="U837" s="1">
        <v>415.5</v>
      </c>
      <c r="V837" s="3">
        <v>86.387559999999993</v>
      </c>
      <c r="W837" s="3">
        <f t="shared" si="112"/>
        <v>90.544959999999989</v>
      </c>
      <c r="X837" s="1">
        <f t="shared" si="114"/>
        <v>0.12118132796551058</v>
      </c>
      <c r="Z837" s="4">
        <v>250.02587</v>
      </c>
      <c r="AA837" s="1">
        <v>415.5</v>
      </c>
      <c r="AB837" s="3">
        <v>96.157430000000005</v>
      </c>
      <c r="AC837" s="3">
        <f t="shared" si="113"/>
        <v>96.080690000000004</v>
      </c>
      <c r="AD837" s="1">
        <f t="shared" si="115"/>
        <v>5.9740655981232828E-2</v>
      </c>
    </row>
    <row r="838" spans="20:30" x14ac:dyDescent="0.2">
      <c r="T838" s="4">
        <v>250.00503</v>
      </c>
      <c r="U838" s="1">
        <v>416</v>
      </c>
      <c r="V838" s="5">
        <v>86.367369999999994</v>
      </c>
      <c r="W838" s="3">
        <f t="shared" si="112"/>
        <v>90.52476999999999</v>
      </c>
      <c r="X838" s="1">
        <f t="shared" si="114"/>
        <v>0.12142387033584774</v>
      </c>
      <c r="Z838" s="4">
        <v>250.02404999999999</v>
      </c>
      <c r="AA838" s="1">
        <v>416</v>
      </c>
      <c r="AB838" s="5">
        <v>96.190439999999995</v>
      </c>
      <c r="AC838" s="3">
        <f t="shared" si="113"/>
        <v>96.113699999999994</v>
      </c>
      <c r="AD838" s="1">
        <f t="shared" si="115"/>
        <v>5.9345845463716983E-2</v>
      </c>
    </row>
    <row r="839" spans="20:30" x14ac:dyDescent="0.2">
      <c r="T839" s="4">
        <v>250.00399999999999</v>
      </c>
      <c r="U839" s="1">
        <v>416.5</v>
      </c>
      <c r="V839" s="3">
        <v>86.353520000000003</v>
      </c>
      <c r="W839" s="3">
        <f t="shared" ref="W839:W902" si="116">100-($V$6-V839)</f>
        <v>90.510919999999999</v>
      </c>
      <c r="X839" s="1">
        <f t="shared" si="114"/>
        <v>0.12159025031748061</v>
      </c>
      <c r="Z839" s="4">
        <v>250.02296999999999</v>
      </c>
      <c r="AA839" s="1">
        <v>416.5</v>
      </c>
      <c r="AB839" s="3">
        <v>96.062780000000004</v>
      </c>
      <c r="AC839" s="3">
        <f t="shared" ref="AC839:AC902" si="117">100-($AB$6-AB839)</f>
        <v>95.986040000000003</v>
      </c>
      <c r="AD839" s="1">
        <f t="shared" si="115"/>
        <v>6.0872701285167599E-2</v>
      </c>
    </row>
    <row r="840" spans="20:30" x14ac:dyDescent="0.2">
      <c r="T840" s="4">
        <v>250.00701000000001</v>
      </c>
      <c r="U840" s="1">
        <v>417</v>
      </c>
      <c r="V840" s="5">
        <v>86.355230000000006</v>
      </c>
      <c r="W840" s="3">
        <f t="shared" si="116"/>
        <v>90.512630000000001</v>
      </c>
      <c r="X840" s="1">
        <f t="shared" si="114"/>
        <v>0.12156970809592156</v>
      </c>
      <c r="Z840" s="4">
        <v>250.02759</v>
      </c>
      <c r="AA840" s="1">
        <v>417</v>
      </c>
      <c r="AB840" s="5">
        <v>96.061340000000001</v>
      </c>
      <c r="AC840" s="3">
        <f t="shared" si="117"/>
        <v>95.9846</v>
      </c>
      <c r="AD840" s="1">
        <f t="shared" si="115"/>
        <v>6.0889924161424004E-2</v>
      </c>
    </row>
    <row r="841" spans="20:30" x14ac:dyDescent="0.2">
      <c r="T841" s="4">
        <v>250.00701000000001</v>
      </c>
      <c r="U841" s="1">
        <v>417.5</v>
      </c>
      <c r="V841" s="3">
        <v>86.323319999999995</v>
      </c>
      <c r="W841" s="3">
        <f t="shared" si="116"/>
        <v>90.480719999999991</v>
      </c>
      <c r="X841" s="1">
        <f t="shared" si="114"/>
        <v>0.12195304276840604</v>
      </c>
      <c r="Z841" s="4">
        <v>250.02825999999999</v>
      </c>
      <c r="AA841" s="1">
        <v>417.5</v>
      </c>
      <c r="AB841" s="3">
        <v>96.045429999999996</v>
      </c>
      <c r="AC841" s="3">
        <f t="shared" si="117"/>
        <v>95.968689999999995</v>
      </c>
      <c r="AD841" s="1">
        <f t="shared" si="115"/>
        <v>6.1080213023395558E-2</v>
      </c>
    </row>
    <row r="842" spans="20:30" x14ac:dyDescent="0.2">
      <c r="T842" s="4">
        <v>250.00305</v>
      </c>
      <c r="U842" s="1">
        <v>418</v>
      </c>
      <c r="V842" s="5">
        <v>86.317300000000003</v>
      </c>
      <c r="W842" s="3">
        <f t="shared" si="116"/>
        <v>90.474699999999999</v>
      </c>
      <c r="X842" s="1">
        <f t="shared" si="114"/>
        <v>0.12202536099868976</v>
      </c>
      <c r="Z842" s="4">
        <v>250.02633</v>
      </c>
      <c r="AA842" s="1">
        <v>418</v>
      </c>
      <c r="AB842" s="5">
        <v>96.044470000000004</v>
      </c>
      <c r="AC842" s="3">
        <f t="shared" si="117"/>
        <v>95.967730000000003</v>
      </c>
      <c r="AD842" s="1">
        <f t="shared" si="115"/>
        <v>6.1091694940899714E-2</v>
      </c>
    </row>
    <row r="843" spans="20:30" x14ac:dyDescent="0.2">
      <c r="T843" s="4">
        <v>250.00694999999999</v>
      </c>
      <c r="U843" s="1">
        <v>418.5</v>
      </c>
      <c r="V843" s="3">
        <v>86.307199999999995</v>
      </c>
      <c r="W843" s="3">
        <f t="shared" si="116"/>
        <v>90.46459999999999</v>
      </c>
      <c r="X843" s="1">
        <f t="shared" si="114"/>
        <v>0.12214669224883376</v>
      </c>
      <c r="Z843" s="4">
        <v>250.02135000000001</v>
      </c>
      <c r="AA843" s="1">
        <v>418.5</v>
      </c>
      <c r="AB843" s="3">
        <v>96.067760000000007</v>
      </c>
      <c r="AC843" s="3">
        <f t="shared" si="117"/>
        <v>95.991020000000006</v>
      </c>
      <c r="AD843" s="1">
        <f t="shared" si="115"/>
        <v>6.0813138838114254E-2</v>
      </c>
    </row>
    <row r="844" spans="20:30" x14ac:dyDescent="0.2">
      <c r="T844" s="4">
        <v>250.00702000000001</v>
      </c>
      <c r="U844" s="1">
        <v>419</v>
      </c>
      <c r="V844" s="5">
        <v>86.293329999999997</v>
      </c>
      <c r="W844" s="3">
        <f t="shared" si="116"/>
        <v>90.450729999999993</v>
      </c>
      <c r="X844" s="1">
        <f t="shared" si="114"/>
        <v>0.12231331249036798</v>
      </c>
      <c r="Z844" s="4">
        <v>250.02301</v>
      </c>
      <c r="AA844" s="1">
        <v>419</v>
      </c>
      <c r="AB844" s="5">
        <v>95.980699999999999</v>
      </c>
      <c r="AC844" s="3">
        <f t="shared" si="117"/>
        <v>95.903959999999998</v>
      </c>
      <c r="AD844" s="1">
        <f t="shared" si="115"/>
        <v>6.1854405231781123E-2</v>
      </c>
    </row>
    <row r="845" spans="20:30" x14ac:dyDescent="0.2">
      <c r="T845" s="4">
        <v>250.00402</v>
      </c>
      <c r="U845" s="1">
        <v>419.5</v>
      </c>
      <c r="V845" s="3">
        <v>86.283209999999997</v>
      </c>
      <c r="W845" s="3">
        <f t="shared" si="116"/>
        <v>90.440609999999992</v>
      </c>
      <c r="X845" s="1">
        <f t="shared" si="114"/>
        <v>0.12243488400041316</v>
      </c>
      <c r="Z845" s="4">
        <v>250.02418</v>
      </c>
      <c r="AA845" s="1">
        <v>419.5</v>
      </c>
      <c r="AB845" s="3">
        <v>96.047039999999996</v>
      </c>
      <c r="AC845" s="3">
        <f t="shared" si="117"/>
        <v>95.970299999999995</v>
      </c>
      <c r="AD845" s="1">
        <f t="shared" si="115"/>
        <v>6.1060956890914481E-2</v>
      </c>
    </row>
    <row r="846" spans="20:30" x14ac:dyDescent="0.2">
      <c r="T846" s="4">
        <v>250.00602000000001</v>
      </c>
      <c r="U846" s="1">
        <v>420</v>
      </c>
      <c r="V846" s="5">
        <v>86.291150000000002</v>
      </c>
      <c r="W846" s="3">
        <f t="shared" si="116"/>
        <v>90.448549999999997</v>
      </c>
      <c r="X846" s="1">
        <f t="shared" si="114"/>
        <v>0.12233950081960691</v>
      </c>
      <c r="Z846" s="4">
        <v>250.02014</v>
      </c>
      <c r="AA846" s="1">
        <v>420</v>
      </c>
      <c r="AB846" s="5">
        <v>96.016369999999995</v>
      </c>
      <c r="AC846" s="3">
        <f t="shared" si="117"/>
        <v>95.939629999999994</v>
      </c>
      <c r="AD846" s="1">
        <f t="shared" si="115"/>
        <v>6.142778023451384E-2</v>
      </c>
    </row>
    <row r="847" spans="20:30" x14ac:dyDescent="0.2">
      <c r="T847" s="4">
        <v>250.01101</v>
      </c>
      <c r="U847" s="1">
        <v>420.5</v>
      </c>
      <c r="V847" s="3">
        <v>86.269090000000006</v>
      </c>
      <c r="W847" s="3">
        <f t="shared" si="116"/>
        <v>90.426490000000001</v>
      </c>
      <c r="X847" s="1">
        <f t="shared" si="114"/>
        <v>0.12260450749071325</v>
      </c>
      <c r="Z847" s="4">
        <v>250.01606000000001</v>
      </c>
      <c r="AA847" s="1">
        <v>420.5</v>
      </c>
      <c r="AB847" s="3">
        <v>96.05462</v>
      </c>
      <c r="AC847" s="3">
        <f t="shared" si="117"/>
        <v>95.977879999999999</v>
      </c>
      <c r="AD847" s="1">
        <f t="shared" si="115"/>
        <v>6.0970297583953781E-2</v>
      </c>
    </row>
    <row r="848" spans="20:30" x14ac:dyDescent="0.2">
      <c r="T848" s="4">
        <v>250.00397000000001</v>
      </c>
      <c r="U848" s="1">
        <v>421</v>
      </c>
      <c r="V848" s="5">
        <v>86.222719999999995</v>
      </c>
      <c r="W848" s="3">
        <f t="shared" si="116"/>
        <v>90.380119999999991</v>
      </c>
      <c r="X848" s="1">
        <f t="shared" si="114"/>
        <v>0.12316155007181961</v>
      </c>
      <c r="Z848" s="4">
        <v>250.01375999999999</v>
      </c>
      <c r="AA848" s="1">
        <v>421</v>
      </c>
      <c r="AB848" s="5">
        <v>96.190910000000002</v>
      </c>
      <c r="AC848" s="3">
        <f t="shared" si="117"/>
        <v>96.114170000000001</v>
      </c>
      <c r="AD848" s="1">
        <f t="shared" si="115"/>
        <v>5.934022410827211E-2</v>
      </c>
    </row>
    <row r="849" spans="20:30" x14ac:dyDescent="0.2">
      <c r="T849" s="4">
        <v>250.00596999999999</v>
      </c>
      <c r="U849" s="1">
        <v>421.5</v>
      </c>
      <c r="V849" s="3">
        <v>86.218919999999997</v>
      </c>
      <c r="W849" s="3">
        <f t="shared" si="116"/>
        <v>90.376319999999993</v>
      </c>
      <c r="X849" s="1">
        <f t="shared" si="114"/>
        <v>0.12320719945306186</v>
      </c>
      <c r="Z849" s="4">
        <v>250.01443</v>
      </c>
      <c r="AA849" s="1">
        <v>421.5</v>
      </c>
      <c r="AB849" s="3">
        <v>96.002219999999994</v>
      </c>
      <c r="AC849" s="3">
        <f t="shared" si="117"/>
        <v>95.925479999999993</v>
      </c>
      <c r="AD849" s="1">
        <f t="shared" si="115"/>
        <v>6.1597018914394217E-2</v>
      </c>
    </row>
    <row r="850" spans="20:30" x14ac:dyDescent="0.2">
      <c r="T850" s="4">
        <v>250.00599</v>
      </c>
      <c r="U850" s="1">
        <v>422</v>
      </c>
      <c r="V850" s="5">
        <v>86.222899999999996</v>
      </c>
      <c r="W850" s="3">
        <f t="shared" si="116"/>
        <v>90.380299999999991</v>
      </c>
      <c r="X850" s="1">
        <f t="shared" si="114"/>
        <v>0.12315938773270813</v>
      </c>
      <c r="Z850" s="4">
        <v>250.01537999999999</v>
      </c>
      <c r="AA850" s="1">
        <v>422</v>
      </c>
      <c r="AB850" s="5">
        <v>96.063230000000004</v>
      </c>
      <c r="AC850" s="3">
        <f t="shared" si="117"/>
        <v>95.986490000000003</v>
      </c>
      <c r="AD850" s="1">
        <f t="shared" si="115"/>
        <v>6.0867319136337472E-2</v>
      </c>
    </row>
    <row r="851" spans="20:30" x14ac:dyDescent="0.2">
      <c r="T851" s="4">
        <v>250.006</v>
      </c>
      <c r="U851" s="1">
        <v>422.5</v>
      </c>
      <c r="V851" s="3">
        <v>86.205079999999995</v>
      </c>
      <c r="W851" s="3">
        <f t="shared" si="116"/>
        <v>90.362479999999991</v>
      </c>
      <c r="X851" s="1">
        <f t="shared" si="114"/>
        <v>0.12337345930474422</v>
      </c>
      <c r="Z851" s="4">
        <v>250.01627999999999</v>
      </c>
      <c r="AA851" s="1">
        <v>422.5</v>
      </c>
      <c r="AB851" s="3">
        <v>96.042689999999993</v>
      </c>
      <c r="AC851" s="3">
        <f t="shared" si="117"/>
        <v>95.965949999999992</v>
      </c>
      <c r="AD851" s="1">
        <f t="shared" si="115"/>
        <v>6.1112984329605644E-2</v>
      </c>
    </row>
    <row r="852" spans="20:30" x14ac:dyDescent="0.2">
      <c r="T852" s="4">
        <v>250.00695999999999</v>
      </c>
      <c r="U852" s="1">
        <v>423</v>
      </c>
      <c r="V852" s="5">
        <v>86.2029</v>
      </c>
      <c r="W852" s="3">
        <f t="shared" si="116"/>
        <v>90.360299999999995</v>
      </c>
      <c r="X852" s="1">
        <f t="shared" si="114"/>
        <v>0.12339964763398314</v>
      </c>
      <c r="Z852" s="4">
        <v>250.01634000000001</v>
      </c>
      <c r="AA852" s="1">
        <v>423</v>
      </c>
      <c r="AB852" s="5">
        <v>95.952029999999993</v>
      </c>
      <c r="AC852" s="3">
        <f t="shared" si="117"/>
        <v>95.875289999999993</v>
      </c>
      <c r="AD852" s="1">
        <f t="shared" si="115"/>
        <v>6.2197307913913348E-2</v>
      </c>
    </row>
    <row r="853" spans="20:30" x14ac:dyDescent="0.2">
      <c r="T853" s="4">
        <v>250.006</v>
      </c>
      <c r="U853" s="1">
        <v>423.5</v>
      </c>
      <c r="V853" s="3">
        <v>86.180850000000007</v>
      </c>
      <c r="W853" s="3">
        <f t="shared" si="116"/>
        <v>90.338250000000002</v>
      </c>
      <c r="X853" s="1">
        <f t="shared" si="114"/>
        <v>0.12366453417513881</v>
      </c>
      <c r="Z853" s="4">
        <v>250.0127</v>
      </c>
      <c r="AA853" s="1">
        <v>423.5</v>
      </c>
      <c r="AB853" s="3">
        <v>96.14255</v>
      </c>
      <c r="AC853" s="3">
        <f t="shared" si="117"/>
        <v>96.065809999999999</v>
      </c>
      <c r="AD853" s="1">
        <f t="shared" si="115"/>
        <v>5.9918625702548786E-2</v>
      </c>
    </row>
    <row r="854" spans="20:30" x14ac:dyDescent="0.2">
      <c r="T854" s="4">
        <v>250.00798</v>
      </c>
      <c r="U854" s="1">
        <v>424</v>
      </c>
      <c r="V854" s="5">
        <v>86.172849999999997</v>
      </c>
      <c r="W854" s="3">
        <f t="shared" si="116"/>
        <v>90.330249999999992</v>
      </c>
      <c r="X854" s="1">
        <f t="shared" ref="X854:X917" si="118">($W$21-W854)/($W$21*(1-$M$1))</f>
        <v>0.12376063813564896</v>
      </c>
      <c r="Z854" s="4">
        <v>250.01322999999999</v>
      </c>
      <c r="AA854" s="1">
        <v>424</v>
      </c>
      <c r="AB854" s="5">
        <v>96.041229999999999</v>
      </c>
      <c r="AC854" s="3">
        <f t="shared" si="117"/>
        <v>95.964489999999998</v>
      </c>
      <c r="AD854" s="1">
        <f t="shared" si="115"/>
        <v>6.1130446412476627E-2</v>
      </c>
    </row>
    <row r="855" spans="20:30" x14ac:dyDescent="0.2">
      <c r="T855" s="4">
        <v>250.00699</v>
      </c>
      <c r="U855" s="1">
        <v>424.5</v>
      </c>
      <c r="V855" s="3">
        <v>86.172830000000005</v>
      </c>
      <c r="W855" s="3">
        <f t="shared" si="116"/>
        <v>90.33023</v>
      </c>
      <c r="X855" s="1">
        <f t="shared" si="118"/>
        <v>0.12376087839555014</v>
      </c>
      <c r="Z855" s="4">
        <v>250.01669999999999</v>
      </c>
      <c r="AA855" s="1">
        <v>424.5</v>
      </c>
      <c r="AB855" s="3">
        <v>96.082859999999997</v>
      </c>
      <c r="AC855" s="3">
        <f t="shared" si="117"/>
        <v>96.006119999999996</v>
      </c>
      <c r="AD855" s="1">
        <f t="shared" si="115"/>
        <v>6.0632537844037097E-2</v>
      </c>
    </row>
    <row r="856" spans="20:30" x14ac:dyDescent="0.2">
      <c r="T856" s="4">
        <v>250.005</v>
      </c>
      <c r="U856" s="1">
        <v>425</v>
      </c>
      <c r="V856" s="5">
        <v>86.148619999999994</v>
      </c>
      <c r="W856" s="3">
        <f t="shared" si="116"/>
        <v>90.30601999999999</v>
      </c>
      <c r="X856" s="1">
        <f t="shared" si="118"/>
        <v>0.12405171300604373</v>
      </c>
      <c r="Z856" s="4">
        <v>250.01955000000001</v>
      </c>
      <c r="AA856" s="1">
        <v>425</v>
      </c>
      <c r="AB856" s="5">
        <v>95.873480000000001</v>
      </c>
      <c r="AC856" s="3">
        <f t="shared" si="117"/>
        <v>95.79674</v>
      </c>
      <c r="AD856" s="1">
        <f t="shared" si="115"/>
        <v>6.3136791893037142E-2</v>
      </c>
    </row>
    <row r="857" spans="20:30" x14ac:dyDescent="0.2">
      <c r="T857" s="4">
        <v>250.00695999999999</v>
      </c>
      <c r="U857" s="1">
        <v>425.5</v>
      </c>
      <c r="V857" s="3">
        <v>86.166830000000004</v>
      </c>
      <c r="W857" s="3">
        <f t="shared" si="116"/>
        <v>90.32423</v>
      </c>
      <c r="X857" s="1">
        <f t="shared" si="118"/>
        <v>0.12383295636593265</v>
      </c>
      <c r="Z857" s="4">
        <v>250.02122</v>
      </c>
      <c r="AA857" s="1">
        <v>425.5</v>
      </c>
      <c r="AB857" s="3">
        <v>96.074399999999997</v>
      </c>
      <c r="AC857" s="3">
        <f t="shared" si="117"/>
        <v>95.997659999999996</v>
      </c>
      <c r="AD857" s="1">
        <f t="shared" si="115"/>
        <v>6.0733722242043306E-2</v>
      </c>
    </row>
    <row r="858" spans="20:30" x14ac:dyDescent="0.2">
      <c r="T858" s="4">
        <v>250.00104999999999</v>
      </c>
      <c r="U858" s="1">
        <v>426</v>
      </c>
      <c r="V858" s="5">
        <v>86.1387</v>
      </c>
      <c r="W858" s="3">
        <f t="shared" si="116"/>
        <v>90.296099999999996</v>
      </c>
      <c r="X858" s="1">
        <f t="shared" si="118"/>
        <v>0.12417088191707609</v>
      </c>
      <c r="Z858" s="4">
        <v>250.02037999999999</v>
      </c>
      <c r="AA858" s="1">
        <v>426</v>
      </c>
      <c r="AB858" s="5">
        <v>96.063329999999993</v>
      </c>
      <c r="AC858" s="3">
        <f t="shared" si="117"/>
        <v>95.986589999999993</v>
      </c>
      <c r="AD858" s="1">
        <f t="shared" si="115"/>
        <v>6.0866123103264246E-2</v>
      </c>
    </row>
    <row r="859" spans="20:30" x14ac:dyDescent="0.2">
      <c r="T859" s="4">
        <v>250.00496999999999</v>
      </c>
      <c r="U859" s="1">
        <v>426.5</v>
      </c>
      <c r="V859" s="3">
        <v>86.144710000000003</v>
      </c>
      <c r="W859" s="3">
        <f t="shared" si="116"/>
        <v>90.302109999999999</v>
      </c>
      <c r="X859" s="1">
        <f t="shared" si="118"/>
        <v>0.12409868381674288</v>
      </c>
      <c r="Z859" s="4">
        <v>250.01709</v>
      </c>
      <c r="AA859" s="1">
        <v>426.5</v>
      </c>
      <c r="AB859" s="3">
        <v>95.982830000000007</v>
      </c>
      <c r="AC859" s="3">
        <f t="shared" si="117"/>
        <v>95.906090000000006</v>
      </c>
      <c r="AD859" s="1">
        <f t="shared" si="115"/>
        <v>6.1828929727318467E-2</v>
      </c>
    </row>
    <row r="860" spans="20:30" x14ac:dyDescent="0.2">
      <c r="T860" s="4">
        <v>250.00396000000001</v>
      </c>
      <c r="U860" s="1">
        <v>427</v>
      </c>
      <c r="V860" s="5">
        <v>86.14873</v>
      </c>
      <c r="W860" s="3">
        <f t="shared" si="116"/>
        <v>90.306129999999996</v>
      </c>
      <c r="X860" s="1">
        <f t="shared" si="118"/>
        <v>0.12405039157658664</v>
      </c>
      <c r="Z860" s="4">
        <v>250.01536999999999</v>
      </c>
      <c r="AA860" s="1">
        <v>427</v>
      </c>
      <c r="AB860" s="5">
        <v>96.007059999999996</v>
      </c>
      <c r="AC860" s="3">
        <f t="shared" si="117"/>
        <v>95.930319999999995</v>
      </c>
      <c r="AD860" s="1">
        <f t="shared" si="115"/>
        <v>6.1539130913643596E-2</v>
      </c>
    </row>
    <row r="861" spans="20:30" x14ac:dyDescent="0.2">
      <c r="T861" s="4">
        <v>250.00797</v>
      </c>
      <c r="U861" s="1">
        <v>427.5</v>
      </c>
      <c r="V861" s="3">
        <v>86.126850000000005</v>
      </c>
      <c r="W861" s="3">
        <f t="shared" si="116"/>
        <v>90.28425</v>
      </c>
      <c r="X861" s="1">
        <f t="shared" si="118"/>
        <v>0.12431323590858151</v>
      </c>
      <c r="Z861" s="4">
        <v>250.01432</v>
      </c>
      <c r="AA861" s="1">
        <v>427.5</v>
      </c>
      <c r="AB861" s="3">
        <v>95.962739999999997</v>
      </c>
      <c r="AC861" s="3">
        <f t="shared" si="117"/>
        <v>95.885999999999996</v>
      </c>
      <c r="AD861" s="1">
        <f t="shared" si="115"/>
        <v>6.2069212771756511E-2</v>
      </c>
    </row>
    <row r="862" spans="20:30" x14ac:dyDescent="0.2">
      <c r="T862" s="4">
        <v>250.00699</v>
      </c>
      <c r="U862" s="1">
        <v>428</v>
      </c>
      <c r="V862" s="5">
        <v>86.136709999999994</v>
      </c>
      <c r="W862" s="3">
        <f t="shared" si="116"/>
        <v>90.294109999999989</v>
      </c>
      <c r="X862" s="1">
        <f t="shared" si="118"/>
        <v>0.12419478777725303</v>
      </c>
      <c r="Z862" s="4">
        <v>250.01686000000001</v>
      </c>
      <c r="AA862" s="1">
        <v>428</v>
      </c>
      <c r="AB862" s="5">
        <v>96.036739999999995</v>
      </c>
      <c r="AC862" s="3">
        <f t="shared" si="117"/>
        <v>95.96</v>
      </c>
      <c r="AD862" s="1">
        <f t="shared" si="115"/>
        <v>6.1184148297470514E-2</v>
      </c>
    </row>
    <row r="863" spans="20:30" x14ac:dyDescent="0.2">
      <c r="T863" s="4">
        <v>250.00597999999999</v>
      </c>
      <c r="U863" s="1">
        <v>428.5</v>
      </c>
      <c r="V863" s="3">
        <v>86.110619999999997</v>
      </c>
      <c r="W863" s="3">
        <f t="shared" si="116"/>
        <v>90.268019999999993</v>
      </c>
      <c r="X863" s="1">
        <f t="shared" si="118"/>
        <v>0.1245082068184663</v>
      </c>
      <c r="Z863" s="4">
        <v>250.01510999999999</v>
      </c>
      <c r="AA863" s="1">
        <v>428.5</v>
      </c>
      <c r="AB863" s="3">
        <v>95.956190000000007</v>
      </c>
      <c r="AC863" s="3">
        <f t="shared" si="117"/>
        <v>95.879450000000006</v>
      </c>
      <c r="AD863" s="1">
        <f t="shared" si="115"/>
        <v>6.2147552938061436E-2</v>
      </c>
    </row>
    <row r="864" spans="20:30" x14ac:dyDescent="0.2">
      <c r="T864" s="4">
        <v>250.00201000000001</v>
      </c>
      <c r="U864" s="1">
        <v>429</v>
      </c>
      <c r="V864" s="5">
        <v>86.12482</v>
      </c>
      <c r="W864" s="3">
        <f t="shared" si="116"/>
        <v>90.282219999999995</v>
      </c>
      <c r="X864" s="1">
        <f t="shared" si="118"/>
        <v>0.12433762228856099</v>
      </c>
      <c r="Z864" s="4">
        <v>250.0171</v>
      </c>
      <c r="AA864" s="1">
        <v>429</v>
      </c>
      <c r="AB864" s="5">
        <v>95.857119999999995</v>
      </c>
      <c r="AC864" s="3">
        <f t="shared" si="117"/>
        <v>95.780379999999994</v>
      </c>
      <c r="AD864" s="1">
        <f t="shared" si="115"/>
        <v>6.3332462903838815E-2</v>
      </c>
    </row>
    <row r="865" spans="20:30" x14ac:dyDescent="0.2">
      <c r="T865" s="4">
        <v>250.00596999999999</v>
      </c>
      <c r="U865" s="1">
        <v>429.5</v>
      </c>
      <c r="V865" s="3">
        <v>86.10266</v>
      </c>
      <c r="W865" s="3">
        <f t="shared" si="116"/>
        <v>90.260059999999996</v>
      </c>
      <c r="X865" s="1">
        <f t="shared" si="118"/>
        <v>0.12460383025917375</v>
      </c>
      <c r="Z865" s="4">
        <v>250.02003999999999</v>
      </c>
      <c r="AA865" s="1">
        <v>429.5</v>
      </c>
      <c r="AB865" s="3">
        <v>96.077349999999996</v>
      </c>
      <c r="AC865" s="3">
        <f t="shared" si="117"/>
        <v>96.000609999999995</v>
      </c>
      <c r="AD865" s="1">
        <f t="shared" si="115"/>
        <v>6.0698439266379217E-2</v>
      </c>
    </row>
    <row r="866" spans="20:30" x14ac:dyDescent="0.2">
      <c r="T866" s="4">
        <v>250.01302000000001</v>
      </c>
      <c r="U866" s="1">
        <v>430</v>
      </c>
      <c r="V866" s="5">
        <v>86.092449999999999</v>
      </c>
      <c r="W866" s="3">
        <f t="shared" si="116"/>
        <v>90.249849999999995</v>
      </c>
      <c r="X866" s="1">
        <f t="shared" si="118"/>
        <v>0.12472648293877467</v>
      </c>
      <c r="Z866" s="4">
        <v>250.01863</v>
      </c>
      <c r="AA866" s="1">
        <v>430</v>
      </c>
      <c r="AB866" s="5">
        <v>95.944479999999999</v>
      </c>
      <c r="AC866" s="3">
        <f t="shared" si="117"/>
        <v>95.867739999999998</v>
      </c>
      <c r="AD866" s="1">
        <f t="shared" si="115"/>
        <v>6.2287608410951927E-2</v>
      </c>
    </row>
    <row r="867" spans="20:30" x14ac:dyDescent="0.2">
      <c r="T867" s="4">
        <v>250.01003</v>
      </c>
      <c r="U867" s="1">
        <v>430.5</v>
      </c>
      <c r="V867" s="3">
        <v>86.090689999999995</v>
      </c>
      <c r="W867" s="3">
        <f t="shared" si="116"/>
        <v>90.248089999999991</v>
      </c>
      <c r="X867" s="1">
        <f t="shared" si="118"/>
        <v>0.12474762581008693</v>
      </c>
      <c r="Z867" s="4">
        <v>250.01908</v>
      </c>
      <c r="AA867" s="1">
        <v>430.5</v>
      </c>
      <c r="AB867" s="3">
        <v>95.892359999999996</v>
      </c>
      <c r="AC867" s="3">
        <f t="shared" si="117"/>
        <v>95.815619999999996</v>
      </c>
      <c r="AD867" s="1">
        <f t="shared" si="115"/>
        <v>6.2910980848786921E-2</v>
      </c>
    </row>
    <row r="868" spans="20:30" x14ac:dyDescent="0.2">
      <c r="T868" s="4">
        <v>250.00501</v>
      </c>
      <c r="U868" s="1">
        <v>431</v>
      </c>
      <c r="V868" s="5">
        <v>86.084479999999999</v>
      </c>
      <c r="W868" s="3">
        <f t="shared" si="116"/>
        <v>90.241879999999995</v>
      </c>
      <c r="X868" s="1">
        <f t="shared" si="118"/>
        <v>0.12482222650943278</v>
      </c>
      <c r="Z868" s="4">
        <v>250.01922999999999</v>
      </c>
      <c r="AA868" s="1">
        <v>431</v>
      </c>
      <c r="AB868" s="5">
        <v>95.894360000000006</v>
      </c>
      <c r="AC868" s="3">
        <f t="shared" si="117"/>
        <v>95.817620000000005</v>
      </c>
      <c r="AD868" s="1">
        <f t="shared" si="115"/>
        <v>6.2887060187319613E-2</v>
      </c>
    </row>
    <row r="869" spans="20:30" x14ac:dyDescent="0.2">
      <c r="T869" s="4">
        <v>249.99797000000001</v>
      </c>
      <c r="U869" s="1">
        <v>431.5</v>
      </c>
      <c r="V869" s="3">
        <v>86.046379999999999</v>
      </c>
      <c r="W869" s="3">
        <f t="shared" si="116"/>
        <v>90.203779999999995</v>
      </c>
      <c r="X869" s="1">
        <f t="shared" si="118"/>
        <v>0.12527992162136178</v>
      </c>
      <c r="Z869" s="4">
        <v>250.0179</v>
      </c>
      <c r="AA869" s="1">
        <v>431.5</v>
      </c>
      <c r="AB869" s="3">
        <v>95.973479999999995</v>
      </c>
      <c r="AC869" s="3">
        <f t="shared" si="117"/>
        <v>95.896739999999994</v>
      </c>
      <c r="AD869" s="1">
        <f t="shared" si="115"/>
        <v>6.194075881967772E-2</v>
      </c>
    </row>
    <row r="870" spans="20:30" x14ac:dyDescent="0.2">
      <c r="T870" s="4">
        <v>250.00198</v>
      </c>
      <c r="U870" s="1">
        <v>432</v>
      </c>
      <c r="V870" s="5">
        <v>86.062539999999998</v>
      </c>
      <c r="W870" s="3">
        <f t="shared" si="116"/>
        <v>90.219939999999994</v>
      </c>
      <c r="X870" s="1">
        <f t="shared" si="118"/>
        <v>0.12508579162113154</v>
      </c>
      <c r="Z870" s="4">
        <v>250.02021999999999</v>
      </c>
      <c r="AA870" s="1">
        <v>432</v>
      </c>
      <c r="AB870" s="5">
        <v>95.89237</v>
      </c>
      <c r="AC870" s="3">
        <f t="shared" si="117"/>
        <v>95.815629999999999</v>
      </c>
      <c r="AD870" s="1">
        <f t="shared" si="115"/>
        <v>6.2910861245479538E-2</v>
      </c>
    </row>
    <row r="871" spans="20:30" x14ac:dyDescent="0.2">
      <c r="T871" s="4">
        <v>250.00303</v>
      </c>
      <c r="U871" s="1">
        <v>432.5</v>
      </c>
      <c r="V871" s="3">
        <v>86.038340000000005</v>
      </c>
      <c r="W871" s="3">
        <f t="shared" si="116"/>
        <v>90.195740000000001</v>
      </c>
      <c r="X871" s="1">
        <f t="shared" si="118"/>
        <v>0.12537650610167428</v>
      </c>
      <c r="Z871" s="4">
        <v>250.02054999999999</v>
      </c>
      <c r="AA871" s="1">
        <v>432.5</v>
      </c>
      <c r="AB871" s="3">
        <v>95.950779999999995</v>
      </c>
      <c r="AC871" s="3">
        <f t="shared" si="117"/>
        <v>95.874039999999994</v>
      </c>
      <c r="AD871" s="1">
        <f t="shared" si="115"/>
        <v>6.2212258327330329E-2</v>
      </c>
    </row>
    <row r="872" spans="20:30" x14ac:dyDescent="0.2">
      <c r="T872" s="4">
        <v>249.99898999999999</v>
      </c>
      <c r="U872" s="1">
        <v>433</v>
      </c>
      <c r="V872" s="5">
        <v>86.030360000000002</v>
      </c>
      <c r="W872" s="3">
        <f t="shared" si="116"/>
        <v>90.187759999999997</v>
      </c>
      <c r="X872" s="1">
        <f t="shared" si="118"/>
        <v>0.12547236980228307</v>
      </c>
      <c r="Z872" s="4">
        <v>250.02036000000001</v>
      </c>
      <c r="AA872" s="1">
        <v>433</v>
      </c>
      <c r="AB872" s="5">
        <v>95.794669999999996</v>
      </c>
      <c r="AC872" s="3">
        <f t="shared" si="117"/>
        <v>95.717929999999996</v>
      </c>
      <c r="AD872" s="1">
        <f t="shared" si="115"/>
        <v>6.4079385558151791E-2</v>
      </c>
    </row>
    <row r="873" spans="20:30" x14ac:dyDescent="0.2">
      <c r="T873" s="4">
        <v>250.01101</v>
      </c>
      <c r="U873" s="1">
        <v>433.5</v>
      </c>
      <c r="V873" s="3">
        <v>86.024240000000006</v>
      </c>
      <c r="W873" s="3">
        <f t="shared" si="116"/>
        <v>90.181640000000002</v>
      </c>
      <c r="X873" s="1">
        <f t="shared" si="118"/>
        <v>0.1255458893320732</v>
      </c>
      <c r="Z873" s="4">
        <v>250.02304000000001</v>
      </c>
      <c r="AA873" s="1">
        <v>433.5</v>
      </c>
      <c r="AB873" s="3">
        <v>95.839600000000004</v>
      </c>
      <c r="AC873" s="3">
        <f t="shared" si="117"/>
        <v>95.762860000000003</v>
      </c>
      <c r="AD873" s="1">
        <f t="shared" si="115"/>
        <v>6.3542007898291286E-2</v>
      </c>
    </row>
    <row r="874" spans="20:30" x14ac:dyDescent="0.2">
      <c r="T874" s="4">
        <v>250.00896</v>
      </c>
      <c r="U874" s="1">
        <v>434</v>
      </c>
      <c r="V874" s="5">
        <v>86.012259999999998</v>
      </c>
      <c r="W874" s="3">
        <f t="shared" si="116"/>
        <v>90.169659999999993</v>
      </c>
      <c r="X874" s="1">
        <f t="shared" si="118"/>
        <v>0.12568980501293706</v>
      </c>
      <c r="Z874" s="4">
        <v>250.02494999999999</v>
      </c>
      <c r="AA874" s="1">
        <v>434</v>
      </c>
      <c r="AB874" s="5">
        <v>95.927279999999996</v>
      </c>
      <c r="AC874" s="3">
        <f t="shared" si="117"/>
        <v>95.850539999999995</v>
      </c>
      <c r="AD874" s="1">
        <f t="shared" si="115"/>
        <v>6.2493326099569792E-2</v>
      </c>
    </row>
    <row r="875" spans="20:30" x14ac:dyDescent="0.2">
      <c r="T875" s="4">
        <v>250.00603000000001</v>
      </c>
      <c r="U875" s="1">
        <v>434.5</v>
      </c>
      <c r="V875" s="3">
        <v>85.986159999999998</v>
      </c>
      <c r="W875" s="3">
        <f t="shared" si="116"/>
        <v>90.143559999999994</v>
      </c>
      <c r="X875" s="1">
        <f t="shared" si="118"/>
        <v>0.126003344184101</v>
      </c>
      <c r="Z875" s="4">
        <v>250.02635000000001</v>
      </c>
      <c r="AA875" s="1">
        <v>434.5</v>
      </c>
      <c r="AB875" s="3">
        <v>95.860730000000004</v>
      </c>
      <c r="AC875" s="3">
        <f t="shared" si="117"/>
        <v>95.783990000000003</v>
      </c>
      <c r="AD875" s="1">
        <f t="shared" si="115"/>
        <v>6.328928610989043E-2</v>
      </c>
    </row>
    <row r="876" spans="20:30" x14ac:dyDescent="0.2">
      <c r="T876" s="4">
        <v>250.00196</v>
      </c>
      <c r="U876" s="1">
        <v>435</v>
      </c>
      <c r="V876" s="5">
        <v>85.988119999999995</v>
      </c>
      <c r="W876" s="3">
        <f t="shared" si="116"/>
        <v>90.145519999999991</v>
      </c>
      <c r="X876" s="1">
        <f t="shared" si="118"/>
        <v>0.1259797987137761</v>
      </c>
      <c r="Z876" s="4">
        <v>250.01909000000001</v>
      </c>
      <c r="AA876" s="1">
        <v>435</v>
      </c>
      <c r="AB876" s="5">
        <v>95.945880000000002</v>
      </c>
      <c r="AC876" s="3">
        <f t="shared" si="117"/>
        <v>95.869140000000002</v>
      </c>
      <c r="AD876" s="1">
        <f t="shared" si="115"/>
        <v>6.2270863947924845E-2</v>
      </c>
    </row>
    <row r="877" spans="20:30" x14ac:dyDescent="0.2">
      <c r="T877" s="4">
        <v>250.00300999999999</v>
      </c>
      <c r="U877" s="1">
        <v>435.5</v>
      </c>
      <c r="V877" s="3">
        <v>85.976249999999993</v>
      </c>
      <c r="W877" s="3">
        <f t="shared" si="116"/>
        <v>90.133649999999989</v>
      </c>
      <c r="X877" s="1">
        <f t="shared" si="118"/>
        <v>0.12612239296518285</v>
      </c>
      <c r="Z877" s="4">
        <v>250.01398</v>
      </c>
      <c r="AA877" s="1">
        <v>435.5</v>
      </c>
      <c r="AB877" s="3">
        <v>95.903779999999998</v>
      </c>
      <c r="AC877" s="3">
        <f t="shared" si="117"/>
        <v>95.827039999999997</v>
      </c>
      <c r="AD877" s="1">
        <f t="shared" si="115"/>
        <v>6.2774393871809248E-2</v>
      </c>
    </row>
    <row r="878" spans="20:30" x14ac:dyDescent="0.2">
      <c r="T878" s="4">
        <v>250.01301000000001</v>
      </c>
      <c r="U878" s="1">
        <v>436</v>
      </c>
      <c r="V878" s="5">
        <v>85.956180000000003</v>
      </c>
      <c r="W878" s="3">
        <f t="shared" si="116"/>
        <v>90.113579999999999</v>
      </c>
      <c r="X878" s="1">
        <f t="shared" si="118"/>
        <v>0.12636349377611225</v>
      </c>
      <c r="Z878" s="4">
        <v>250.01184000000001</v>
      </c>
      <c r="AA878" s="1">
        <v>436</v>
      </c>
      <c r="AB878" s="5">
        <v>95.812479999999994</v>
      </c>
      <c r="AC878" s="3">
        <f t="shared" si="117"/>
        <v>95.735739999999993</v>
      </c>
      <c r="AD878" s="1">
        <f t="shared" si="115"/>
        <v>6.3866372067786503E-2</v>
      </c>
    </row>
    <row r="879" spans="20:30" x14ac:dyDescent="0.2">
      <c r="T879" s="4">
        <v>250.0111</v>
      </c>
      <c r="U879" s="1">
        <v>436.5</v>
      </c>
      <c r="V879" s="3">
        <v>85.956280000000007</v>
      </c>
      <c r="W879" s="3">
        <f t="shared" si="116"/>
        <v>90.113680000000002</v>
      </c>
      <c r="X879" s="1">
        <f t="shared" si="118"/>
        <v>0.12636229247660585</v>
      </c>
      <c r="Z879" s="4">
        <v>250.00961000000001</v>
      </c>
      <c r="AA879" s="1">
        <v>436.5</v>
      </c>
      <c r="AB879" s="3">
        <v>95.785229999999999</v>
      </c>
      <c r="AC879" s="3">
        <f t="shared" si="117"/>
        <v>95.708489999999998</v>
      </c>
      <c r="AD879" s="1">
        <f t="shared" si="115"/>
        <v>6.4192291080276909E-2</v>
      </c>
    </row>
    <row r="880" spans="20:30" x14ac:dyDescent="0.2">
      <c r="T880" s="4">
        <v>250.01401000000001</v>
      </c>
      <c r="U880" s="1">
        <v>437</v>
      </c>
      <c r="V880" s="5">
        <v>85.942120000000003</v>
      </c>
      <c r="W880" s="3">
        <f t="shared" si="116"/>
        <v>90.099519999999998</v>
      </c>
      <c r="X880" s="1">
        <f t="shared" si="118"/>
        <v>0.12653239648670864</v>
      </c>
      <c r="Z880" s="4">
        <v>250.00873999999999</v>
      </c>
      <c r="AA880" s="1">
        <v>437</v>
      </c>
      <c r="AB880" s="5">
        <v>95.908460000000005</v>
      </c>
      <c r="AC880" s="3">
        <f t="shared" si="117"/>
        <v>95.831720000000004</v>
      </c>
      <c r="AD880" s="1">
        <f t="shared" si="115"/>
        <v>6.271841952397593E-2</v>
      </c>
    </row>
    <row r="881" spans="20:30" x14ac:dyDescent="0.2">
      <c r="T881" s="4">
        <v>250.00897000000001</v>
      </c>
      <c r="U881" s="1">
        <v>437.5</v>
      </c>
      <c r="V881" s="3">
        <v>85.962350000000001</v>
      </c>
      <c r="W881" s="3">
        <f t="shared" si="116"/>
        <v>90.119749999999996</v>
      </c>
      <c r="X881" s="1">
        <f t="shared" si="118"/>
        <v>0.12628937359656894</v>
      </c>
      <c r="Z881" s="4">
        <v>250.00785999999999</v>
      </c>
      <c r="AA881" s="1">
        <v>437.5</v>
      </c>
      <c r="AB881" s="3">
        <v>95.737589999999997</v>
      </c>
      <c r="AC881" s="3">
        <f t="shared" si="117"/>
        <v>95.660849999999996</v>
      </c>
      <c r="AD881" s="1">
        <f t="shared" si="115"/>
        <v>6.4762081236425378E-2</v>
      </c>
    </row>
    <row r="882" spans="20:30" x14ac:dyDescent="0.2">
      <c r="T882" s="4">
        <v>250.00299000000001</v>
      </c>
      <c r="U882" s="1">
        <v>438</v>
      </c>
      <c r="V882" s="5">
        <v>85.944109999999995</v>
      </c>
      <c r="W882" s="3">
        <f t="shared" si="116"/>
        <v>90.10150999999999</v>
      </c>
      <c r="X882" s="1">
        <f t="shared" si="118"/>
        <v>0.12650849062653186</v>
      </c>
      <c r="Z882" s="4">
        <v>250.01246</v>
      </c>
      <c r="AA882" s="1">
        <v>438</v>
      </c>
      <c r="AB882" s="5">
        <v>95.828530000000001</v>
      </c>
      <c r="AC882" s="3">
        <f t="shared" si="117"/>
        <v>95.75179</v>
      </c>
      <c r="AD882" s="1">
        <f t="shared" si="115"/>
        <v>6.3674408759512219E-2</v>
      </c>
    </row>
    <row r="883" spans="20:30" x14ac:dyDescent="0.2">
      <c r="T883" s="4">
        <v>250.00299999999999</v>
      </c>
      <c r="U883" s="1">
        <v>438.5</v>
      </c>
      <c r="V883" s="3">
        <v>85.940060000000003</v>
      </c>
      <c r="W883" s="3">
        <f t="shared" si="116"/>
        <v>90.097459999999998</v>
      </c>
      <c r="X883" s="1">
        <f t="shared" si="118"/>
        <v>0.12655714325653997</v>
      </c>
      <c r="Z883" s="4">
        <v>250.02132</v>
      </c>
      <c r="AA883" s="1">
        <v>438.5</v>
      </c>
      <c r="AB883" s="3">
        <v>95.759299999999996</v>
      </c>
      <c r="AC883" s="3">
        <f t="shared" si="117"/>
        <v>95.682559999999995</v>
      </c>
      <c r="AD883" s="1">
        <f t="shared" si="115"/>
        <v>6.4502422456199054E-2</v>
      </c>
    </row>
    <row r="884" spans="20:30" x14ac:dyDescent="0.2">
      <c r="T884" s="4">
        <v>250.006</v>
      </c>
      <c r="U884" s="1">
        <v>439</v>
      </c>
      <c r="V884" s="5">
        <v>85.921959999999999</v>
      </c>
      <c r="W884" s="3">
        <f t="shared" si="116"/>
        <v>90.079359999999994</v>
      </c>
      <c r="X884" s="1">
        <f t="shared" si="118"/>
        <v>0.12677457846719395</v>
      </c>
      <c r="Z884" s="4">
        <v>250.02321000000001</v>
      </c>
      <c r="AA884" s="1">
        <v>439</v>
      </c>
      <c r="AB884" s="5">
        <v>95.857640000000004</v>
      </c>
      <c r="AC884" s="3">
        <f t="shared" si="117"/>
        <v>95.780900000000003</v>
      </c>
      <c r="AD884" s="1">
        <f t="shared" si="115"/>
        <v>6.3326243531857243E-2</v>
      </c>
    </row>
    <row r="885" spans="20:30" x14ac:dyDescent="0.2">
      <c r="T885" s="4">
        <v>250.00702000000001</v>
      </c>
      <c r="U885" s="1">
        <v>439.5</v>
      </c>
      <c r="V885" s="3">
        <v>85.924000000000007</v>
      </c>
      <c r="W885" s="3">
        <f t="shared" si="116"/>
        <v>90.081400000000002</v>
      </c>
      <c r="X885" s="1">
        <f t="shared" si="118"/>
        <v>0.12675007195726379</v>
      </c>
      <c r="Z885" s="4">
        <v>250.02355</v>
      </c>
      <c r="AA885" s="1">
        <v>439.5</v>
      </c>
      <c r="AB885" s="3">
        <v>95.873750000000001</v>
      </c>
      <c r="AC885" s="3">
        <f t="shared" si="117"/>
        <v>95.79701</v>
      </c>
      <c r="AD885" s="1">
        <f t="shared" si="115"/>
        <v>6.3133562603739063E-2</v>
      </c>
    </row>
    <row r="886" spans="20:30" x14ac:dyDescent="0.2">
      <c r="T886" s="4">
        <v>250.00903</v>
      </c>
      <c r="U886" s="1">
        <v>440</v>
      </c>
      <c r="V886" s="5">
        <v>85.901880000000006</v>
      </c>
      <c r="W886" s="3">
        <f t="shared" si="116"/>
        <v>90.059280000000001</v>
      </c>
      <c r="X886" s="1">
        <f t="shared" si="118"/>
        <v>0.12701579940807403</v>
      </c>
      <c r="Z886" s="4">
        <v>250.02457999999999</v>
      </c>
      <c r="AA886" s="1">
        <v>440</v>
      </c>
      <c r="AB886" s="5">
        <v>95.706569999999999</v>
      </c>
      <c r="AC886" s="3">
        <f t="shared" si="117"/>
        <v>95.629829999999998</v>
      </c>
      <c r="AD886" s="1">
        <f t="shared" si="115"/>
        <v>6.5133090695781465E-2</v>
      </c>
    </row>
    <row r="887" spans="20:30" x14ac:dyDescent="0.2">
      <c r="T887" s="4">
        <v>250.00802999999999</v>
      </c>
      <c r="U887" s="1">
        <v>440.5</v>
      </c>
      <c r="V887" s="3">
        <v>85.883889999999994</v>
      </c>
      <c r="W887" s="3">
        <f t="shared" si="116"/>
        <v>90.041289999999989</v>
      </c>
      <c r="X887" s="1">
        <f t="shared" si="118"/>
        <v>0.12723191318927107</v>
      </c>
      <c r="Z887" s="4">
        <v>250.02177</v>
      </c>
      <c r="AA887" s="1">
        <v>440.5</v>
      </c>
      <c r="AB887" s="3">
        <v>95.812889999999996</v>
      </c>
      <c r="AC887" s="3">
        <f t="shared" si="117"/>
        <v>95.736149999999995</v>
      </c>
      <c r="AD887" s="1">
        <f t="shared" si="115"/>
        <v>6.38614683321857E-2</v>
      </c>
    </row>
    <row r="888" spans="20:30" x14ac:dyDescent="0.2">
      <c r="T888" s="4">
        <v>250.00599</v>
      </c>
      <c r="U888" s="1">
        <v>441</v>
      </c>
      <c r="V888" s="5">
        <v>85.888019999999997</v>
      </c>
      <c r="W888" s="3">
        <f t="shared" si="116"/>
        <v>90.045419999999993</v>
      </c>
      <c r="X888" s="1">
        <f t="shared" si="118"/>
        <v>0.12718229951965773</v>
      </c>
      <c r="Z888" s="4">
        <v>250.02141</v>
      </c>
      <c r="AA888" s="1">
        <v>441</v>
      </c>
      <c r="AB888" s="5">
        <v>95.793149999999997</v>
      </c>
      <c r="AC888" s="3">
        <f t="shared" si="117"/>
        <v>95.716409999999996</v>
      </c>
      <c r="AD888" s="1">
        <f t="shared" si="115"/>
        <v>6.4097565260866851E-2</v>
      </c>
    </row>
    <row r="889" spans="20:30" x14ac:dyDescent="0.2">
      <c r="T889" s="4">
        <v>250.00599</v>
      </c>
      <c r="U889" s="1">
        <v>441.5</v>
      </c>
      <c r="V889" s="3">
        <v>85.871930000000006</v>
      </c>
      <c r="W889" s="3">
        <f t="shared" si="116"/>
        <v>90.029330000000002</v>
      </c>
      <c r="X889" s="1">
        <f t="shared" si="118"/>
        <v>0.12737558861023343</v>
      </c>
      <c r="Z889" s="4">
        <v>250.01803000000001</v>
      </c>
      <c r="AA889" s="1">
        <v>441.5</v>
      </c>
      <c r="AB889" s="3">
        <v>95.781149999999997</v>
      </c>
      <c r="AC889" s="3">
        <f t="shared" si="117"/>
        <v>95.704409999999996</v>
      </c>
      <c r="AD889" s="1">
        <f t="shared" si="115"/>
        <v>6.4241089229669993E-2</v>
      </c>
    </row>
    <row r="890" spans="20:30" x14ac:dyDescent="0.2">
      <c r="T890" s="4">
        <v>250.00699</v>
      </c>
      <c r="U890" s="1">
        <v>442</v>
      </c>
      <c r="V890" s="5">
        <v>85.863709999999998</v>
      </c>
      <c r="W890" s="3">
        <f t="shared" si="116"/>
        <v>90.021109999999993</v>
      </c>
      <c r="X890" s="1">
        <f t="shared" si="118"/>
        <v>0.12747433542965758</v>
      </c>
      <c r="Z890" s="4">
        <v>250.01641000000001</v>
      </c>
      <c r="AA890" s="1">
        <v>442</v>
      </c>
      <c r="AB890" s="5">
        <v>95.788759999999996</v>
      </c>
      <c r="AC890" s="3">
        <f t="shared" si="117"/>
        <v>95.712019999999995</v>
      </c>
      <c r="AD890" s="1">
        <f t="shared" si="115"/>
        <v>6.4150071112787338E-2</v>
      </c>
    </row>
    <row r="891" spans="20:30" x14ac:dyDescent="0.2">
      <c r="T891" s="4">
        <v>250.00198</v>
      </c>
      <c r="U891" s="1">
        <v>442.5</v>
      </c>
      <c r="V891" s="3">
        <v>85.849900000000005</v>
      </c>
      <c r="W891" s="3">
        <f t="shared" si="116"/>
        <v>90.007300000000001</v>
      </c>
      <c r="X891" s="1">
        <f t="shared" si="118"/>
        <v>0.1276402348914879</v>
      </c>
      <c r="Z891" s="4">
        <v>250.01247000000001</v>
      </c>
      <c r="AA891" s="1">
        <v>442.5</v>
      </c>
      <c r="AB891" s="3">
        <v>95.866190000000003</v>
      </c>
      <c r="AC891" s="3">
        <f t="shared" si="117"/>
        <v>95.789450000000002</v>
      </c>
      <c r="AD891" s="1">
        <f t="shared" si="115"/>
        <v>6.3223982704085011E-2</v>
      </c>
    </row>
    <row r="892" spans="20:30" x14ac:dyDescent="0.2">
      <c r="T892" s="4">
        <v>250.00198</v>
      </c>
      <c r="U892" s="1">
        <v>443</v>
      </c>
      <c r="V892" s="5">
        <v>85.849789999999999</v>
      </c>
      <c r="W892" s="3">
        <f t="shared" si="116"/>
        <v>90.007189999999994</v>
      </c>
      <c r="X892" s="1">
        <f t="shared" si="118"/>
        <v>0.12764155632094501</v>
      </c>
      <c r="Z892" s="4">
        <v>250.00963999999999</v>
      </c>
      <c r="AA892" s="1">
        <v>443</v>
      </c>
      <c r="AB892" s="5">
        <v>95.735659999999996</v>
      </c>
      <c r="AC892" s="3">
        <f t="shared" si="117"/>
        <v>95.658919999999995</v>
      </c>
      <c r="AD892" s="1">
        <f t="shared" si="115"/>
        <v>6.4785164674741227E-2</v>
      </c>
    </row>
    <row r="893" spans="20:30" x14ac:dyDescent="0.2">
      <c r="T893" s="4">
        <v>250.00194999999999</v>
      </c>
      <c r="U893" s="1">
        <v>443.5</v>
      </c>
      <c r="V893" s="3">
        <v>85.819770000000005</v>
      </c>
      <c r="W893" s="3">
        <f t="shared" si="116"/>
        <v>89.977170000000001</v>
      </c>
      <c r="X893" s="1">
        <f t="shared" si="118"/>
        <v>0.12800218643275879</v>
      </c>
      <c r="Z893" s="4">
        <v>250.00953999999999</v>
      </c>
      <c r="AA893" s="1">
        <v>443.5</v>
      </c>
      <c r="AB893" s="3">
        <v>95.86157</v>
      </c>
      <c r="AC893" s="3">
        <f t="shared" si="117"/>
        <v>95.784829999999999</v>
      </c>
      <c r="AD893" s="1">
        <f t="shared" si="115"/>
        <v>6.3279239432074252E-2</v>
      </c>
    </row>
    <row r="894" spans="20:30" x14ac:dyDescent="0.2">
      <c r="T894" s="4">
        <v>250.00099</v>
      </c>
      <c r="U894" s="1">
        <v>444</v>
      </c>
      <c r="V894" s="5">
        <v>85.801860000000005</v>
      </c>
      <c r="W894" s="3">
        <f t="shared" si="116"/>
        <v>89.95926</v>
      </c>
      <c r="X894" s="1">
        <f t="shared" si="118"/>
        <v>0.1282173391743506</v>
      </c>
      <c r="Z894" s="4">
        <v>250.00833</v>
      </c>
      <c r="AA894" s="1">
        <v>444</v>
      </c>
      <c r="AB894" s="5">
        <v>95.61721</v>
      </c>
      <c r="AC894" s="3">
        <f t="shared" si="117"/>
        <v>95.540469999999999</v>
      </c>
      <c r="AD894" s="1">
        <f t="shared" si="115"/>
        <v>6.6201865850135488E-2</v>
      </c>
    </row>
    <row r="895" spans="20:30" x14ac:dyDescent="0.2">
      <c r="T895" s="4">
        <v>250.00202999999999</v>
      </c>
      <c r="U895" s="1">
        <v>444.5</v>
      </c>
      <c r="V895" s="3">
        <v>85.811809999999994</v>
      </c>
      <c r="W895" s="3">
        <f t="shared" si="116"/>
        <v>89.96920999999999</v>
      </c>
      <c r="X895" s="1">
        <f t="shared" si="118"/>
        <v>0.12809780987346639</v>
      </c>
      <c r="Z895" s="4">
        <v>250.00854000000001</v>
      </c>
      <c r="AA895" s="1">
        <v>444.5</v>
      </c>
      <c r="AB895" s="3">
        <v>95.777640000000005</v>
      </c>
      <c r="AC895" s="3">
        <f t="shared" si="117"/>
        <v>95.700900000000004</v>
      </c>
      <c r="AD895" s="1">
        <f t="shared" ref="AD895:AD958" si="119">($AC$62-AC895)/($AC$62*(1-$M$1))</f>
        <v>6.4283069990544811E-2</v>
      </c>
    </row>
    <row r="896" spans="20:30" x14ac:dyDescent="0.2">
      <c r="T896" s="4">
        <v>250.00699</v>
      </c>
      <c r="U896" s="1">
        <v>445</v>
      </c>
      <c r="V896" s="5">
        <v>85.811689999999999</v>
      </c>
      <c r="W896" s="3">
        <f t="shared" si="116"/>
        <v>89.969089999999994</v>
      </c>
      <c r="X896" s="1">
        <f t="shared" si="118"/>
        <v>0.12809925143287398</v>
      </c>
      <c r="Z896" s="4">
        <v>250.01209</v>
      </c>
      <c r="AA896" s="1">
        <v>445</v>
      </c>
      <c r="AB896" s="5">
        <v>95.765450000000001</v>
      </c>
      <c r="AC896" s="3">
        <f t="shared" si="117"/>
        <v>95.68871</v>
      </c>
      <c r="AD896" s="1">
        <f t="shared" si="119"/>
        <v>6.4428866422187384E-2</v>
      </c>
    </row>
    <row r="897" spans="20:30" x14ac:dyDescent="0.2">
      <c r="T897" s="4">
        <v>250.00400999999999</v>
      </c>
      <c r="U897" s="1">
        <v>445.5</v>
      </c>
      <c r="V897" s="3">
        <v>85.815719999999999</v>
      </c>
      <c r="W897" s="3">
        <f t="shared" si="116"/>
        <v>89.973119999999994</v>
      </c>
      <c r="X897" s="1">
        <f t="shared" si="118"/>
        <v>0.12805083906276707</v>
      </c>
      <c r="Z897" s="4">
        <v>250.01102</v>
      </c>
      <c r="AA897" s="1">
        <v>445.5</v>
      </c>
      <c r="AB897" s="3">
        <v>95.749459999999999</v>
      </c>
      <c r="AC897" s="3">
        <f t="shared" si="117"/>
        <v>95.672719999999998</v>
      </c>
      <c r="AD897" s="1">
        <f t="shared" si="119"/>
        <v>6.4620112110617578E-2</v>
      </c>
    </row>
    <row r="898" spans="20:30" x14ac:dyDescent="0.2">
      <c r="T898" s="4">
        <v>250.00801999999999</v>
      </c>
      <c r="U898" s="1">
        <v>446</v>
      </c>
      <c r="V898" s="5">
        <v>85.805809999999994</v>
      </c>
      <c r="W898" s="3">
        <f t="shared" si="116"/>
        <v>89.963209999999989</v>
      </c>
      <c r="X898" s="1">
        <f t="shared" si="118"/>
        <v>0.12816988784384892</v>
      </c>
      <c r="Z898" s="4">
        <v>250.01043999999999</v>
      </c>
      <c r="AA898" s="1">
        <v>446</v>
      </c>
      <c r="AB898" s="5">
        <v>95.813159999999996</v>
      </c>
      <c r="AC898" s="3">
        <f t="shared" si="117"/>
        <v>95.736419999999995</v>
      </c>
      <c r="AD898" s="1">
        <f t="shared" si="119"/>
        <v>6.3858239042887621E-2</v>
      </c>
    </row>
    <row r="899" spans="20:30" x14ac:dyDescent="0.2">
      <c r="T899" s="4">
        <v>250.01201</v>
      </c>
      <c r="U899" s="1">
        <v>446.5</v>
      </c>
      <c r="V899" s="3">
        <v>85.77158</v>
      </c>
      <c r="W899" s="3">
        <f t="shared" si="116"/>
        <v>89.928979999999996</v>
      </c>
      <c r="X899" s="1">
        <f t="shared" si="118"/>
        <v>0.1285810926648811</v>
      </c>
      <c r="Z899" s="4">
        <v>250.01266000000001</v>
      </c>
      <c r="AA899" s="1">
        <v>446.5</v>
      </c>
      <c r="AB899" s="3">
        <v>95.654120000000006</v>
      </c>
      <c r="AC899" s="3">
        <f t="shared" si="117"/>
        <v>95.577380000000005</v>
      </c>
      <c r="AD899" s="1">
        <f t="shared" si="119"/>
        <v>6.5760410042758427E-2</v>
      </c>
    </row>
    <row r="900" spans="20:30" x14ac:dyDescent="0.2">
      <c r="T900" s="4">
        <v>250.01398</v>
      </c>
      <c r="U900" s="1">
        <v>447</v>
      </c>
      <c r="V900" s="5">
        <v>85.791659999999993</v>
      </c>
      <c r="W900" s="3">
        <f t="shared" si="116"/>
        <v>89.949059999999989</v>
      </c>
      <c r="X900" s="1">
        <f t="shared" si="118"/>
        <v>0.12833987172400105</v>
      </c>
      <c r="Z900" s="4">
        <v>250.01562000000001</v>
      </c>
      <c r="AA900" s="1">
        <v>447</v>
      </c>
      <c r="AB900" s="5">
        <v>95.662400000000005</v>
      </c>
      <c r="AC900" s="3">
        <f t="shared" si="117"/>
        <v>95.585660000000004</v>
      </c>
      <c r="AD900" s="1">
        <f t="shared" si="119"/>
        <v>6.5661378504284273E-2</v>
      </c>
    </row>
    <row r="901" spans="20:30" x14ac:dyDescent="0.2">
      <c r="T901" s="4">
        <v>250.00501</v>
      </c>
      <c r="U901" s="1">
        <v>447.5</v>
      </c>
      <c r="V901" s="3">
        <v>85.777640000000005</v>
      </c>
      <c r="W901" s="3">
        <f t="shared" si="116"/>
        <v>89.935040000000001</v>
      </c>
      <c r="X901" s="1">
        <f t="shared" si="118"/>
        <v>0.12850829391479471</v>
      </c>
      <c r="Z901" s="4">
        <v>250.02277000000001</v>
      </c>
      <c r="AA901" s="1">
        <v>447.5</v>
      </c>
      <c r="AB901" s="3">
        <v>95.676460000000006</v>
      </c>
      <c r="AC901" s="3">
        <f t="shared" si="117"/>
        <v>95.599720000000005</v>
      </c>
      <c r="AD901" s="1">
        <f t="shared" si="119"/>
        <v>6.5493216254169928E-2</v>
      </c>
    </row>
    <row r="902" spans="20:30" x14ac:dyDescent="0.2">
      <c r="T902" s="4">
        <v>250.00099</v>
      </c>
      <c r="U902" s="1">
        <v>448</v>
      </c>
      <c r="V902" s="5">
        <v>85.767449999999997</v>
      </c>
      <c r="W902" s="3">
        <f t="shared" si="116"/>
        <v>89.924849999999992</v>
      </c>
      <c r="X902" s="1">
        <f t="shared" si="118"/>
        <v>0.12863070633449444</v>
      </c>
      <c r="Z902" s="4">
        <v>250.0264</v>
      </c>
      <c r="AA902" s="1">
        <v>448</v>
      </c>
      <c r="AB902" s="5">
        <v>95.638289999999998</v>
      </c>
      <c r="AC902" s="3">
        <f t="shared" si="117"/>
        <v>95.561549999999997</v>
      </c>
      <c r="AD902" s="1">
        <f t="shared" si="119"/>
        <v>6.5949742078271339E-2</v>
      </c>
    </row>
    <row r="903" spans="20:30" x14ac:dyDescent="0.2">
      <c r="T903" s="4">
        <v>249.99995000000001</v>
      </c>
      <c r="U903" s="1">
        <v>448.5</v>
      </c>
      <c r="V903" s="3">
        <v>85.781630000000007</v>
      </c>
      <c r="W903" s="3">
        <f t="shared" ref="W903:W966" si="120">100-($V$6-V903)</f>
        <v>89.939030000000002</v>
      </c>
      <c r="X903" s="1">
        <f t="shared" si="118"/>
        <v>0.12846036206449032</v>
      </c>
      <c r="Z903" s="4">
        <v>250.02352999999999</v>
      </c>
      <c r="AA903" s="1">
        <v>448.5</v>
      </c>
      <c r="AB903" s="3">
        <v>95.683310000000006</v>
      </c>
      <c r="AC903" s="3">
        <f t="shared" ref="AC903:AC966" si="121">100-($AB$6-AB903)</f>
        <v>95.606570000000005</v>
      </c>
      <c r="AD903" s="1">
        <f t="shared" si="119"/>
        <v>6.5411287988644803E-2</v>
      </c>
    </row>
    <row r="904" spans="20:30" x14ac:dyDescent="0.2">
      <c r="T904" s="4">
        <v>250.00102999999999</v>
      </c>
      <c r="U904" s="1">
        <v>449</v>
      </c>
      <c r="V904" s="5">
        <v>85.755589999999998</v>
      </c>
      <c r="W904" s="3">
        <f t="shared" si="120"/>
        <v>89.912989999999994</v>
      </c>
      <c r="X904" s="1">
        <f t="shared" si="118"/>
        <v>0.12877318045595054</v>
      </c>
      <c r="Z904" s="4">
        <v>250.02077</v>
      </c>
      <c r="AA904" s="1">
        <v>449</v>
      </c>
      <c r="AB904" s="5">
        <v>95.73151</v>
      </c>
      <c r="AC904" s="3">
        <f t="shared" si="121"/>
        <v>95.654769999999999</v>
      </c>
      <c r="AD904" s="1">
        <f t="shared" si="119"/>
        <v>6.4834800047285604E-2</v>
      </c>
    </row>
    <row r="905" spans="20:30" x14ac:dyDescent="0.2">
      <c r="T905" s="4">
        <v>250.00299999999999</v>
      </c>
      <c r="U905" s="1">
        <v>449.5</v>
      </c>
      <c r="V905" s="3">
        <v>85.761560000000003</v>
      </c>
      <c r="W905" s="3">
        <f t="shared" si="120"/>
        <v>89.918959999999998</v>
      </c>
      <c r="X905" s="1">
        <f t="shared" si="118"/>
        <v>0.12870146287541989</v>
      </c>
      <c r="Z905" s="4">
        <v>250.01786999999999</v>
      </c>
      <c r="AA905" s="1">
        <v>449.5</v>
      </c>
      <c r="AB905" s="3">
        <v>95.67174</v>
      </c>
      <c r="AC905" s="3">
        <f t="shared" si="121"/>
        <v>95.594999999999999</v>
      </c>
      <c r="AD905" s="1">
        <f t="shared" si="119"/>
        <v>6.554966901523257E-2</v>
      </c>
    </row>
    <row r="906" spans="20:30" x14ac:dyDescent="0.2">
      <c r="T906" s="4">
        <v>250.00701000000001</v>
      </c>
      <c r="U906" s="1">
        <v>450</v>
      </c>
      <c r="V906" s="5">
        <v>85.739670000000004</v>
      </c>
      <c r="W906" s="3">
        <f t="shared" si="120"/>
        <v>89.897069999999999</v>
      </c>
      <c r="X906" s="1">
        <f t="shared" si="118"/>
        <v>0.12896442733736543</v>
      </c>
      <c r="Z906" s="4">
        <v>250.01787999999999</v>
      </c>
      <c r="AA906" s="1">
        <v>450</v>
      </c>
      <c r="AB906" s="5">
        <v>95.627200000000002</v>
      </c>
      <c r="AC906" s="3">
        <f t="shared" si="121"/>
        <v>95.550460000000001</v>
      </c>
      <c r="AD906" s="1">
        <f t="shared" si="119"/>
        <v>6.6082382146106858E-2</v>
      </c>
    </row>
    <row r="907" spans="20:30" x14ac:dyDescent="0.2">
      <c r="T907" s="4">
        <v>250.01300000000001</v>
      </c>
      <c r="U907" s="1">
        <v>450.5</v>
      </c>
      <c r="V907" s="3">
        <v>85.733230000000006</v>
      </c>
      <c r="W907" s="3">
        <f t="shared" si="120"/>
        <v>89.890630000000002</v>
      </c>
      <c r="X907" s="1">
        <f t="shared" si="118"/>
        <v>0.12904179102557597</v>
      </c>
      <c r="Z907" s="4">
        <v>250.01715999999999</v>
      </c>
      <c r="AA907" s="1">
        <v>450.5</v>
      </c>
      <c r="AB907" s="3">
        <v>95.699590000000001</v>
      </c>
      <c r="AC907" s="3">
        <f t="shared" si="121"/>
        <v>95.62285</v>
      </c>
      <c r="AD907" s="1">
        <f t="shared" si="119"/>
        <v>6.5216573804301944E-2</v>
      </c>
    </row>
    <row r="908" spans="20:30" x14ac:dyDescent="0.2">
      <c r="T908" s="4">
        <v>250.00498999999999</v>
      </c>
      <c r="U908" s="1">
        <v>451</v>
      </c>
      <c r="V908" s="5">
        <v>85.707260000000005</v>
      </c>
      <c r="W908" s="3">
        <f t="shared" si="120"/>
        <v>89.864660000000001</v>
      </c>
      <c r="X908" s="1">
        <f t="shared" si="118"/>
        <v>0.12935376850738164</v>
      </c>
      <c r="Z908" s="4">
        <v>250.01449</v>
      </c>
      <c r="AA908" s="1">
        <v>451</v>
      </c>
      <c r="AB908" s="5">
        <v>95.617059999999995</v>
      </c>
      <c r="AC908" s="3">
        <f t="shared" si="121"/>
        <v>95.540319999999994</v>
      </c>
      <c r="AD908" s="1">
        <f t="shared" si="119"/>
        <v>6.6203659899745596E-2</v>
      </c>
    </row>
    <row r="909" spans="20:30" x14ac:dyDescent="0.2">
      <c r="T909" s="4">
        <v>250.00798</v>
      </c>
      <c r="U909" s="1">
        <v>451.5</v>
      </c>
      <c r="V909" s="3">
        <v>85.717349999999996</v>
      </c>
      <c r="W909" s="3">
        <f t="shared" si="120"/>
        <v>89.874749999999992</v>
      </c>
      <c r="X909" s="1">
        <f t="shared" si="118"/>
        <v>0.1292325573871885</v>
      </c>
      <c r="Z909" s="4">
        <v>250.01521</v>
      </c>
      <c r="AA909" s="1">
        <v>451.5</v>
      </c>
      <c r="AB909" s="3">
        <v>95.633150000000001</v>
      </c>
      <c r="AC909" s="3">
        <f t="shared" si="121"/>
        <v>95.55641</v>
      </c>
      <c r="AD909" s="1">
        <f t="shared" si="119"/>
        <v>6.6011218178241987E-2</v>
      </c>
    </row>
    <row r="910" spans="20:30" x14ac:dyDescent="0.2">
      <c r="T910" s="4">
        <v>250.006</v>
      </c>
      <c r="U910" s="1">
        <v>452</v>
      </c>
      <c r="V910" s="5">
        <v>85.691310000000001</v>
      </c>
      <c r="W910" s="3">
        <f t="shared" si="120"/>
        <v>89.848709999999997</v>
      </c>
      <c r="X910" s="1">
        <f t="shared" si="118"/>
        <v>0.12954537577864855</v>
      </c>
      <c r="Z910" s="4">
        <v>250.01497000000001</v>
      </c>
      <c r="AA910" s="1">
        <v>452</v>
      </c>
      <c r="AB910" s="5">
        <v>95.725480000000005</v>
      </c>
      <c r="AC910" s="3">
        <f t="shared" si="121"/>
        <v>95.648740000000004</v>
      </c>
      <c r="AD910" s="1">
        <f t="shared" si="119"/>
        <v>6.4906920841609123E-2</v>
      </c>
    </row>
    <row r="911" spans="20:30" x14ac:dyDescent="0.2">
      <c r="T911" s="4">
        <v>250.01102</v>
      </c>
      <c r="U911" s="1">
        <v>452.5</v>
      </c>
      <c r="V911" s="3">
        <v>85.695340000000002</v>
      </c>
      <c r="W911" s="3">
        <f t="shared" si="120"/>
        <v>89.852739999999997</v>
      </c>
      <c r="X911" s="1">
        <f t="shared" si="118"/>
        <v>0.12949696340854164</v>
      </c>
      <c r="Z911" s="4">
        <v>250.01788999999999</v>
      </c>
      <c r="AA911" s="1">
        <v>452.5</v>
      </c>
      <c r="AB911" s="3">
        <v>95.634339999999995</v>
      </c>
      <c r="AC911" s="3">
        <f t="shared" si="121"/>
        <v>95.557599999999994</v>
      </c>
      <c r="AD911" s="1">
        <f t="shared" si="119"/>
        <v>6.5996985384669082E-2</v>
      </c>
    </row>
    <row r="912" spans="20:30" x14ac:dyDescent="0.2">
      <c r="T912" s="4">
        <v>250.00503</v>
      </c>
      <c r="U912" s="1">
        <v>453</v>
      </c>
      <c r="V912" s="5">
        <v>85.681160000000006</v>
      </c>
      <c r="W912" s="3">
        <f t="shared" si="120"/>
        <v>89.838560000000001</v>
      </c>
      <c r="X912" s="1">
        <f t="shared" si="118"/>
        <v>0.12966730767854559</v>
      </c>
      <c r="Z912" s="4">
        <v>250.01709</v>
      </c>
      <c r="AA912" s="1">
        <v>453</v>
      </c>
      <c r="AB912" s="5">
        <v>95.656769999999995</v>
      </c>
      <c r="AC912" s="3">
        <f t="shared" si="121"/>
        <v>95.580029999999994</v>
      </c>
      <c r="AD912" s="1">
        <f t="shared" si="119"/>
        <v>6.5728715166314539E-2</v>
      </c>
    </row>
    <row r="913" spans="20:30" x14ac:dyDescent="0.2">
      <c r="T913" s="4">
        <v>250.005</v>
      </c>
      <c r="U913" s="1">
        <v>453.5</v>
      </c>
      <c r="V913" s="3">
        <v>85.663340000000005</v>
      </c>
      <c r="W913" s="3">
        <f t="shared" si="120"/>
        <v>89.820740000000001</v>
      </c>
      <c r="X913" s="1">
        <f t="shared" si="118"/>
        <v>0.12988137925058169</v>
      </c>
      <c r="Z913" s="4">
        <v>250.01052999999999</v>
      </c>
      <c r="AA913" s="1">
        <v>453.5</v>
      </c>
      <c r="AB913" s="3">
        <v>95.687309999999997</v>
      </c>
      <c r="AC913" s="3">
        <f t="shared" si="121"/>
        <v>95.610569999999996</v>
      </c>
      <c r="AD913" s="1">
        <f t="shared" si="119"/>
        <v>6.5363446665710534E-2</v>
      </c>
    </row>
    <row r="914" spans="20:30" x14ac:dyDescent="0.2">
      <c r="T914" s="4">
        <v>250.00597999999999</v>
      </c>
      <c r="U914" s="1">
        <v>454</v>
      </c>
      <c r="V914" s="5">
        <v>85.663210000000007</v>
      </c>
      <c r="W914" s="3">
        <f t="shared" si="120"/>
        <v>89.820610000000002</v>
      </c>
      <c r="X914" s="1">
        <f t="shared" si="118"/>
        <v>0.12988294093993996</v>
      </c>
      <c r="Z914" s="4">
        <v>250.00746000000001</v>
      </c>
      <c r="AA914" s="1">
        <v>454</v>
      </c>
      <c r="AB914" s="5">
        <v>95.665430000000001</v>
      </c>
      <c r="AC914" s="3">
        <f t="shared" si="121"/>
        <v>95.58869</v>
      </c>
      <c r="AD914" s="1">
        <f t="shared" si="119"/>
        <v>6.5625138702161537E-2</v>
      </c>
    </row>
    <row r="915" spans="20:30" x14ac:dyDescent="0.2">
      <c r="T915" s="4">
        <v>250.00101000000001</v>
      </c>
      <c r="U915" s="1">
        <v>454.5</v>
      </c>
      <c r="V915" s="3">
        <v>85.665270000000007</v>
      </c>
      <c r="W915" s="3">
        <f t="shared" si="120"/>
        <v>89.822670000000002</v>
      </c>
      <c r="X915" s="1">
        <f t="shared" si="118"/>
        <v>0.12985819417010863</v>
      </c>
      <c r="Z915" s="4">
        <v>250.01060000000001</v>
      </c>
      <c r="AA915" s="1">
        <v>454.5</v>
      </c>
      <c r="AB915" s="3">
        <v>95.628839999999997</v>
      </c>
      <c r="AC915" s="3">
        <f t="shared" si="121"/>
        <v>95.552099999999996</v>
      </c>
      <c r="AD915" s="1">
        <f t="shared" si="119"/>
        <v>6.6062767203703826E-2</v>
      </c>
    </row>
    <row r="916" spans="20:30" x14ac:dyDescent="0.2">
      <c r="T916" s="4">
        <v>250.00602000000001</v>
      </c>
      <c r="U916" s="1">
        <v>455</v>
      </c>
      <c r="V916" s="5">
        <v>85.655230000000003</v>
      </c>
      <c r="W916" s="3">
        <f t="shared" si="120"/>
        <v>89.812629999999999</v>
      </c>
      <c r="X916" s="1">
        <f t="shared" si="118"/>
        <v>0.12997880464054876</v>
      </c>
      <c r="Z916" s="4">
        <v>250.01068000000001</v>
      </c>
      <c r="AA916" s="1">
        <v>455</v>
      </c>
      <c r="AB916" s="5">
        <v>95.657349999999994</v>
      </c>
      <c r="AC916" s="3">
        <f t="shared" si="121"/>
        <v>95.580609999999993</v>
      </c>
      <c r="AD916" s="1">
        <f t="shared" si="119"/>
        <v>6.5721778174489071E-2</v>
      </c>
    </row>
    <row r="917" spans="20:30" x14ac:dyDescent="0.2">
      <c r="T917" s="4">
        <v>250.00799000000001</v>
      </c>
      <c r="U917" s="1">
        <v>455.5</v>
      </c>
      <c r="V917" s="3">
        <v>85.629050000000007</v>
      </c>
      <c r="W917" s="3">
        <f t="shared" si="120"/>
        <v>89.786450000000002</v>
      </c>
      <c r="X917" s="1">
        <f t="shared" si="118"/>
        <v>0.13029330485131776</v>
      </c>
      <c r="Z917" s="4">
        <v>250.01140000000001</v>
      </c>
      <c r="AA917" s="1">
        <v>455.5</v>
      </c>
      <c r="AB917" s="3">
        <v>95.597589999999997</v>
      </c>
      <c r="AC917" s="3">
        <f t="shared" si="121"/>
        <v>95.520849999999996</v>
      </c>
      <c r="AD917" s="1">
        <f t="shared" si="119"/>
        <v>6.6436527539128654E-2</v>
      </c>
    </row>
    <row r="918" spans="20:30" x14ac:dyDescent="0.2">
      <c r="T918" s="4">
        <v>250.006</v>
      </c>
      <c r="U918" s="1">
        <v>456</v>
      </c>
      <c r="V918" s="5">
        <v>85.641390000000001</v>
      </c>
      <c r="W918" s="3">
        <f t="shared" si="120"/>
        <v>89.798789999999997</v>
      </c>
      <c r="X918" s="1">
        <f t="shared" ref="X918:X981" si="122">($W$21-W918)/($W$21*(1-$M$1))</f>
        <v>0.13014506449223112</v>
      </c>
      <c r="Z918" s="4">
        <v>250.01191</v>
      </c>
      <c r="AA918" s="1">
        <v>456</v>
      </c>
      <c r="AB918" s="5">
        <v>95.669200000000004</v>
      </c>
      <c r="AC918" s="3">
        <f t="shared" si="121"/>
        <v>95.592460000000003</v>
      </c>
      <c r="AD918" s="1">
        <f t="shared" si="119"/>
        <v>6.5580048255295856E-2</v>
      </c>
    </row>
    <row r="919" spans="20:30" x14ac:dyDescent="0.2">
      <c r="T919" s="4">
        <v>250.00398000000001</v>
      </c>
      <c r="U919" s="1">
        <v>456.5</v>
      </c>
      <c r="V919" s="3">
        <v>85.617059999999995</v>
      </c>
      <c r="W919" s="3">
        <f t="shared" si="120"/>
        <v>89.774459999999991</v>
      </c>
      <c r="X919" s="1">
        <f t="shared" si="122"/>
        <v>0.13043734066213231</v>
      </c>
      <c r="Z919" s="4">
        <v>250.01319000000001</v>
      </c>
      <c r="AA919" s="1">
        <v>456.5</v>
      </c>
      <c r="AB919" s="3">
        <v>95.585250000000002</v>
      </c>
      <c r="AC919" s="3">
        <f t="shared" si="121"/>
        <v>95.508510000000001</v>
      </c>
      <c r="AD919" s="1">
        <f t="shared" si="119"/>
        <v>6.6584118020381153E-2</v>
      </c>
    </row>
    <row r="920" spans="20:30" x14ac:dyDescent="0.2">
      <c r="T920" s="4">
        <v>250.00201000000001</v>
      </c>
      <c r="U920" s="1">
        <v>457</v>
      </c>
      <c r="V920" s="5">
        <v>85.621139999999997</v>
      </c>
      <c r="W920" s="3">
        <f t="shared" si="120"/>
        <v>89.778539999999992</v>
      </c>
      <c r="X920" s="1">
        <f t="shared" si="122"/>
        <v>0.13038832764227218</v>
      </c>
      <c r="Z920" s="4">
        <v>250.02053000000001</v>
      </c>
      <c r="AA920" s="1">
        <v>457</v>
      </c>
      <c r="AB920" s="5">
        <v>95.580330000000004</v>
      </c>
      <c r="AC920" s="3">
        <f t="shared" si="121"/>
        <v>95.503590000000003</v>
      </c>
      <c r="AD920" s="1">
        <f t="shared" si="119"/>
        <v>6.6642962847590428E-2</v>
      </c>
    </row>
    <row r="921" spans="20:30" x14ac:dyDescent="0.2">
      <c r="T921" s="4">
        <v>249.99902</v>
      </c>
      <c r="U921" s="1">
        <v>457.5</v>
      </c>
      <c r="V921" s="3">
        <v>85.608959999999996</v>
      </c>
      <c r="W921" s="3">
        <f t="shared" si="120"/>
        <v>89.766359999999992</v>
      </c>
      <c r="X921" s="1">
        <f t="shared" si="122"/>
        <v>0.1305346459221487</v>
      </c>
      <c r="Z921" s="4">
        <v>250.02305000000001</v>
      </c>
      <c r="AA921" s="1">
        <v>457.5</v>
      </c>
      <c r="AB921" s="3">
        <v>95.640029999999996</v>
      </c>
      <c r="AC921" s="3">
        <f t="shared" si="121"/>
        <v>95.563289999999995</v>
      </c>
      <c r="AD921" s="1">
        <f t="shared" si="119"/>
        <v>6.5928931102794908E-2</v>
      </c>
    </row>
    <row r="922" spans="20:30" x14ac:dyDescent="0.2">
      <c r="T922" s="4">
        <v>250.00298000000001</v>
      </c>
      <c r="U922" s="1">
        <v>458</v>
      </c>
      <c r="V922" s="5">
        <v>85.596990000000005</v>
      </c>
      <c r="W922" s="3">
        <f t="shared" si="120"/>
        <v>89.754390000000001</v>
      </c>
      <c r="X922" s="1">
        <f t="shared" si="122"/>
        <v>0.13067844147306171</v>
      </c>
      <c r="Z922" s="4">
        <v>250.02381</v>
      </c>
      <c r="AA922" s="1">
        <v>458</v>
      </c>
      <c r="AB922" s="5">
        <v>95.579920000000001</v>
      </c>
      <c r="AC922" s="3">
        <f t="shared" si="121"/>
        <v>95.50318</v>
      </c>
      <c r="AD922" s="1">
        <f t="shared" si="119"/>
        <v>6.6647866583191231E-2</v>
      </c>
    </row>
    <row r="923" spans="20:30" x14ac:dyDescent="0.2">
      <c r="T923" s="4">
        <v>250.00595999999999</v>
      </c>
      <c r="U923" s="1">
        <v>458.5</v>
      </c>
      <c r="V923" s="3">
        <v>85.587190000000007</v>
      </c>
      <c r="W923" s="3">
        <f t="shared" si="120"/>
        <v>89.744590000000002</v>
      </c>
      <c r="X923" s="1">
        <f t="shared" si="122"/>
        <v>0.13079616882468648</v>
      </c>
      <c r="Z923" s="4">
        <v>250.02028000000001</v>
      </c>
      <c r="AA923" s="1">
        <v>458.5</v>
      </c>
      <c r="AB923" s="3">
        <v>95.50788</v>
      </c>
      <c r="AC923" s="3">
        <f t="shared" si="121"/>
        <v>95.431139999999999</v>
      </c>
      <c r="AD923" s="1">
        <f t="shared" si="119"/>
        <v>6.7509488809239418E-2</v>
      </c>
    </row>
    <row r="924" spans="20:30" x14ac:dyDescent="0.2">
      <c r="T924" s="4">
        <v>250.00502</v>
      </c>
      <c r="U924" s="1">
        <v>459</v>
      </c>
      <c r="V924" s="5">
        <v>85.590969999999999</v>
      </c>
      <c r="W924" s="3">
        <f t="shared" si="120"/>
        <v>89.748369999999994</v>
      </c>
      <c r="X924" s="1">
        <f t="shared" si="122"/>
        <v>0.13075075970334557</v>
      </c>
      <c r="Z924" s="4">
        <v>250.01671999999999</v>
      </c>
      <c r="AA924" s="1">
        <v>459</v>
      </c>
      <c r="AB924" s="5">
        <v>95.465339999999998</v>
      </c>
      <c r="AC924" s="3">
        <f t="shared" si="121"/>
        <v>95.388599999999997</v>
      </c>
      <c r="AD924" s="1">
        <f t="shared" si="119"/>
        <v>6.8018281278646564E-2</v>
      </c>
    </row>
    <row r="925" spans="20:30" x14ac:dyDescent="0.2">
      <c r="T925" s="4">
        <v>250.00797</v>
      </c>
      <c r="U925" s="1">
        <v>459.5</v>
      </c>
      <c r="V925" s="3">
        <v>85.570999999999998</v>
      </c>
      <c r="W925" s="3">
        <f t="shared" si="120"/>
        <v>89.728399999999993</v>
      </c>
      <c r="X925" s="1">
        <f t="shared" si="122"/>
        <v>0.13099065921476874</v>
      </c>
      <c r="Z925" s="4">
        <v>250.01465999999999</v>
      </c>
      <c r="AA925" s="1">
        <v>459.5</v>
      </c>
      <c r="AB925" s="3">
        <v>95.507580000000004</v>
      </c>
      <c r="AC925" s="3">
        <f t="shared" si="121"/>
        <v>95.430840000000003</v>
      </c>
      <c r="AD925" s="1">
        <f t="shared" si="119"/>
        <v>6.7513076908459438E-2</v>
      </c>
    </row>
    <row r="926" spans="20:30" x14ac:dyDescent="0.2">
      <c r="T926" s="4">
        <v>250.01098999999999</v>
      </c>
      <c r="U926" s="1">
        <v>460</v>
      </c>
      <c r="V926" s="5">
        <v>85.564880000000002</v>
      </c>
      <c r="W926" s="3">
        <f t="shared" si="120"/>
        <v>89.722279999999998</v>
      </c>
      <c r="X926" s="1">
        <f t="shared" si="122"/>
        <v>0.13106417874455886</v>
      </c>
      <c r="Z926" s="4">
        <v>250.01755</v>
      </c>
      <c r="AA926" s="1">
        <v>460</v>
      </c>
      <c r="AB926" s="5">
        <v>95.566599999999994</v>
      </c>
      <c r="AC926" s="3">
        <f t="shared" si="121"/>
        <v>95.489859999999993</v>
      </c>
      <c r="AD926" s="1">
        <f t="shared" si="119"/>
        <v>6.6807178188562799E-2</v>
      </c>
    </row>
    <row r="927" spans="20:30" x14ac:dyDescent="0.2">
      <c r="T927" s="4">
        <v>250.00998999999999</v>
      </c>
      <c r="U927" s="1">
        <v>460.5</v>
      </c>
      <c r="V927" s="3">
        <v>85.567080000000004</v>
      </c>
      <c r="W927" s="3">
        <f t="shared" si="120"/>
        <v>89.72448</v>
      </c>
      <c r="X927" s="1">
        <f t="shared" si="122"/>
        <v>0.13103775015541858</v>
      </c>
      <c r="Z927" s="4">
        <v>250.02107000000001</v>
      </c>
      <c r="AA927" s="1">
        <v>460.5</v>
      </c>
      <c r="AB927" s="3">
        <v>95.594819999999999</v>
      </c>
      <c r="AC927" s="3">
        <f t="shared" si="121"/>
        <v>95.518079999999998</v>
      </c>
      <c r="AD927" s="1">
        <f t="shared" si="119"/>
        <v>6.6469657655260694E-2</v>
      </c>
    </row>
    <row r="928" spans="20:30" x14ac:dyDescent="0.2">
      <c r="T928" s="4">
        <v>250.00502</v>
      </c>
      <c r="U928" s="1">
        <v>461</v>
      </c>
      <c r="V928" s="5">
        <v>85.540959999999998</v>
      </c>
      <c r="W928" s="3">
        <f t="shared" si="120"/>
        <v>89.698359999999994</v>
      </c>
      <c r="X928" s="1">
        <f t="shared" si="122"/>
        <v>0.13135152958648388</v>
      </c>
      <c r="Z928" s="4">
        <v>250.02144999999999</v>
      </c>
      <c r="AA928" s="1">
        <v>461</v>
      </c>
      <c r="AB928" s="5">
        <v>95.471869999999996</v>
      </c>
      <c r="AC928" s="3">
        <f t="shared" si="121"/>
        <v>95.395129999999995</v>
      </c>
      <c r="AD928" s="1">
        <f t="shared" si="119"/>
        <v>6.7940180318956211E-2</v>
      </c>
    </row>
    <row r="929" spans="20:30" x14ac:dyDescent="0.2">
      <c r="T929" s="4">
        <v>250.00299999999999</v>
      </c>
      <c r="U929" s="1">
        <v>461.5</v>
      </c>
      <c r="V929" s="3">
        <v>85.520849999999996</v>
      </c>
      <c r="W929" s="3">
        <f t="shared" si="120"/>
        <v>89.678249999999991</v>
      </c>
      <c r="X929" s="1">
        <f t="shared" si="122"/>
        <v>0.13159311091721598</v>
      </c>
      <c r="Z929" s="4">
        <v>250.02135000000001</v>
      </c>
      <c r="AA929" s="1">
        <v>461.5</v>
      </c>
      <c r="AB929" s="3">
        <v>95.476150000000004</v>
      </c>
      <c r="AC929" s="3">
        <f t="shared" si="121"/>
        <v>95.399410000000003</v>
      </c>
      <c r="AD929" s="1">
        <f t="shared" si="119"/>
        <v>6.7888990103416327E-2</v>
      </c>
    </row>
    <row r="930" spans="20:30" x14ac:dyDescent="0.2">
      <c r="T930" s="4">
        <v>250.00395</v>
      </c>
      <c r="U930" s="1">
        <v>462</v>
      </c>
      <c r="V930" s="5">
        <v>85.540719999999993</v>
      </c>
      <c r="W930" s="3">
        <f t="shared" si="120"/>
        <v>89.698119999999989</v>
      </c>
      <c r="X930" s="1">
        <f t="shared" si="122"/>
        <v>0.13135441270529924</v>
      </c>
      <c r="Z930" s="4">
        <v>250.01990000000001</v>
      </c>
      <c r="AA930" s="1">
        <v>462</v>
      </c>
      <c r="AB930" s="5">
        <v>95.490920000000003</v>
      </c>
      <c r="AC930" s="3">
        <f t="shared" si="121"/>
        <v>95.414180000000002</v>
      </c>
      <c r="AD930" s="1">
        <f t="shared" si="119"/>
        <v>6.7712336018481145E-2</v>
      </c>
    </row>
    <row r="931" spans="20:30" x14ac:dyDescent="0.2">
      <c r="T931" s="4">
        <v>250.00502</v>
      </c>
      <c r="U931" s="1">
        <v>462.5</v>
      </c>
      <c r="V931" s="3">
        <v>85.524839999999998</v>
      </c>
      <c r="W931" s="3">
        <f t="shared" si="120"/>
        <v>89.682239999999993</v>
      </c>
      <c r="X931" s="1">
        <f t="shared" si="122"/>
        <v>0.13154517906691157</v>
      </c>
      <c r="Z931" s="4">
        <v>250.01761999999999</v>
      </c>
      <c r="AA931" s="1">
        <v>462.5</v>
      </c>
      <c r="AB931" s="3">
        <v>95.546099999999996</v>
      </c>
      <c r="AC931" s="3">
        <f t="shared" si="121"/>
        <v>95.469359999999995</v>
      </c>
      <c r="AD931" s="1">
        <f t="shared" si="119"/>
        <v>6.7052364968601466E-2</v>
      </c>
    </row>
    <row r="932" spans="20:30" x14ac:dyDescent="0.2">
      <c r="T932" s="4">
        <v>249.99999</v>
      </c>
      <c r="U932" s="1">
        <v>463</v>
      </c>
      <c r="V932" s="5">
        <v>85.522779999999997</v>
      </c>
      <c r="W932" s="3">
        <f t="shared" si="120"/>
        <v>89.680179999999993</v>
      </c>
      <c r="X932" s="1">
        <f t="shared" si="122"/>
        <v>0.1315699258367429</v>
      </c>
      <c r="Z932" s="4">
        <v>250.01934</v>
      </c>
      <c r="AA932" s="1">
        <v>463</v>
      </c>
      <c r="AB932" s="5">
        <v>95.562929999999994</v>
      </c>
      <c r="AC932" s="3">
        <f t="shared" si="121"/>
        <v>95.486189999999993</v>
      </c>
      <c r="AD932" s="1">
        <f t="shared" si="119"/>
        <v>6.685107260235508E-2</v>
      </c>
    </row>
    <row r="933" spans="20:30" x14ac:dyDescent="0.2">
      <c r="T933" s="4">
        <v>250.001</v>
      </c>
      <c r="U933" s="1">
        <v>463.5</v>
      </c>
      <c r="V933" s="3">
        <v>85.514830000000003</v>
      </c>
      <c r="W933" s="3">
        <f t="shared" si="120"/>
        <v>89.672229999999999</v>
      </c>
      <c r="X933" s="1">
        <f t="shared" si="122"/>
        <v>0.13166542914749968</v>
      </c>
      <c r="Z933" s="4">
        <v>250.02090999999999</v>
      </c>
      <c r="AA933" s="1">
        <v>463.5</v>
      </c>
      <c r="AB933" s="3">
        <v>95.522480000000002</v>
      </c>
      <c r="AC933" s="3">
        <f t="shared" si="121"/>
        <v>95.445740000000001</v>
      </c>
      <c r="AD933" s="1">
        <f t="shared" si="119"/>
        <v>6.7334867980528915E-2</v>
      </c>
    </row>
    <row r="934" spans="20:30" x14ac:dyDescent="0.2">
      <c r="T934" s="4">
        <v>250.00197</v>
      </c>
      <c r="U934" s="1">
        <v>464</v>
      </c>
      <c r="V934" s="5">
        <v>85.502750000000006</v>
      </c>
      <c r="W934" s="3">
        <f t="shared" si="120"/>
        <v>89.660150000000002</v>
      </c>
      <c r="X934" s="1">
        <f t="shared" si="122"/>
        <v>0.13181054612786977</v>
      </c>
      <c r="Z934" s="4">
        <v>250.02045000000001</v>
      </c>
      <c r="AA934" s="1">
        <v>464</v>
      </c>
      <c r="AB934" s="5">
        <v>95.305000000000007</v>
      </c>
      <c r="AC934" s="3">
        <f t="shared" si="121"/>
        <v>95.228260000000006</v>
      </c>
      <c r="AD934" s="1">
        <f t="shared" si="119"/>
        <v>6.9936000708471058E-2</v>
      </c>
    </row>
    <row r="935" spans="20:30" x14ac:dyDescent="0.2">
      <c r="T935" s="4">
        <v>250.00398999999999</v>
      </c>
      <c r="U935" s="1">
        <v>464.5</v>
      </c>
      <c r="V935" s="3">
        <v>85.500789999999995</v>
      </c>
      <c r="W935" s="3">
        <f t="shared" si="120"/>
        <v>89.658189999999991</v>
      </c>
      <c r="X935" s="1">
        <f t="shared" si="122"/>
        <v>0.13183409159819487</v>
      </c>
      <c r="Z935" s="4">
        <v>250.02176</v>
      </c>
      <c r="AA935" s="1">
        <v>464.5</v>
      </c>
      <c r="AB935" s="3">
        <v>95.566559999999996</v>
      </c>
      <c r="AC935" s="3">
        <f t="shared" si="121"/>
        <v>95.489819999999995</v>
      </c>
      <c r="AD935" s="1">
        <f t="shared" si="119"/>
        <v>6.6807656601792123E-2</v>
      </c>
    </row>
    <row r="936" spans="20:30" x14ac:dyDescent="0.2">
      <c r="T936" s="4">
        <v>250.00796</v>
      </c>
      <c r="U936" s="1">
        <v>465</v>
      </c>
      <c r="V936" s="5">
        <v>85.504779999999997</v>
      </c>
      <c r="W936" s="3">
        <f t="shared" si="120"/>
        <v>89.662179999999992</v>
      </c>
      <c r="X936" s="1">
        <f t="shared" si="122"/>
        <v>0.13178615974789049</v>
      </c>
      <c r="Z936" s="4">
        <v>250.02143000000001</v>
      </c>
      <c r="AA936" s="1">
        <v>465</v>
      </c>
      <c r="AB936" s="5">
        <v>95.590490000000003</v>
      </c>
      <c r="AC936" s="3">
        <f t="shared" si="121"/>
        <v>95.513750000000002</v>
      </c>
      <c r="AD936" s="1">
        <f t="shared" si="119"/>
        <v>6.6521445887337119E-2</v>
      </c>
    </row>
    <row r="937" spans="20:30" x14ac:dyDescent="0.2">
      <c r="T937" s="4">
        <v>250.00702999999999</v>
      </c>
      <c r="U937" s="1">
        <v>465.5</v>
      </c>
      <c r="V937" s="3">
        <v>85.502700000000004</v>
      </c>
      <c r="W937" s="3">
        <f t="shared" si="120"/>
        <v>89.6601</v>
      </c>
      <c r="X937" s="1">
        <f t="shared" si="122"/>
        <v>0.13181114677762298</v>
      </c>
      <c r="Z937" s="4">
        <v>250.01889</v>
      </c>
      <c r="AA937" s="1">
        <v>465.5</v>
      </c>
      <c r="AB937" s="3">
        <v>95.567480000000003</v>
      </c>
      <c r="AC937" s="3">
        <f t="shared" si="121"/>
        <v>95.490740000000002</v>
      </c>
      <c r="AD937" s="1">
        <f t="shared" si="119"/>
        <v>6.6796653097517117E-2</v>
      </c>
    </row>
    <row r="938" spans="20:30" x14ac:dyDescent="0.2">
      <c r="T938" s="4">
        <v>250.00799000000001</v>
      </c>
      <c r="U938" s="1">
        <v>466</v>
      </c>
      <c r="V938" s="5">
        <v>85.476510000000005</v>
      </c>
      <c r="W938" s="3">
        <f t="shared" si="120"/>
        <v>89.63391</v>
      </c>
      <c r="X938" s="1">
        <f t="shared" si="122"/>
        <v>0.13212576711834267</v>
      </c>
      <c r="Z938" s="4">
        <v>250.01653999999999</v>
      </c>
      <c r="AA938" s="1">
        <v>466</v>
      </c>
      <c r="AB938" s="5">
        <v>95.496859999999998</v>
      </c>
      <c r="AC938" s="3">
        <f t="shared" si="121"/>
        <v>95.420119999999997</v>
      </c>
      <c r="AD938" s="1">
        <f t="shared" si="119"/>
        <v>6.7641291653923658E-2</v>
      </c>
    </row>
    <row r="939" spans="20:30" x14ac:dyDescent="0.2">
      <c r="T939" s="4">
        <v>250.01401000000001</v>
      </c>
      <c r="U939" s="1">
        <v>466.5</v>
      </c>
      <c r="V939" s="3">
        <v>85.470609999999994</v>
      </c>
      <c r="W939" s="3">
        <f t="shared" si="120"/>
        <v>89.628009999999989</v>
      </c>
      <c r="X939" s="1">
        <f t="shared" si="122"/>
        <v>0.13219664378921897</v>
      </c>
      <c r="Z939" s="4">
        <v>250.01747</v>
      </c>
      <c r="AA939" s="1">
        <v>466.5</v>
      </c>
      <c r="AB939" s="3">
        <v>95.472489999999993</v>
      </c>
      <c r="AC939" s="3">
        <f t="shared" si="121"/>
        <v>95.395749999999992</v>
      </c>
      <c r="AD939" s="1">
        <f t="shared" si="119"/>
        <v>6.7932764913901419E-2</v>
      </c>
    </row>
    <row r="940" spans="20:30" x14ac:dyDescent="0.2">
      <c r="T940" s="4">
        <v>250.00700000000001</v>
      </c>
      <c r="U940" s="1">
        <v>467</v>
      </c>
      <c r="V940" s="5">
        <v>85.454580000000007</v>
      </c>
      <c r="W940" s="3">
        <f t="shared" si="120"/>
        <v>89.611980000000003</v>
      </c>
      <c r="X940" s="1">
        <f t="shared" si="122"/>
        <v>0.13238921210009075</v>
      </c>
      <c r="Z940" s="4">
        <v>250.02268000000001</v>
      </c>
      <c r="AA940" s="1">
        <v>467</v>
      </c>
      <c r="AB940" s="5">
        <v>95.378039999999999</v>
      </c>
      <c r="AC940" s="3">
        <f t="shared" si="121"/>
        <v>95.301299999999998</v>
      </c>
      <c r="AD940" s="1">
        <f t="shared" si="119"/>
        <v>6.9062418151689384E-2</v>
      </c>
    </row>
    <row r="941" spans="20:30" x14ac:dyDescent="0.2">
      <c r="T941" s="4">
        <v>250.00799000000001</v>
      </c>
      <c r="U941" s="1">
        <v>467.5</v>
      </c>
      <c r="V941" s="3">
        <v>85.450569999999999</v>
      </c>
      <c r="W941" s="3">
        <f t="shared" si="120"/>
        <v>89.607969999999995</v>
      </c>
      <c r="X941" s="1">
        <f t="shared" si="122"/>
        <v>0.13243738421029649</v>
      </c>
      <c r="Z941" s="4">
        <v>250.02034</v>
      </c>
      <c r="AA941" s="1">
        <v>467.5</v>
      </c>
      <c r="AB941" s="3">
        <v>95.433760000000007</v>
      </c>
      <c r="AC941" s="3">
        <f t="shared" si="121"/>
        <v>95.357020000000006</v>
      </c>
      <c r="AD941" s="1">
        <f t="shared" si="119"/>
        <v>6.839598852321338E-2</v>
      </c>
    </row>
    <row r="942" spans="20:30" x14ac:dyDescent="0.2">
      <c r="T942" s="4">
        <v>250.00397000000001</v>
      </c>
      <c r="U942" s="1">
        <v>468</v>
      </c>
      <c r="V942" s="5">
        <v>85.448670000000007</v>
      </c>
      <c r="W942" s="3">
        <f t="shared" si="120"/>
        <v>89.606070000000003</v>
      </c>
      <c r="X942" s="1">
        <f t="shared" si="122"/>
        <v>0.13246020890091753</v>
      </c>
      <c r="Z942" s="4">
        <v>250.01452</v>
      </c>
      <c r="AA942" s="1">
        <v>468</v>
      </c>
      <c r="AB942" s="5">
        <v>95.444789999999998</v>
      </c>
      <c r="AC942" s="3">
        <f t="shared" si="121"/>
        <v>95.368049999999997</v>
      </c>
      <c r="AD942" s="1">
        <f t="shared" si="119"/>
        <v>6.8264066075221938E-2</v>
      </c>
    </row>
    <row r="943" spans="20:30" x14ac:dyDescent="0.2">
      <c r="T943" s="4">
        <v>250.006</v>
      </c>
      <c r="U943" s="1">
        <v>468.5</v>
      </c>
      <c r="V943" s="3">
        <v>85.432479999999998</v>
      </c>
      <c r="W943" s="3">
        <f t="shared" si="120"/>
        <v>89.589879999999994</v>
      </c>
      <c r="X943" s="1">
        <f t="shared" si="122"/>
        <v>0.13265469929099979</v>
      </c>
      <c r="Z943" s="4">
        <v>250.01158000000001</v>
      </c>
      <c r="AA943" s="1">
        <v>468.5</v>
      </c>
      <c r="AB943" s="3">
        <v>95.403270000000006</v>
      </c>
      <c r="AC943" s="3">
        <f t="shared" si="121"/>
        <v>95.326530000000005</v>
      </c>
      <c r="AD943" s="1">
        <f t="shared" si="119"/>
        <v>6.8760659007280692E-2</v>
      </c>
    </row>
    <row r="944" spans="20:30" x14ac:dyDescent="0.2">
      <c r="T944" s="4">
        <v>250.00695999999999</v>
      </c>
      <c r="U944" s="1">
        <v>469</v>
      </c>
      <c r="V944" s="5">
        <v>85.436660000000003</v>
      </c>
      <c r="W944" s="3">
        <f t="shared" si="120"/>
        <v>89.594059999999999</v>
      </c>
      <c r="X944" s="1">
        <f t="shared" si="122"/>
        <v>0.13260448497163327</v>
      </c>
      <c r="Z944" s="4">
        <v>250.0147</v>
      </c>
      <c r="AA944" s="1">
        <v>469</v>
      </c>
      <c r="AB944" s="5">
        <v>95.486440000000002</v>
      </c>
      <c r="AC944" s="3">
        <f t="shared" si="121"/>
        <v>95.409700000000001</v>
      </c>
      <c r="AD944" s="1">
        <f t="shared" si="119"/>
        <v>6.7765918300167663E-2</v>
      </c>
    </row>
    <row r="945" spans="20:30" x14ac:dyDescent="0.2">
      <c r="T945" s="4">
        <v>250.00306</v>
      </c>
      <c r="U945" s="1">
        <v>469.5</v>
      </c>
      <c r="V945" s="3">
        <v>85.418409999999994</v>
      </c>
      <c r="W945" s="3">
        <f t="shared" si="120"/>
        <v>89.57580999999999</v>
      </c>
      <c r="X945" s="1">
        <f t="shared" si="122"/>
        <v>0.13282372213154686</v>
      </c>
      <c r="Z945" s="4">
        <v>250.01883000000001</v>
      </c>
      <c r="AA945" s="1">
        <v>469.5</v>
      </c>
      <c r="AB945" s="3">
        <v>95.455619999999996</v>
      </c>
      <c r="AC945" s="3">
        <f t="shared" si="121"/>
        <v>95.378879999999995</v>
      </c>
      <c r="AD945" s="1">
        <f t="shared" si="119"/>
        <v>6.813453569337713E-2</v>
      </c>
    </row>
    <row r="946" spans="20:30" x14ac:dyDescent="0.2">
      <c r="T946" s="4">
        <v>250.00205</v>
      </c>
      <c r="U946" s="1">
        <v>470</v>
      </c>
      <c r="V946" s="5">
        <v>85.408469999999994</v>
      </c>
      <c r="W946" s="3">
        <f t="shared" si="120"/>
        <v>89.56586999999999</v>
      </c>
      <c r="X946" s="1">
        <f t="shared" si="122"/>
        <v>0.13294313130248056</v>
      </c>
      <c r="Z946" s="4">
        <v>250.02259000000001</v>
      </c>
      <c r="AA946" s="1">
        <v>470</v>
      </c>
      <c r="AB946" s="5">
        <v>95.467799999999997</v>
      </c>
      <c r="AC946" s="3">
        <f t="shared" si="121"/>
        <v>95.391059999999996</v>
      </c>
      <c r="AD946" s="1">
        <f t="shared" si="119"/>
        <v>6.7988858865041926E-2</v>
      </c>
    </row>
    <row r="947" spans="20:30" x14ac:dyDescent="0.2">
      <c r="T947" s="4">
        <v>250.00398999999999</v>
      </c>
      <c r="U947" s="1">
        <v>470.5</v>
      </c>
      <c r="V947" s="3">
        <v>85.380160000000004</v>
      </c>
      <c r="W947" s="3">
        <f t="shared" si="120"/>
        <v>89.537559999999999</v>
      </c>
      <c r="X947" s="1">
        <f t="shared" si="122"/>
        <v>0.13328321919273531</v>
      </c>
      <c r="Z947" s="4">
        <v>250.02189999999999</v>
      </c>
      <c r="AA947" s="1">
        <v>470.5</v>
      </c>
      <c r="AB947" s="3">
        <v>95.397379999999998</v>
      </c>
      <c r="AC947" s="3">
        <f t="shared" si="121"/>
        <v>95.320639999999997</v>
      </c>
      <c r="AD947" s="1">
        <f t="shared" si="119"/>
        <v>6.8831105355301667E-2</v>
      </c>
    </row>
    <row r="948" spans="20:30" x14ac:dyDescent="0.2">
      <c r="T948" s="4">
        <v>250.00901999999999</v>
      </c>
      <c r="U948" s="1">
        <v>471</v>
      </c>
      <c r="V948" s="5">
        <v>85.376310000000004</v>
      </c>
      <c r="W948" s="3">
        <f t="shared" si="120"/>
        <v>89.533709999999999</v>
      </c>
      <c r="X948" s="1">
        <f t="shared" si="122"/>
        <v>0.13332946922373076</v>
      </c>
      <c r="Z948" s="4">
        <v>250.02134000000001</v>
      </c>
      <c r="AA948" s="1">
        <v>471</v>
      </c>
      <c r="AB948" s="5">
        <v>95.344070000000002</v>
      </c>
      <c r="AC948" s="3">
        <f t="shared" si="121"/>
        <v>95.267330000000001</v>
      </c>
      <c r="AD948" s="1">
        <f t="shared" si="119"/>
        <v>6.9468710586709559E-2</v>
      </c>
    </row>
    <row r="949" spans="20:30" x14ac:dyDescent="0.2">
      <c r="T949" s="4">
        <v>250.00595000000001</v>
      </c>
      <c r="U949" s="1">
        <v>471.5</v>
      </c>
      <c r="V949" s="3">
        <v>85.376080000000002</v>
      </c>
      <c r="W949" s="3">
        <f t="shared" si="120"/>
        <v>89.533479999999997</v>
      </c>
      <c r="X949" s="1">
        <f t="shared" si="122"/>
        <v>0.13333223221259544</v>
      </c>
      <c r="Z949" s="4">
        <v>250.0189</v>
      </c>
      <c r="AA949" s="1">
        <v>471.5</v>
      </c>
      <c r="AB949" s="3">
        <v>95.522769999999994</v>
      </c>
      <c r="AC949" s="3">
        <f t="shared" si="121"/>
        <v>95.446029999999993</v>
      </c>
      <c r="AD949" s="1">
        <f t="shared" si="119"/>
        <v>6.733139948461625E-2</v>
      </c>
    </row>
    <row r="950" spans="20:30" x14ac:dyDescent="0.2">
      <c r="T950" s="4">
        <v>250.00801999999999</v>
      </c>
      <c r="U950" s="1">
        <v>472</v>
      </c>
      <c r="V950" s="5">
        <v>85.372240000000005</v>
      </c>
      <c r="W950" s="3">
        <f t="shared" si="120"/>
        <v>89.529640000000001</v>
      </c>
      <c r="X950" s="1">
        <f t="shared" si="122"/>
        <v>0.13337836211364021</v>
      </c>
      <c r="Z950" s="4">
        <v>250.01642000000001</v>
      </c>
      <c r="AA950" s="1">
        <v>472</v>
      </c>
      <c r="AB950" s="5">
        <v>95.406300000000002</v>
      </c>
      <c r="AC950" s="3">
        <f t="shared" si="121"/>
        <v>95.329560000000001</v>
      </c>
      <c r="AD950" s="1">
        <f t="shared" si="119"/>
        <v>6.8724419205157955E-2</v>
      </c>
    </row>
    <row r="951" spans="20:30" x14ac:dyDescent="0.2">
      <c r="T951" s="4">
        <v>250.00701000000001</v>
      </c>
      <c r="U951" s="1">
        <v>472.5</v>
      </c>
      <c r="V951" s="3">
        <v>85.332400000000007</v>
      </c>
      <c r="W951" s="3">
        <f t="shared" si="120"/>
        <v>89.489800000000002</v>
      </c>
      <c r="X951" s="1">
        <f t="shared" si="122"/>
        <v>0.13385695983698012</v>
      </c>
      <c r="Z951" s="4">
        <v>250.0162</v>
      </c>
      <c r="AA951" s="1">
        <v>472.5</v>
      </c>
      <c r="AB951" s="3">
        <v>95.349789999999999</v>
      </c>
      <c r="AC951" s="3">
        <f t="shared" si="121"/>
        <v>95.273049999999998</v>
      </c>
      <c r="AD951" s="1">
        <f t="shared" si="119"/>
        <v>6.9400297494913429E-2</v>
      </c>
    </row>
    <row r="952" spans="20:30" x14ac:dyDescent="0.2">
      <c r="T952" s="4">
        <v>250.00398000000001</v>
      </c>
      <c r="U952" s="1">
        <v>473</v>
      </c>
      <c r="V952" s="5">
        <v>85.32817</v>
      </c>
      <c r="W952" s="3">
        <f t="shared" si="120"/>
        <v>89.485569999999996</v>
      </c>
      <c r="X952" s="1">
        <f t="shared" si="122"/>
        <v>0.13390777480609986</v>
      </c>
      <c r="Z952" s="4">
        <v>250.01526999999999</v>
      </c>
      <c r="AA952" s="1">
        <v>473</v>
      </c>
      <c r="AB952" s="5">
        <v>95.468389999999999</v>
      </c>
      <c r="AC952" s="3">
        <f t="shared" si="121"/>
        <v>95.391649999999998</v>
      </c>
      <c r="AD952" s="1">
        <f t="shared" si="119"/>
        <v>6.7981802269909075E-2</v>
      </c>
    </row>
    <row r="953" spans="20:30" x14ac:dyDescent="0.2">
      <c r="T953" s="4">
        <v>250.00806</v>
      </c>
      <c r="U953" s="1">
        <v>473.5</v>
      </c>
      <c r="V953" s="3">
        <v>85.350269999999995</v>
      </c>
      <c r="W953" s="3">
        <f t="shared" si="120"/>
        <v>89.50766999999999</v>
      </c>
      <c r="X953" s="1">
        <f t="shared" si="122"/>
        <v>0.13364228761519098</v>
      </c>
      <c r="Z953" s="4">
        <v>250.01137</v>
      </c>
      <c r="AA953" s="1">
        <v>473.5</v>
      </c>
      <c r="AB953" s="3">
        <v>95.358159999999998</v>
      </c>
      <c r="AC953" s="3">
        <f t="shared" si="121"/>
        <v>95.281419999999997</v>
      </c>
      <c r="AD953" s="1">
        <f t="shared" si="119"/>
        <v>6.9300189526673259E-2</v>
      </c>
    </row>
    <row r="954" spans="20:30" x14ac:dyDescent="0.2">
      <c r="T954" s="4">
        <v>250.00601</v>
      </c>
      <c r="U954" s="1">
        <v>474</v>
      </c>
      <c r="V954" s="5">
        <v>85.340239999999994</v>
      </c>
      <c r="W954" s="3">
        <f t="shared" si="120"/>
        <v>89.49763999999999</v>
      </c>
      <c r="X954" s="1">
        <f t="shared" si="122"/>
        <v>0.13376277795568042</v>
      </c>
      <c r="Z954" s="4">
        <v>250.00988000000001</v>
      </c>
      <c r="AA954" s="1">
        <v>474</v>
      </c>
      <c r="AB954" s="5">
        <v>95.24042</v>
      </c>
      <c r="AC954" s="3">
        <f t="shared" si="121"/>
        <v>95.163679999999999</v>
      </c>
      <c r="AD954" s="1">
        <f t="shared" si="119"/>
        <v>7.0708398867246683E-2</v>
      </c>
    </row>
    <row r="955" spans="20:30" x14ac:dyDescent="0.2">
      <c r="T955" s="4">
        <v>250.00398999999999</v>
      </c>
      <c r="U955" s="1">
        <v>474.5</v>
      </c>
      <c r="V955" s="3">
        <v>85.326239999999999</v>
      </c>
      <c r="W955" s="3">
        <f t="shared" si="120"/>
        <v>89.483639999999994</v>
      </c>
      <c r="X955" s="1">
        <f t="shared" si="122"/>
        <v>0.13393095988657294</v>
      </c>
      <c r="Z955" s="4">
        <v>250.01275000000001</v>
      </c>
      <c r="AA955" s="1">
        <v>474.5</v>
      </c>
      <c r="AB955" s="3">
        <v>95.430869999999999</v>
      </c>
      <c r="AC955" s="3">
        <f t="shared" si="121"/>
        <v>95.354129999999998</v>
      </c>
      <c r="AD955" s="1">
        <f t="shared" si="119"/>
        <v>6.8430553879033559E-2</v>
      </c>
    </row>
    <row r="956" spans="20:30" x14ac:dyDescent="0.2">
      <c r="T956" s="4">
        <v>250.00198</v>
      </c>
      <c r="U956" s="1">
        <v>475</v>
      </c>
      <c r="V956" s="5">
        <v>85.310169999999999</v>
      </c>
      <c r="W956" s="3">
        <f t="shared" si="120"/>
        <v>89.467569999999995</v>
      </c>
      <c r="X956" s="1">
        <f t="shared" si="122"/>
        <v>0.13412400871724742</v>
      </c>
      <c r="Z956" s="4">
        <v>250.01352</v>
      </c>
      <c r="AA956" s="1">
        <v>475</v>
      </c>
      <c r="AB956" s="5">
        <v>95.415419999999997</v>
      </c>
      <c r="AC956" s="3">
        <f t="shared" si="121"/>
        <v>95.338679999999997</v>
      </c>
      <c r="AD956" s="1">
        <f t="shared" si="119"/>
        <v>6.8615340988867624E-2</v>
      </c>
    </row>
    <row r="957" spans="20:30" x14ac:dyDescent="0.2">
      <c r="T957" s="4">
        <v>250.00496999999999</v>
      </c>
      <c r="U957" s="1">
        <v>475.5</v>
      </c>
      <c r="V957" s="3">
        <v>85.33623</v>
      </c>
      <c r="W957" s="3">
        <f t="shared" si="120"/>
        <v>89.493629999999996</v>
      </c>
      <c r="X957" s="1">
        <f t="shared" si="122"/>
        <v>0.133810950065886</v>
      </c>
      <c r="Z957" s="4">
        <v>250.01680999999999</v>
      </c>
      <c r="AA957" s="1">
        <v>475.5</v>
      </c>
      <c r="AB957" s="3">
        <v>95.362650000000002</v>
      </c>
      <c r="AC957" s="3">
        <f t="shared" si="121"/>
        <v>95.285910000000001</v>
      </c>
      <c r="AD957" s="1">
        <f t="shared" si="119"/>
        <v>6.9246487641679372E-2</v>
      </c>
    </row>
    <row r="958" spans="20:30" x14ac:dyDescent="0.2">
      <c r="T958" s="4">
        <v>250.00202999999999</v>
      </c>
      <c r="U958" s="1">
        <v>476</v>
      </c>
      <c r="V958" s="5">
        <v>85.342359999999999</v>
      </c>
      <c r="W958" s="3">
        <f t="shared" si="120"/>
        <v>89.499759999999995</v>
      </c>
      <c r="X958" s="1">
        <f t="shared" si="122"/>
        <v>0.13373731040614523</v>
      </c>
      <c r="Z958" s="4">
        <v>250.01633000000001</v>
      </c>
      <c r="AA958" s="1">
        <v>476</v>
      </c>
      <c r="AB958" s="5">
        <v>95.395740000000004</v>
      </c>
      <c r="AC958" s="3">
        <f t="shared" si="121"/>
        <v>95.319000000000003</v>
      </c>
      <c r="AD958" s="1">
        <f t="shared" si="119"/>
        <v>6.8850720297704698E-2</v>
      </c>
    </row>
    <row r="959" spans="20:30" x14ac:dyDescent="0.2">
      <c r="T959" s="4">
        <v>250.00501</v>
      </c>
      <c r="U959" s="1">
        <v>476.5</v>
      </c>
      <c r="V959" s="3">
        <v>85.291979999999995</v>
      </c>
      <c r="W959" s="3">
        <f t="shared" si="120"/>
        <v>89.449379999999991</v>
      </c>
      <c r="X959" s="1">
        <f t="shared" si="122"/>
        <v>0.13434252509745714</v>
      </c>
      <c r="Z959" s="4">
        <v>250.01642000000001</v>
      </c>
      <c r="AA959" s="1">
        <v>476.5</v>
      </c>
      <c r="AB959" s="3">
        <v>95.250079999999997</v>
      </c>
      <c r="AC959" s="3">
        <f t="shared" si="121"/>
        <v>95.173339999999996</v>
      </c>
      <c r="AD959" s="1">
        <f t="shared" ref="AD959:AD1022" si="123">($AC$62-AC959)/($AC$62*(1-$M$1))</f>
        <v>7.0592862072360194E-2</v>
      </c>
    </row>
    <row r="960" spans="20:30" x14ac:dyDescent="0.2">
      <c r="T960" s="4">
        <v>250.00996000000001</v>
      </c>
      <c r="U960" s="1">
        <v>477</v>
      </c>
      <c r="V960" s="5">
        <v>85.2821</v>
      </c>
      <c r="W960" s="3">
        <f t="shared" si="120"/>
        <v>89.439499999999995</v>
      </c>
      <c r="X960" s="1">
        <f t="shared" si="122"/>
        <v>0.13446121348868698</v>
      </c>
      <c r="Z960" s="4">
        <v>250.01410000000001</v>
      </c>
      <c r="AA960" s="1">
        <v>477</v>
      </c>
      <c r="AB960" s="5">
        <v>95.338930000000005</v>
      </c>
      <c r="AC960" s="3">
        <f t="shared" si="121"/>
        <v>95.262190000000004</v>
      </c>
      <c r="AD960" s="1">
        <f t="shared" si="123"/>
        <v>6.9530186686680207E-2</v>
      </c>
    </row>
    <row r="961" spans="20:30" x14ac:dyDescent="0.2">
      <c r="T961" s="4">
        <v>250.01297</v>
      </c>
      <c r="U961" s="1">
        <v>477.5</v>
      </c>
      <c r="V961" s="3">
        <v>85.304140000000004</v>
      </c>
      <c r="W961" s="3">
        <f t="shared" si="120"/>
        <v>89.461539999999999</v>
      </c>
      <c r="X961" s="1">
        <f t="shared" si="122"/>
        <v>0.1341964470774818</v>
      </c>
      <c r="Z961" s="4">
        <v>250.01257000000001</v>
      </c>
      <c r="AA961" s="1">
        <v>477.5</v>
      </c>
      <c r="AB961" s="3">
        <v>95.321399999999997</v>
      </c>
      <c r="AC961" s="3">
        <f t="shared" si="121"/>
        <v>95.244659999999996</v>
      </c>
      <c r="AD961" s="1">
        <f t="shared" si="123"/>
        <v>6.9739851284440213E-2</v>
      </c>
    </row>
    <row r="962" spans="20:30" x14ac:dyDescent="0.2">
      <c r="T962" s="4">
        <v>250.01096999999999</v>
      </c>
      <c r="U962" s="1">
        <v>478</v>
      </c>
      <c r="V962" s="5">
        <v>85.282139999999998</v>
      </c>
      <c r="W962" s="3">
        <f t="shared" si="120"/>
        <v>89.439539999999994</v>
      </c>
      <c r="X962" s="1">
        <f t="shared" si="122"/>
        <v>0.13446073296888444</v>
      </c>
      <c r="Z962" s="4">
        <v>250.01013</v>
      </c>
      <c r="AA962" s="1">
        <v>478</v>
      </c>
      <c r="AB962" s="5">
        <v>95.274190000000004</v>
      </c>
      <c r="AC962" s="3">
        <f t="shared" si="121"/>
        <v>95.197450000000003</v>
      </c>
      <c r="AD962" s="1">
        <f t="shared" si="123"/>
        <v>7.0304498498373141E-2</v>
      </c>
    </row>
    <row r="963" spans="20:30" x14ac:dyDescent="0.2">
      <c r="T963" s="4">
        <v>250.00899000000001</v>
      </c>
      <c r="U963" s="1">
        <v>478.5</v>
      </c>
      <c r="V963" s="3">
        <v>85.278030000000001</v>
      </c>
      <c r="W963" s="3">
        <f t="shared" si="120"/>
        <v>89.435429999999997</v>
      </c>
      <c r="X963" s="1">
        <f t="shared" si="122"/>
        <v>0.13451010637859642</v>
      </c>
      <c r="Z963" s="4">
        <v>250.01066</v>
      </c>
      <c r="AA963" s="1">
        <v>478.5</v>
      </c>
      <c r="AB963" s="3">
        <v>95.174520000000001</v>
      </c>
      <c r="AC963" s="3">
        <f t="shared" si="121"/>
        <v>95.09778</v>
      </c>
      <c r="AD963" s="1">
        <f t="shared" si="123"/>
        <v>7.1496584662590568E-2</v>
      </c>
    </row>
    <row r="964" spans="20:30" x14ac:dyDescent="0.2">
      <c r="T964" s="4">
        <v>250.00701000000001</v>
      </c>
      <c r="U964" s="1">
        <v>479</v>
      </c>
      <c r="V964" s="5">
        <v>85.271839999999997</v>
      </c>
      <c r="W964" s="3">
        <f t="shared" si="120"/>
        <v>89.429239999999993</v>
      </c>
      <c r="X964" s="1">
        <f t="shared" si="122"/>
        <v>0.13458446681804112</v>
      </c>
      <c r="Z964" s="4">
        <v>250.01814999999999</v>
      </c>
      <c r="AA964" s="1">
        <v>479</v>
      </c>
      <c r="AB964" s="5">
        <v>95.186390000000003</v>
      </c>
      <c r="AC964" s="3">
        <f t="shared" si="121"/>
        <v>95.109650000000002</v>
      </c>
      <c r="AD964" s="1">
        <f t="shared" si="123"/>
        <v>7.1354615536782781E-2</v>
      </c>
    </row>
    <row r="965" spans="20:30" x14ac:dyDescent="0.2">
      <c r="T965" s="4">
        <v>250.006</v>
      </c>
      <c r="U965" s="1">
        <v>479.5</v>
      </c>
      <c r="V965" s="3">
        <v>85.27</v>
      </c>
      <c r="W965" s="3">
        <f t="shared" si="120"/>
        <v>89.427399999999992</v>
      </c>
      <c r="X965" s="1">
        <f t="shared" si="122"/>
        <v>0.13460657072895843</v>
      </c>
      <c r="Z965" s="4">
        <v>250.02364</v>
      </c>
      <c r="AA965" s="1">
        <v>479.5</v>
      </c>
      <c r="AB965" s="3">
        <v>95.243759999999995</v>
      </c>
      <c r="AC965" s="3">
        <f t="shared" si="121"/>
        <v>95.167019999999994</v>
      </c>
      <c r="AD965" s="1">
        <f t="shared" si="123"/>
        <v>7.0668451362596543E-2</v>
      </c>
    </row>
    <row r="966" spans="20:30" x14ac:dyDescent="0.2">
      <c r="T966" s="4">
        <v>250.00202999999999</v>
      </c>
      <c r="U966" s="1">
        <v>480</v>
      </c>
      <c r="V966" s="5">
        <v>85.239750000000001</v>
      </c>
      <c r="W966" s="3">
        <f t="shared" si="120"/>
        <v>89.397149999999996</v>
      </c>
      <c r="X966" s="1">
        <f t="shared" si="122"/>
        <v>0.13496996382963691</v>
      </c>
      <c r="Z966" s="4">
        <v>250.02472</v>
      </c>
      <c r="AA966" s="1">
        <v>480</v>
      </c>
      <c r="AB966" s="5">
        <v>95.292680000000004</v>
      </c>
      <c r="AC966" s="3">
        <f t="shared" si="121"/>
        <v>95.215940000000003</v>
      </c>
      <c r="AD966" s="1">
        <f t="shared" si="123"/>
        <v>7.0083351983108971E-2</v>
      </c>
    </row>
    <row r="967" spans="20:30" x14ac:dyDescent="0.2">
      <c r="T967" s="4">
        <v>250.00001</v>
      </c>
      <c r="U967" s="1">
        <v>480.5</v>
      </c>
      <c r="V967" s="3">
        <v>85.232020000000006</v>
      </c>
      <c r="W967" s="3">
        <f t="shared" ref="W967:W1030" si="124">100-($V$6-V967)</f>
        <v>89.389420000000001</v>
      </c>
      <c r="X967" s="1">
        <f t="shared" si="122"/>
        <v>0.13506282428147967</v>
      </c>
      <c r="Z967" s="4">
        <v>250.02349000000001</v>
      </c>
      <c r="AA967" s="1">
        <v>480.5</v>
      </c>
      <c r="AB967" s="3">
        <v>95.321470000000005</v>
      </c>
      <c r="AC967" s="3">
        <f t="shared" ref="AC967:AC1030" si="125">100-($AB$6-AB967)</f>
        <v>95.244730000000004</v>
      </c>
      <c r="AD967" s="1">
        <f t="shared" si="123"/>
        <v>6.9739014061288768E-2</v>
      </c>
    </row>
    <row r="968" spans="20:30" x14ac:dyDescent="0.2">
      <c r="T968" s="4">
        <v>250.00199000000001</v>
      </c>
      <c r="U968" s="1">
        <v>481</v>
      </c>
      <c r="V968" s="5">
        <v>85.221900000000005</v>
      </c>
      <c r="W968" s="3">
        <f t="shared" si="124"/>
        <v>89.379300000000001</v>
      </c>
      <c r="X968" s="1">
        <f t="shared" si="122"/>
        <v>0.13518439579152486</v>
      </c>
      <c r="Z968" s="4">
        <v>250.02036000000001</v>
      </c>
      <c r="AA968" s="1">
        <v>481</v>
      </c>
      <c r="AB968" s="5">
        <v>95.277079999999998</v>
      </c>
      <c r="AC968" s="3">
        <f t="shared" si="125"/>
        <v>95.200339999999997</v>
      </c>
      <c r="AD968" s="1">
        <f t="shared" si="123"/>
        <v>7.0269933142553129E-2</v>
      </c>
    </row>
    <row r="969" spans="20:30" x14ac:dyDescent="0.2">
      <c r="T969" s="4">
        <v>250.00098</v>
      </c>
      <c r="U969" s="1">
        <v>481.5</v>
      </c>
      <c r="V969" s="3">
        <v>85.22381</v>
      </c>
      <c r="W969" s="3">
        <f t="shared" si="124"/>
        <v>89.381209999999996</v>
      </c>
      <c r="X969" s="1">
        <f t="shared" si="122"/>
        <v>0.13516145097095314</v>
      </c>
      <c r="Z969" s="4">
        <v>250.01644999999999</v>
      </c>
      <c r="AA969" s="1">
        <v>481.5</v>
      </c>
      <c r="AB969" s="3">
        <v>95.258269999999996</v>
      </c>
      <c r="AC969" s="3">
        <f t="shared" si="125"/>
        <v>95.181529999999995</v>
      </c>
      <c r="AD969" s="1">
        <f t="shared" si="123"/>
        <v>7.0494906963652071E-2</v>
      </c>
    </row>
    <row r="970" spans="20:30" x14ac:dyDescent="0.2">
      <c r="T970" s="4">
        <v>250.00200000000001</v>
      </c>
      <c r="U970" s="1">
        <v>482</v>
      </c>
      <c r="V970" s="5">
        <v>85.209649999999996</v>
      </c>
      <c r="W970" s="3">
        <f t="shared" si="124"/>
        <v>89.367049999999992</v>
      </c>
      <c r="X970" s="1">
        <f t="shared" si="122"/>
        <v>0.13533155498105592</v>
      </c>
      <c r="Z970" s="4">
        <v>250.01253</v>
      </c>
      <c r="AA970" s="1">
        <v>482</v>
      </c>
      <c r="AB970" s="5">
        <v>95.213560000000001</v>
      </c>
      <c r="AC970" s="3">
        <f t="shared" si="125"/>
        <v>95.13682</v>
      </c>
      <c r="AD970" s="1">
        <f t="shared" si="123"/>
        <v>7.1029653350751037E-2</v>
      </c>
    </row>
    <row r="971" spans="20:30" x14ac:dyDescent="0.2">
      <c r="T971" s="4">
        <v>250.00402</v>
      </c>
      <c r="U971" s="1">
        <v>482.5</v>
      </c>
      <c r="V971" s="3">
        <v>85.193939999999998</v>
      </c>
      <c r="W971" s="3">
        <f t="shared" si="124"/>
        <v>89.351339999999993</v>
      </c>
      <c r="X971" s="1">
        <f t="shared" si="122"/>
        <v>0.13552027913350748</v>
      </c>
      <c r="Z971" s="4">
        <v>250.01379</v>
      </c>
      <c r="AA971" s="1">
        <v>482.5</v>
      </c>
      <c r="AB971" s="3">
        <v>95.311009999999996</v>
      </c>
      <c r="AC971" s="3">
        <f t="shared" si="125"/>
        <v>95.234269999999995</v>
      </c>
      <c r="AD971" s="1">
        <f t="shared" si="123"/>
        <v>6.9864119120762277E-2</v>
      </c>
    </row>
    <row r="972" spans="20:30" x14ac:dyDescent="0.2">
      <c r="T972" s="4">
        <v>250.00297</v>
      </c>
      <c r="U972" s="1">
        <v>483</v>
      </c>
      <c r="V972" s="5">
        <v>85.199939999999998</v>
      </c>
      <c r="W972" s="3">
        <f t="shared" si="124"/>
        <v>89.357339999999994</v>
      </c>
      <c r="X972" s="1">
        <f t="shared" si="122"/>
        <v>0.13544820116312495</v>
      </c>
      <c r="Z972" s="4">
        <v>250.01519999999999</v>
      </c>
      <c r="AA972" s="1">
        <v>483</v>
      </c>
      <c r="AB972" s="5">
        <v>95.334829999999997</v>
      </c>
      <c r="AC972" s="3">
        <f t="shared" si="125"/>
        <v>95.258089999999996</v>
      </c>
      <c r="AD972" s="1">
        <f t="shared" si="123"/>
        <v>6.9579224042688043E-2</v>
      </c>
    </row>
    <row r="973" spans="20:30" x14ac:dyDescent="0.2">
      <c r="T973" s="4">
        <v>250.00604000000001</v>
      </c>
      <c r="U973" s="1">
        <v>483.5</v>
      </c>
      <c r="V973" s="3">
        <v>85.18571</v>
      </c>
      <c r="W973" s="3">
        <f t="shared" si="124"/>
        <v>89.343109999999996</v>
      </c>
      <c r="X973" s="1">
        <f t="shared" si="122"/>
        <v>0.13561914608288214</v>
      </c>
      <c r="Z973" s="4">
        <v>250.01763</v>
      </c>
      <c r="AA973" s="1">
        <v>483.5</v>
      </c>
      <c r="AB973" s="3">
        <v>95.23657</v>
      </c>
      <c r="AC973" s="3">
        <f t="shared" si="125"/>
        <v>95.159829999999999</v>
      </c>
      <c r="AD973" s="1">
        <f t="shared" si="123"/>
        <v>7.0754446140571026E-2</v>
      </c>
    </row>
    <row r="974" spans="20:30" x14ac:dyDescent="0.2">
      <c r="T974" s="4">
        <v>250.00501</v>
      </c>
      <c r="U974" s="1">
        <v>484</v>
      </c>
      <c r="V974" s="5">
        <v>85.161609999999996</v>
      </c>
      <c r="W974" s="3">
        <f t="shared" si="124"/>
        <v>89.319009999999992</v>
      </c>
      <c r="X974" s="1">
        <f t="shared" si="122"/>
        <v>0.13590865926391862</v>
      </c>
      <c r="Z974" s="4">
        <v>250.01756</v>
      </c>
      <c r="AA974" s="1">
        <v>484</v>
      </c>
      <c r="AB974" s="5">
        <v>95.219440000000006</v>
      </c>
      <c r="AC974" s="3">
        <f t="shared" si="125"/>
        <v>95.142700000000005</v>
      </c>
      <c r="AD974" s="1">
        <f t="shared" si="123"/>
        <v>7.0959326606037432E-2</v>
      </c>
    </row>
    <row r="975" spans="20:30" x14ac:dyDescent="0.2">
      <c r="T975" s="4">
        <v>250.00305</v>
      </c>
      <c r="U975" s="1">
        <v>484.5</v>
      </c>
      <c r="V975" s="3">
        <v>85.149690000000007</v>
      </c>
      <c r="W975" s="3">
        <f t="shared" si="124"/>
        <v>89.307090000000002</v>
      </c>
      <c r="X975" s="1">
        <f t="shared" si="122"/>
        <v>0.13605185416507842</v>
      </c>
      <c r="Z975" s="4">
        <v>250.01346000000001</v>
      </c>
      <c r="AA975" s="1">
        <v>484.5</v>
      </c>
      <c r="AB975" s="3">
        <v>95.2273</v>
      </c>
      <c r="AC975" s="3">
        <f t="shared" si="125"/>
        <v>95.150559999999999</v>
      </c>
      <c r="AD975" s="1">
        <f t="shared" si="123"/>
        <v>7.086531840647145E-2</v>
      </c>
    </row>
    <row r="976" spans="20:30" x14ac:dyDescent="0.2">
      <c r="T976" s="4">
        <v>250.00398000000001</v>
      </c>
      <c r="U976" s="1">
        <v>485</v>
      </c>
      <c r="V976" s="5">
        <v>85.139449999999997</v>
      </c>
      <c r="W976" s="3">
        <f t="shared" si="124"/>
        <v>89.296849999999992</v>
      </c>
      <c r="X976" s="1">
        <f t="shared" si="122"/>
        <v>0.1361748672345314</v>
      </c>
      <c r="Z976" s="4">
        <v>250.00801000000001</v>
      </c>
      <c r="AA976" s="1">
        <v>485</v>
      </c>
      <c r="AB976" s="5">
        <v>95.214349999999996</v>
      </c>
      <c r="AC976" s="3">
        <f t="shared" si="125"/>
        <v>95.137609999999995</v>
      </c>
      <c r="AD976" s="1">
        <f t="shared" si="123"/>
        <v>7.1020204689471553E-2</v>
      </c>
    </row>
    <row r="977" spans="20:30" x14ac:dyDescent="0.2">
      <c r="T977" s="4">
        <v>250.00998999999999</v>
      </c>
      <c r="U977" s="1">
        <v>485.5</v>
      </c>
      <c r="V977" s="3">
        <v>85.155690000000007</v>
      </c>
      <c r="W977" s="3">
        <f t="shared" si="124"/>
        <v>89.313090000000003</v>
      </c>
      <c r="X977" s="1">
        <f t="shared" si="122"/>
        <v>0.13597977619469592</v>
      </c>
      <c r="Z977" s="4">
        <v>250.00853000000001</v>
      </c>
      <c r="AA977" s="1">
        <v>485.5</v>
      </c>
      <c r="AB977" s="3">
        <v>95.255799999999994</v>
      </c>
      <c r="AC977" s="3">
        <f t="shared" si="125"/>
        <v>95.179059999999993</v>
      </c>
      <c r="AD977" s="1">
        <f t="shared" si="123"/>
        <v>7.0524448980564078E-2</v>
      </c>
    </row>
    <row r="978" spans="20:30" x14ac:dyDescent="0.2">
      <c r="T978" s="4">
        <v>250.00496999999999</v>
      </c>
      <c r="U978" s="1">
        <v>486</v>
      </c>
      <c r="V978" s="5">
        <v>85.139629999999997</v>
      </c>
      <c r="W978" s="3">
        <f t="shared" si="124"/>
        <v>89.297029999999992</v>
      </c>
      <c r="X978" s="1">
        <f t="shared" si="122"/>
        <v>0.13617270489541991</v>
      </c>
      <c r="Z978" s="4">
        <v>250.01316</v>
      </c>
      <c r="AA978" s="1">
        <v>486</v>
      </c>
      <c r="AB978" s="5">
        <v>95.235929999999996</v>
      </c>
      <c r="AC978" s="3">
        <f t="shared" si="125"/>
        <v>95.159189999999995</v>
      </c>
      <c r="AD978" s="1">
        <f t="shared" si="123"/>
        <v>7.076210075224057E-2</v>
      </c>
    </row>
    <row r="979" spans="20:30" x14ac:dyDescent="0.2">
      <c r="T979" s="4">
        <v>250.00397000000001</v>
      </c>
      <c r="U979" s="1">
        <v>486.5</v>
      </c>
      <c r="V979" s="3">
        <v>85.153649999999999</v>
      </c>
      <c r="W979" s="3">
        <f t="shared" si="124"/>
        <v>89.311049999999994</v>
      </c>
      <c r="X979" s="1">
        <f t="shared" si="122"/>
        <v>0.13600428270462606</v>
      </c>
      <c r="Z979" s="4">
        <v>250.01385999999999</v>
      </c>
      <c r="AA979" s="1">
        <v>486.5</v>
      </c>
      <c r="AB979" s="3">
        <v>95.069800000000001</v>
      </c>
      <c r="AC979" s="3">
        <f t="shared" si="125"/>
        <v>94.99306</v>
      </c>
      <c r="AD979" s="1">
        <f t="shared" si="123"/>
        <v>7.2749070497012625E-2</v>
      </c>
    </row>
    <row r="980" spans="20:30" x14ac:dyDescent="0.2">
      <c r="T980" s="4">
        <v>249.99995999999999</v>
      </c>
      <c r="U980" s="1">
        <v>487</v>
      </c>
      <c r="V980" s="5">
        <v>85.143630000000002</v>
      </c>
      <c r="W980" s="3">
        <f t="shared" si="124"/>
        <v>89.301029999999997</v>
      </c>
      <c r="X980" s="1">
        <f t="shared" si="122"/>
        <v>0.13612465291516485</v>
      </c>
      <c r="Z980" s="4">
        <v>250.01430999999999</v>
      </c>
      <c r="AA980" s="1">
        <v>487</v>
      </c>
      <c r="AB980" s="5">
        <v>95.196950000000001</v>
      </c>
      <c r="AC980" s="3">
        <f t="shared" si="125"/>
        <v>95.12021</v>
      </c>
      <c r="AD980" s="1">
        <f t="shared" si="123"/>
        <v>7.1228314444236038E-2</v>
      </c>
    </row>
    <row r="981" spans="20:30" x14ac:dyDescent="0.2">
      <c r="T981" s="4">
        <v>250.00504000000001</v>
      </c>
      <c r="U981" s="1">
        <v>487.5</v>
      </c>
      <c r="V981" s="3">
        <v>85.119460000000004</v>
      </c>
      <c r="W981" s="3">
        <f t="shared" si="124"/>
        <v>89.276859999999999</v>
      </c>
      <c r="X981" s="1">
        <f t="shared" si="122"/>
        <v>0.13641500700585574</v>
      </c>
      <c r="Z981" s="4">
        <v>250.01657</v>
      </c>
      <c r="AA981" s="1">
        <v>487.5</v>
      </c>
      <c r="AB981" s="3">
        <v>95.290469999999999</v>
      </c>
      <c r="AC981" s="3">
        <f t="shared" si="125"/>
        <v>95.213729999999998</v>
      </c>
      <c r="AD981" s="1">
        <f t="shared" si="123"/>
        <v>7.0109784314030282E-2</v>
      </c>
    </row>
    <row r="982" spans="20:30" x14ac:dyDescent="0.2">
      <c r="T982" s="4">
        <v>250.00807</v>
      </c>
      <c r="U982" s="1">
        <v>488</v>
      </c>
      <c r="V982" s="5">
        <v>85.135660000000001</v>
      </c>
      <c r="W982" s="3">
        <f t="shared" si="124"/>
        <v>89.293059999999997</v>
      </c>
      <c r="X982" s="1">
        <f t="shared" ref="X982:X1045" si="126">($W$21-W982)/($W$21*(1-$M$1))</f>
        <v>0.13622039648582296</v>
      </c>
      <c r="Z982" s="4">
        <v>250.01873000000001</v>
      </c>
      <c r="AA982" s="1">
        <v>488</v>
      </c>
      <c r="AB982" s="5">
        <v>95.201769999999996</v>
      </c>
      <c r="AC982" s="3">
        <f t="shared" si="125"/>
        <v>95.125029999999995</v>
      </c>
      <c r="AD982" s="1">
        <f t="shared" si="123"/>
        <v>7.1170665650100176E-2</v>
      </c>
    </row>
    <row r="983" spans="20:30" x14ac:dyDescent="0.2">
      <c r="T983" s="4">
        <v>250.00496999999999</v>
      </c>
      <c r="U983" s="1">
        <v>488.5</v>
      </c>
      <c r="V983" s="3">
        <v>85.09939</v>
      </c>
      <c r="W983" s="3">
        <f t="shared" si="124"/>
        <v>89.256789999999995</v>
      </c>
      <c r="X983" s="1">
        <f t="shared" si="126"/>
        <v>0.1366561078167853</v>
      </c>
      <c r="Z983" s="4">
        <v>250.01954000000001</v>
      </c>
      <c r="AA983" s="1">
        <v>488.5</v>
      </c>
      <c r="AB983" s="3">
        <v>95.244579999999999</v>
      </c>
      <c r="AC983" s="3">
        <f t="shared" si="125"/>
        <v>95.167839999999998</v>
      </c>
      <c r="AD983" s="1">
        <f t="shared" si="123"/>
        <v>7.0658643891394937E-2</v>
      </c>
    </row>
    <row r="984" spans="20:30" x14ac:dyDescent="0.2">
      <c r="T984" s="4">
        <v>250.00402</v>
      </c>
      <c r="U984" s="1">
        <v>489</v>
      </c>
      <c r="V984" s="5">
        <v>85.079430000000002</v>
      </c>
      <c r="W984" s="3">
        <f t="shared" si="124"/>
        <v>89.236829999999998</v>
      </c>
      <c r="X984" s="1">
        <f t="shared" si="126"/>
        <v>0.13689588719825779</v>
      </c>
      <c r="Z984" s="4">
        <v>250.01931999999999</v>
      </c>
      <c r="AA984" s="1">
        <v>489</v>
      </c>
      <c r="AB984" s="5">
        <v>95.117689999999996</v>
      </c>
      <c r="AC984" s="3">
        <f t="shared" si="125"/>
        <v>95.040949999999995</v>
      </c>
      <c r="AD984" s="1">
        <f t="shared" si="123"/>
        <v>7.2176290258180828E-2</v>
      </c>
    </row>
    <row r="985" spans="20:30" x14ac:dyDescent="0.2">
      <c r="T985" s="4">
        <v>250.00502</v>
      </c>
      <c r="U985" s="1">
        <v>489.5</v>
      </c>
      <c r="V985" s="3">
        <v>85.089420000000004</v>
      </c>
      <c r="W985" s="3">
        <f t="shared" si="124"/>
        <v>89.24682</v>
      </c>
      <c r="X985" s="1">
        <f t="shared" si="126"/>
        <v>0.13677587737757085</v>
      </c>
      <c r="Z985" s="4">
        <v>250.01801</v>
      </c>
      <c r="AA985" s="1">
        <v>489.5</v>
      </c>
      <c r="AB985" s="3">
        <v>95.09787</v>
      </c>
      <c r="AC985" s="3">
        <f t="shared" si="125"/>
        <v>95.021129999999999</v>
      </c>
      <c r="AD985" s="1">
        <f t="shared" si="123"/>
        <v>7.2413344013320627E-2</v>
      </c>
    </row>
    <row r="986" spans="20:30" x14ac:dyDescent="0.2">
      <c r="T986" s="4">
        <v>250.00802999999999</v>
      </c>
      <c r="U986" s="1">
        <v>490</v>
      </c>
      <c r="V986" s="5">
        <v>85.085489999999993</v>
      </c>
      <c r="W986" s="3">
        <f t="shared" si="124"/>
        <v>89.242889999999989</v>
      </c>
      <c r="X986" s="1">
        <f t="shared" si="126"/>
        <v>0.13682308844817154</v>
      </c>
      <c r="Z986" s="4">
        <v>250.02126999999999</v>
      </c>
      <c r="AA986" s="1">
        <v>490</v>
      </c>
      <c r="AB986" s="5">
        <v>95.216409999999996</v>
      </c>
      <c r="AC986" s="3">
        <f t="shared" si="125"/>
        <v>95.139669999999995</v>
      </c>
      <c r="AD986" s="1">
        <f t="shared" si="123"/>
        <v>7.0995566408160349E-2</v>
      </c>
    </row>
    <row r="987" spans="20:30" x14ac:dyDescent="0.2">
      <c r="T987" s="4">
        <v>250.00900999999999</v>
      </c>
      <c r="U987" s="1">
        <v>490.5</v>
      </c>
      <c r="V987" s="3">
        <v>85.065439999999995</v>
      </c>
      <c r="W987" s="3">
        <f t="shared" si="124"/>
        <v>89.222839999999991</v>
      </c>
      <c r="X987" s="1">
        <f t="shared" si="126"/>
        <v>0.13706394899919977</v>
      </c>
      <c r="Z987" s="4">
        <v>250.02153999999999</v>
      </c>
      <c r="AA987" s="1">
        <v>490.5</v>
      </c>
      <c r="AB987" s="3">
        <v>95.232140000000001</v>
      </c>
      <c r="AC987" s="3">
        <f t="shared" si="125"/>
        <v>95.1554</v>
      </c>
      <c r="AD987" s="1">
        <f t="shared" si="123"/>
        <v>7.0807430405720836E-2</v>
      </c>
    </row>
    <row r="988" spans="20:30" x14ac:dyDescent="0.2">
      <c r="T988" s="4">
        <v>250.01095000000001</v>
      </c>
      <c r="U988" s="1">
        <v>491</v>
      </c>
      <c r="V988" s="5">
        <v>85.059259999999995</v>
      </c>
      <c r="W988" s="3">
        <f t="shared" si="124"/>
        <v>89.21665999999999</v>
      </c>
      <c r="X988" s="1">
        <f t="shared" si="126"/>
        <v>0.13713818930869376</v>
      </c>
      <c r="Z988" s="4">
        <v>250.01727</v>
      </c>
      <c r="AA988" s="1">
        <v>491</v>
      </c>
      <c r="AB988" s="5">
        <v>95.0732</v>
      </c>
      <c r="AC988" s="3">
        <f t="shared" si="125"/>
        <v>94.996459999999999</v>
      </c>
      <c r="AD988" s="1">
        <f t="shared" si="123"/>
        <v>7.2708405372518409E-2</v>
      </c>
    </row>
    <row r="989" spans="20:30" x14ac:dyDescent="0.2">
      <c r="T989" s="4">
        <v>250.00898000000001</v>
      </c>
      <c r="U989" s="1">
        <v>491.5</v>
      </c>
      <c r="V989" s="3">
        <v>85.043430000000001</v>
      </c>
      <c r="W989" s="3">
        <f t="shared" si="124"/>
        <v>89.200829999999996</v>
      </c>
      <c r="X989" s="1">
        <f t="shared" si="126"/>
        <v>0.13732835502055291</v>
      </c>
      <c r="Z989" s="4">
        <v>250.01535999999999</v>
      </c>
      <c r="AA989" s="1">
        <v>491.5</v>
      </c>
      <c r="AB989" s="3">
        <v>95.037629999999993</v>
      </c>
      <c r="AC989" s="3">
        <f t="shared" si="125"/>
        <v>94.960889999999992</v>
      </c>
      <c r="AD989" s="1">
        <f t="shared" si="123"/>
        <v>7.3133834336712472E-2</v>
      </c>
    </row>
    <row r="990" spans="20:30" x14ac:dyDescent="0.2">
      <c r="T990" s="4">
        <v>250.00602000000001</v>
      </c>
      <c r="U990" s="1">
        <v>492</v>
      </c>
      <c r="V990" s="5">
        <v>85.037350000000004</v>
      </c>
      <c r="W990" s="3">
        <f t="shared" si="124"/>
        <v>89.194749999999999</v>
      </c>
      <c r="X990" s="1">
        <f t="shared" si="126"/>
        <v>0.1374013940305405</v>
      </c>
      <c r="Z990" s="4">
        <v>250.01496</v>
      </c>
      <c r="AA990" s="1">
        <v>492</v>
      </c>
      <c r="AB990" s="5">
        <v>95.0762</v>
      </c>
      <c r="AC990" s="3">
        <f t="shared" si="125"/>
        <v>94.999459999999999</v>
      </c>
      <c r="AD990" s="1">
        <f t="shared" si="123"/>
        <v>7.2672524380317627E-2</v>
      </c>
    </row>
    <row r="991" spans="20:30" x14ac:dyDescent="0.2">
      <c r="T991" s="4">
        <v>250.01103000000001</v>
      </c>
      <c r="U991" s="1">
        <v>492.5</v>
      </c>
      <c r="V991" s="3">
        <v>85.039429999999996</v>
      </c>
      <c r="W991" s="3">
        <f t="shared" si="124"/>
        <v>89.196829999999991</v>
      </c>
      <c r="X991" s="1">
        <f t="shared" si="126"/>
        <v>0.13737640700080797</v>
      </c>
      <c r="Z991" s="4">
        <v>250.01730000000001</v>
      </c>
      <c r="AA991" s="1">
        <v>492.5</v>
      </c>
      <c r="AB991" s="3">
        <v>95.134780000000006</v>
      </c>
      <c r="AC991" s="3">
        <f t="shared" si="125"/>
        <v>95.058040000000005</v>
      </c>
      <c r="AD991" s="1">
        <f t="shared" si="123"/>
        <v>7.1971888205943566E-2</v>
      </c>
    </row>
    <row r="992" spans="20:30" x14ac:dyDescent="0.2">
      <c r="T992" s="4">
        <v>250.00701000000001</v>
      </c>
      <c r="U992" s="1">
        <v>493</v>
      </c>
      <c r="V992" s="5">
        <v>85.031260000000003</v>
      </c>
      <c r="W992" s="3">
        <f t="shared" si="124"/>
        <v>89.188659999999999</v>
      </c>
      <c r="X992" s="1">
        <f t="shared" si="126"/>
        <v>0.13747455317047877</v>
      </c>
      <c r="Z992" s="4">
        <v>250.01850999999999</v>
      </c>
      <c r="AA992" s="1">
        <v>493</v>
      </c>
      <c r="AB992" s="5">
        <v>95.189359999999994</v>
      </c>
      <c r="AC992" s="3">
        <f t="shared" si="125"/>
        <v>95.112619999999993</v>
      </c>
      <c r="AD992" s="1">
        <f t="shared" si="123"/>
        <v>7.1319093354504121E-2</v>
      </c>
    </row>
    <row r="993" spans="20:30" x14ac:dyDescent="0.2">
      <c r="T993" s="4">
        <v>250.00402</v>
      </c>
      <c r="U993" s="1">
        <v>493.5</v>
      </c>
      <c r="V993" s="3">
        <v>85.019059999999996</v>
      </c>
      <c r="W993" s="3">
        <f t="shared" si="124"/>
        <v>89.176459999999992</v>
      </c>
      <c r="X993" s="1">
        <f t="shared" si="126"/>
        <v>0.13762111171025662</v>
      </c>
      <c r="Z993" s="4">
        <v>250.02247</v>
      </c>
      <c r="AA993" s="1">
        <v>493.5</v>
      </c>
      <c r="AB993" s="3">
        <v>95.181209999999993</v>
      </c>
      <c r="AC993" s="3">
        <f t="shared" si="125"/>
        <v>95.104469999999992</v>
      </c>
      <c r="AD993" s="1">
        <f t="shared" si="123"/>
        <v>7.1416570049982919E-2</v>
      </c>
    </row>
    <row r="994" spans="20:30" x14ac:dyDescent="0.2">
      <c r="T994" s="4">
        <v>250.00301999999999</v>
      </c>
      <c r="U994" s="1">
        <v>494</v>
      </c>
      <c r="V994" s="5">
        <v>85.021379999999994</v>
      </c>
      <c r="W994" s="3">
        <f t="shared" si="124"/>
        <v>89.178779999999989</v>
      </c>
      <c r="X994" s="1">
        <f t="shared" si="126"/>
        <v>0.13759324156170874</v>
      </c>
      <c r="Z994" s="4">
        <v>250.02216999999999</v>
      </c>
      <c r="AA994" s="1">
        <v>494</v>
      </c>
      <c r="AB994" s="5">
        <v>95.073909999999998</v>
      </c>
      <c r="AC994" s="3">
        <f t="shared" si="125"/>
        <v>94.997169999999997</v>
      </c>
      <c r="AD994" s="1">
        <f t="shared" si="123"/>
        <v>7.2699913537697586E-2</v>
      </c>
    </row>
    <row r="995" spans="20:30" x14ac:dyDescent="0.2">
      <c r="T995" s="4">
        <v>249.99996999999999</v>
      </c>
      <c r="U995" s="1">
        <v>494.5</v>
      </c>
      <c r="V995" s="3">
        <v>85.009240000000005</v>
      </c>
      <c r="W995" s="3">
        <f t="shared" si="124"/>
        <v>89.166640000000001</v>
      </c>
      <c r="X995" s="1">
        <f t="shared" si="126"/>
        <v>0.13773907932178256</v>
      </c>
      <c r="Z995" s="4">
        <v>250.01952</v>
      </c>
      <c r="AA995" s="1">
        <v>494.5</v>
      </c>
      <c r="AB995" s="3">
        <v>95.245220000000003</v>
      </c>
      <c r="AC995" s="3">
        <f t="shared" si="125"/>
        <v>95.168480000000002</v>
      </c>
      <c r="AD995" s="1">
        <f t="shared" si="123"/>
        <v>7.0650989279725393E-2</v>
      </c>
    </row>
    <row r="996" spans="20:30" x14ac:dyDescent="0.2">
      <c r="T996" s="4">
        <v>249.99902</v>
      </c>
      <c r="U996" s="1">
        <v>495</v>
      </c>
      <c r="V996" s="5">
        <v>85.003169999999997</v>
      </c>
      <c r="W996" s="3">
        <f t="shared" si="124"/>
        <v>89.160569999999993</v>
      </c>
      <c r="X996" s="1">
        <f t="shared" si="126"/>
        <v>0.13781199820181966</v>
      </c>
      <c r="Z996" s="4">
        <v>250.01964000000001</v>
      </c>
      <c r="AA996" s="1">
        <v>495</v>
      </c>
      <c r="AB996" s="5">
        <v>95.151870000000002</v>
      </c>
      <c r="AC996" s="3">
        <f t="shared" si="125"/>
        <v>95.075130000000001</v>
      </c>
      <c r="AD996" s="1">
        <f t="shared" si="123"/>
        <v>7.1767486153706483E-2</v>
      </c>
    </row>
    <row r="997" spans="20:30" x14ac:dyDescent="0.2">
      <c r="T997" s="4">
        <v>250.00099</v>
      </c>
      <c r="U997" s="1">
        <v>495.5</v>
      </c>
      <c r="V997" s="3">
        <v>84.983189999999993</v>
      </c>
      <c r="W997" s="3">
        <f t="shared" si="124"/>
        <v>89.140589999999989</v>
      </c>
      <c r="X997" s="1">
        <f t="shared" si="126"/>
        <v>0.13805201784319349</v>
      </c>
      <c r="Z997" s="4">
        <v>250.01793000000001</v>
      </c>
      <c r="AA997" s="1">
        <v>495.5</v>
      </c>
      <c r="AB997" s="3">
        <v>95.148049999999998</v>
      </c>
      <c r="AC997" s="3">
        <f t="shared" si="125"/>
        <v>95.071309999999997</v>
      </c>
      <c r="AD997" s="1">
        <f t="shared" si="123"/>
        <v>7.1813174617108871E-2</v>
      </c>
    </row>
    <row r="998" spans="20:30" x14ac:dyDescent="0.2">
      <c r="T998" s="4">
        <v>250.00300999999999</v>
      </c>
      <c r="U998" s="1">
        <v>496</v>
      </c>
      <c r="V998" s="5">
        <v>84.997190000000003</v>
      </c>
      <c r="W998" s="3">
        <f t="shared" si="124"/>
        <v>89.154589999999999</v>
      </c>
      <c r="X998" s="1">
        <f t="shared" si="126"/>
        <v>0.13788383591230083</v>
      </c>
      <c r="Z998" s="4">
        <v>250.01902999999999</v>
      </c>
      <c r="AA998" s="1">
        <v>496</v>
      </c>
      <c r="AB998" s="5">
        <v>95.073099999999997</v>
      </c>
      <c r="AC998" s="3">
        <f t="shared" si="125"/>
        <v>94.996359999999996</v>
      </c>
      <c r="AD998" s="1">
        <f t="shared" si="123"/>
        <v>7.2709601405591809E-2</v>
      </c>
    </row>
    <row r="999" spans="20:30" x14ac:dyDescent="0.2">
      <c r="T999" s="4">
        <v>250.00498999999999</v>
      </c>
      <c r="U999" s="1">
        <v>496.5</v>
      </c>
      <c r="V999" s="3">
        <v>84.983199999999997</v>
      </c>
      <c r="W999" s="3">
        <f t="shared" si="124"/>
        <v>89.140599999999992</v>
      </c>
      <c r="X999" s="1">
        <f t="shared" si="126"/>
        <v>0.1380518977132428</v>
      </c>
      <c r="Z999" s="4">
        <v>250.01898</v>
      </c>
      <c r="AA999" s="1">
        <v>496.5</v>
      </c>
      <c r="AB999" s="3">
        <v>95.093199999999996</v>
      </c>
      <c r="AC999" s="3">
        <f t="shared" si="125"/>
        <v>95.016459999999995</v>
      </c>
      <c r="AD999" s="1">
        <f t="shared" si="123"/>
        <v>7.2469198757846562E-2</v>
      </c>
    </row>
    <row r="1000" spans="20:30" x14ac:dyDescent="0.2">
      <c r="T1000" s="4">
        <v>250.00601</v>
      </c>
      <c r="U1000" s="1">
        <v>497</v>
      </c>
      <c r="V1000" s="5">
        <v>84.980959999999996</v>
      </c>
      <c r="W1000" s="3">
        <f t="shared" si="124"/>
        <v>89.138359999999992</v>
      </c>
      <c r="X1000" s="1">
        <f t="shared" si="126"/>
        <v>0.13807880682218562</v>
      </c>
      <c r="Z1000" s="4">
        <v>250.01606000000001</v>
      </c>
      <c r="AA1000" s="1">
        <v>497</v>
      </c>
      <c r="AB1000" s="5">
        <v>95.092259999999996</v>
      </c>
      <c r="AC1000" s="3">
        <f t="shared" si="125"/>
        <v>95.015519999999995</v>
      </c>
      <c r="AD1000" s="1">
        <f t="shared" si="123"/>
        <v>7.248044146873614E-2</v>
      </c>
    </row>
    <row r="1001" spans="20:30" x14ac:dyDescent="0.2">
      <c r="T1001" s="4">
        <v>250.00702999999999</v>
      </c>
      <c r="U1001" s="1">
        <v>497.5</v>
      </c>
      <c r="V1001" s="3">
        <v>84.981089999999995</v>
      </c>
      <c r="W1001" s="3">
        <f t="shared" si="124"/>
        <v>89.13848999999999</v>
      </c>
      <c r="X1001" s="1">
        <f t="shared" si="126"/>
        <v>0.13807724513282735</v>
      </c>
      <c r="Z1001" s="4">
        <v>250.01322999999999</v>
      </c>
      <c r="AA1001" s="1">
        <v>497.5</v>
      </c>
      <c r="AB1001" s="3">
        <v>95.103170000000006</v>
      </c>
      <c r="AC1001" s="3">
        <f t="shared" si="125"/>
        <v>95.026430000000005</v>
      </c>
      <c r="AD1001" s="1">
        <f t="shared" si="123"/>
        <v>7.2349954260432503E-2</v>
      </c>
    </row>
    <row r="1002" spans="20:30" x14ac:dyDescent="0.2">
      <c r="T1002" s="4">
        <v>250.00699</v>
      </c>
      <c r="U1002" s="1">
        <v>498</v>
      </c>
      <c r="V1002" s="5">
        <v>84.982870000000005</v>
      </c>
      <c r="W1002" s="3">
        <f t="shared" si="124"/>
        <v>89.140270000000001</v>
      </c>
      <c r="X1002" s="1">
        <f t="shared" si="126"/>
        <v>0.13805586200161374</v>
      </c>
      <c r="Z1002" s="4">
        <v>250.01133999999999</v>
      </c>
      <c r="AA1002" s="1">
        <v>498</v>
      </c>
      <c r="AB1002" s="5">
        <v>95.099029999999999</v>
      </c>
      <c r="AC1002" s="3">
        <f t="shared" si="125"/>
        <v>95.022289999999998</v>
      </c>
      <c r="AD1002" s="1">
        <f t="shared" si="123"/>
        <v>7.2399470029669677E-2</v>
      </c>
    </row>
    <row r="1003" spans="20:30" x14ac:dyDescent="0.2">
      <c r="T1003" s="4">
        <v>250.005</v>
      </c>
      <c r="U1003" s="1">
        <v>498.5</v>
      </c>
      <c r="V1003" s="3">
        <v>84.94896</v>
      </c>
      <c r="W1003" s="3">
        <f t="shared" si="124"/>
        <v>89.106359999999995</v>
      </c>
      <c r="X1003" s="1">
        <f t="shared" si="126"/>
        <v>0.13846322266422567</v>
      </c>
      <c r="Z1003" s="4">
        <v>250.01050000000001</v>
      </c>
      <c r="AA1003" s="1">
        <v>498.5</v>
      </c>
      <c r="AB1003" s="3">
        <v>95.086650000000006</v>
      </c>
      <c r="AC1003" s="3">
        <f t="shared" si="125"/>
        <v>95.009910000000005</v>
      </c>
      <c r="AD1003" s="1">
        <f t="shared" si="123"/>
        <v>7.25475389241515E-2</v>
      </c>
    </row>
    <row r="1004" spans="20:30" x14ac:dyDescent="0.2">
      <c r="T1004" s="4">
        <v>250.00595000000001</v>
      </c>
      <c r="U1004" s="1">
        <v>499</v>
      </c>
      <c r="V1004" s="5">
        <v>84.922799999999995</v>
      </c>
      <c r="W1004" s="3">
        <f t="shared" si="124"/>
        <v>89.080199999999991</v>
      </c>
      <c r="X1004" s="1">
        <f t="shared" si="126"/>
        <v>0.13877748261509351</v>
      </c>
      <c r="Z1004" s="4">
        <v>250.00998999999999</v>
      </c>
      <c r="AA1004" s="1">
        <v>499</v>
      </c>
      <c r="AB1004" s="5">
        <v>95.059039999999996</v>
      </c>
      <c r="AC1004" s="3">
        <f t="shared" si="125"/>
        <v>94.982299999999995</v>
      </c>
      <c r="AD1004" s="1">
        <f t="shared" si="123"/>
        <v>7.2877763655706168E-2</v>
      </c>
    </row>
    <row r="1005" spans="20:30" x14ac:dyDescent="0.2">
      <c r="T1005" s="4">
        <v>250.00505000000001</v>
      </c>
      <c r="U1005" s="1">
        <v>499.5</v>
      </c>
      <c r="V1005" s="3">
        <v>84.926839999999999</v>
      </c>
      <c r="W1005" s="3">
        <f t="shared" si="124"/>
        <v>89.084239999999994</v>
      </c>
      <c r="X1005" s="1">
        <f t="shared" si="126"/>
        <v>0.13872895011503592</v>
      </c>
      <c r="Z1005" s="4">
        <v>250.00897000000001</v>
      </c>
      <c r="AA1005" s="1">
        <v>499.5</v>
      </c>
      <c r="AB1005" s="3">
        <v>95.088229999999996</v>
      </c>
      <c r="AC1005" s="3">
        <f t="shared" si="125"/>
        <v>95.011489999999995</v>
      </c>
      <c r="AD1005" s="1">
        <f t="shared" si="123"/>
        <v>7.2528641601592531E-2</v>
      </c>
    </row>
    <row r="1006" spans="20:30" x14ac:dyDescent="0.2">
      <c r="T1006" s="4">
        <v>250.00901999999999</v>
      </c>
      <c r="U1006" s="1">
        <v>500</v>
      </c>
      <c r="V1006" s="5">
        <v>84.928899999999999</v>
      </c>
      <c r="W1006" s="3">
        <f t="shared" si="124"/>
        <v>89.086299999999994</v>
      </c>
      <c r="X1006" s="1">
        <f t="shared" si="126"/>
        <v>0.13870420334520459</v>
      </c>
      <c r="Z1006" s="4">
        <v>250.01365000000001</v>
      </c>
      <c r="AA1006" s="1">
        <v>500</v>
      </c>
      <c r="AB1006" s="5">
        <v>95.083209999999994</v>
      </c>
      <c r="AC1006" s="3">
        <f t="shared" si="125"/>
        <v>95.006469999999993</v>
      </c>
      <c r="AD1006" s="1">
        <f t="shared" si="123"/>
        <v>7.2588682461875206E-2</v>
      </c>
    </row>
    <row r="1007" spans="20:30" x14ac:dyDescent="0.2">
      <c r="T1007" s="4">
        <v>250.00201999999999</v>
      </c>
      <c r="U1007" s="1">
        <v>500.5</v>
      </c>
      <c r="V1007" s="3">
        <v>84.923069999999996</v>
      </c>
      <c r="W1007" s="3">
        <f t="shared" si="124"/>
        <v>89.080469999999991</v>
      </c>
      <c r="X1007" s="1">
        <f t="shared" si="126"/>
        <v>0.13877423910642628</v>
      </c>
      <c r="Z1007" s="4">
        <v>250.01602</v>
      </c>
      <c r="AA1007" s="1">
        <v>500.5</v>
      </c>
      <c r="AB1007" s="3">
        <v>94.994680000000002</v>
      </c>
      <c r="AC1007" s="3">
        <f t="shared" si="125"/>
        <v>94.917940000000002</v>
      </c>
      <c r="AD1007" s="1">
        <f t="shared" si="123"/>
        <v>7.3647530541720255E-2</v>
      </c>
    </row>
    <row r="1008" spans="20:30" x14ac:dyDescent="0.2">
      <c r="T1008" s="4">
        <v>250.00399999999999</v>
      </c>
      <c r="U1008" s="1">
        <v>501</v>
      </c>
      <c r="V1008" s="5">
        <v>84.909019999999998</v>
      </c>
      <c r="W1008" s="3">
        <f t="shared" si="124"/>
        <v>89.066419999999994</v>
      </c>
      <c r="X1008" s="1">
        <f t="shared" si="126"/>
        <v>0.13894302168707198</v>
      </c>
      <c r="Z1008" s="4">
        <v>250.01702</v>
      </c>
      <c r="AA1008" s="1">
        <v>501</v>
      </c>
      <c r="AB1008" s="5">
        <v>95.09854</v>
      </c>
      <c r="AC1008" s="3">
        <f t="shared" si="125"/>
        <v>95.021799999999999</v>
      </c>
      <c r="AD1008" s="1">
        <f t="shared" si="123"/>
        <v>7.2405330591729128E-2</v>
      </c>
    </row>
    <row r="1009" spans="20:30" x14ac:dyDescent="0.2">
      <c r="T1009" s="4">
        <v>250.00805</v>
      </c>
      <c r="U1009" s="1">
        <v>501.5</v>
      </c>
      <c r="V1009" s="3">
        <v>84.910989999999998</v>
      </c>
      <c r="W1009" s="3">
        <f t="shared" si="124"/>
        <v>89.068389999999994</v>
      </c>
      <c r="X1009" s="1">
        <f t="shared" si="126"/>
        <v>0.1389193560867964</v>
      </c>
      <c r="Z1009" s="4">
        <v>250.01472000000001</v>
      </c>
      <c r="AA1009" s="1">
        <v>501.5</v>
      </c>
      <c r="AB1009" s="3">
        <v>94.964519999999993</v>
      </c>
      <c r="AC1009" s="3">
        <f t="shared" si="125"/>
        <v>94.887779999999992</v>
      </c>
      <c r="AD1009" s="1">
        <f t="shared" si="123"/>
        <v>7.4008254116645578E-2</v>
      </c>
    </row>
    <row r="1010" spans="20:30" x14ac:dyDescent="0.2">
      <c r="T1010" s="4">
        <v>250.01402999999999</v>
      </c>
      <c r="U1010" s="1">
        <v>502</v>
      </c>
      <c r="V1010" s="5">
        <v>84.908879999999996</v>
      </c>
      <c r="W1010" s="3">
        <f t="shared" si="124"/>
        <v>89.066279999999992</v>
      </c>
      <c r="X1010" s="1">
        <f t="shared" si="126"/>
        <v>0.13894470350638094</v>
      </c>
      <c r="Z1010" s="4">
        <v>250.01626999999999</v>
      </c>
      <c r="AA1010" s="1">
        <v>502</v>
      </c>
      <c r="AB1010" s="5">
        <v>95.071129999999997</v>
      </c>
      <c r="AC1010" s="3">
        <f t="shared" si="125"/>
        <v>94.994389999999996</v>
      </c>
      <c r="AD1010" s="1">
        <f t="shared" si="123"/>
        <v>7.2733163257136996E-2</v>
      </c>
    </row>
    <row r="1011" spans="20:30" x14ac:dyDescent="0.2">
      <c r="T1011" s="4">
        <v>250.00800000000001</v>
      </c>
      <c r="U1011" s="1">
        <v>502.5</v>
      </c>
      <c r="V1011" s="3">
        <v>84.906940000000006</v>
      </c>
      <c r="W1011" s="3">
        <f t="shared" si="124"/>
        <v>89.064340000000001</v>
      </c>
      <c r="X1011" s="1">
        <f t="shared" si="126"/>
        <v>0.13896800871680451</v>
      </c>
      <c r="Z1011" s="4">
        <v>250.01928000000001</v>
      </c>
      <c r="AA1011" s="1">
        <v>502.5</v>
      </c>
      <c r="AB1011" s="3">
        <v>95.0946</v>
      </c>
      <c r="AC1011" s="3">
        <f t="shared" si="125"/>
        <v>95.017859999999999</v>
      </c>
      <c r="AD1011" s="1">
        <f t="shared" si="123"/>
        <v>7.2452454294819488E-2</v>
      </c>
    </row>
    <row r="1012" spans="20:30" x14ac:dyDescent="0.2">
      <c r="T1012" s="4">
        <v>250.00402</v>
      </c>
      <c r="U1012" s="1">
        <v>503</v>
      </c>
      <c r="V1012" s="5">
        <v>84.900750000000002</v>
      </c>
      <c r="W1012" s="3">
        <f t="shared" si="124"/>
        <v>89.058149999999998</v>
      </c>
      <c r="X1012" s="1">
        <f t="shared" si="126"/>
        <v>0.13904236915624918</v>
      </c>
      <c r="Z1012" s="4">
        <v>250.01594</v>
      </c>
      <c r="AA1012" s="1">
        <v>503</v>
      </c>
      <c r="AB1012" s="5">
        <v>94.975149999999999</v>
      </c>
      <c r="AC1012" s="3">
        <f t="shared" si="125"/>
        <v>94.898409999999998</v>
      </c>
      <c r="AD1012" s="1">
        <f t="shared" si="123"/>
        <v>7.3881115800947389E-2</v>
      </c>
    </row>
    <row r="1013" spans="20:30" x14ac:dyDescent="0.2">
      <c r="T1013" s="4">
        <v>250.00608</v>
      </c>
      <c r="U1013" s="1">
        <v>503.5</v>
      </c>
      <c r="V1013" s="3">
        <v>84.894800000000004</v>
      </c>
      <c r="W1013" s="3">
        <f t="shared" si="124"/>
        <v>89.052199999999999</v>
      </c>
      <c r="X1013" s="1">
        <f t="shared" si="126"/>
        <v>0.13911384647687849</v>
      </c>
      <c r="Z1013" s="4">
        <v>250.01606000000001</v>
      </c>
      <c r="AA1013" s="1">
        <v>503.5</v>
      </c>
      <c r="AB1013" s="3">
        <v>94.961269999999999</v>
      </c>
      <c r="AC1013" s="3">
        <f t="shared" si="125"/>
        <v>94.884529999999998</v>
      </c>
      <c r="AD1013" s="1">
        <f t="shared" si="123"/>
        <v>7.40471251915297E-2</v>
      </c>
    </row>
    <row r="1014" spans="20:30" x14ac:dyDescent="0.2">
      <c r="T1014" s="4">
        <v>250.00998999999999</v>
      </c>
      <c r="U1014" s="1">
        <v>504</v>
      </c>
      <c r="V1014" s="5">
        <v>84.870810000000006</v>
      </c>
      <c r="W1014" s="3">
        <f t="shared" si="124"/>
        <v>89.028210000000001</v>
      </c>
      <c r="X1014" s="1">
        <f t="shared" si="126"/>
        <v>0.1394020382284579</v>
      </c>
      <c r="Z1014" s="4">
        <v>250.02007</v>
      </c>
      <c r="AA1014" s="1">
        <v>504</v>
      </c>
      <c r="AB1014" s="5">
        <v>95.025059999999996</v>
      </c>
      <c r="AC1014" s="3">
        <f t="shared" si="125"/>
        <v>94.948319999999995</v>
      </c>
      <c r="AD1014" s="1">
        <f t="shared" si="123"/>
        <v>7.3284175694033712E-2</v>
      </c>
    </row>
    <row r="1015" spans="20:30" x14ac:dyDescent="0.2">
      <c r="T1015" s="4">
        <v>250.01095000000001</v>
      </c>
      <c r="U1015" s="1">
        <v>504.5</v>
      </c>
      <c r="V1015" s="3">
        <v>84.872680000000003</v>
      </c>
      <c r="W1015" s="3">
        <f t="shared" si="124"/>
        <v>89.030079999999998</v>
      </c>
      <c r="X1015" s="1">
        <f t="shared" si="126"/>
        <v>0.13937957392768874</v>
      </c>
      <c r="Z1015" s="4">
        <v>250.02074999999999</v>
      </c>
      <c r="AA1015" s="1">
        <v>504.5</v>
      </c>
      <c r="AB1015" s="3">
        <v>94.929590000000005</v>
      </c>
      <c r="AC1015" s="3">
        <f t="shared" si="125"/>
        <v>94.852850000000004</v>
      </c>
      <c r="AD1015" s="1">
        <f t="shared" si="123"/>
        <v>7.4426028469169916E-2</v>
      </c>
    </row>
    <row r="1016" spans="20:30" x14ac:dyDescent="0.2">
      <c r="T1016" s="4">
        <v>250.00799000000001</v>
      </c>
      <c r="U1016" s="1">
        <v>505</v>
      </c>
      <c r="V1016" s="5">
        <v>84.852800000000002</v>
      </c>
      <c r="W1016" s="3">
        <f t="shared" si="124"/>
        <v>89.010199999999998</v>
      </c>
      <c r="X1016" s="1">
        <f t="shared" si="126"/>
        <v>0.13961839226955614</v>
      </c>
      <c r="Z1016" s="4">
        <v>250.02094</v>
      </c>
      <c r="AA1016" s="1">
        <v>505</v>
      </c>
      <c r="AB1016" s="5">
        <v>95.097110000000001</v>
      </c>
      <c r="AC1016" s="3">
        <f t="shared" si="125"/>
        <v>95.02037</v>
      </c>
      <c r="AD1016" s="1">
        <f t="shared" si="123"/>
        <v>7.2422433864678157E-2</v>
      </c>
    </row>
    <row r="1017" spans="20:30" x14ac:dyDescent="0.2">
      <c r="T1017" s="4">
        <v>250.00400999999999</v>
      </c>
      <c r="U1017" s="1">
        <v>505.5</v>
      </c>
      <c r="V1017" s="3">
        <v>84.844849999999994</v>
      </c>
      <c r="W1017" s="3">
        <f t="shared" si="124"/>
        <v>89.002249999999989</v>
      </c>
      <c r="X1017" s="1">
        <f t="shared" si="126"/>
        <v>0.13971389558031308</v>
      </c>
      <c r="Z1017" s="4">
        <v>250.02213</v>
      </c>
      <c r="AA1017" s="1">
        <v>505.5</v>
      </c>
      <c r="AB1017" s="3">
        <v>94.8964</v>
      </c>
      <c r="AC1017" s="3">
        <f t="shared" si="125"/>
        <v>94.819659999999999</v>
      </c>
      <c r="AD1017" s="1">
        <f t="shared" si="123"/>
        <v>7.4822991846217976E-2</v>
      </c>
    </row>
    <row r="1018" spans="20:30" x14ac:dyDescent="0.2">
      <c r="T1018" s="4">
        <v>250.00398999999999</v>
      </c>
      <c r="U1018" s="1">
        <v>506</v>
      </c>
      <c r="V1018" s="5">
        <v>84.836749999999995</v>
      </c>
      <c r="W1018" s="3">
        <f t="shared" si="124"/>
        <v>88.994149999999991</v>
      </c>
      <c r="X1018" s="1">
        <f t="shared" si="126"/>
        <v>0.13981120084032947</v>
      </c>
      <c r="Z1018" s="4">
        <v>250.02231</v>
      </c>
      <c r="AA1018" s="1">
        <v>506</v>
      </c>
      <c r="AB1018" s="5">
        <v>94.906130000000005</v>
      </c>
      <c r="AC1018" s="3">
        <f t="shared" si="125"/>
        <v>94.829390000000004</v>
      </c>
      <c r="AD1018" s="1">
        <f t="shared" si="123"/>
        <v>7.4706617828180041E-2</v>
      </c>
    </row>
    <row r="1019" spans="20:30" x14ac:dyDescent="0.2">
      <c r="T1019" s="4">
        <v>250.00300999999999</v>
      </c>
      <c r="U1019" s="1">
        <v>506.5</v>
      </c>
      <c r="V1019" s="3">
        <v>84.814670000000007</v>
      </c>
      <c r="W1019" s="3">
        <f t="shared" si="124"/>
        <v>88.972070000000002</v>
      </c>
      <c r="X1019" s="1">
        <f t="shared" si="126"/>
        <v>0.14007644777133699</v>
      </c>
      <c r="Z1019" s="4">
        <v>250.02143000000001</v>
      </c>
      <c r="AA1019" s="1">
        <v>506.5</v>
      </c>
      <c r="AB1019" s="3">
        <v>94.950729999999993</v>
      </c>
      <c r="AC1019" s="3">
        <f t="shared" si="125"/>
        <v>94.873989999999992</v>
      </c>
      <c r="AD1019" s="1">
        <f t="shared" si="123"/>
        <v>7.4173187077461858E-2</v>
      </c>
    </row>
    <row r="1020" spans="20:30" x14ac:dyDescent="0.2">
      <c r="T1020" s="4">
        <v>250.00205</v>
      </c>
      <c r="U1020" s="1">
        <v>507</v>
      </c>
      <c r="V1020" s="5">
        <v>84.802520000000001</v>
      </c>
      <c r="W1020" s="3">
        <f t="shared" si="124"/>
        <v>88.959919999999997</v>
      </c>
      <c r="X1020" s="1">
        <f t="shared" si="126"/>
        <v>0.14022240566136165</v>
      </c>
      <c r="Z1020" s="4">
        <v>250.02134000000001</v>
      </c>
      <c r="AA1020" s="1">
        <v>507</v>
      </c>
      <c r="AB1020" s="5">
        <v>95.051820000000006</v>
      </c>
      <c r="AC1020" s="3">
        <f t="shared" si="125"/>
        <v>94.975080000000005</v>
      </c>
      <c r="AD1020" s="1">
        <f t="shared" si="123"/>
        <v>7.2964117243602591E-2</v>
      </c>
    </row>
    <row r="1021" spans="20:30" x14ac:dyDescent="0.2">
      <c r="T1021" s="4">
        <v>250.00102999999999</v>
      </c>
      <c r="U1021" s="1">
        <v>507.5</v>
      </c>
      <c r="V1021" s="3">
        <v>84.800510000000003</v>
      </c>
      <c r="W1021" s="3">
        <f t="shared" si="124"/>
        <v>88.957909999999998</v>
      </c>
      <c r="X1021" s="1">
        <f t="shared" si="126"/>
        <v>0.14024655178143977</v>
      </c>
      <c r="Z1021" s="4">
        <v>250.02558999999999</v>
      </c>
      <c r="AA1021" s="1">
        <v>507.5</v>
      </c>
      <c r="AB1021" s="3">
        <v>95.008759999999995</v>
      </c>
      <c r="AC1021" s="3">
        <f t="shared" si="125"/>
        <v>94.932019999999994</v>
      </c>
      <c r="AD1021" s="1">
        <f t="shared" si="123"/>
        <v>7.3479129084991324E-2</v>
      </c>
    </row>
    <row r="1022" spans="20:30" x14ac:dyDescent="0.2">
      <c r="T1022" s="4">
        <v>250.00300999999999</v>
      </c>
      <c r="U1022" s="1">
        <v>508</v>
      </c>
      <c r="V1022" s="5">
        <v>84.796530000000004</v>
      </c>
      <c r="W1022" s="3">
        <f t="shared" si="124"/>
        <v>88.95393</v>
      </c>
      <c r="X1022" s="1">
        <f t="shared" si="126"/>
        <v>0.1402943635017935</v>
      </c>
      <c r="Z1022" s="4">
        <v>250.02437</v>
      </c>
      <c r="AA1022" s="1">
        <v>508</v>
      </c>
      <c r="AB1022" s="5">
        <v>94.929659999999998</v>
      </c>
      <c r="AC1022" s="3">
        <f t="shared" si="125"/>
        <v>94.852919999999997</v>
      </c>
      <c r="AD1022" s="1">
        <f t="shared" si="123"/>
        <v>7.4425191246018638E-2</v>
      </c>
    </row>
    <row r="1023" spans="20:30" x14ac:dyDescent="0.2">
      <c r="T1023" s="4">
        <v>250.00098</v>
      </c>
      <c r="U1023" s="1">
        <v>508.5</v>
      </c>
      <c r="V1023" s="3">
        <v>84.790589999999995</v>
      </c>
      <c r="W1023" s="3">
        <f t="shared" si="124"/>
        <v>88.94798999999999</v>
      </c>
      <c r="X1023" s="1">
        <f t="shared" si="126"/>
        <v>0.1403657206924723</v>
      </c>
      <c r="Z1023" s="4">
        <v>250.01707999999999</v>
      </c>
      <c r="AA1023" s="1">
        <v>508.5</v>
      </c>
      <c r="AB1023" s="3">
        <v>94.995469999999997</v>
      </c>
      <c r="AC1023" s="3">
        <f t="shared" si="125"/>
        <v>94.918729999999996</v>
      </c>
      <c r="AD1023" s="1">
        <f t="shared" ref="AD1023:AD1086" si="127">($AC$62-AC1023)/($AC$62*(1-$M$1))</f>
        <v>7.363808188044077E-2</v>
      </c>
    </row>
    <row r="1024" spans="20:30" x14ac:dyDescent="0.2">
      <c r="T1024" s="4">
        <v>250.00601</v>
      </c>
      <c r="U1024" s="1">
        <v>509</v>
      </c>
      <c r="V1024" s="5">
        <v>84.786609999999996</v>
      </c>
      <c r="W1024" s="3">
        <f t="shared" si="124"/>
        <v>88.944009999999992</v>
      </c>
      <c r="X1024" s="1">
        <f t="shared" si="126"/>
        <v>0.14041353241282603</v>
      </c>
      <c r="Z1024" s="4">
        <v>250.01294999999999</v>
      </c>
      <c r="AA1024" s="1">
        <v>509</v>
      </c>
      <c r="AB1024" s="5">
        <v>94.765410000000003</v>
      </c>
      <c r="AC1024" s="3">
        <f t="shared" si="125"/>
        <v>94.688670000000002</v>
      </c>
      <c r="AD1024" s="1">
        <f t="shared" si="127"/>
        <v>7.6389675569011536E-2</v>
      </c>
    </row>
    <row r="1025" spans="20:30" x14ac:dyDescent="0.2">
      <c r="T1025" s="4">
        <v>250.01000999999999</v>
      </c>
      <c r="U1025" s="1">
        <v>509.5</v>
      </c>
      <c r="V1025" s="3">
        <v>84.784469999999999</v>
      </c>
      <c r="W1025" s="3">
        <f t="shared" si="124"/>
        <v>88.941869999999994</v>
      </c>
      <c r="X1025" s="1">
        <f t="shared" si="126"/>
        <v>0.14043924022226242</v>
      </c>
      <c r="Z1025" s="4">
        <v>250.01188999999999</v>
      </c>
      <c r="AA1025" s="1">
        <v>509.5</v>
      </c>
      <c r="AB1025" s="3">
        <v>94.914379999999994</v>
      </c>
      <c r="AC1025" s="3">
        <f t="shared" si="125"/>
        <v>94.837639999999993</v>
      </c>
      <c r="AD1025" s="1">
        <f t="shared" si="127"/>
        <v>7.4607945099628009E-2</v>
      </c>
    </row>
    <row r="1026" spans="20:30" x14ac:dyDescent="0.2">
      <c r="T1026" s="4">
        <v>250.00899999999999</v>
      </c>
      <c r="U1026" s="1">
        <v>510</v>
      </c>
      <c r="V1026" s="5">
        <v>84.803089999999997</v>
      </c>
      <c r="W1026" s="3">
        <f t="shared" si="124"/>
        <v>88.960489999999993</v>
      </c>
      <c r="X1026" s="1">
        <f t="shared" si="126"/>
        <v>0.14021555825417537</v>
      </c>
      <c r="Z1026" s="4">
        <v>250.01497000000001</v>
      </c>
      <c r="AA1026" s="1">
        <v>510</v>
      </c>
      <c r="AB1026" s="5">
        <v>94.948499999999996</v>
      </c>
      <c r="AC1026" s="3">
        <f t="shared" si="125"/>
        <v>94.871759999999995</v>
      </c>
      <c r="AD1026" s="1">
        <f t="shared" si="127"/>
        <v>7.4199858614997741E-2</v>
      </c>
    </row>
    <row r="1027" spans="20:30" x14ac:dyDescent="0.2">
      <c r="T1027" s="4">
        <v>250.00197</v>
      </c>
      <c r="U1027" s="1">
        <v>510.5</v>
      </c>
      <c r="V1027" s="3">
        <v>84.750519999999995</v>
      </c>
      <c r="W1027" s="3">
        <f t="shared" si="124"/>
        <v>88.90791999999999</v>
      </c>
      <c r="X1027" s="1">
        <f t="shared" si="126"/>
        <v>0.14084708140467689</v>
      </c>
      <c r="Z1027" s="4">
        <v>250.01938000000001</v>
      </c>
      <c r="AA1027" s="1">
        <v>510.5</v>
      </c>
      <c r="AB1027" s="3">
        <v>94.913179999999997</v>
      </c>
      <c r="AC1027" s="3">
        <f t="shared" si="125"/>
        <v>94.836439999999996</v>
      </c>
      <c r="AD1027" s="1">
        <f t="shared" si="127"/>
        <v>7.4622297496508297E-2</v>
      </c>
    </row>
    <row r="1028" spans="20:30" x14ac:dyDescent="0.2">
      <c r="T1028" s="4">
        <v>250.00101000000001</v>
      </c>
      <c r="U1028" s="1">
        <v>511</v>
      </c>
      <c r="V1028" s="5">
        <v>84.764380000000003</v>
      </c>
      <c r="W1028" s="3">
        <f t="shared" si="124"/>
        <v>88.921779999999998</v>
      </c>
      <c r="X1028" s="1">
        <f t="shared" si="126"/>
        <v>0.14068058129309319</v>
      </c>
      <c r="Z1028" s="4">
        <v>250.01953</v>
      </c>
      <c r="AA1028" s="1">
        <v>511</v>
      </c>
      <c r="AB1028" s="5">
        <v>94.838040000000007</v>
      </c>
      <c r="AC1028" s="3">
        <f t="shared" si="125"/>
        <v>94.761300000000006</v>
      </c>
      <c r="AD1028" s="1">
        <f t="shared" si="127"/>
        <v>7.5520996747830499E-2</v>
      </c>
    </row>
    <row r="1029" spans="20:30" x14ac:dyDescent="0.2">
      <c r="T1029" s="4">
        <v>250.00402</v>
      </c>
      <c r="U1029" s="1">
        <v>511.5</v>
      </c>
      <c r="V1029" s="3">
        <v>84.728210000000004</v>
      </c>
      <c r="W1029" s="3">
        <f t="shared" si="124"/>
        <v>88.88561</v>
      </c>
      <c r="X1029" s="1">
        <f t="shared" si="126"/>
        <v>0.14111509132454911</v>
      </c>
      <c r="Z1029" s="4">
        <v>250.01911999999999</v>
      </c>
      <c r="AA1029" s="1">
        <v>511.5</v>
      </c>
      <c r="AB1029" s="3">
        <v>94.985479999999995</v>
      </c>
      <c r="AC1029" s="3">
        <f t="shared" si="125"/>
        <v>94.908739999999995</v>
      </c>
      <c r="AD1029" s="1">
        <f t="shared" si="127"/>
        <v>7.3757565584469401E-2</v>
      </c>
    </row>
    <row r="1030" spans="20:30" x14ac:dyDescent="0.2">
      <c r="T1030" s="4">
        <v>250.00596999999999</v>
      </c>
      <c r="U1030" s="1">
        <v>512</v>
      </c>
      <c r="V1030" s="5">
        <v>84.746340000000004</v>
      </c>
      <c r="W1030" s="3">
        <f t="shared" si="124"/>
        <v>88.903739999999999</v>
      </c>
      <c r="X1030" s="1">
        <f t="shared" si="126"/>
        <v>0.14089729572404328</v>
      </c>
      <c r="Z1030" s="4">
        <v>250.02034</v>
      </c>
      <c r="AA1030" s="1">
        <v>512</v>
      </c>
      <c r="AB1030" s="5">
        <v>94.874179999999996</v>
      </c>
      <c r="AC1030" s="3">
        <f t="shared" si="125"/>
        <v>94.797439999999995</v>
      </c>
      <c r="AD1030" s="1">
        <f t="shared" si="127"/>
        <v>7.5088750395118517E-2</v>
      </c>
    </row>
    <row r="1031" spans="20:30" x14ac:dyDescent="0.2">
      <c r="T1031" s="4">
        <v>250.00905</v>
      </c>
      <c r="U1031" s="1">
        <v>512.5</v>
      </c>
      <c r="V1031" s="3">
        <v>84.736360000000005</v>
      </c>
      <c r="W1031" s="3">
        <f t="shared" ref="W1031:W1094" si="128">100-($V$6-V1031)</f>
        <v>88.89376</v>
      </c>
      <c r="X1031" s="1">
        <f t="shared" si="126"/>
        <v>0.14101718541477951</v>
      </c>
      <c r="Z1031" s="4">
        <v>250.02069</v>
      </c>
      <c r="AA1031" s="1">
        <v>512.5</v>
      </c>
      <c r="AB1031" s="3">
        <v>94.896789999999996</v>
      </c>
      <c r="AC1031" s="3">
        <f t="shared" ref="AC1031:AC1094" si="129">100-($AB$6-AB1031)</f>
        <v>94.820049999999995</v>
      </c>
      <c r="AD1031" s="1">
        <f t="shared" si="127"/>
        <v>7.4818327317231925E-2</v>
      </c>
    </row>
    <row r="1032" spans="20:30" x14ac:dyDescent="0.2">
      <c r="T1032" s="4">
        <v>250.012</v>
      </c>
      <c r="U1032" s="1">
        <v>513</v>
      </c>
      <c r="V1032" s="5">
        <v>84.732320000000001</v>
      </c>
      <c r="W1032" s="3">
        <f t="shared" si="128"/>
        <v>88.889719999999997</v>
      </c>
      <c r="X1032" s="1">
        <f t="shared" si="126"/>
        <v>0.14106571791483713</v>
      </c>
      <c r="Z1032" s="4">
        <v>250.01772</v>
      </c>
      <c r="AA1032" s="1">
        <v>513</v>
      </c>
      <c r="AB1032" s="5">
        <v>94.906689999999998</v>
      </c>
      <c r="AC1032" s="3">
        <f t="shared" si="129"/>
        <v>94.829949999999997</v>
      </c>
      <c r="AD1032" s="1">
        <f t="shared" si="127"/>
        <v>7.4699920042969326E-2</v>
      </c>
    </row>
    <row r="1033" spans="20:30" x14ac:dyDescent="0.2">
      <c r="T1033" s="4">
        <v>250.00504000000001</v>
      </c>
      <c r="U1033" s="1">
        <v>513.5</v>
      </c>
      <c r="V1033" s="3">
        <v>84.702330000000003</v>
      </c>
      <c r="W1033" s="3">
        <f t="shared" si="128"/>
        <v>88.859729999999999</v>
      </c>
      <c r="X1033" s="1">
        <f t="shared" si="126"/>
        <v>0.14142598763679906</v>
      </c>
      <c r="Z1033" s="4">
        <v>250.01388</v>
      </c>
      <c r="AA1033" s="1">
        <v>513.5</v>
      </c>
      <c r="AB1033" s="3">
        <v>94.791560000000004</v>
      </c>
      <c r="AC1033" s="3">
        <f t="shared" si="129"/>
        <v>94.714820000000003</v>
      </c>
      <c r="AD1033" s="1">
        <f t="shared" si="127"/>
        <v>7.6076912920328019E-2</v>
      </c>
    </row>
    <row r="1034" spans="20:30" x14ac:dyDescent="0.2">
      <c r="T1034" s="4">
        <v>250.00501</v>
      </c>
      <c r="U1034" s="1">
        <v>514</v>
      </c>
      <c r="V1034" s="5">
        <v>84.712280000000007</v>
      </c>
      <c r="W1034" s="3">
        <f t="shared" si="128"/>
        <v>88.869680000000002</v>
      </c>
      <c r="X1034" s="1">
        <f t="shared" si="126"/>
        <v>0.14130645833591465</v>
      </c>
      <c r="Z1034" s="4">
        <v>250.01087000000001</v>
      </c>
      <c r="AA1034" s="1">
        <v>514</v>
      </c>
      <c r="AB1034" s="5">
        <v>94.853290000000001</v>
      </c>
      <c r="AC1034" s="3">
        <f t="shared" si="129"/>
        <v>94.77655</v>
      </c>
      <c r="AD1034" s="1">
        <f t="shared" si="127"/>
        <v>7.5338601704143235E-2</v>
      </c>
    </row>
    <row r="1035" spans="20:30" x14ac:dyDescent="0.2">
      <c r="T1035" s="4">
        <v>250.00502</v>
      </c>
      <c r="U1035" s="1">
        <v>514.5</v>
      </c>
      <c r="V1035" s="3">
        <v>84.706230000000005</v>
      </c>
      <c r="W1035" s="3">
        <f t="shared" si="128"/>
        <v>88.863630000000001</v>
      </c>
      <c r="X1035" s="1">
        <f t="shared" si="126"/>
        <v>0.14137913695605039</v>
      </c>
      <c r="Z1035" s="4">
        <v>250.01328000000001</v>
      </c>
      <c r="AA1035" s="1">
        <v>514.5</v>
      </c>
      <c r="AB1035" s="3">
        <v>94.809920000000005</v>
      </c>
      <c r="AC1035" s="3">
        <f t="shared" si="129"/>
        <v>94.733180000000004</v>
      </c>
      <c r="AD1035" s="1">
        <f t="shared" si="127"/>
        <v>7.5857321248059204E-2</v>
      </c>
    </row>
    <row r="1036" spans="20:30" x14ac:dyDescent="0.2">
      <c r="T1036" s="4">
        <v>250.00706</v>
      </c>
      <c r="U1036" s="1">
        <v>515</v>
      </c>
      <c r="V1036" s="5">
        <v>84.66865</v>
      </c>
      <c r="W1036" s="3">
        <f t="shared" si="128"/>
        <v>88.826049999999995</v>
      </c>
      <c r="X1036" s="1">
        <f t="shared" si="126"/>
        <v>0.14183058531054629</v>
      </c>
      <c r="Z1036" s="4">
        <v>250.01376999999999</v>
      </c>
      <c r="AA1036" s="1">
        <v>515</v>
      </c>
      <c r="AB1036" s="5">
        <v>94.795609999999996</v>
      </c>
      <c r="AC1036" s="3">
        <f t="shared" si="129"/>
        <v>94.718869999999995</v>
      </c>
      <c r="AD1036" s="1">
        <f t="shared" si="127"/>
        <v>7.6028473580857042E-2</v>
      </c>
    </row>
    <row r="1037" spans="20:30" x14ac:dyDescent="0.2">
      <c r="T1037" s="4">
        <v>250.00003000000001</v>
      </c>
      <c r="U1037" s="1">
        <v>515.5</v>
      </c>
      <c r="V1037" s="3">
        <v>84.680090000000007</v>
      </c>
      <c r="W1037" s="3">
        <f t="shared" si="128"/>
        <v>88.837490000000003</v>
      </c>
      <c r="X1037" s="1">
        <f t="shared" si="126"/>
        <v>0.14169315664701687</v>
      </c>
      <c r="Z1037" s="4">
        <v>250.01222000000001</v>
      </c>
      <c r="AA1037" s="1">
        <v>515.5</v>
      </c>
      <c r="AB1037" s="3">
        <v>94.784139999999994</v>
      </c>
      <c r="AC1037" s="3">
        <f t="shared" si="129"/>
        <v>94.707399999999993</v>
      </c>
      <c r="AD1037" s="1">
        <f t="shared" si="127"/>
        <v>7.6165658574371409E-2</v>
      </c>
    </row>
    <row r="1038" spans="20:30" x14ac:dyDescent="0.2">
      <c r="T1038" s="4">
        <v>250.00398000000001</v>
      </c>
      <c r="U1038" s="1">
        <v>516</v>
      </c>
      <c r="V1038" s="5">
        <v>84.676249999999996</v>
      </c>
      <c r="W1038" s="3">
        <f t="shared" si="128"/>
        <v>88.833649999999992</v>
      </c>
      <c r="X1038" s="1">
        <f t="shared" si="126"/>
        <v>0.14173928654806181</v>
      </c>
      <c r="Z1038" s="4">
        <v>250.01203000000001</v>
      </c>
      <c r="AA1038" s="1">
        <v>516</v>
      </c>
      <c r="AB1038" s="5">
        <v>94.769030000000001</v>
      </c>
      <c r="AC1038" s="3">
        <f t="shared" si="129"/>
        <v>94.69229</v>
      </c>
      <c r="AD1038" s="1">
        <f t="shared" si="127"/>
        <v>7.6346379171755949E-2</v>
      </c>
    </row>
    <row r="1039" spans="20:30" x14ac:dyDescent="0.2">
      <c r="T1039" s="4">
        <v>250.00103999999999</v>
      </c>
      <c r="U1039" s="1">
        <v>516.5</v>
      </c>
      <c r="V1039" s="3">
        <v>84.666110000000003</v>
      </c>
      <c r="W1039" s="3">
        <f t="shared" si="128"/>
        <v>88.823509999999999</v>
      </c>
      <c r="X1039" s="1">
        <f t="shared" si="126"/>
        <v>0.14186109831800819</v>
      </c>
      <c r="Z1039" s="4">
        <v>250.01204000000001</v>
      </c>
      <c r="AA1039" s="1">
        <v>516.5</v>
      </c>
      <c r="AB1039" s="3">
        <v>94.884649999999993</v>
      </c>
      <c r="AC1039" s="3">
        <f t="shared" si="129"/>
        <v>94.807909999999993</v>
      </c>
      <c r="AD1039" s="1">
        <f t="shared" si="127"/>
        <v>7.4963525732337791E-2</v>
      </c>
    </row>
    <row r="1040" spans="20:30" x14ac:dyDescent="0.2">
      <c r="T1040" s="4">
        <v>250.00099</v>
      </c>
      <c r="U1040" s="1">
        <v>517</v>
      </c>
      <c r="V1040" s="5">
        <v>84.662099999999995</v>
      </c>
      <c r="W1040" s="3">
        <f t="shared" si="128"/>
        <v>88.819499999999991</v>
      </c>
      <c r="X1040" s="1">
        <f t="shared" si="126"/>
        <v>0.14190927042821394</v>
      </c>
      <c r="Z1040" s="4">
        <v>250.01289</v>
      </c>
      <c r="AA1040" s="1">
        <v>517</v>
      </c>
      <c r="AB1040" s="5">
        <v>94.802250000000001</v>
      </c>
      <c r="AC1040" s="3">
        <f t="shared" si="129"/>
        <v>94.72551</v>
      </c>
      <c r="AD1040" s="1">
        <f t="shared" si="127"/>
        <v>7.594905698478592E-2</v>
      </c>
    </row>
    <row r="1041" spans="20:30" x14ac:dyDescent="0.2">
      <c r="T1041" s="4">
        <v>250.00404</v>
      </c>
      <c r="U1041" s="1">
        <v>517.5</v>
      </c>
      <c r="V1041" s="3">
        <v>84.650019999999998</v>
      </c>
      <c r="W1041" s="3">
        <f t="shared" si="128"/>
        <v>88.807419999999993</v>
      </c>
      <c r="X1041" s="1">
        <f t="shared" si="126"/>
        <v>0.14205438740858403</v>
      </c>
      <c r="Z1041" s="4">
        <v>250.01327000000001</v>
      </c>
      <c r="AA1041" s="1">
        <v>517.5</v>
      </c>
      <c r="AB1041" s="3">
        <v>94.899109999999993</v>
      </c>
      <c r="AC1041" s="3">
        <f t="shared" si="129"/>
        <v>94.822369999999992</v>
      </c>
      <c r="AD1041" s="1">
        <f t="shared" si="127"/>
        <v>7.4790579349930025E-2</v>
      </c>
    </row>
    <row r="1042" spans="20:30" x14ac:dyDescent="0.2">
      <c r="T1042" s="4">
        <v>250.00697</v>
      </c>
      <c r="U1042" s="1">
        <v>518</v>
      </c>
      <c r="V1042" s="5">
        <v>84.637879999999996</v>
      </c>
      <c r="W1042" s="3">
        <f t="shared" si="128"/>
        <v>88.795279999999991</v>
      </c>
      <c r="X1042" s="1">
        <f t="shared" si="126"/>
        <v>0.14220022516865805</v>
      </c>
      <c r="Z1042" s="4">
        <v>250.01344</v>
      </c>
      <c r="AA1042" s="1">
        <v>518</v>
      </c>
      <c r="AB1042" s="5">
        <v>94.895560000000003</v>
      </c>
      <c r="AC1042" s="3">
        <f t="shared" si="129"/>
        <v>94.818820000000002</v>
      </c>
      <c r="AD1042" s="1">
        <f t="shared" si="127"/>
        <v>7.4833038524034168E-2</v>
      </c>
    </row>
    <row r="1043" spans="20:30" x14ac:dyDescent="0.2">
      <c r="T1043" s="4">
        <v>250.00905</v>
      </c>
      <c r="U1043" s="1">
        <v>518.5</v>
      </c>
      <c r="V1043" s="3">
        <v>84.648079999999993</v>
      </c>
      <c r="W1043" s="3">
        <f t="shared" si="128"/>
        <v>88.805479999999989</v>
      </c>
      <c r="X1043" s="1">
        <f t="shared" si="126"/>
        <v>0.14207769261900777</v>
      </c>
      <c r="Z1043" s="4">
        <v>250.01456999999999</v>
      </c>
      <c r="AA1043" s="1">
        <v>518.5</v>
      </c>
      <c r="AB1043" s="3">
        <v>94.814700000000002</v>
      </c>
      <c r="AC1043" s="3">
        <f t="shared" si="129"/>
        <v>94.737960000000001</v>
      </c>
      <c r="AD1043" s="1">
        <f t="shared" si="127"/>
        <v>7.5800150867152652E-2</v>
      </c>
    </row>
    <row r="1044" spans="20:30" x14ac:dyDescent="0.2">
      <c r="T1044" s="4">
        <v>250.01304999999999</v>
      </c>
      <c r="U1044" s="1">
        <v>519</v>
      </c>
      <c r="V1044" s="5">
        <v>84.620140000000006</v>
      </c>
      <c r="W1044" s="3">
        <f t="shared" si="128"/>
        <v>88.777540000000002</v>
      </c>
      <c r="X1044" s="1">
        <f t="shared" si="126"/>
        <v>0.14241333570108888</v>
      </c>
      <c r="Z1044" s="4">
        <v>250.01426000000001</v>
      </c>
      <c r="AA1044" s="1">
        <v>519</v>
      </c>
      <c r="AB1044" s="5">
        <v>94.918189999999996</v>
      </c>
      <c r="AC1044" s="3">
        <f t="shared" si="129"/>
        <v>94.841449999999995</v>
      </c>
      <c r="AD1044" s="1">
        <f t="shared" si="127"/>
        <v>7.4562376239533004E-2</v>
      </c>
    </row>
    <row r="1045" spans="20:30" x14ac:dyDescent="0.2">
      <c r="T1045" s="4">
        <v>250.00399999999999</v>
      </c>
      <c r="U1045" s="1">
        <v>519.5</v>
      </c>
      <c r="V1045" s="3">
        <v>84.620040000000003</v>
      </c>
      <c r="W1045" s="3">
        <f t="shared" si="128"/>
        <v>88.777439999999999</v>
      </c>
      <c r="X1045" s="1">
        <f t="shared" si="126"/>
        <v>0.14241453700059531</v>
      </c>
      <c r="Z1045" s="4">
        <v>250.01245</v>
      </c>
      <c r="AA1045" s="1">
        <v>519.5</v>
      </c>
      <c r="AB1045" s="3">
        <v>94.811779999999999</v>
      </c>
      <c r="AC1045" s="3">
        <f t="shared" si="129"/>
        <v>94.735039999999998</v>
      </c>
      <c r="AD1045" s="1">
        <f t="shared" si="127"/>
        <v>7.5835075032894786E-2</v>
      </c>
    </row>
    <row r="1046" spans="20:30" x14ac:dyDescent="0.2">
      <c r="T1046" s="4">
        <v>250.00400999999999</v>
      </c>
      <c r="U1046" s="1">
        <v>520</v>
      </c>
      <c r="V1046" s="5">
        <v>84.606039999999993</v>
      </c>
      <c r="W1046" s="3">
        <f t="shared" si="128"/>
        <v>88.763439999999989</v>
      </c>
      <c r="X1046" s="1">
        <f t="shared" ref="X1046:X1109" si="130">($W$21-W1046)/($W$21*(1-$M$1))</f>
        <v>0.14258271893148797</v>
      </c>
      <c r="Z1046" s="4">
        <v>250.01643999999999</v>
      </c>
      <c r="AA1046" s="1">
        <v>520</v>
      </c>
      <c r="AB1046" s="5">
        <v>94.716210000000004</v>
      </c>
      <c r="AC1046" s="3">
        <f t="shared" si="129"/>
        <v>94.639470000000003</v>
      </c>
      <c r="AD1046" s="1">
        <f t="shared" si="127"/>
        <v>7.697812384110439E-2</v>
      </c>
    </row>
    <row r="1047" spans="20:30" x14ac:dyDescent="0.2">
      <c r="T1047" s="4">
        <v>250.00197</v>
      </c>
      <c r="U1047" s="1">
        <v>520.5</v>
      </c>
      <c r="V1047" s="3">
        <v>84.593980000000002</v>
      </c>
      <c r="W1047" s="3">
        <f t="shared" si="128"/>
        <v>88.751379999999997</v>
      </c>
      <c r="X1047" s="1">
        <f t="shared" si="130"/>
        <v>0.14272759565195672</v>
      </c>
      <c r="Z1047" s="4">
        <v>250.02044000000001</v>
      </c>
      <c r="AA1047" s="1">
        <v>520.5</v>
      </c>
      <c r="AB1047" s="3">
        <v>94.805589999999995</v>
      </c>
      <c r="AC1047" s="3">
        <f t="shared" si="129"/>
        <v>94.728849999999994</v>
      </c>
      <c r="AD1047" s="1">
        <f t="shared" si="127"/>
        <v>7.5909109480135781E-2</v>
      </c>
    </row>
    <row r="1048" spans="20:30" x14ac:dyDescent="0.2">
      <c r="T1048" s="4">
        <v>250.00200000000001</v>
      </c>
      <c r="U1048" s="1">
        <v>521</v>
      </c>
      <c r="V1048" s="5">
        <v>84.602019999999996</v>
      </c>
      <c r="W1048" s="3">
        <f t="shared" si="128"/>
        <v>88.759419999999992</v>
      </c>
      <c r="X1048" s="1">
        <f t="shared" si="130"/>
        <v>0.1426310111716442</v>
      </c>
      <c r="Z1048" s="4">
        <v>250.02194</v>
      </c>
      <c r="AA1048" s="1">
        <v>521</v>
      </c>
      <c r="AB1048" s="5">
        <v>94.806880000000007</v>
      </c>
      <c r="AC1048" s="3">
        <f t="shared" si="129"/>
        <v>94.730140000000006</v>
      </c>
      <c r="AD1048" s="1">
        <f t="shared" si="127"/>
        <v>7.5893680653489309E-2</v>
      </c>
    </row>
    <row r="1049" spans="20:30" x14ac:dyDescent="0.2">
      <c r="T1049" s="4">
        <v>250.00398000000001</v>
      </c>
      <c r="U1049" s="1">
        <v>521.5</v>
      </c>
      <c r="V1049" s="3">
        <v>84.583939999999998</v>
      </c>
      <c r="W1049" s="3">
        <f t="shared" si="128"/>
        <v>88.741339999999994</v>
      </c>
      <c r="X1049" s="1">
        <f t="shared" si="130"/>
        <v>0.14284820612239685</v>
      </c>
      <c r="Z1049" s="4">
        <v>250.02053000000001</v>
      </c>
      <c r="AA1049" s="1">
        <v>521.5</v>
      </c>
      <c r="AB1049" s="3">
        <v>94.749539999999996</v>
      </c>
      <c r="AC1049" s="3">
        <f t="shared" si="129"/>
        <v>94.672799999999995</v>
      </c>
      <c r="AD1049" s="1">
        <f t="shared" si="127"/>
        <v>7.6579486017753759E-2</v>
      </c>
    </row>
    <row r="1050" spans="20:30" x14ac:dyDescent="0.2">
      <c r="T1050" s="4">
        <v>250.00700000000001</v>
      </c>
      <c r="U1050" s="1">
        <v>522</v>
      </c>
      <c r="V1050" s="5">
        <v>84.589910000000003</v>
      </c>
      <c r="W1050" s="3">
        <f t="shared" si="128"/>
        <v>88.747309999999999</v>
      </c>
      <c r="X1050" s="1">
        <f t="shared" si="130"/>
        <v>0.14277648854186617</v>
      </c>
      <c r="Z1050" s="4">
        <v>250.01636999999999</v>
      </c>
      <c r="AA1050" s="1">
        <v>522</v>
      </c>
      <c r="AB1050" s="5">
        <v>94.659739999999999</v>
      </c>
      <c r="AC1050" s="3">
        <f t="shared" si="129"/>
        <v>94.582999999999998</v>
      </c>
      <c r="AD1050" s="1">
        <f t="shared" si="127"/>
        <v>7.765352371763054E-2</v>
      </c>
    </row>
    <row r="1051" spans="20:30" x14ac:dyDescent="0.2">
      <c r="T1051" s="4">
        <v>250.00797</v>
      </c>
      <c r="U1051" s="1">
        <v>522.5</v>
      </c>
      <c r="V1051" s="3">
        <v>84.563999999999993</v>
      </c>
      <c r="W1051" s="3">
        <f t="shared" si="128"/>
        <v>88.721399999999988</v>
      </c>
      <c r="X1051" s="1">
        <f t="shared" si="130"/>
        <v>0.14308774524396814</v>
      </c>
      <c r="Z1051" s="4">
        <v>250.01025000000001</v>
      </c>
      <c r="AA1051" s="1">
        <v>522.5</v>
      </c>
      <c r="AB1051" s="3">
        <v>94.835819999999998</v>
      </c>
      <c r="AC1051" s="3">
        <f t="shared" si="129"/>
        <v>94.759079999999997</v>
      </c>
      <c r="AD1051" s="1">
        <f t="shared" si="127"/>
        <v>7.5547548682059179E-2</v>
      </c>
    </row>
    <row r="1052" spans="20:30" x14ac:dyDescent="0.2">
      <c r="T1052" s="4">
        <v>250.00599</v>
      </c>
      <c r="U1052" s="1">
        <v>523</v>
      </c>
      <c r="V1052" s="5">
        <v>84.565939999999998</v>
      </c>
      <c r="W1052" s="3">
        <f t="shared" si="128"/>
        <v>88.723339999999993</v>
      </c>
      <c r="X1052" s="1">
        <f t="shared" si="130"/>
        <v>0.1430644400335444</v>
      </c>
      <c r="Z1052" s="4">
        <v>250.01179999999999</v>
      </c>
      <c r="AA1052" s="1">
        <v>523</v>
      </c>
      <c r="AB1052" s="5">
        <v>94.787620000000004</v>
      </c>
      <c r="AC1052" s="3">
        <f t="shared" si="129"/>
        <v>94.710880000000003</v>
      </c>
      <c r="AD1052" s="1">
        <f t="shared" si="127"/>
        <v>7.6124036623418379E-2</v>
      </c>
    </row>
    <row r="1053" spans="20:30" x14ac:dyDescent="0.2">
      <c r="T1053" s="4">
        <v>250.005</v>
      </c>
      <c r="U1053" s="1">
        <v>523.5</v>
      </c>
      <c r="V1053" s="3">
        <v>84.555790000000002</v>
      </c>
      <c r="W1053" s="3">
        <f t="shared" si="128"/>
        <v>88.713189999999997</v>
      </c>
      <c r="X1053" s="1">
        <f t="shared" si="130"/>
        <v>0.14318637193344144</v>
      </c>
      <c r="Z1053" s="4">
        <v>250.00874999999999</v>
      </c>
      <c r="AA1053" s="1">
        <v>523.5</v>
      </c>
      <c r="AB1053" s="3">
        <v>94.737669999999994</v>
      </c>
      <c r="AC1053" s="3">
        <f t="shared" si="129"/>
        <v>94.660929999999993</v>
      </c>
      <c r="AD1053" s="1">
        <f t="shared" si="127"/>
        <v>7.6721455143561559E-2</v>
      </c>
    </row>
    <row r="1054" spans="20:30" x14ac:dyDescent="0.2">
      <c r="T1054" s="4">
        <v>250.00803999999999</v>
      </c>
      <c r="U1054" s="1">
        <v>524</v>
      </c>
      <c r="V1054" s="5">
        <v>84.555949999999996</v>
      </c>
      <c r="W1054" s="3">
        <f t="shared" si="128"/>
        <v>88.713349999999991</v>
      </c>
      <c r="X1054" s="1">
        <f t="shared" si="130"/>
        <v>0.14318444985423132</v>
      </c>
      <c r="Z1054" s="4">
        <v>250.00403</v>
      </c>
      <c r="AA1054" s="1">
        <v>524</v>
      </c>
      <c r="AB1054" s="5">
        <v>94.661100000000005</v>
      </c>
      <c r="AC1054" s="3">
        <f t="shared" si="129"/>
        <v>94.584360000000004</v>
      </c>
      <c r="AD1054" s="1">
        <f t="shared" si="127"/>
        <v>7.763725766783279E-2</v>
      </c>
    </row>
    <row r="1055" spans="20:30" x14ac:dyDescent="0.2">
      <c r="T1055" s="4">
        <v>250.00596999999999</v>
      </c>
      <c r="U1055" s="1">
        <v>524.5</v>
      </c>
      <c r="V1055" s="3">
        <v>84.545670000000001</v>
      </c>
      <c r="W1055" s="3">
        <f t="shared" si="128"/>
        <v>88.703069999999997</v>
      </c>
      <c r="X1055" s="1">
        <f t="shared" si="130"/>
        <v>0.14330794344348663</v>
      </c>
      <c r="Z1055" s="4">
        <v>250.00265999999999</v>
      </c>
      <c r="AA1055" s="1">
        <v>524.5</v>
      </c>
      <c r="AB1055" s="3">
        <v>94.736999999999995</v>
      </c>
      <c r="AC1055" s="3">
        <f t="shared" si="129"/>
        <v>94.660259999999994</v>
      </c>
      <c r="AD1055" s="1">
        <f t="shared" si="127"/>
        <v>7.6729468565153058E-2</v>
      </c>
    </row>
    <row r="1056" spans="20:30" x14ac:dyDescent="0.2">
      <c r="T1056" s="4">
        <v>249.99698000000001</v>
      </c>
      <c r="U1056" s="1">
        <v>525</v>
      </c>
      <c r="V1056" s="5">
        <v>84.539770000000004</v>
      </c>
      <c r="W1056" s="3">
        <f t="shared" si="128"/>
        <v>88.69717</v>
      </c>
      <c r="X1056" s="1">
        <f t="shared" si="130"/>
        <v>0.14337882011436273</v>
      </c>
      <c r="Z1056" s="4">
        <v>250.00199000000001</v>
      </c>
      <c r="AA1056" s="1">
        <v>525</v>
      </c>
      <c r="AB1056" s="5">
        <v>94.804209999999998</v>
      </c>
      <c r="AC1056" s="3">
        <f t="shared" si="129"/>
        <v>94.727469999999997</v>
      </c>
      <c r="AD1056" s="1">
        <f t="shared" si="127"/>
        <v>7.5925614736548117E-2</v>
      </c>
    </row>
    <row r="1057" spans="20:30" x14ac:dyDescent="0.2">
      <c r="T1057" s="4">
        <v>250.00305</v>
      </c>
      <c r="U1057" s="1">
        <v>525.5</v>
      </c>
      <c r="V1057" s="3">
        <v>84.541989999999998</v>
      </c>
      <c r="W1057" s="3">
        <f t="shared" si="128"/>
        <v>88.699389999999994</v>
      </c>
      <c r="X1057" s="1">
        <f t="shared" si="130"/>
        <v>0.14335215126532128</v>
      </c>
      <c r="Z1057" s="4">
        <v>250.00368</v>
      </c>
      <c r="AA1057" s="1">
        <v>525.5</v>
      </c>
      <c r="AB1057" s="3">
        <v>94.743359999999996</v>
      </c>
      <c r="AC1057" s="3">
        <f t="shared" si="129"/>
        <v>94.666619999999995</v>
      </c>
      <c r="AD1057" s="1">
        <f t="shared" si="127"/>
        <v>7.6653400861687385E-2</v>
      </c>
    </row>
    <row r="1058" spans="20:30" x14ac:dyDescent="0.2">
      <c r="T1058" s="4">
        <v>250.00305</v>
      </c>
      <c r="U1058" s="1">
        <v>526</v>
      </c>
      <c r="V1058" s="5">
        <v>84.541749999999993</v>
      </c>
      <c r="W1058" s="3">
        <f t="shared" si="128"/>
        <v>88.699149999999989</v>
      </c>
      <c r="X1058" s="1">
        <f t="shared" si="130"/>
        <v>0.14335503438413663</v>
      </c>
      <c r="Z1058" s="4">
        <v>250.00389000000001</v>
      </c>
      <c r="AA1058" s="1">
        <v>526</v>
      </c>
      <c r="AB1058" s="5">
        <v>94.637600000000006</v>
      </c>
      <c r="AC1058" s="3">
        <f t="shared" si="129"/>
        <v>94.560860000000005</v>
      </c>
      <c r="AD1058" s="1">
        <f t="shared" si="127"/>
        <v>7.7918325440072253E-2</v>
      </c>
    </row>
    <row r="1059" spans="20:30" x14ac:dyDescent="0.2">
      <c r="T1059" s="4">
        <v>250.00305</v>
      </c>
      <c r="U1059" s="1">
        <v>526.5</v>
      </c>
      <c r="V1059" s="3">
        <v>84.535719999999998</v>
      </c>
      <c r="W1059" s="3">
        <f t="shared" si="128"/>
        <v>88.693119999999993</v>
      </c>
      <c r="X1059" s="1">
        <f t="shared" si="130"/>
        <v>0.14342747274437101</v>
      </c>
      <c r="Z1059" s="4">
        <v>250.00394</v>
      </c>
      <c r="AA1059" s="1">
        <v>526.5</v>
      </c>
      <c r="AB1059" s="3">
        <v>94.700519999999997</v>
      </c>
      <c r="AC1059" s="3">
        <f t="shared" si="129"/>
        <v>94.623779999999996</v>
      </c>
      <c r="AD1059" s="1">
        <f t="shared" si="127"/>
        <v>7.7165781430314564E-2</v>
      </c>
    </row>
    <row r="1060" spans="20:30" x14ac:dyDescent="0.2">
      <c r="T1060" s="4">
        <v>250.00899000000001</v>
      </c>
      <c r="U1060" s="1">
        <v>527</v>
      </c>
      <c r="V1060" s="5">
        <v>84.495630000000006</v>
      </c>
      <c r="W1060" s="3">
        <f t="shared" si="128"/>
        <v>88.653030000000001</v>
      </c>
      <c r="X1060" s="1">
        <f t="shared" si="130"/>
        <v>0.14390907371647679</v>
      </c>
      <c r="Z1060" s="4">
        <v>250.00241</v>
      </c>
      <c r="AA1060" s="1">
        <v>527</v>
      </c>
      <c r="AB1060" s="5">
        <v>94.806359999999998</v>
      </c>
      <c r="AC1060" s="3">
        <f t="shared" si="129"/>
        <v>94.729619999999997</v>
      </c>
      <c r="AD1060" s="1">
        <f t="shared" si="127"/>
        <v>7.5899900025470882E-2</v>
      </c>
    </row>
    <row r="1061" spans="20:30" x14ac:dyDescent="0.2">
      <c r="T1061" s="4">
        <v>250.00698</v>
      </c>
      <c r="U1061" s="1">
        <v>527.5</v>
      </c>
      <c r="V1061" s="3">
        <v>84.503479999999996</v>
      </c>
      <c r="W1061" s="3">
        <f t="shared" si="128"/>
        <v>88.660879999999992</v>
      </c>
      <c r="X1061" s="1">
        <f t="shared" si="130"/>
        <v>0.14381477170522644</v>
      </c>
      <c r="Z1061" s="4">
        <v>250.00203999999999</v>
      </c>
      <c r="AA1061" s="1">
        <v>527.5</v>
      </c>
      <c r="AB1061" s="3">
        <v>94.726569999999995</v>
      </c>
      <c r="AC1061" s="3">
        <f t="shared" si="129"/>
        <v>94.649829999999994</v>
      </c>
      <c r="AD1061" s="1">
        <f t="shared" si="127"/>
        <v>7.6854214814704447E-2</v>
      </c>
    </row>
    <row r="1062" spans="20:30" x14ac:dyDescent="0.2">
      <c r="T1062" s="4">
        <v>250.00397000000001</v>
      </c>
      <c r="U1062" s="1">
        <v>528</v>
      </c>
      <c r="V1062" s="5">
        <v>84.467460000000003</v>
      </c>
      <c r="W1062" s="3">
        <f t="shared" si="128"/>
        <v>88.624859999999998</v>
      </c>
      <c r="X1062" s="1">
        <f t="shared" si="130"/>
        <v>0.14424747978742275</v>
      </c>
      <c r="Z1062" s="4">
        <v>250.00241</v>
      </c>
      <c r="AA1062" s="1">
        <v>528</v>
      </c>
      <c r="AB1062" s="5">
        <v>94.615409999999997</v>
      </c>
      <c r="AC1062" s="3">
        <f t="shared" si="129"/>
        <v>94.538669999999996</v>
      </c>
      <c r="AD1062" s="1">
        <f t="shared" si="127"/>
        <v>7.8183725179050825E-2</v>
      </c>
    </row>
    <row r="1063" spans="20:30" x14ac:dyDescent="0.2">
      <c r="T1063" s="4">
        <v>250.00595000000001</v>
      </c>
      <c r="U1063" s="1">
        <v>528.5</v>
      </c>
      <c r="V1063" s="3">
        <v>84.463350000000005</v>
      </c>
      <c r="W1063" s="3">
        <f t="shared" si="128"/>
        <v>88.620750000000001</v>
      </c>
      <c r="X1063" s="1">
        <f t="shared" si="130"/>
        <v>0.14429685319713473</v>
      </c>
      <c r="Z1063" s="4">
        <v>250.00475</v>
      </c>
      <c r="AA1063" s="1">
        <v>528.5</v>
      </c>
      <c r="AB1063" s="3">
        <v>94.659940000000006</v>
      </c>
      <c r="AC1063" s="3">
        <f t="shared" si="129"/>
        <v>94.583200000000005</v>
      </c>
      <c r="AD1063" s="1">
        <f t="shared" si="127"/>
        <v>7.765113165148374E-2</v>
      </c>
    </row>
    <row r="1064" spans="20:30" x14ac:dyDescent="0.2">
      <c r="T1064" s="4">
        <v>250.00094000000001</v>
      </c>
      <c r="U1064" s="1">
        <v>529</v>
      </c>
      <c r="V1064" s="5">
        <v>84.457480000000004</v>
      </c>
      <c r="W1064" s="3">
        <f t="shared" si="128"/>
        <v>88.614879999999999</v>
      </c>
      <c r="X1064" s="1">
        <f t="shared" si="130"/>
        <v>0.14436736947815898</v>
      </c>
      <c r="Z1064" s="4">
        <v>250.00469000000001</v>
      </c>
      <c r="AA1064" s="1">
        <v>529</v>
      </c>
      <c r="AB1064" s="5">
        <v>94.746870000000001</v>
      </c>
      <c r="AC1064" s="3">
        <f t="shared" si="129"/>
        <v>94.67013</v>
      </c>
      <c r="AD1064" s="1">
        <f t="shared" si="127"/>
        <v>7.66114201008124E-2</v>
      </c>
    </row>
    <row r="1065" spans="20:30" x14ac:dyDescent="0.2">
      <c r="T1065" s="4">
        <v>250.00702999999999</v>
      </c>
      <c r="U1065" s="1">
        <v>529.5</v>
      </c>
      <c r="V1065" s="3">
        <v>84.451520000000002</v>
      </c>
      <c r="W1065" s="3">
        <f t="shared" si="128"/>
        <v>88.608919999999998</v>
      </c>
      <c r="X1065" s="1">
        <f t="shared" si="130"/>
        <v>0.14443896692873898</v>
      </c>
      <c r="Z1065" s="4">
        <v>250.00470999999999</v>
      </c>
      <c r="AA1065" s="1">
        <v>529.5</v>
      </c>
      <c r="AB1065" s="3">
        <v>94.660939999999997</v>
      </c>
      <c r="AC1065" s="3">
        <f t="shared" si="129"/>
        <v>94.584199999999996</v>
      </c>
      <c r="AD1065" s="1">
        <f t="shared" si="127"/>
        <v>7.7639171320750267E-2</v>
      </c>
    </row>
    <row r="1066" spans="20:30" x14ac:dyDescent="0.2">
      <c r="T1066" s="4">
        <v>250.00892999999999</v>
      </c>
      <c r="U1066" s="1">
        <v>530</v>
      </c>
      <c r="V1066" s="5">
        <v>84.445449999999994</v>
      </c>
      <c r="W1066" s="3">
        <f t="shared" si="128"/>
        <v>88.602849999999989</v>
      </c>
      <c r="X1066" s="1">
        <f t="shared" si="130"/>
        <v>0.14451188580877605</v>
      </c>
      <c r="Z1066" s="4">
        <v>250.00882999999999</v>
      </c>
      <c r="AA1066" s="1">
        <v>530</v>
      </c>
      <c r="AB1066" s="5">
        <v>94.734949999999998</v>
      </c>
      <c r="AC1066" s="3">
        <f t="shared" si="129"/>
        <v>94.658209999999997</v>
      </c>
      <c r="AD1066" s="1">
        <f t="shared" si="127"/>
        <v>7.6753987243156893E-2</v>
      </c>
    </row>
    <row r="1067" spans="20:30" x14ac:dyDescent="0.2">
      <c r="T1067" s="4">
        <v>250.00403</v>
      </c>
      <c r="U1067" s="1">
        <v>530.5</v>
      </c>
      <c r="V1067" s="3">
        <v>84.435479999999998</v>
      </c>
      <c r="W1067" s="3">
        <f t="shared" si="128"/>
        <v>88.592879999999994</v>
      </c>
      <c r="X1067" s="1">
        <f t="shared" si="130"/>
        <v>0.14463165536956163</v>
      </c>
      <c r="Z1067" s="4">
        <v>250.00836000000001</v>
      </c>
      <c r="AA1067" s="1">
        <v>530.5</v>
      </c>
      <c r="AB1067" s="3">
        <v>94.823480000000004</v>
      </c>
      <c r="AC1067" s="3">
        <f t="shared" si="129"/>
        <v>94.746740000000003</v>
      </c>
      <c r="AD1067" s="1">
        <f t="shared" si="127"/>
        <v>7.5695139163311678E-2</v>
      </c>
    </row>
    <row r="1068" spans="20:30" x14ac:dyDescent="0.2">
      <c r="T1068" s="4">
        <v>250.00799000000001</v>
      </c>
      <c r="U1068" s="1">
        <v>531</v>
      </c>
      <c r="V1068" s="5">
        <v>84.439570000000003</v>
      </c>
      <c r="W1068" s="3">
        <f t="shared" si="128"/>
        <v>88.596969999999999</v>
      </c>
      <c r="X1068" s="1">
        <f t="shared" si="130"/>
        <v>0.14458252221975082</v>
      </c>
      <c r="Z1068" s="4">
        <v>250.01273</v>
      </c>
      <c r="AA1068" s="1">
        <v>531</v>
      </c>
      <c r="AB1068" s="5">
        <v>94.696659999999994</v>
      </c>
      <c r="AC1068" s="3">
        <f t="shared" si="129"/>
        <v>94.619919999999993</v>
      </c>
      <c r="AD1068" s="1">
        <f t="shared" si="127"/>
        <v>7.7211948306946276E-2</v>
      </c>
    </row>
    <row r="1069" spans="20:30" x14ac:dyDescent="0.2">
      <c r="T1069" s="4">
        <v>250.00899000000001</v>
      </c>
      <c r="U1069" s="1">
        <v>531.5</v>
      </c>
      <c r="V1069" s="3">
        <v>84.415300000000002</v>
      </c>
      <c r="W1069" s="3">
        <f t="shared" si="128"/>
        <v>88.572699999999998</v>
      </c>
      <c r="X1069" s="1">
        <f t="shared" si="130"/>
        <v>0.14487407760994811</v>
      </c>
      <c r="Z1069" s="4">
        <v>250.01584</v>
      </c>
      <c r="AA1069" s="1">
        <v>531.5</v>
      </c>
      <c r="AB1069" s="3">
        <v>94.704750000000004</v>
      </c>
      <c r="AC1069" s="3">
        <f t="shared" si="129"/>
        <v>94.628010000000003</v>
      </c>
      <c r="AD1069" s="1">
        <f t="shared" si="127"/>
        <v>7.7115189231311373E-2</v>
      </c>
    </row>
    <row r="1070" spans="20:30" x14ac:dyDescent="0.2">
      <c r="T1070" s="4">
        <v>250.00297</v>
      </c>
      <c r="U1070" s="1">
        <v>532</v>
      </c>
      <c r="V1070" s="5">
        <v>84.419420000000002</v>
      </c>
      <c r="W1070" s="3">
        <f t="shared" si="128"/>
        <v>88.576819999999998</v>
      </c>
      <c r="X1070" s="1">
        <f t="shared" si="130"/>
        <v>0.14482458407028545</v>
      </c>
      <c r="Z1070" s="4">
        <v>250.01752999999999</v>
      </c>
      <c r="AA1070" s="1">
        <v>532</v>
      </c>
      <c r="AB1070" s="5">
        <v>94.626310000000004</v>
      </c>
      <c r="AC1070" s="3">
        <f t="shared" si="129"/>
        <v>94.549570000000003</v>
      </c>
      <c r="AD1070" s="1">
        <f t="shared" si="127"/>
        <v>7.8053357574054558E-2</v>
      </c>
    </row>
    <row r="1071" spans="20:30" x14ac:dyDescent="0.2">
      <c r="T1071" s="4">
        <v>250.00106</v>
      </c>
      <c r="U1071" s="1">
        <v>532.5</v>
      </c>
      <c r="V1071" s="3">
        <v>84.393410000000003</v>
      </c>
      <c r="W1071" s="3">
        <f t="shared" si="128"/>
        <v>88.550809999999998</v>
      </c>
      <c r="X1071" s="1">
        <f t="shared" si="130"/>
        <v>0.14513704207189365</v>
      </c>
      <c r="Z1071" s="4">
        <v>250.02146999999999</v>
      </c>
      <c r="AA1071" s="1">
        <v>532.5</v>
      </c>
      <c r="AB1071" s="3">
        <v>94.641229999999993</v>
      </c>
      <c r="AC1071" s="3">
        <f t="shared" si="129"/>
        <v>94.564489999999992</v>
      </c>
      <c r="AD1071" s="1">
        <f t="shared" si="127"/>
        <v>7.7874909439509449E-2</v>
      </c>
    </row>
    <row r="1072" spans="20:30" x14ac:dyDescent="0.2">
      <c r="T1072" s="4">
        <v>250.00697</v>
      </c>
      <c r="U1072" s="1">
        <v>533</v>
      </c>
      <c r="V1072" s="5">
        <v>84.393389999999997</v>
      </c>
      <c r="W1072" s="3">
        <f t="shared" si="128"/>
        <v>88.550789999999992</v>
      </c>
      <c r="X1072" s="1">
        <f t="shared" si="130"/>
        <v>0.14513728233179501</v>
      </c>
      <c r="Z1072" s="4">
        <v>250.02055999999999</v>
      </c>
      <c r="AA1072" s="1">
        <v>533</v>
      </c>
      <c r="AB1072" s="5">
        <v>94.689539999999994</v>
      </c>
      <c r="AC1072" s="3">
        <f t="shared" si="129"/>
        <v>94.612799999999993</v>
      </c>
      <c r="AD1072" s="1">
        <f t="shared" si="127"/>
        <v>7.729710586176948E-2</v>
      </c>
    </row>
    <row r="1073" spans="20:30" x14ac:dyDescent="0.2">
      <c r="T1073" s="4">
        <v>250.00595999999999</v>
      </c>
      <c r="U1073" s="1">
        <v>533.5</v>
      </c>
      <c r="V1073" s="3">
        <v>84.383459999999999</v>
      </c>
      <c r="W1073" s="3">
        <f t="shared" si="128"/>
        <v>88.540859999999995</v>
      </c>
      <c r="X1073" s="1">
        <f t="shared" si="130"/>
        <v>0.14525657137277803</v>
      </c>
      <c r="Z1073" s="4">
        <v>250.02269000000001</v>
      </c>
      <c r="AA1073" s="1">
        <v>533.5</v>
      </c>
      <c r="AB1073" s="3">
        <v>94.572779999999995</v>
      </c>
      <c r="AC1073" s="3">
        <f t="shared" si="129"/>
        <v>94.496039999999994</v>
      </c>
      <c r="AD1073" s="1">
        <f t="shared" si="127"/>
        <v>7.8693594078224002E-2</v>
      </c>
    </row>
    <row r="1074" spans="20:30" x14ac:dyDescent="0.2">
      <c r="T1074" s="4">
        <v>250.001</v>
      </c>
      <c r="U1074" s="1">
        <v>534</v>
      </c>
      <c r="V1074" s="5">
        <v>84.369029999999995</v>
      </c>
      <c r="W1074" s="3">
        <f t="shared" si="128"/>
        <v>88.526429999999991</v>
      </c>
      <c r="X1074" s="1">
        <f t="shared" si="130"/>
        <v>0.14542991889154805</v>
      </c>
      <c r="Z1074" s="4">
        <v>250.02402000000001</v>
      </c>
      <c r="AA1074" s="1">
        <v>534</v>
      </c>
      <c r="AB1074" s="5">
        <v>94.642189999999999</v>
      </c>
      <c r="AC1074" s="3">
        <f t="shared" si="129"/>
        <v>94.565449999999998</v>
      </c>
      <c r="AD1074" s="1">
        <f t="shared" si="127"/>
        <v>7.7863427522005133E-2</v>
      </c>
    </row>
    <row r="1075" spans="20:30" x14ac:dyDescent="0.2">
      <c r="T1075" s="4">
        <v>250.00695999999999</v>
      </c>
      <c r="U1075" s="1">
        <v>534.5</v>
      </c>
      <c r="V1075" s="3">
        <v>84.365359999999995</v>
      </c>
      <c r="W1075" s="3">
        <f t="shared" si="128"/>
        <v>88.522759999999991</v>
      </c>
      <c r="X1075" s="1">
        <f t="shared" si="130"/>
        <v>0.14547400658343201</v>
      </c>
      <c r="Z1075" s="4">
        <v>250.01769999999999</v>
      </c>
      <c r="AA1075" s="1">
        <v>534.5</v>
      </c>
      <c r="AB1075" s="3">
        <v>94.657690000000002</v>
      </c>
      <c r="AC1075" s="3">
        <f t="shared" si="129"/>
        <v>94.580950000000001</v>
      </c>
      <c r="AD1075" s="1">
        <f t="shared" si="127"/>
        <v>7.7678042395634375E-2</v>
      </c>
    </row>
    <row r="1076" spans="20:30" x14ac:dyDescent="0.2">
      <c r="T1076" s="4">
        <v>250.00801000000001</v>
      </c>
      <c r="U1076" s="1">
        <v>535</v>
      </c>
      <c r="V1076" s="5">
        <v>84.365049999999997</v>
      </c>
      <c r="W1076" s="3">
        <f t="shared" si="128"/>
        <v>88.522449999999992</v>
      </c>
      <c r="X1076" s="1">
        <f t="shared" si="130"/>
        <v>0.14547773061190178</v>
      </c>
      <c r="Z1076" s="4">
        <v>250.01134999999999</v>
      </c>
      <c r="AA1076" s="1">
        <v>535</v>
      </c>
      <c r="AB1076" s="5">
        <v>94.542119999999997</v>
      </c>
      <c r="AC1076" s="3">
        <f t="shared" si="129"/>
        <v>94.465379999999996</v>
      </c>
      <c r="AD1076" s="1">
        <f t="shared" si="127"/>
        <v>7.9060297818515993E-2</v>
      </c>
    </row>
    <row r="1077" spans="20:30" x14ac:dyDescent="0.2">
      <c r="T1077" s="4">
        <v>250.00800000000001</v>
      </c>
      <c r="U1077" s="1">
        <v>535.5</v>
      </c>
      <c r="V1077" s="3">
        <v>84.345230000000001</v>
      </c>
      <c r="W1077" s="3">
        <f t="shared" si="128"/>
        <v>88.502629999999996</v>
      </c>
      <c r="X1077" s="1">
        <f t="shared" si="130"/>
        <v>0.14571582817406531</v>
      </c>
      <c r="Z1077" s="4">
        <v>250.01088999999999</v>
      </c>
      <c r="AA1077" s="1">
        <v>535.5</v>
      </c>
      <c r="AB1077" s="3">
        <v>94.599130000000002</v>
      </c>
      <c r="AC1077" s="3">
        <f t="shared" si="129"/>
        <v>94.522390000000001</v>
      </c>
      <c r="AD1077" s="1">
        <f t="shared" si="127"/>
        <v>7.8378439363393684E-2</v>
      </c>
    </row>
    <row r="1078" spans="20:30" x14ac:dyDescent="0.2">
      <c r="T1078" s="4">
        <v>250.01002</v>
      </c>
      <c r="U1078" s="1">
        <v>536</v>
      </c>
      <c r="V1078" s="5">
        <v>84.349130000000002</v>
      </c>
      <c r="W1078" s="3">
        <f t="shared" si="128"/>
        <v>88.506529999999998</v>
      </c>
      <c r="X1078" s="1">
        <f t="shared" si="130"/>
        <v>0.14566897749331664</v>
      </c>
      <c r="Z1078" s="4">
        <v>250.01283000000001</v>
      </c>
      <c r="AA1078" s="1">
        <v>536</v>
      </c>
      <c r="AB1078" s="5">
        <v>94.527950000000004</v>
      </c>
      <c r="AC1078" s="3">
        <f t="shared" si="129"/>
        <v>94.451210000000003</v>
      </c>
      <c r="AD1078" s="1">
        <f t="shared" si="127"/>
        <v>7.9229775705010941E-2</v>
      </c>
    </row>
    <row r="1079" spans="20:30" x14ac:dyDescent="0.2">
      <c r="T1079" s="4">
        <v>250.00699</v>
      </c>
      <c r="U1079" s="1">
        <v>536.5</v>
      </c>
      <c r="V1079" s="3">
        <v>84.312960000000004</v>
      </c>
      <c r="W1079" s="3">
        <f t="shared" si="128"/>
        <v>88.470359999999999</v>
      </c>
      <c r="X1079" s="1">
        <f t="shared" si="130"/>
        <v>0.14610348752477259</v>
      </c>
      <c r="Z1079" s="4">
        <v>250.01320000000001</v>
      </c>
      <c r="AA1079" s="1">
        <v>536.5</v>
      </c>
      <c r="AB1079" s="3">
        <v>94.615229999999997</v>
      </c>
      <c r="AC1079" s="3">
        <f t="shared" si="129"/>
        <v>94.538489999999996</v>
      </c>
      <c r="AD1079" s="1">
        <f t="shared" si="127"/>
        <v>7.8185878038582873E-2</v>
      </c>
    </row>
    <row r="1080" spans="20:30" x14ac:dyDescent="0.2">
      <c r="T1080" s="4">
        <v>250.00801000000001</v>
      </c>
      <c r="U1080" s="1">
        <v>537</v>
      </c>
      <c r="V1080" s="5">
        <v>84.323030000000003</v>
      </c>
      <c r="W1080" s="3">
        <f t="shared" si="128"/>
        <v>88.480429999999998</v>
      </c>
      <c r="X1080" s="1">
        <f t="shared" si="130"/>
        <v>0.14598251666448059</v>
      </c>
      <c r="Z1080" s="4">
        <v>250.01318000000001</v>
      </c>
      <c r="AA1080" s="1">
        <v>537</v>
      </c>
      <c r="AB1080" s="5">
        <v>94.630949999999999</v>
      </c>
      <c r="AC1080" s="3">
        <f t="shared" si="129"/>
        <v>94.554209999999998</v>
      </c>
      <c r="AD1080" s="1">
        <f t="shared" si="127"/>
        <v>7.7997861639450744E-2</v>
      </c>
    </row>
    <row r="1081" spans="20:30" x14ac:dyDescent="0.2">
      <c r="T1081" s="4">
        <v>250.00900999999999</v>
      </c>
      <c r="U1081" s="1">
        <v>537.5</v>
      </c>
      <c r="V1081" s="3">
        <v>84.325010000000006</v>
      </c>
      <c r="W1081" s="3">
        <f t="shared" si="128"/>
        <v>88.482410000000002</v>
      </c>
      <c r="X1081" s="1">
        <f t="shared" si="130"/>
        <v>0.14595873093425432</v>
      </c>
      <c r="Z1081" s="4">
        <v>250.01214999999999</v>
      </c>
      <c r="AA1081" s="1">
        <v>537.5</v>
      </c>
      <c r="AB1081" s="3">
        <v>94.590590000000006</v>
      </c>
      <c r="AC1081" s="3">
        <f t="shared" si="129"/>
        <v>94.513850000000005</v>
      </c>
      <c r="AD1081" s="1">
        <f t="shared" si="127"/>
        <v>7.8480580587858548E-2</v>
      </c>
    </row>
    <row r="1082" spans="20:30" x14ac:dyDescent="0.2">
      <c r="T1082" s="4">
        <v>250.00402</v>
      </c>
      <c r="U1082" s="1">
        <v>538</v>
      </c>
      <c r="V1082" s="5">
        <v>84.303169999999994</v>
      </c>
      <c r="W1082" s="3">
        <f t="shared" si="128"/>
        <v>88.46056999999999</v>
      </c>
      <c r="X1082" s="1">
        <f t="shared" si="130"/>
        <v>0.14622109474644684</v>
      </c>
      <c r="Z1082" s="4">
        <v>250.01503</v>
      </c>
      <c r="AA1082" s="1">
        <v>538</v>
      </c>
      <c r="AB1082" s="5">
        <v>94.662379999999999</v>
      </c>
      <c r="AC1082" s="3">
        <f t="shared" si="129"/>
        <v>94.585639999999998</v>
      </c>
      <c r="AD1082" s="1">
        <f t="shared" si="127"/>
        <v>7.7621948444493855E-2</v>
      </c>
    </row>
    <row r="1083" spans="20:30" x14ac:dyDescent="0.2">
      <c r="T1083" s="4">
        <v>250.00200000000001</v>
      </c>
      <c r="U1083" s="1">
        <v>538.5</v>
      </c>
      <c r="V1083" s="3">
        <v>84.303160000000005</v>
      </c>
      <c r="W1083" s="3">
        <f t="shared" si="128"/>
        <v>88.460560000000001</v>
      </c>
      <c r="X1083" s="1">
        <f t="shared" si="130"/>
        <v>0.14622121487639733</v>
      </c>
      <c r="Z1083" s="4">
        <v>250.01445000000001</v>
      </c>
      <c r="AA1083" s="1">
        <v>538.5</v>
      </c>
      <c r="AB1083" s="3">
        <v>94.661320000000003</v>
      </c>
      <c r="AC1083" s="3">
        <f t="shared" si="129"/>
        <v>94.584580000000003</v>
      </c>
      <c r="AD1083" s="1">
        <f t="shared" si="127"/>
        <v>7.7634626395071418E-2</v>
      </c>
    </row>
    <row r="1084" spans="20:30" x14ac:dyDescent="0.2">
      <c r="T1084" s="4">
        <v>250.00001</v>
      </c>
      <c r="U1084" s="1">
        <v>539</v>
      </c>
      <c r="V1084" s="5">
        <v>84.303089999999997</v>
      </c>
      <c r="W1084" s="3">
        <f t="shared" si="128"/>
        <v>88.460489999999993</v>
      </c>
      <c r="X1084" s="1">
        <f t="shared" si="130"/>
        <v>0.14622205578605191</v>
      </c>
      <c r="Z1084" s="4">
        <v>250.00811999999999</v>
      </c>
      <c r="AA1084" s="1">
        <v>539</v>
      </c>
      <c r="AB1084" s="5">
        <v>94.617180000000005</v>
      </c>
      <c r="AC1084" s="3">
        <f t="shared" si="129"/>
        <v>94.540440000000004</v>
      </c>
      <c r="AD1084" s="1">
        <f t="shared" si="127"/>
        <v>7.8162555393652272E-2</v>
      </c>
    </row>
    <row r="1085" spans="20:30" x14ac:dyDescent="0.2">
      <c r="T1085" s="4">
        <v>250.00597999999999</v>
      </c>
      <c r="U1085" s="1">
        <v>539.5</v>
      </c>
      <c r="V1085" s="3">
        <v>84.304919999999996</v>
      </c>
      <c r="W1085" s="3">
        <f t="shared" si="128"/>
        <v>88.462319999999991</v>
      </c>
      <c r="X1085" s="1">
        <f t="shared" si="130"/>
        <v>0.14620007200508525</v>
      </c>
      <c r="Z1085" s="4">
        <v>250.00828000000001</v>
      </c>
      <c r="AA1085" s="1">
        <v>539.5</v>
      </c>
      <c r="AB1085" s="3">
        <v>94.555970000000002</v>
      </c>
      <c r="AC1085" s="3">
        <f t="shared" si="129"/>
        <v>94.479230000000001</v>
      </c>
      <c r="AD1085" s="1">
        <f t="shared" si="127"/>
        <v>7.889464723785565E-2</v>
      </c>
    </row>
    <row r="1086" spans="20:30" x14ac:dyDescent="0.2">
      <c r="T1086" s="4">
        <v>250.00503</v>
      </c>
      <c r="U1086" s="1">
        <v>540</v>
      </c>
      <c r="V1086" s="5">
        <v>84.282780000000002</v>
      </c>
      <c r="W1086" s="3">
        <f t="shared" si="128"/>
        <v>88.440179999999998</v>
      </c>
      <c r="X1086" s="1">
        <f t="shared" si="130"/>
        <v>0.14646603971579666</v>
      </c>
      <c r="Z1086" s="4">
        <v>250.00946999999999</v>
      </c>
      <c r="AA1086" s="1">
        <v>540</v>
      </c>
      <c r="AB1086" s="5">
        <v>94.585340000000002</v>
      </c>
      <c r="AC1086" s="3">
        <f t="shared" si="129"/>
        <v>94.508600000000001</v>
      </c>
      <c r="AD1086" s="1">
        <f t="shared" si="127"/>
        <v>7.8543372324209965E-2</v>
      </c>
    </row>
    <row r="1087" spans="20:30" x14ac:dyDescent="0.2">
      <c r="T1087" s="4">
        <v>250.00398999999999</v>
      </c>
      <c r="U1087" s="1">
        <v>540.5</v>
      </c>
      <c r="V1087" s="3">
        <v>84.26482</v>
      </c>
      <c r="W1087" s="3">
        <f t="shared" si="128"/>
        <v>88.422219999999996</v>
      </c>
      <c r="X1087" s="1">
        <f t="shared" si="130"/>
        <v>0.14668179310714169</v>
      </c>
      <c r="Z1087" s="4">
        <v>250.01031</v>
      </c>
      <c r="AA1087" s="1">
        <v>540.5</v>
      </c>
      <c r="AB1087" s="3">
        <v>94.63673</v>
      </c>
      <c r="AC1087" s="3">
        <f t="shared" si="129"/>
        <v>94.559989999999999</v>
      </c>
      <c r="AD1087" s="1">
        <f t="shared" ref="AD1087:AD1150" si="131">($AC$62-AC1087)/($AC$62*(1-$M$1))</f>
        <v>7.7928730927810552E-2</v>
      </c>
    </row>
    <row r="1088" spans="20:30" x14ac:dyDescent="0.2">
      <c r="T1088" s="4">
        <v>250.00398000000001</v>
      </c>
      <c r="U1088" s="1">
        <v>541</v>
      </c>
      <c r="V1088" s="5">
        <v>84.271029999999996</v>
      </c>
      <c r="W1088" s="3">
        <f t="shared" si="128"/>
        <v>88.428429999999992</v>
      </c>
      <c r="X1088" s="1">
        <f t="shared" si="130"/>
        <v>0.14660719240779585</v>
      </c>
      <c r="Z1088" s="4">
        <v>250.01487</v>
      </c>
      <c r="AA1088" s="1">
        <v>541</v>
      </c>
      <c r="AB1088" s="5">
        <v>94.567679999999996</v>
      </c>
      <c r="AC1088" s="3">
        <f t="shared" si="129"/>
        <v>94.490939999999995</v>
      </c>
      <c r="AD1088" s="1">
        <f t="shared" si="131"/>
        <v>7.8754591764965326E-2</v>
      </c>
    </row>
    <row r="1089" spans="20:30" x14ac:dyDescent="0.2">
      <c r="T1089" s="4">
        <v>250.00599</v>
      </c>
      <c r="U1089" s="1">
        <v>541.5</v>
      </c>
      <c r="V1089" s="3">
        <v>84.274940000000001</v>
      </c>
      <c r="W1089" s="3">
        <f t="shared" si="128"/>
        <v>88.432339999999996</v>
      </c>
      <c r="X1089" s="1">
        <f t="shared" si="130"/>
        <v>0.1465602215970965</v>
      </c>
      <c r="Z1089" s="4">
        <v>250.01595</v>
      </c>
      <c r="AA1089" s="1">
        <v>541.5</v>
      </c>
      <c r="AB1089" s="3">
        <v>94.54683</v>
      </c>
      <c r="AC1089" s="3">
        <f t="shared" si="129"/>
        <v>94.470089999999999</v>
      </c>
      <c r="AD1089" s="1">
        <f t="shared" si="131"/>
        <v>7.900396466076072E-2</v>
      </c>
    </row>
    <row r="1090" spans="20:30" x14ac:dyDescent="0.2">
      <c r="T1090" s="4">
        <v>250.00599</v>
      </c>
      <c r="U1090" s="1">
        <v>542</v>
      </c>
      <c r="V1090" s="5">
        <v>84.258840000000006</v>
      </c>
      <c r="W1090" s="3">
        <f t="shared" si="128"/>
        <v>88.416240000000002</v>
      </c>
      <c r="X1090" s="1">
        <f t="shared" si="130"/>
        <v>0.14675363081762285</v>
      </c>
      <c r="Z1090" s="4">
        <v>250.01670999999999</v>
      </c>
      <c r="AA1090" s="1">
        <v>542</v>
      </c>
      <c r="AB1090" s="5">
        <v>94.55359</v>
      </c>
      <c r="AC1090" s="3">
        <f t="shared" si="129"/>
        <v>94.476849999999999</v>
      </c>
      <c r="AD1090" s="1">
        <f t="shared" si="131"/>
        <v>7.8923112825001626E-2</v>
      </c>
    </row>
    <row r="1091" spans="20:30" x14ac:dyDescent="0.2">
      <c r="T1091" s="4">
        <v>250.01202000000001</v>
      </c>
      <c r="U1091" s="1">
        <v>542.5</v>
      </c>
      <c r="V1091" s="3">
        <v>84.268659999999997</v>
      </c>
      <c r="W1091" s="3">
        <f t="shared" si="128"/>
        <v>88.426059999999993</v>
      </c>
      <c r="X1091" s="1">
        <f t="shared" si="130"/>
        <v>0.14663566320609692</v>
      </c>
      <c r="Z1091" s="4">
        <v>250.01378</v>
      </c>
      <c r="AA1091" s="1">
        <v>542.5</v>
      </c>
      <c r="AB1091" s="3">
        <v>94.642319999999998</v>
      </c>
      <c r="AC1091" s="3">
        <f t="shared" si="129"/>
        <v>94.565579999999997</v>
      </c>
      <c r="AD1091" s="1">
        <f t="shared" si="131"/>
        <v>7.7861872679009778E-2</v>
      </c>
    </row>
    <row r="1092" spans="20:30" x14ac:dyDescent="0.2">
      <c r="T1092" s="4">
        <v>250.00596999999999</v>
      </c>
      <c r="U1092" s="1">
        <v>543</v>
      </c>
      <c r="V1092" s="5">
        <v>84.230919999999998</v>
      </c>
      <c r="W1092" s="3">
        <f t="shared" si="128"/>
        <v>88.388319999999993</v>
      </c>
      <c r="X1092" s="1">
        <f t="shared" si="130"/>
        <v>0.14708903363980297</v>
      </c>
      <c r="Z1092" s="4">
        <v>250.00972999999999</v>
      </c>
      <c r="AA1092" s="1">
        <v>543</v>
      </c>
      <c r="AB1092" s="5">
        <v>94.455410000000001</v>
      </c>
      <c r="AC1092" s="3">
        <f t="shared" si="129"/>
        <v>94.37867</v>
      </c>
      <c r="AD1092" s="1">
        <f t="shared" si="131"/>
        <v>8.0097378096425961E-2</v>
      </c>
    </row>
    <row r="1093" spans="20:30" x14ac:dyDescent="0.2">
      <c r="T1093" s="4">
        <v>250.001</v>
      </c>
      <c r="U1093" s="1">
        <v>543.5</v>
      </c>
      <c r="V1093" s="3">
        <v>84.222980000000007</v>
      </c>
      <c r="W1093" s="3">
        <f t="shared" si="128"/>
        <v>88.380380000000002</v>
      </c>
      <c r="X1093" s="1">
        <f t="shared" si="130"/>
        <v>0.14718441682060904</v>
      </c>
      <c r="Z1093" s="4">
        <v>250.00744</v>
      </c>
      <c r="AA1093" s="1">
        <v>543.5</v>
      </c>
      <c r="AB1093" s="3">
        <v>94.647980000000004</v>
      </c>
      <c r="AC1093" s="3">
        <f t="shared" si="129"/>
        <v>94.571240000000003</v>
      </c>
      <c r="AD1093" s="1">
        <f t="shared" si="131"/>
        <v>7.7794177207057558E-2</v>
      </c>
    </row>
    <row r="1094" spans="20:30" x14ac:dyDescent="0.2">
      <c r="T1094" s="4">
        <v>249.99902</v>
      </c>
      <c r="U1094" s="1">
        <v>544</v>
      </c>
      <c r="V1094" s="5">
        <v>84.220749999999995</v>
      </c>
      <c r="W1094" s="3">
        <f t="shared" si="128"/>
        <v>88.378149999999991</v>
      </c>
      <c r="X1094" s="1">
        <f t="shared" si="130"/>
        <v>0.14721120579960137</v>
      </c>
      <c r="Z1094" s="4">
        <v>250.00867</v>
      </c>
      <c r="AA1094" s="1">
        <v>544</v>
      </c>
      <c r="AB1094" s="5">
        <v>94.488119999999995</v>
      </c>
      <c r="AC1094" s="3">
        <f t="shared" si="129"/>
        <v>94.411379999999994</v>
      </c>
      <c r="AD1094" s="1">
        <f t="shared" si="131"/>
        <v>7.9706155678130136E-2</v>
      </c>
    </row>
    <row r="1095" spans="20:30" x14ac:dyDescent="0.2">
      <c r="T1095" s="4">
        <v>250.00305</v>
      </c>
      <c r="U1095" s="1">
        <v>544.5</v>
      </c>
      <c r="V1095" s="3">
        <v>84.214789999999994</v>
      </c>
      <c r="W1095" s="3">
        <f t="shared" ref="W1095:W1158" si="132">100-($V$6-V1095)</f>
        <v>88.372189999999989</v>
      </c>
      <c r="X1095" s="1">
        <f t="shared" si="130"/>
        <v>0.14728280325018134</v>
      </c>
      <c r="Z1095" s="4">
        <v>250.01311000000001</v>
      </c>
      <c r="AA1095" s="1">
        <v>544.5</v>
      </c>
      <c r="AB1095" s="3">
        <v>94.545860000000005</v>
      </c>
      <c r="AC1095" s="3">
        <f t="shared" ref="AC1095:AC1158" si="133">100-($AB$6-AB1095)</f>
        <v>94.469120000000004</v>
      </c>
      <c r="AD1095" s="1">
        <f t="shared" si="131"/>
        <v>7.9015566181572253E-2</v>
      </c>
    </row>
    <row r="1096" spans="20:30" x14ac:dyDescent="0.2">
      <c r="T1096" s="4">
        <v>250.00299000000001</v>
      </c>
      <c r="U1096" s="1">
        <v>545</v>
      </c>
      <c r="V1096" s="5">
        <v>84.212599999999995</v>
      </c>
      <c r="W1096" s="3">
        <f t="shared" si="132"/>
        <v>88.36999999999999</v>
      </c>
      <c r="X1096" s="1">
        <f t="shared" si="130"/>
        <v>0.14730911170937094</v>
      </c>
      <c r="Z1096" s="4">
        <v>250.01383000000001</v>
      </c>
      <c r="AA1096" s="1">
        <v>545</v>
      </c>
      <c r="AB1096" s="5">
        <v>94.591440000000006</v>
      </c>
      <c r="AC1096" s="3">
        <f t="shared" si="133"/>
        <v>94.514700000000005</v>
      </c>
      <c r="AD1096" s="1">
        <f t="shared" si="131"/>
        <v>7.8470414306734987E-2</v>
      </c>
    </row>
    <row r="1097" spans="20:30" x14ac:dyDescent="0.2">
      <c r="T1097" s="4">
        <v>250.01003</v>
      </c>
      <c r="U1097" s="1">
        <v>545.5</v>
      </c>
      <c r="V1097" s="3">
        <v>84.200810000000004</v>
      </c>
      <c r="W1097" s="3">
        <f t="shared" si="132"/>
        <v>88.35821</v>
      </c>
      <c r="X1097" s="1">
        <f t="shared" si="130"/>
        <v>0.14745074492117249</v>
      </c>
      <c r="Z1097" s="4">
        <v>250.01590999999999</v>
      </c>
      <c r="AA1097" s="1">
        <v>545.5</v>
      </c>
      <c r="AB1097" s="3">
        <v>94.440820000000002</v>
      </c>
      <c r="AC1097" s="3">
        <f t="shared" si="133"/>
        <v>94.364080000000001</v>
      </c>
      <c r="AD1097" s="1">
        <f t="shared" si="131"/>
        <v>8.0271879321829082E-2</v>
      </c>
    </row>
    <row r="1098" spans="20:30" x14ac:dyDescent="0.2">
      <c r="T1098" s="4">
        <v>250.01400000000001</v>
      </c>
      <c r="U1098" s="1">
        <v>546</v>
      </c>
      <c r="V1098" s="5">
        <v>84.19265</v>
      </c>
      <c r="W1098" s="3">
        <f t="shared" si="132"/>
        <v>88.350049999999996</v>
      </c>
      <c r="X1098" s="1">
        <f t="shared" si="130"/>
        <v>0.14754877096089275</v>
      </c>
      <c r="Z1098" s="4">
        <v>250.01757000000001</v>
      </c>
      <c r="AA1098" s="1">
        <v>546</v>
      </c>
      <c r="AB1098" s="5">
        <v>94.493309999999994</v>
      </c>
      <c r="AC1098" s="3">
        <f t="shared" si="133"/>
        <v>94.416569999999993</v>
      </c>
      <c r="AD1098" s="1">
        <f t="shared" si="131"/>
        <v>7.9644081561622795E-2</v>
      </c>
    </row>
    <row r="1099" spans="20:30" x14ac:dyDescent="0.2">
      <c r="T1099" s="4">
        <v>250.00595999999999</v>
      </c>
      <c r="U1099" s="1">
        <v>546.5</v>
      </c>
      <c r="V1099" s="3">
        <v>84.178439999999995</v>
      </c>
      <c r="W1099" s="3">
        <f t="shared" si="132"/>
        <v>88.33583999999999</v>
      </c>
      <c r="X1099" s="1">
        <f t="shared" si="130"/>
        <v>0.14771947562074875</v>
      </c>
      <c r="Z1099" s="4">
        <v>250.02267000000001</v>
      </c>
      <c r="AA1099" s="1">
        <v>546.5</v>
      </c>
      <c r="AB1099" s="3">
        <v>94.607560000000007</v>
      </c>
      <c r="AC1099" s="3">
        <f t="shared" si="133"/>
        <v>94.530820000000006</v>
      </c>
      <c r="AD1099" s="1">
        <f t="shared" si="131"/>
        <v>7.8277613775309438E-2</v>
      </c>
    </row>
    <row r="1100" spans="20:30" x14ac:dyDescent="0.2">
      <c r="T1100" s="4">
        <v>250.01096999999999</v>
      </c>
      <c r="U1100" s="1">
        <v>547</v>
      </c>
      <c r="V1100" s="5">
        <v>84.176469999999995</v>
      </c>
      <c r="W1100" s="3">
        <f t="shared" si="132"/>
        <v>88.33386999999999</v>
      </c>
      <c r="X1100" s="1">
        <f t="shared" si="130"/>
        <v>0.14774314122102436</v>
      </c>
      <c r="Z1100" s="4">
        <v>250.01989</v>
      </c>
      <c r="AA1100" s="1">
        <v>547</v>
      </c>
      <c r="AB1100" s="5">
        <v>94.391580000000005</v>
      </c>
      <c r="AC1100" s="3">
        <f t="shared" si="133"/>
        <v>94.314840000000004</v>
      </c>
      <c r="AD1100" s="1">
        <f t="shared" si="131"/>
        <v>8.0860806007151259E-2</v>
      </c>
    </row>
    <row r="1101" spans="20:30" x14ac:dyDescent="0.2">
      <c r="T1101" s="4">
        <v>250.01000999999999</v>
      </c>
      <c r="U1101" s="1">
        <v>547.5</v>
      </c>
      <c r="V1101" s="3">
        <v>84.170569999999998</v>
      </c>
      <c r="W1101" s="3">
        <f t="shared" si="132"/>
        <v>88.327969999999993</v>
      </c>
      <c r="X1101" s="1">
        <f t="shared" si="130"/>
        <v>0.14781401789190046</v>
      </c>
      <c r="Z1101" s="4">
        <v>250.01519999999999</v>
      </c>
      <c r="AA1101" s="1">
        <v>547.5</v>
      </c>
      <c r="AB1101" s="3">
        <v>94.432779999999994</v>
      </c>
      <c r="AC1101" s="3">
        <f t="shared" si="133"/>
        <v>94.356039999999993</v>
      </c>
      <c r="AD1101" s="1">
        <f t="shared" si="131"/>
        <v>8.0368040380927291E-2</v>
      </c>
    </row>
    <row r="1102" spans="20:30" x14ac:dyDescent="0.2">
      <c r="T1102" s="4">
        <v>250.00602000000001</v>
      </c>
      <c r="U1102" s="1">
        <v>548</v>
      </c>
      <c r="V1102" s="5">
        <v>84.172730000000001</v>
      </c>
      <c r="W1102" s="3">
        <f t="shared" si="132"/>
        <v>88.330129999999997</v>
      </c>
      <c r="X1102" s="1">
        <f t="shared" si="130"/>
        <v>0.14778806982256271</v>
      </c>
      <c r="Z1102" s="4">
        <v>250.01526000000001</v>
      </c>
      <c r="AA1102" s="1">
        <v>548</v>
      </c>
      <c r="AB1102" s="5">
        <v>94.567530000000005</v>
      </c>
      <c r="AC1102" s="3">
        <f t="shared" si="133"/>
        <v>94.490790000000004</v>
      </c>
      <c r="AD1102" s="1">
        <f t="shared" si="131"/>
        <v>7.8756385814575253E-2</v>
      </c>
    </row>
    <row r="1103" spans="20:30" x14ac:dyDescent="0.2">
      <c r="T1103" s="4">
        <v>250.00997000000001</v>
      </c>
      <c r="U1103" s="1">
        <v>548.5</v>
      </c>
      <c r="V1103" s="3">
        <v>84.156710000000004</v>
      </c>
      <c r="W1103" s="3">
        <f t="shared" si="132"/>
        <v>88.314109999999999</v>
      </c>
      <c r="X1103" s="1">
        <f t="shared" si="130"/>
        <v>0.147980518003484</v>
      </c>
      <c r="Z1103" s="4">
        <v>250.02086</v>
      </c>
      <c r="AA1103" s="1">
        <v>548.5</v>
      </c>
      <c r="AB1103" s="3">
        <v>94.50421</v>
      </c>
      <c r="AC1103" s="3">
        <f t="shared" si="133"/>
        <v>94.42747</v>
      </c>
      <c r="AD1103" s="1">
        <f t="shared" si="131"/>
        <v>7.9513713956626528E-2</v>
      </c>
    </row>
    <row r="1104" spans="20:30" x14ac:dyDescent="0.2">
      <c r="T1104" s="4">
        <v>250.006</v>
      </c>
      <c r="U1104" s="1">
        <v>549</v>
      </c>
      <c r="V1104" s="5">
        <v>84.166799999999995</v>
      </c>
      <c r="W1104" s="3">
        <f t="shared" si="132"/>
        <v>88.32419999999999</v>
      </c>
      <c r="X1104" s="1">
        <f t="shared" si="130"/>
        <v>0.14785930688329083</v>
      </c>
      <c r="Z1104" s="4">
        <v>250.02215000000001</v>
      </c>
      <c r="AA1104" s="1">
        <v>549</v>
      </c>
      <c r="AB1104" s="5">
        <v>94.412520000000001</v>
      </c>
      <c r="AC1104" s="3">
        <f t="shared" si="133"/>
        <v>94.33578</v>
      </c>
      <c r="AD1104" s="1">
        <f t="shared" si="131"/>
        <v>8.0610356681589834E-2</v>
      </c>
    </row>
    <row r="1105" spans="20:30" x14ac:dyDescent="0.2">
      <c r="T1105" s="4">
        <v>250.00201000000001</v>
      </c>
      <c r="U1105" s="1">
        <v>549.5</v>
      </c>
      <c r="V1105" s="3">
        <v>84.138360000000006</v>
      </c>
      <c r="W1105" s="3">
        <f t="shared" si="132"/>
        <v>88.295760000000001</v>
      </c>
      <c r="X1105" s="1">
        <f t="shared" si="130"/>
        <v>0.14820095646290385</v>
      </c>
      <c r="Z1105" s="4">
        <v>250.02162999999999</v>
      </c>
      <c r="AA1105" s="1">
        <v>549.5</v>
      </c>
      <c r="AB1105" s="3">
        <v>94.451759999999993</v>
      </c>
      <c r="AC1105" s="3">
        <f t="shared" si="133"/>
        <v>94.375019999999992</v>
      </c>
      <c r="AD1105" s="1">
        <f t="shared" si="131"/>
        <v>8.014103330360367E-2</v>
      </c>
    </row>
    <row r="1106" spans="20:30" x14ac:dyDescent="0.2">
      <c r="T1106" s="4">
        <v>250.00505000000001</v>
      </c>
      <c r="U1106" s="1">
        <v>550</v>
      </c>
      <c r="V1106" s="5">
        <v>84.128460000000004</v>
      </c>
      <c r="W1106" s="3">
        <f t="shared" si="132"/>
        <v>88.28586</v>
      </c>
      <c r="X1106" s="1">
        <f t="shared" si="130"/>
        <v>0.14831988511403502</v>
      </c>
      <c r="Z1106" s="4">
        <v>250.02185</v>
      </c>
      <c r="AA1106" s="1">
        <v>550</v>
      </c>
      <c r="AB1106" s="5">
        <v>94.492599999999996</v>
      </c>
      <c r="AC1106" s="3">
        <f t="shared" si="133"/>
        <v>94.415859999999995</v>
      </c>
      <c r="AD1106" s="1">
        <f t="shared" si="131"/>
        <v>7.9652573396443618E-2</v>
      </c>
    </row>
    <row r="1107" spans="20:30" x14ac:dyDescent="0.2">
      <c r="T1107" s="4">
        <v>249.99800999999999</v>
      </c>
      <c r="U1107" s="1">
        <v>550.5</v>
      </c>
      <c r="V1107" s="3">
        <v>84.118459999999999</v>
      </c>
      <c r="W1107" s="3">
        <f t="shared" si="132"/>
        <v>88.275859999999994</v>
      </c>
      <c r="X1107" s="1">
        <f t="shared" si="130"/>
        <v>0.14844001506467261</v>
      </c>
      <c r="Z1107" s="4">
        <v>250.02279999999999</v>
      </c>
      <c r="AA1107" s="1">
        <v>550.5</v>
      </c>
      <c r="AB1107" s="3">
        <v>94.372929999999997</v>
      </c>
      <c r="AC1107" s="3">
        <f t="shared" si="133"/>
        <v>94.296189999999996</v>
      </c>
      <c r="AD1107" s="1">
        <f t="shared" si="131"/>
        <v>8.1083866175332905E-2</v>
      </c>
    </row>
    <row r="1108" spans="20:30" x14ac:dyDescent="0.2">
      <c r="T1108" s="4">
        <v>250.00305</v>
      </c>
      <c r="U1108" s="1">
        <v>551</v>
      </c>
      <c r="V1108" s="5">
        <v>84.124350000000007</v>
      </c>
      <c r="W1108" s="3">
        <f t="shared" si="132"/>
        <v>88.281750000000002</v>
      </c>
      <c r="X1108" s="1">
        <f t="shared" si="130"/>
        <v>0.14836925852374702</v>
      </c>
      <c r="Z1108" s="4">
        <v>250.02097000000001</v>
      </c>
      <c r="AA1108" s="1">
        <v>551</v>
      </c>
      <c r="AB1108" s="5">
        <v>94.464600000000004</v>
      </c>
      <c r="AC1108" s="3">
        <f t="shared" si="133"/>
        <v>94.387860000000003</v>
      </c>
      <c r="AD1108" s="1">
        <f t="shared" si="131"/>
        <v>7.9987462656984171E-2</v>
      </c>
    </row>
    <row r="1109" spans="20:30" x14ac:dyDescent="0.2">
      <c r="T1109" s="4">
        <v>250.00603000000001</v>
      </c>
      <c r="U1109" s="1">
        <v>551.5</v>
      </c>
      <c r="V1109" s="3">
        <v>84.116500000000002</v>
      </c>
      <c r="W1109" s="3">
        <f t="shared" si="132"/>
        <v>88.273899999999998</v>
      </c>
      <c r="X1109" s="1">
        <f t="shared" si="130"/>
        <v>0.14846356053499754</v>
      </c>
      <c r="Z1109" s="4">
        <v>250.01949999999999</v>
      </c>
      <c r="AA1109" s="1">
        <v>551.5</v>
      </c>
      <c r="AB1109" s="3">
        <v>94.429910000000007</v>
      </c>
      <c r="AC1109" s="3">
        <f t="shared" si="133"/>
        <v>94.353170000000006</v>
      </c>
      <c r="AD1109" s="1">
        <f t="shared" si="131"/>
        <v>8.0402366530132552E-2</v>
      </c>
    </row>
    <row r="1110" spans="20:30" x14ac:dyDescent="0.2">
      <c r="T1110" s="4">
        <v>250.00298000000001</v>
      </c>
      <c r="U1110" s="1">
        <v>552</v>
      </c>
      <c r="V1110" s="5">
        <v>84.112229999999997</v>
      </c>
      <c r="W1110" s="3">
        <f t="shared" si="132"/>
        <v>88.269629999999992</v>
      </c>
      <c r="X1110" s="1">
        <f t="shared" ref="X1110:X1173" si="134">($W$21-W1110)/($W$21*(1-$M$1))</f>
        <v>0.14851485602391981</v>
      </c>
      <c r="Z1110" s="4">
        <v>250.02089000000001</v>
      </c>
      <c r="AA1110" s="1">
        <v>552</v>
      </c>
      <c r="AB1110" s="5">
        <v>94.326549999999997</v>
      </c>
      <c r="AC1110" s="3">
        <f t="shared" si="133"/>
        <v>94.249809999999997</v>
      </c>
      <c r="AD1110" s="1">
        <f t="shared" si="131"/>
        <v>8.1638586314757025E-2</v>
      </c>
    </row>
    <row r="1111" spans="20:30" x14ac:dyDescent="0.2">
      <c r="T1111" s="4">
        <v>250.006</v>
      </c>
      <c r="U1111" s="1">
        <v>552.5</v>
      </c>
      <c r="V1111" s="3">
        <v>84.100319999999996</v>
      </c>
      <c r="W1111" s="3">
        <f t="shared" si="132"/>
        <v>88.257719999999992</v>
      </c>
      <c r="X1111" s="1">
        <f t="shared" si="134"/>
        <v>0.14865793079512912</v>
      </c>
      <c r="Z1111" s="4">
        <v>250.01728</v>
      </c>
      <c r="AA1111" s="1">
        <v>552.5</v>
      </c>
      <c r="AB1111" s="3">
        <v>94.490340000000003</v>
      </c>
      <c r="AC1111" s="3">
        <f t="shared" si="133"/>
        <v>94.413600000000002</v>
      </c>
      <c r="AD1111" s="1">
        <f t="shared" si="131"/>
        <v>7.9679603743901456E-2</v>
      </c>
    </row>
    <row r="1112" spans="20:30" x14ac:dyDescent="0.2">
      <c r="T1112" s="4">
        <v>250.00301999999999</v>
      </c>
      <c r="U1112" s="1">
        <v>553</v>
      </c>
      <c r="V1112" s="5">
        <v>84.070310000000006</v>
      </c>
      <c r="W1112" s="3">
        <f t="shared" si="132"/>
        <v>88.227710000000002</v>
      </c>
      <c r="X1112" s="1">
        <f t="shared" si="134"/>
        <v>0.14901844077699222</v>
      </c>
      <c r="Z1112" s="4">
        <v>250.01311999999999</v>
      </c>
      <c r="AA1112" s="1">
        <v>553</v>
      </c>
      <c r="AB1112" s="5">
        <v>94.398120000000006</v>
      </c>
      <c r="AC1112" s="3">
        <f t="shared" si="133"/>
        <v>94.321380000000005</v>
      </c>
      <c r="AD1112" s="1">
        <f t="shared" si="131"/>
        <v>8.0782585444153537E-2</v>
      </c>
    </row>
    <row r="1113" spans="20:30" x14ac:dyDescent="0.2">
      <c r="T1113" s="4">
        <v>250.00398000000001</v>
      </c>
      <c r="U1113" s="1">
        <v>553.5</v>
      </c>
      <c r="V1113" s="3">
        <v>84.058199999999999</v>
      </c>
      <c r="W1113" s="3">
        <f t="shared" si="132"/>
        <v>88.215599999999995</v>
      </c>
      <c r="X1113" s="1">
        <f t="shared" si="134"/>
        <v>0.14916391814721436</v>
      </c>
      <c r="Z1113" s="4">
        <v>250.01047</v>
      </c>
      <c r="AA1113" s="1">
        <v>553.5</v>
      </c>
      <c r="AB1113" s="3">
        <v>94.475909999999999</v>
      </c>
      <c r="AC1113" s="3">
        <f t="shared" si="133"/>
        <v>94.399169999999998</v>
      </c>
      <c r="AD1113" s="1">
        <f t="shared" si="131"/>
        <v>7.985219131638728E-2</v>
      </c>
    </row>
    <row r="1114" spans="20:30" x14ac:dyDescent="0.2">
      <c r="T1114" s="4">
        <v>250.01197999999999</v>
      </c>
      <c r="U1114" s="1">
        <v>554</v>
      </c>
      <c r="V1114" s="5">
        <v>84.066079999999999</v>
      </c>
      <c r="W1114" s="3">
        <f t="shared" si="132"/>
        <v>88.223479999999995</v>
      </c>
      <c r="X1114" s="1">
        <f t="shared" si="134"/>
        <v>0.14906925574611199</v>
      </c>
      <c r="Z1114" s="4">
        <v>250.01148000000001</v>
      </c>
      <c r="AA1114" s="1">
        <v>554</v>
      </c>
      <c r="AB1114" s="5">
        <v>94.377250000000004</v>
      </c>
      <c r="AC1114" s="3">
        <f t="shared" si="133"/>
        <v>94.300510000000003</v>
      </c>
      <c r="AD1114" s="1">
        <f t="shared" si="131"/>
        <v>8.1032197546563697E-2</v>
      </c>
    </row>
    <row r="1115" spans="20:30" x14ac:dyDescent="0.2">
      <c r="T1115" s="4">
        <v>250.00899000000001</v>
      </c>
      <c r="U1115" s="1">
        <v>554.5</v>
      </c>
      <c r="V1115" s="3">
        <v>84.041910000000001</v>
      </c>
      <c r="W1115" s="3">
        <f t="shared" si="132"/>
        <v>88.199309999999997</v>
      </c>
      <c r="X1115" s="1">
        <f t="shared" si="134"/>
        <v>0.14935960983680288</v>
      </c>
      <c r="Z1115" s="4">
        <v>250.01445000000001</v>
      </c>
      <c r="AA1115" s="1">
        <v>554.5</v>
      </c>
      <c r="AB1115" s="3">
        <v>94.445059999999998</v>
      </c>
      <c r="AC1115" s="3">
        <f t="shared" si="133"/>
        <v>94.368319999999997</v>
      </c>
      <c r="AD1115" s="1">
        <f t="shared" si="131"/>
        <v>8.0221167519518688E-2</v>
      </c>
    </row>
    <row r="1116" spans="20:30" x14ac:dyDescent="0.2">
      <c r="T1116" s="4">
        <v>250.00502</v>
      </c>
      <c r="U1116" s="1">
        <v>555</v>
      </c>
      <c r="V1116" s="5">
        <v>84.04419</v>
      </c>
      <c r="W1116" s="3">
        <f t="shared" si="132"/>
        <v>88.201589999999996</v>
      </c>
      <c r="X1116" s="1">
        <f t="shared" si="134"/>
        <v>0.14933222020805753</v>
      </c>
      <c r="Z1116" s="4">
        <v>250.01648</v>
      </c>
      <c r="AA1116" s="1">
        <v>555</v>
      </c>
      <c r="AB1116" s="5">
        <v>94.320700000000002</v>
      </c>
      <c r="AC1116" s="3">
        <f t="shared" si="133"/>
        <v>94.243960000000001</v>
      </c>
      <c r="AD1116" s="1">
        <f t="shared" si="131"/>
        <v>8.1708554249548496E-2</v>
      </c>
    </row>
    <row r="1117" spans="20:30" x14ac:dyDescent="0.2">
      <c r="T1117" s="4">
        <v>250.00197</v>
      </c>
      <c r="U1117" s="1">
        <v>555.5</v>
      </c>
      <c r="V1117" s="3">
        <v>84.054150000000007</v>
      </c>
      <c r="W1117" s="3">
        <f t="shared" si="132"/>
        <v>88.211550000000003</v>
      </c>
      <c r="X1117" s="1">
        <f t="shared" si="134"/>
        <v>0.14921257077722247</v>
      </c>
      <c r="Z1117" s="4">
        <v>250.01821000000001</v>
      </c>
      <c r="AA1117" s="1">
        <v>555.5</v>
      </c>
      <c r="AB1117" s="3">
        <v>94.335710000000006</v>
      </c>
      <c r="AC1117" s="3">
        <f t="shared" si="133"/>
        <v>94.258970000000005</v>
      </c>
      <c r="AD1117" s="1">
        <f t="shared" si="131"/>
        <v>8.1529029685237189E-2</v>
      </c>
    </row>
    <row r="1118" spans="20:30" x14ac:dyDescent="0.2">
      <c r="T1118" s="4">
        <v>250.00595999999999</v>
      </c>
      <c r="U1118" s="1">
        <v>556</v>
      </c>
      <c r="V1118" s="5">
        <v>84.04813</v>
      </c>
      <c r="W1118" s="3">
        <f t="shared" si="132"/>
        <v>88.205529999999996</v>
      </c>
      <c r="X1118" s="1">
        <f t="shared" si="134"/>
        <v>0.14928488900750636</v>
      </c>
      <c r="Z1118" s="4">
        <v>250.01673</v>
      </c>
      <c r="AA1118" s="1">
        <v>556</v>
      </c>
      <c r="AB1118" s="5">
        <v>94.470680000000002</v>
      </c>
      <c r="AC1118" s="3">
        <f t="shared" si="133"/>
        <v>94.393940000000001</v>
      </c>
      <c r="AD1118" s="1">
        <f t="shared" si="131"/>
        <v>7.9914743846123959E-2</v>
      </c>
    </row>
    <row r="1119" spans="20:30" x14ac:dyDescent="0.2">
      <c r="T1119" s="4">
        <v>250.00798</v>
      </c>
      <c r="U1119" s="1">
        <v>556.5</v>
      </c>
      <c r="V1119" s="3">
        <v>84.016170000000002</v>
      </c>
      <c r="W1119" s="3">
        <f t="shared" si="132"/>
        <v>88.173569999999998</v>
      </c>
      <c r="X1119" s="1">
        <f t="shared" si="134"/>
        <v>0.14966882432974388</v>
      </c>
      <c r="Z1119" s="4">
        <v>250.01355000000001</v>
      </c>
      <c r="AA1119" s="1">
        <v>556.5</v>
      </c>
      <c r="AB1119" s="3">
        <v>94.350809999999996</v>
      </c>
      <c r="AC1119" s="3">
        <f t="shared" si="133"/>
        <v>94.274069999999995</v>
      </c>
      <c r="AD1119" s="1">
        <f t="shared" si="131"/>
        <v>8.1348428691160032E-2</v>
      </c>
    </row>
    <row r="1120" spans="20:30" x14ac:dyDescent="0.2">
      <c r="T1120" s="4">
        <v>250.01097999999999</v>
      </c>
      <c r="U1120" s="1">
        <v>557</v>
      </c>
      <c r="V1120" s="5">
        <v>83.993970000000004</v>
      </c>
      <c r="W1120" s="3">
        <f t="shared" si="132"/>
        <v>88.15137</v>
      </c>
      <c r="X1120" s="1">
        <f t="shared" si="134"/>
        <v>0.14993551282015916</v>
      </c>
      <c r="Z1120" s="4">
        <v>250.01186999999999</v>
      </c>
      <c r="AA1120" s="1">
        <v>557</v>
      </c>
      <c r="AB1120" s="5">
        <v>94.388480000000001</v>
      </c>
      <c r="AC1120" s="3">
        <f t="shared" si="133"/>
        <v>94.31174</v>
      </c>
      <c r="AD1120" s="1">
        <f t="shared" si="131"/>
        <v>8.0897883032425455E-2</v>
      </c>
    </row>
    <row r="1121" spans="20:30" x14ac:dyDescent="0.2">
      <c r="T1121" s="4">
        <v>250.00797</v>
      </c>
      <c r="U1121" s="1">
        <v>557.5</v>
      </c>
      <c r="V1121" s="3">
        <v>84.005880000000005</v>
      </c>
      <c r="W1121" s="3">
        <f t="shared" si="132"/>
        <v>88.16328</v>
      </c>
      <c r="X1121" s="1">
        <f t="shared" si="134"/>
        <v>0.14979243804894987</v>
      </c>
      <c r="Z1121" s="4">
        <v>250.01138</v>
      </c>
      <c r="AA1121" s="1">
        <v>557.5</v>
      </c>
      <c r="AB1121" s="3">
        <v>94.366529999999997</v>
      </c>
      <c r="AC1121" s="3">
        <f t="shared" si="133"/>
        <v>94.289789999999996</v>
      </c>
      <c r="AD1121" s="1">
        <f t="shared" si="131"/>
        <v>8.1160412292027903E-2</v>
      </c>
    </row>
    <row r="1122" spans="20:30" x14ac:dyDescent="0.2">
      <c r="T1122" s="4">
        <v>250.01101</v>
      </c>
      <c r="U1122" s="1">
        <v>558</v>
      </c>
      <c r="V1122" s="5">
        <v>84.00215</v>
      </c>
      <c r="W1122" s="3">
        <f t="shared" si="132"/>
        <v>88.159549999999996</v>
      </c>
      <c r="X1122" s="1">
        <f t="shared" si="134"/>
        <v>0.14983724652053773</v>
      </c>
      <c r="Z1122" s="4">
        <v>250.01599999999999</v>
      </c>
      <c r="AA1122" s="1">
        <v>558</v>
      </c>
      <c r="AB1122" s="5">
        <v>94.313130000000001</v>
      </c>
      <c r="AC1122" s="3">
        <f t="shared" si="133"/>
        <v>94.23639</v>
      </c>
      <c r="AD1122" s="1">
        <f t="shared" si="131"/>
        <v>8.1799093953201826E-2</v>
      </c>
    </row>
    <row r="1123" spans="20:30" x14ac:dyDescent="0.2">
      <c r="T1123" s="4">
        <v>250.01002</v>
      </c>
      <c r="U1123" s="1">
        <v>558.5</v>
      </c>
      <c r="V1123" s="3">
        <v>83.998009999999994</v>
      </c>
      <c r="W1123" s="3">
        <f t="shared" si="132"/>
        <v>88.155409999999989</v>
      </c>
      <c r="X1123" s="1">
        <f t="shared" si="134"/>
        <v>0.14988698032010173</v>
      </c>
      <c r="Z1123" s="4">
        <v>250.02078</v>
      </c>
      <c r="AA1123" s="1">
        <v>558.5</v>
      </c>
      <c r="AB1123" s="3">
        <v>94.294160000000005</v>
      </c>
      <c r="AC1123" s="3">
        <f t="shared" si="133"/>
        <v>94.217420000000004</v>
      </c>
      <c r="AD1123" s="1">
        <f t="shared" si="131"/>
        <v>8.2025981427218064E-2</v>
      </c>
    </row>
    <row r="1124" spans="20:30" x14ac:dyDescent="0.2">
      <c r="T1124" s="4">
        <v>250.00298000000001</v>
      </c>
      <c r="U1124" s="1">
        <v>559</v>
      </c>
      <c r="V1124" s="5">
        <v>83.983990000000006</v>
      </c>
      <c r="W1124" s="3">
        <f t="shared" si="132"/>
        <v>88.141390000000001</v>
      </c>
      <c r="X1124" s="1">
        <f t="shared" si="134"/>
        <v>0.15005540251089541</v>
      </c>
      <c r="Z1124" s="4">
        <v>250.02249</v>
      </c>
      <c r="AA1124" s="1">
        <v>559</v>
      </c>
      <c r="AB1124" s="5">
        <v>94.355639999999994</v>
      </c>
      <c r="AC1124" s="3">
        <f t="shared" si="133"/>
        <v>94.278899999999993</v>
      </c>
      <c r="AD1124" s="1">
        <f t="shared" si="131"/>
        <v>8.1290660293716788E-2</v>
      </c>
    </row>
    <row r="1125" spans="20:30" x14ac:dyDescent="0.2">
      <c r="T1125" s="4">
        <v>250.001</v>
      </c>
      <c r="U1125" s="1">
        <v>559.5</v>
      </c>
      <c r="V1125" s="3">
        <v>83.985770000000002</v>
      </c>
      <c r="W1125" s="3">
        <f t="shared" si="132"/>
        <v>88.143169999999998</v>
      </c>
      <c r="X1125" s="1">
        <f t="shared" si="134"/>
        <v>0.15003401937968197</v>
      </c>
      <c r="Z1125" s="4">
        <v>250.02350999999999</v>
      </c>
      <c r="AA1125" s="1">
        <v>559.5</v>
      </c>
      <c r="AB1125" s="3">
        <v>94.274889999999999</v>
      </c>
      <c r="AC1125" s="3">
        <f t="shared" si="133"/>
        <v>94.198149999999998</v>
      </c>
      <c r="AD1125" s="1">
        <f t="shared" si="131"/>
        <v>8.2256457000454516E-2</v>
      </c>
    </row>
    <row r="1126" spans="20:30" x14ac:dyDescent="0.2">
      <c r="T1126" s="4">
        <v>250.00398000000001</v>
      </c>
      <c r="U1126" s="1">
        <v>560</v>
      </c>
      <c r="V1126" s="5">
        <v>83.985950000000003</v>
      </c>
      <c r="W1126" s="3">
        <f t="shared" si="132"/>
        <v>88.143349999999998</v>
      </c>
      <c r="X1126" s="1">
        <f t="shared" si="134"/>
        <v>0.15003185704057048</v>
      </c>
      <c r="Z1126" s="4">
        <v>250.02424999999999</v>
      </c>
      <c r="AA1126" s="1">
        <v>560</v>
      </c>
      <c r="AB1126" s="5">
        <v>94.263159999999999</v>
      </c>
      <c r="AC1126" s="3">
        <f t="shared" si="133"/>
        <v>94.186419999999998</v>
      </c>
      <c r="AD1126" s="1">
        <f t="shared" si="131"/>
        <v>8.2396751679959579E-2</v>
      </c>
    </row>
    <row r="1127" spans="20:30" x14ac:dyDescent="0.2">
      <c r="T1127" s="4">
        <v>250.005</v>
      </c>
      <c r="U1127" s="1">
        <v>560.5</v>
      </c>
      <c r="V1127" s="3">
        <v>83.953879999999998</v>
      </c>
      <c r="W1127" s="3">
        <f t="shared" si="132"/>
        <v>88.111279999999994</v>
      </c>
      <c r="X1127" s="1">
        <f t="shared" si="134"/>
        <v>0.15041711379226511</v>
      </c>
      <c r="Z1127" s="4">
        <v>250.02324999999999</v>
      </c>
      <c r="AA1127" s="1">
        <v>560.5</v>
      </c>
      <c r="AB1127" s="3">
        <v>94.306209999999993</v>
      </c>
      <c r="AC1127" s="3">
        <f t="shared" si="133"/>
        <v>94.229469999999992</v>
      </c>
      <c r="AD1127" s="1">
        <f t="shared" si="131"/>
        <v>8.1881859441878396E-2</v>
      </c>
    </row>
    <row r="1128" spans="20:30" x14ac:dyDescent="0.2">
      <c r="T1128" s="4">
        <v>250.00399999999999</v>
      </c>
      <c r="U1128" s="1">
        <v>561</v>
      </c>
      <c r="V1128" s="5">
        <v>83.952010000000001</v>
      </c>
      <c r="W1128" s="3">
        <f t="shared" si="132"/>
        <v>88.109409999999997</v>
      </c>
      <c r="X1128" s="1">
        <f t="shared" si="134"/>
        <v>0.15043957809303429</v>
      </c>
      <c r="Z1128" s="4">
        <v>250.02172999999999</v>
      </c>
      <c r="AA1128" s="1">
        <v>561</v>
      </c>
      <c r="AB1128" s="5">
        <v>94.341399999999993</v>
      </c>
      <c r="AC1128" s="3">
        <f t="shared" si="133"/>
        <v>94.264659999999992</v>
      </c>
      <c r="AD1128" s="1">
        <f t="shared" si="131"/>
        <v>8.1460975403363195E-2</v>
      </c>
    </row>
    <row r="1129" spans="20:30" x14ac:dyDescent="0.2">
      <c r="T1129" s="4">
        <v>250.00700000000001</v>
      </c>
      <c r="U1129" s="1">
        <v>561.5</v>
      </c>
      <c r="V1129" s="3">
        <v>83.933909999999997</v>
      </c>
      <c r="W1129" s="3">
        <f t="shared" si="132"/>
        <v>88.091309999999993</v>
      </c>
      <c r="X1129" s="1">
        <f t="shared" si="134"/>
        <v>0.15065701330368828</v>
      </c>
      <c r="Z1129" s="4">
        <v>250.01929999999999</v>
      </c>
      <c r="AA1129" s="1">
        <v>561.5</v>
      </c>
      <c r="AB1129" s="3">
        <v>94.239000000000004</v>
      </c>
      <c r="AC1129" s="3">
        <f t="shared" si="133"/>
        <v>94.162260000000003</v>
      </c>
      <c r="AD1129" s="1">
        <f t="shared" si="131"/>
        <v>8.2685713270483172E-2</v>
      </c>
    </row>
    <row r="1130" spans="20:30" x14ac:dyDescent="0.2">
      <c r="T1130" s="4">
        <v>250.01195999999999</v>
      </c>
      <c r="U1130" s="1">
        <v>562</v>
      </c>
      <c r="V1130" s="5">
        <v>83.935919999999996</v>
      </c>
      <c r="W1130" s="3">
        <f t="shared" si="132"/>
        <v>88.093319999999991</v>
      </c>
      <c r="X1130" s="1">
        <f t="shared" si="134"/>
        <v>0.15063286718361013</v>
      </c>
      <c r="Z1130" s="4">
        <v>250.01456999999999</v>
      </c>
      <c r="AA1130" s="1">
        <v>562</v>
      </c>
      <c r="AB1130" s="5">
        <v>94.213390000000004</v>
      </c>
      <c r="AC1130" s="3">
        <f t="shared" si="133"/>
        <v>94.136650000000003</v>
      </c>
      <c r="AD1130" s="1">
        <f t="shared" si="131"/>
        <v>8.2992017340570531E-2</v>
      </c>
    </row>
    <row r="1131" spans="20:30" x14ac:dyDescent="0.2">
      <c r="T1131" s="4">
        <v>250.00398999999999</v>
      </c>
      <c r="U1131" s="1">
        <v>562.5</v>
      </c>
      <c r="V1131" s="3">
        <v>83.931849999999997</v>
      </c>
      <c r="W1131" s="3">
        <f t="shared" si="132"/>
        <v>88.089249999999993</v>
      </c>
      <c r="X1131" s="1">
        <f t="shared" si="134"/>
        <v>0.1506817600735196</v>
      </c>
      <c r="Z1131" s="4">
        <v>250.01584</v>
      </c>
      <c r="AA1131" s="1">
        <v>562.5</v>
      </c>
      <c r="AB1131" s="3">
        <v>94.371290000000002</v>
      </c>
      <c r="AC1131" s="3">
        <f t="shared" si="133"/>
        <v>94.294550000000001</v>
      </c>
      <c r="AD1131" s="1">
        <f t="shared" si="131"/>
        <v>8.1103481117735937E-2</v>
      </c>
    </row>
    <row r="1132" spans="20:30" x14ac:dyDescent="0.2">
      <c r="T1132" s="4">
        <v>250.01407</v>
      </c>
      <c r="U1132" s="1">
        <v>563</v>
      </c>
      <c r="V1132" s="5">
        <v>83.921940000000006</v>
      </c>
      <c r="W1132" s="3">
        <f t="shared" si="132"/>
        <v>88.079340000000002</v>
      </c>
      <c r="X1132" s="1">
        <f t="shared" si="134"/>
        <v>0.15080080885460129</v>
      </c>
      <c r="Z1132" s="4">
        <v>250.01683</v>
      </c>
      <c r="AA1132" s="1">
        <v>563</v>
      </c>
      <c r="AB1132" s="5">
        <v>94.258129999999994</v>
      </c>
      <c r="AC1132" s="3">
        <f t="shared" si="133"/>
        <v>94.181389999999993</v>
      </c>
      <c r="AD1132" s="1">
        <f t="shared" si="131"/>
        <v>8.2456912143549624E-2</v>
      </c>
    </row>
    <row r="1133" spans="20:30" x14ac:dyDescent="0.2">
      <c r="T1133" s="4">
        <v>250.01105000000001</v>
      </c>
      <c r="U1133" s="1">
        <v>563.5</v>
      </c>
      <c r="V1133" s="3">
        <v>83.907780000000002</v>
      </c>
      <c r="W1133" s="3">
        <f t="shared" si="132"/>
        <v>88.065179999999998</v>
      </c>
      <c r="X1133" s="1">
        <f t="shared" si="134"/>
        <v>0.15097091286470407</v>
      </c>
      <c r="Z1133" s="4">
        <v>250.01613</v>
      </c>
      <c r="AA1133" s="1">
        <v>563.5</v>
      </c>
      <c r="AB1133" s="3">
        <v>94.251350000000002</v>
      </c>
      <c r="AC1133" s="3">
        <f t="shared" si="133"/>
        <v>94.174610000000001</v>
      </c>
      <c r="AD1133" s="1">
        <f t="shared" si="131"/>
        <v>8.2538003185923303E-2</v>
      </c>
    </row>
    <row r="1134" spans="20:30" x14ac:dyDescent="0.2">
      <c r="T1134" s="4">
        <v>250.01197999999999</v>
      </c>
      <c r="U1134" s="1">
        <v>564</v>
      </c>
      <c r="V1134" s="5">
        <v>83.927819999999997</v>
      </c>
      <c r="W1134" s="3">
        <f t="shared" si="132"/>
        <v>88.085219999999993</v>
      </c>
      <c r="X1134" s="1">
        <f t="shared" si="134"/>
        <v>0.15073017244362652</v>
      </c>
      <c r="Z1134" s="4">
        <v>250.01984999999999</v>
      </c>
      <c r="AA1134" s="1">
        <v>564</v>
      </c>
      <c r="AB1134" s="5">
        <v>94.216909999999999</v>
      </c>
      <c r="AC1134" s="3">
        <f t="shared" si="133"/>
        <v>94.140169999999998</v>
      </c>
      <c r="AD1134" s="1">
        <f t="shared" si="131"/>
        <v>8.2949916976388344E-2</v>
      </c>
    </row>
    <row r="1135" spans="20:30" x14ac:dyDescent="0.2">
      <c r="T1135" s="4">
        <v>250.00296</v>
      </c>
      <c r="U1135" s="1">
        <v>564.5</v>
      </c>
      <c r="V1135" s="3">
        <v>83.903760000000005</v>
      </c>
      <c r="W1135" s="3">
        <f t="shared" si="132"/>
        <v>88.061160000000001</v>
      </c>
      <c r="X1135" s="1">
        <f t="shared" si="134"/>
        <v>0.15101920510486033</v>
      </c>
      <c r="Z1135" s="4">
        <v>250.02021999999999</v>
      </c>
      <c r="AA1135" s="1">
        <v>564.5</v>
      </c>
      <c r="AB1135" s="3">
        <v>94.25855</v>
      </c>
      <c r="AC1135" s="3">
        <f t="shared" si="133"/>
        <v>94.181809999999999</v>
      </c>
      <c r="AD1135" s="1">
        <f t="shared" si="131"/>
        <v>8.2451888804641452E-2</v>
      </c>
    </row>
    <row r="1136" spans="20:30" x14ac:dyDescent="0.2">
      <c r="T1136" s="4">
        <v>250.00194999999999</v>
      </c>
      <c r="U1136" s="1">
        <v>565</v>
      </c>
      <c r="V1136" s="5">
        <v>83.909739999999999</v>
      </c>
      <c r="W1136" s="3">
        <f t="shared" si="132"/>
        <v>88.067139999999995</v>
      </c>
      <c r="X1136" s="1">
        <f t="shared" si="134"/>
        <v>0.15094736739437914</v>
      </c>
      <c r="Z1136" s="4">
        <v>250.01876999999999</v>
      </c>
      <c r="AA1136" s="1">
        <v>565</v>
      </c>
      <c r="AB1136" s="5">
        <v>94.377740000000003</v>
      </c>
      <c r="AC1136" s="3">
        <f t="shared" si="133"/>
        <v>94.301000000000002</v>
      </c>
      <c r="AD1136" s="1">
        <f t="shared" si="131"/>
        <v>8.1026336984504246E-2</v>
      </c>
    </row>
    <row r="1137" spans="20:30" x14ac:dyDescent="0.2">
      <c r="T1137" s="4">
        <v>250.00102000000001</v>
      </c>
      <c r="U1137" s="1">
        <v>565.5</v>
      </c>
      <c r="V1137" s="3">
        <v>83.881739999999994</v>
      </c>
      <c r="W1137" s="3">
        <f t="shared" si="132"/>
        <v>88.039139999999989</v>
      </c>
      <c r="X1137" s="1">
        <f t="shared" si="134"/>
        <v>0.15128373125616432</v>
      </c>
      <c r="Z1137" s="4">
        <v>250.01623000000001</v>
      </c>
      <c r="AA1137" s="1">
        <v>565.5</v>
      </c>
      <c r="AB1137" s="3">
        <v>94.288880000000006</v>
      </c>
      <c r="AC1137" s="3">
        <f t="shared" si="133"/>
        <v>94.212140000000005</v>
      </c>
      <c r="AD1137" s="1">
        <f t="shared" si="131"/>
        <v>8.2089131973491436E-2</v>
      </c>
    </row>
    <row r="1138" spans="20:30" x14ac:dyDescent="0.2">
      <c r="T1138" s="4">
        <v>250.00203999999999</v>
      </c>
      <c r="U1138" s="1">
        <v>566</v>
      </c>
      <c r="V1138" s="5">
        <v>83.879750000000001</v>
      </c>
      <c r="W1138" s="3">
        <f t="shared" si="132"/>
        <v>88.037149999999997</v>
      </c>
      <c r="X1138" s="1">
        <f t="shared" si="134"/>
        <v>0.15130763711634107</v>
      </c>
      <c r="Z1138" s="4">
        <v>250.01657</v>
      </c>
      <c r="AA1138" s="1">
        <v>566</v>
      </c>
      <c r="AB1138" s="5">
        <v>94.316569999999999</v>
      </c>
      <c r="AC1138" s="3">
        <f t="shared" si="133"/>
        <v>94.239829999999998</v>
      </c>
      <c r="AD1138" s="1">
        <f t="shared" si="131"/>
        <v>8.1757950415478287E-2</v>
      </c>
    </row>
    <row r="1139" spans="20:30" x14ac:dyDescent="0.2">
      <c r="T1139" s="4">
        <v>250.00701000000001</v>
      </c>
      <c r="U1139" s="1">
        <v>566.5</v>
      </c>
      <c r="V1139" s="3">
        <v>83.879720000000006</v>
      </c>
      <c r="W1139" s="3">
        <f t="shared" si="132"/>
        <v>88.037120000000002</v>
      </c>
      <c r="X1139" s="1">
        <f t="shared" si="134"/>
        <v>0.15130799750619295</v>
      </c>
      <c r="Z1139" s="4">
        <v>250.01362</v>
      </c>
      <c r="AA1139" s="1">
        <v>566.5</v>
      </c>
      <c r="AB1139" s="3">
        <v>94.342870000000005</v>
      </c>
      <c r="AC1139" s="3">
        <f t="shared" si="133"/>
        <v>94.266130000000004</v>
      </c>
      <c r="AD1139" s="1">
        <f t="shared" si="131"/>
        <v>8.1443393717184662E-2</v>
      </c>
    </row>
    <row r="1140" spans="20:30" x14ac:dyDescent="0.2">
      <c r="T1140" s="4">
        <v>250.00103999999999</v>
      </c>
      <c r="U1140" s="1">
        <v>567</v>
      </c>
      <c r="V1140" s="5">
        <v>83.857709999999997</v>
      </c>
      <c r="W1140" s="3">
        <f t="shared" si="132"/>
        <v>88.015109999999993</v>
      </c>
      <c r="X1140" s="1">
        <f t="shared" si="134"/>
        <v>0.15157240352754625</v>
      </c>
      <c r="Z1140" s="4">
        <v>250.01557</v>
      </c>
      <c r="AA1140" s="1">
        <v>567</v>
      </c>
      <c r="AB1140" s="5">
        <v>94.338030000000003</v>
      </c>
      <c r="AC1140" s="3">
        <f t="shared" si="133"/>
        <v>94.261290000000002</v>
      </c>
      <c r="AD1140" s="1">
        <f t="shared" si="131"/>
        <v>8.1501281717935289E-2</v>
      </c>
    </row>
    <row r="1141" spans="20:30" x14ac:dyDescent="0.2">
      <c r="T1141" s="4">
        <v>250.00503</v>
      </c>
      <c r="U1141" s="1">
        <v>567.5</v>
      </c>
      <c r="V1141" s="3">
        <v>83.857529999999997</v>
      </c>
      <c r="W1141" s="3">
        <f t="shared" si="132"/>
        <v>88.014929999999993</v>
      </c>
      <c r="X1141" s="1">
        <f t="shared" si="134"/>
        <v>0.15157456586665774</v>
      </c>
      <c r="Z1141" s="4">
        <v>250.01465999999999</v>
      </c>
      <c r="AA1141" s="1">
        <v>567.5</v>
      </c>
      <c r="AB1141" s="3">
        <v>94.225309999999993</v>
      </c>
      <c r="AC1141" s="3">
        <f t="shared" si="133"/>
        <v>94.148569999999992</v>
      </c>
      <c r="AD1141" s="1">
        <f t="shared" si="131"/>
        <v>8.2849450198226218E-2</v>
      </c>
    </row>
    <row r="1142" spans="20:30" x14ac:dyDescent="0.2">
      <c r="T1142" s="4">
        <v>250.00703999999999</v>
      </c>
      <c r="U1142" s="1">
        <v>568</v>
      </c>
      <c r="V1142" s="5">
        <v>83.861519999999999</v>
      </c>
      <c r="W1142" s="3">
        <f t="shared" si="132"/>
        <v>88.018919999999994</v>
      </c>
      <c r="X1142" s="1">
        <f t="shared" si="134"/>
        <v>0.15152663401635333</v>
      </c>
      <c r="Z1142" s="4">
        <v>250.01441</v>
      </c>
      <c r="AA1142" s="1">
        <v>568</v>
      </c>
      <c r="AB1142" s="5">
        <v>94.315150000000003</v>
      </c>
      <c r="AC1142" s="3">
        <f t="shared" si="133"/>
        <v>94.238410000000002</v>
      </c>
      <c r="AD1142" s="1">
        <f t="shared" si="131"/>
        <v>8.1774934085119946E-2</v>
      </c>
    </row>
    <row r="1143" spans="20:30" x14ac:dyDescent="0.2">
      <c r="T1143" s="4">
        <v>250.006</v>
      </c>
      <c r="U1143" s="1">
        <v>568.5</v>
      </c>
      <c r="V1143" s="3">
        <v>83.837400000000002</v>
      </c>
      <c r="W1143" s="3">
        <f t="shared" si="132"/>
        <v>87.994799999999998</v>
      </c>
      <c r="X1143" s="1">
        <f t="shared" si="134"/>
        <v>0.15181638745729101</v>
      </c>
      <c r="Z1143" s="4">
        <v>250.01317</v>
      </c>
      <c r="AA1143" s="1">
        <v>568.5</v>
      </c>
      <c r="AB1143" s="3">
        <v>94.300250000000005</v>
      </c>
      <c r="AC1143" s="3">
        <f t="shared" si="133"/>
        <v>94.223510000000005</v>
      </c>
      <c r="AD1143" s="1">
        <f t="shared" si="131"/>
        <v>8.195314301305047E-2</v>
      </c>
    </row>
    <row r="1144" spans="20:30" x14ac:dyDescent="0.2">
      <c r="T1144" s="4">
        <v>250.01101</v>
      </c>
      <c r="U1144" s="1">
        <v>569</v>
      </c>
      <c r="V1144" s="5">
        <v>83.821460000000002</v>
      </c>
      <c r="W1144" s="3">
        <f t="shared" si="132"/>
        <v>87.978859999999997</v>
      </c>
      <c r="X1144" s="1">
        <f t="shared" si="134"/>
        <v>0.15200787459860723</v>
      </c>
      <c r="Z1144" s="4">
        <v>250.01128</v>
      </c>
      <c r="AA1144" s="1">
        <v>569</v>
      </c>
      <c r="AB1144" s="5">
        <v>94.220920000000007</v>
      </c>
      <c r="AC1144" s="3">
        <f t="shared" si="133"/>
        <v>94.144180000000006</v>
      </c>
      <c r="AD1144" s="1">
        <f t="shared" si="131"/>
        <v>8.2901956050146539E-2</v>
      </c>
    </row>
    <row r="1145" spans="20:30" x14ac:dyDescent="0.2">
      <c r="T1145" s="4">
        <v>250.01002</v>
      </c>
      <c r="U1145" s="1">
        <v>569.5</v>
      </c>
      <c r="V1145" s="3">
        <v>83.813469999999995</v>
      </c>
      <c r="W1145" s="3">
        <f t="shared" si="132"/>
        <v>87.970869999999991</v>
      </c>
      <c r="X1145" s="1">
        <f t="shared" si="134"/>
        <v>0.15210385842916671</v>
      </c>
      <c r="Z1145" s="4">
        <v>250.01354000000001</v>
      </c>
      <c r="AA1145" s="1">
        <v>569.5</v>
      </c>
      <c r="AB1145" s="3">
        <v>94.259119999999996</v>
      </c>
      <c r="AC1145" s="3">
        <f t="shared" si="133"/>
        <v>94.182379999999995</v>
      </c>
      <c r="AD1145" s="1">
        <f t="shared" si="131"/>
        <v>8.2445071416123339E-2</v>
      </c>
    </row>
    <row r="1146" spans="20:30" x14ac:dyDescent="0.2">
      <c r="T1146" s="4">
        <v>250.00398000000001</v>
      </c>
      <c r="U1146" s="1">
        <v>570</v>
      </c>
      <c r="V1146" s="5">
        <v>83.815330000000003</v>
      </c>
      <c r="W1146" s="3">
        <f t="shared" si="132"/>
        <v>87.972729999999999</v>
      </c>
      <c r="X1146" s="1">
        <f t="shared" si="134"/>
        <v>0.15208151425834804</v>
      </c>
      <c r="Z1146" s="4">
        <v>250.01607000000001</v>
      </c>
      <c r="AA1146" s="1">
        <v>570</v>
      </c>
      <c r="AB1146" s="5">
        <v>94.22963</v>
      </c>
      <c r="AC1146" s="3">
        <f t="shared" si="133"/>
        <v>94.152889999999999</v>
      </c>
      <c r="AD1146" s="1">
        <f t="shared" si="131"/>
        <v>8.2797781569456996E-2</v>
      </c>
    </row>
    <row r="1147" spans="20:30" x14ac:dyDescent="0.2">
      <c r="T1147" s="4">
        <v>250.00305</v>
      </c>
      <c r="U1147" s="1">
        <v>570.5</v>
      </c>
      <c r="V1147" s="3">
        <v>83.815529999999995</v>
      </c>
      <c r="W1147" s="3">
        <f t="shared" si="132"/>
        <v>87.972929999999991</v>
      </c>
      <c r="X1147" s="1">
        <f t="shared" si="134"/>
        <v>0.15207911165933538</v>
      </c>
      <c r="Z1147" s="4">
        <v>250.01594</v>
      </c>
      <c r="AA1147" s="1">
        <v>570.5</v>
      </c>
      <c r="AB1147" s="3">
        <v>94.202669999999998</v>
      </c>
      <c r="AC1147" s="3">
        <f t="shared" si="133"/>
        <v>94.125929999999997</v>
      </c>
      <c r="AD1147" s="1">
        <f t="shared" si="131"/>
        <v>8.3120232086034751E-2</v>
      </c>
    </row>
    <row r="1148" spans="20:30" x14ac:dyDescent="0.2">
      <c r="T1148" s="4">
        <v>250.00503</v>
      </c>
      <c r="U1148" s="1">
        <v>571</v>
      </c>
      <c r="V1148" s="5">
        <v>83.815510000000003</v>
      </c>
      <c r="W1148" s="3">
        <f t="shared" si="132"/>
        <v>87.972909999999999</v>
      </c>
      <c r="X1148" s="1">
        <f t="shared" si="134"/>
        <v>0.15207935191923655</v>
      </c>
      <c r="Z1148" s="4">
        <v>250.01537999999999</v>
      </c>
      <c r="AA1148" s="1">
        <v>571</v>
      </c>
      <c r="AB1148" s="5">
        <v>94.154939999999996</v>
      </c>
      <c r="AC1148" s="3">
        <f t="shared" si="133"/>
        <v>94.078199999999995</v>
      </c>
      <c r="AD1148" s="1">
        <f t="shared" si="131"/>
        <v>8.3691098671949252E-2</v>
      </c>
    </row>
    <row r="1149" spans="20:30" x14ac:dyDescent="0.2">
      <c r="T1149" s="4">
        <v>250.00396000000001</v>
      </c>
      <c r="U1149" s="1">
        <v>571.5</v>
      </c>
      <c r="V1149" s="3">
        <v>83.803370000000001</v>
      </c>
      <c r="W1149" s="3">
        <f t="shared" si="132"/>
        <v>87.960769999999997</v>
      </c>
      <c r="X1149" s="1">
        <f t="shared" si="134"/>
        <v>0.15222518967931054</v>
      </c>
      <c r="Z1149" s="4">
        <v>250.01561000000001</v>
      </c>
      <c r="AA1149" s="1">
        <v>571.5</v>
      </c>
      <c r="AB1149" s="3">
        <v>94.184659999999994</v>
      </c>
      <c r="AC1149" s="3">
        <f t="shared" si="133"/>
        <v>94.107919999999993</v>
      </c>
      <c r="AD1149" s="1">
        <f t="shared" si="131"/>
        <v>8.3335637642546839E-2</v>
      </c>
    </row>
    <row r="1150" spans="20:30" x14ac:dyDescent="0.2">
      <c r="T1150" s="4">
        <v>250.00398999999999</v>
      </c>
      <c r="U1150" s="1">
        <v>572</v>
      </c>
      <c r="V1150" s="5">
        <v>83.783230000000003</v>
      </c>
      <c r="W1150" s="3">
        <f t="shared" si="132"/>
        <v>87.940629999999999</v>
      </c>
      <c r="X1150" s="1">
        <f t="shared" si="134"/>
        <v>0.15246713139989451</v>
      </c>
      <c r="Z1150" s="4">
        <v>250.01729</v>
      </c>
      <c r="AA1150" s="1">
        <v>572</v>
      </c>
      <c r="AB1150" s="5">
        <v>94.309759999999997</v>
      </c>
      <c r="AC1150" s="3">
        <f t="shared" si="133"/>
        <v>94.233019999999996</v>
      </c>
      <c r="AD1150" s="1">
        <f t="shared" si="131"/>
        <v>8.1839400267774087E-2</v>
      </c>
    </row>
    <row r="1151" spans="20:30" x14ac:dyDescent="0.2">
      <c r="T1151" s="4">
        <v>250.00697</v>
      </c>
      <c r="U1151" s="1">
        <v>572.5</v>
      </c>
      <c r="V1151" s="3">
        <v>83.763379999999998</v>
      </c>
      <c r="W1151" s="3">
        <f t="shared" si="132"/>
        <v>87.920779999999993</v>
      </c>
      <c r="X1151" s="1">
        <f t="shared" si="134"/>
        <v>0.15270558935191006</v>
      </c>
      <c r="Z1151" s="4">
        <v>250.02256</v>
      </c>
      <c r="AA1151" s="1">
        <v>572.5</v>
      </c>
      <c r="AB1151" s="3">
        <v>94.136880000000005</v>
      </c>
      <c r="AC1151" s="3">
        <f t="shared" si="133"/>
        <v>94.060140000000004</v>
      </c>
      <c r="AD1151" s="1">
        <f t="shared" ref="AD1151:AD1205" si="135">($AC$62-AC1151)/($AC$62*(1-$M$1))</f>
        <v>8.3907102244997867E-2</v>
      </c>
    </row>
    <row r="1152" spans="20:30" x14ac:dyDescent="0.2">
      <c r="T1152" s="4">
        <v>250.00997000000001</v>
      </c>
      <c r="U1152" s="1">
        <v>573</v>
      </c>
      <c r="V1152" s="5">
        <v>83.765379999999993</v>
      </c>
      <c r="W1152" s="3">
        <f t="shared" si="132"/>
        <v>87.922779999999989</v>
      </c>
      <c r="X1152" s="1">
        <f t="shared" si="134"/>
        <v>0.15268156336178262</v>
      </c>
      <c r="Z1152" s="4">
        <v>250.02088000000001</v>
      </c>
      <c r="AA1152" s="1">
        <v>573</v>
      </c>
      <c r="AB1152" s="5">
        <v>94.152280000000005</v>
      </c>
      <c r="AC1152" s="3">
        <f t="shared" si="133"/>
        <v>94.075540000000004</v>
      </c>
      <c r="AD1152" s="1">
        <f t="shared" si="135"/>
        <v>8.3722913151700509E-2</v>
      </c>
    </row>
    <row r="1153" spans="20:30" x14ac:dyDescent="0.2">
      <c r="T1153" s="4">
        <v>250.00303</v>
      </c>
      <c r="U1153" s="1">
        <v>573.5</v>
      </c>
      <c r="V1153" s="3">
        <v>83.745339999999999</v>
      </c>
      <c r="W1153" s="3">
        <f t="shared" si="132"/>
        <v>87.902739999999994</v>
      </c>
      <c r="X1153" s="1">
        <f t="shared" si="134"/>
        <v>0.15292230378286018</v>
      </c>
      <c r="Z1153" s="4">
        <v>250.01750999999999</v>
      </c>
      <c r="AA1153" s="1">
        <v>573.5</v>
      </c>
      <c r="AB1153" s="3">
        <v>94.115989999999996</v>
      </c>
      <c r="AC1153" s="3">
        <f t="shared" si="133"/>
        <v>94.039249999999996</v>
      </c>
      <c r="AD1153" s="1">
        <f t="shared" si="135"/>
        <v>8.4156953554022765E-2</v>
      </c>
    </row>
    <row r="1154" spans="20:30" x14ac:dyDescent="0.2">
      <c r="T1154" s="4">
        <v>250.00496000000001</v>
      </c>
      <c r="U1154" s="1">
        <v>574</v>
      </c>
      <c r="V1154" s="5">
        <v>83.749459999999999</v>
      </c>
      <c r="W1154" s="3">
        <f t="shared" si="132"/>
        <v>87.906859999999995</v>
      </c>
      <c r="X1154" s="1">
        <f t="shared" si="134"/>
        <v>0.15287281024319749</v>
      </c>
      <c r="Z1154" s="4">
        <v>250.01641000000001</v>
      </c>
      <c r="AA1154" s="1">
        <v>574</v>
      </c>
      <c r="AB1154" s="5">
        <v>94.045419999999993</v>
      </c>
      <c r="AC1154" s="3">
        <f t="shared" si="133"/>
        <v>93.968679999999992</v>
      </c>
      <c r="AD1154" s="1">
        <f t="shared" si="135"/>
        <v>8.5000994093892598E-2</v>
      </c>
    </row>
    <row r="1155" spans="20:30" x14ac:dyDescent="0.2">
      <c r="T1155" s="4">
        <v>250.00603000000001</v>
      </c>
      <c r="U1155" s="1">
        <v>574.5</v>
      </c>
      <c r="V1155" s="3">
        <v>83.727130000000002</v>
      </c>
      <c r="W1155" s="3">
        <f t="shared" si="132"/>
        <v>87.884529999999998</v>
      </c>
      <c r="X1155" s="1">
        <f t="shared" si="134"/>
        <v>0.15314106042297107</v>
      </c>
      <c r="Z1155" s="4">
        <v>250.01617999999999</v>
      </c>
      <c r="AA1155" s="1">
        <v>574.5</v>
      </c>
      <c r="AB1155" s="3">
        <v>94.03989</v>
      </c>
      <c r="AC1155" s="3">
        <f t="shared" si="133"/>
        <v>93.963149999999999</v>
      </c>
      <c r="AD1155" s="1">
        <f t="shared" si="135"/>
        <v>8.5067134722849297E-2</v>
      </c>
    </row>
    <row r="1156" spans="20:30" x14ac:dyDescent="0.2">
      <c r="T1156" s="4">
        <v>250.00702999999999</v>
      </c>
      <c r="U1156" s="1">
        <v>575</v>
      </c>
      <c r="V1156" s="5">
        <v>83.727140000000006</v>
      </c>
      <c r="W1156" s="3">
        <f t="shared" si="132"/>
        <v>87.884540000000001</v>
      </c>
      <c r="X1156" s="1">
        <f t="shared" si="134"/>
        <v>0.15314094029302039</v>
      </c>
      <c r="Z1156" s="4">
        <v>250.01729</v>
      </c>
      <c r="AA1156" s="1">
        <v>575</v>
      </c>
      <c r="AB1156" s="5">
        <v>94.188779999999994</v>
      </c>
      <c r="AC1156" s="3">
        <f t="shared" si="133"/>
        <v>94.112039999999993</v>
      </c>
      <c r="AD1156" s="1">
        <f t="shared" si="135"/>
        <v>8.3286361079924418E-2</v>
      </c>
    </row>
    <row r="1157" spans="20:30" x14ac:dyDescent="0.2">
      <c r="T1157" s="4">
        <v>250.01105999999999</v>
      </c>
      <c r="U1157" s="1">
        <v>575.5</v>
      </c>
      <c r="V1157" s="3">
        <v>83.705179999999999</v>
      </c>
      <c r="W1157" s="3">
        <f t="shared" si="132"/>
        <v>87.862579999999994</v>
      </c>
      <c r="X1157" s="1">
        <f t="shared" si="134"/>
        <v>0.15340474566462048</v>
      </c>
      <c r="Z1157" s="4">
        <v>250.01258999999999</v>
      </c>
      <c r="AA1157" s="1">
        <v>575.5</v>
      </c>
      <c r="AB1157" s="3">
        <v>94.075059999999993</v>
      </c>
      <c r="AC1157" s="3">
        <f t="shared" si="133"/>
        <v>93.998319999999993</v>
      </c>
      <c r="AD1157" s="1">
        <f t="shared" si="135"/>
        <v>8.4646489890948834E-2</v>
      </c>
    </row>
    <row r="1158" spans="20:30" x14ac:dyDescent="0.2">
      <c r="T1158" s="4">
        <v>250.00994</v>
      </c>
      <c r="U1158" s="1">
        <v>576</v>
      </c>
      <c r="V1158" s="5">
        <v>83.693049999999999</v>
      </c>
      <c r="W1158" s="3">
        <f t="shared" si="132"/>
        <v>87.850449999999995</v>
      </c>
      <c r="X1158" s="1">
        <f t="shared" si="134"/>
        <v>0.15355046329474381</v>
      </c>
      <c r="Z1158" s="4">
        <v>250.00827000000001</v>
      </c>
      <c r="AA1158" s="1">
        <v>576</v>
      </c>
      <c r="AB1158" s="5">
        <v>94.150440000000003</v>
      </c>
      <c r="AC1158" s="3">
        <f t="shared" si="133"/>
        <v>94.073700000000002</v>
      </c>
      <c r="AD1158" s="1">
        <f t="shared" si="135"/>
        <v>8.3744920160250341E-2</v>
      </c>
    </row>
    <row r="1159" spans="20:30" x14ac:dyDescent="0.2">
      <c r="T1159" s="4">
        <v>250.00700000000001</v>
      </c>
      <c r="U1159" s="1">
        <v>576.5</v>
      </c>
      <c r="V1159" s="3">
        <v>83.709280000000007</v>
      </c>
      <c r="W1159" s="3">
        <f t="shared" ref="W1159:W1205" si="136">100-($V$6-V1159)</f>
        <v>87.866680000000002</v>
      </c>
      <c r="X1159" s="1">
        <f t="shared" si="134"/>
        <v>0.15335549238485902</v>
      </c>
      <c r="Z1159" s="4">
        <v>250.00994</v>
      </c>
      <c r="AA1159" s="1">
        <v>576.5</v>
      </c>
      <c r="AB1159" s="3">
        <v>94.123750000000001</v>
      </c>
      <c r="AC1159" s="3">
        <f t="shared" ref="AC1159:AC1205" si="137">100-($AB$6-AB1159)</f>
        <v>94.04701</v>
      </c>
      <c r="AD1159" s="1">
        <f t="shared" si="135"/>
        <v>8.4064141387530017E-2</v>
      </c>
    </row>
    <row r="1160" spans="20:30" x14ac:dyDescent="0.2">
      <c r="T1160" s="4">
        <v>250.00102999999999</v>
      </c>
      <c r="U1160" s="1">
        <v>577</v>
      </c>
      <c r="V1160" s="5">
        <v>83.673010000000005</v>
      </c>
      <c r="W1160" s="3">
        <f t="shared" si="136"/>
        <v>87.830410000000001</v>
      </c>
      <c r="X1160" s="1">
        <f t="shared" si="134"/>
        <v>0.15379120371582136</v>
      </c>
      <c r="Z1160" s="4">
        <v>250.00903</v>
      </c>
      <c r="AA1160" s="1">
        <v>577</v>
      </c>
      <c r="AB1160" s="5">
        <v>94.179169999999999</v>
      </c>
      <c r="AC1160" s="3">
        <f t="shared" si="137"/>
        <v>94.102429999999998</v>
      </c>
      <c r="AD1160" s="1">
        <f t="shared" si="135"/>
        <v>8.3401299858274214E-2</v>
      </c>
    </row>
    <row r="1161" spans="20:30" x14ac:dyDescent="0.2">
      <c r="T1161" s="4">
        <v>250.006</v>
      </c>
      <c r="U1161" s="1">
        <v>577.5</v>
      </c>
      <c r="V1161" s="3">
        <v>83.676820000000006</v>
      </c>
      <c r="W1161" s="3">
        <f t="shared" si="136"/>
        <v>87.834220000000002</v>
      </c>
      <c r="X1161" s="1">
        <f t="shared" si="134"/>
        <v>0.15374543420462844</v>
      </c>
      <c r="Z1161" s="4">
        <v>250.01092</v>
      </c>
      <c r="AA1161" s="1">
        <v>577.5</v>
      </c>
      <c r="AB1161" s="3">
        <v>94.124639999999999</v>
      </c>
      <c r="AC1161" s="3">
        <f t="shared" si="137"/>
        <v>94.047899999999998</v>
      </c>
      <c r="AD1161" s="1">
        <f t="shared" si="135"/>
        <v>8.4053496693177132E-2</v>
      </c>
    </row>
    <row r="1162" spans="20:30" x14ac:dyDescent="0.2">
      <c r="T1162" s="4">
        <v>250.00603000000001</v>
      </c>
      <c r="U1162" s="1">
        <v>578</v>
      </c>
      <c r="V1162" s="5">
        <v>83.679150000000007</v>
      </c>
      <c r="W1162" s="3">
        <f t="shared" si="136"/>
        <v>87.836550000000003</v>
      </c>
      <c r="X1162" s="1">
        <f t="shared" si="134"/>
        <v>0.15371744392612988</v>
      </c>
      <c r="Z1162" s="4">
        <v>250.00953000000001</v>
      </c>
      <c r="AA1162" s="1">
        <v>578</v>
      </c>
      <c r="AB1162" s="5">
        <v>94.162270000000007</v>
      </c>
      <c r="AC1162" s="3">
        <f t="shared" si="137"/>
        <v>94.085530000000006</v>
      </c>
      <c r="AD1162" s="1">
        <f t="shared" si="135"/>
        <v>8.3603429447671879E-2</v>
      </c>
    </row>
    <row r="1163" spans="20:30" x14ac:dyDescent="0.2">
      <c r="T1163" s="4">
        <v>250.00699</v>
      </c>
      <c r="U1163" s="1">
        <v>578.5</v>
      </c>
      <c r="V1163" s="3">
        <v>83.658789999999996</v>
      </c>
      <c r="W1163" s="3">
        <f t="shared" si="136"/>
        <v>87.816189999999992</v>
      </c>
      <c r="X1163" s="1">
        <f t="shared" si="134"/>
        <v>0.15396202850562801</v>
      </c>
      <c r="Z1163" s="4">
        <v>250.00942000000001</v>
      </c>
      <c r="AA1163" s="1">
        <v>578.5</v>
      </c>
      <c r="AB1163" s="3">
        <v>94.080939999999998</v>
      </c>
      <c r="AC1163" s="3">
        <f t="shared" si="137"/>
        <v>94.004199999999997</v>
      </c>
      <c r="AD1163" s="1">
        <f t="shared" si="135"/>
        <v>8.4576163146235242E-2</v>
      </c>
    </row>
    <row r="1164" spans="20:30" x14ac:dyDescent="0.2">
      <c r="T1164" s="4">
        <v>250.00597999999999</v>
      </c>
      <c r="U1164" s="1">
        <v>579</v>
      </c>
      <c r="V1164" s="5">
        <v>83.665080000000003</v>
      </c>
      <c r="W1164" s="3">
        <f t="shared" si="136"/>
        <v>87.822479999999999</v>
      </c>
      <c r="X1164" s="1">
        <f t="shared" si="134"/>
        <v>0.15388646676667694</v>
      </c>
      <c r="Z1164" s="4">
        <v>250.01134999999999</v>
      </c>
      <c r="AA1164" s="1">
        <v>579</v>
      </c>
      <c r="AB1164" s="5">
        <v>94.230029999999999</v>
      </c>
      <c r="AC1164" s="3">
        <f t="shared" si="137"/>
        <v>94.153289999999998</v>
      </c>
      <c r="AD1164" s="1">
        <f t="shared" si="135"/>
        <v>8.2792997437163576E-2</v>
      </c>
    </row>
    <row r="1165" spans="20:30" x14ac:dyDescent="0.2">
      <c r="T1165" s="4">
        <v>250.006</v>
      </c>
      <c r="U1165" s="1">
        <v>579.5</v>
      </c>
      <c r="V1165" s="3">
        <v>83.673019999999994</v>
      </c>
      <c r="W1165" s="3">
        <f t="shared" si="136"/>
        <v>87.830419999999989</v>
      </c>
      <c r="X1165" s="1">
        <f t="shared" si="134"/>
        <v>0.15379108358587085</v>
      </c>
      <c r="Z1165" s="4">
        <v>250.01021</v>
      </c>
      <c r="AA1165" s="1">
        <v>579.5</v>
      </c>
      <c r="AB1165" s="3">
        <v>94.071389999999994</v>
      </c>
      <c r="AC1165" s="3">
        <f t="shared" si="137"/>
        <v>93.994649999999993</v>
      </c>
      <c r="AD1165" s="1">
        <f t="shared" si="135"/>
        <v>8.4690384304741129E-2</v>
      </c>
    </row>
    <row r="1166" spans="20:30" x14ac:dyDescent="0.2">
      <c r="T1166" s="4">
        <v>250.00199000000001</v>
      </c>
      <c r="U1166" s="1">
        <v>580</v>
      </c>
      <c r="V1166" s="5">
        <v>83.650909999999996</v>
      </c>
      <c r="W1166" s="3">
        <f t="shared" si="136"/>
        <v>87.808309999999992</v>
      </c>
      <c r="X1166" s="1">
        <f t="shared" si="134"/>
        <v>0.15405669090673041</v>
      </c>
      <c r="Z1166" s="4">
        <v>250.0087</v>
      </c>
      <c r="AA1166" s="1">
        <v>580</v>
      </c>
      <c r="AB1166" s="5">
        <v>94.103710000000007</v>
      </c>
      <c r="AC1166" s="3">
        <f t="shared" si="137"/>
        <v>94.026970000000006</v>
      </c>
      <c r="AD1166" s="1">
        <f t="shared" si="135"/>
        <v>8.4303826415431188E-2</v>
      </c>
    </row>
    <row r="1167" spans="20:30" x14ac:dyDescent="0.2">
      <c r="T1167" s="4">
        <v>250.00398999999999</v>
      </c>
      <c r="U1167" s="1">
        <v>580.5</v>
      </c>
      <c r="V1167" s="3">
        <v>83.638919999999999</v>
      </c>
      <c r="W1167" s="3">
        <f t="shared" si="136"/>
        <v>87.796319999999994</v>
      </c>
      <c r="X1167" s="1">
        <f t="shared" si="134"/>
        <v>0.15420072671754476</v>
      </c>
      <c r="Z1167" s="4">
        <v>250.01013</v>
      </c>
      <c r="AA1167" s="1">
        <v>580.5</v>
      </c>
      <c r="AB1167" s="3">
        <v>94.004480000000001</v>
      </c>
      <c r="AC1167" s="3">
        <f t="shared" si="137"/>
        <v>93.92774</v>
      </c>
      <c r="AD1167" s="1">
        <f t="shared" si="135"/>
        <v>8.549065003412587E-2</v>
      </c>
    </row>
    <row r="1168" spans="20:30" x14ac:dyDescent="0.2">
      <c r="T1168" s="4">
        <v>250.00497999999999</v>
      </c>
      <c r="U1168" s="1">
        <v>581</v>
      </c>
      <c r="V1168" s="5">
        <v>83.645020000000002</v>
      </c>
      <c r="W1168" s="3">
        <f t="shared" si="136"/>
        <v>87.802419999999998</v>
      </c>
      <c r="X1168" s="1">
        <f t="shared" si="134"/>
        <v>0.15412744744765583</v>
      </c>
      <c r="Z1168" s="4">
        <v>250.01092</v>
      </c>
      <c r="AA1168" s="1">
        <v>581</v>
      </c>
      <c r="AB1168" s="5">
        <v>94.132429999999999</v>
      </c>
      <c r="AC1168" s="3">
        <f t="shared" si="137"/>
        <v>94.055689999999998</v>
      </c>
      <c r="AD1168" s="1">
        <f t="shared" si="135"/>
        <v>8.396032571676243E-2</v>
      </c>
    </row>
    <row r="1169" spans="20:30" x14ac:dyDescent="0.2">
      <c r="T1169" s="4">
        <v>250.00503</v>
      </c>
      <c r="U1169" s="1">
        <v>581.5</v>
      </c>
      <c r="V1169" s="3">
        <v>83.620829999999998</v>
      </c>
      <c r="W1169" s="3">
        <f t="shared" si="136"/>
        <v>87.778229999999994</v>
      </c>
      <c r="X1169" s="1">
        <f t="shared" si="134"/>
        <v>0.15441804179824806</v>
      </c>
      <c r="Z1169" s="4">
        <v>250.01320999999999</v>
      </c>
      <c r="AA1169" s="1">
        <v>581.5</v>
      </c>
      <c r="AB1169" s="3">
        <v>94.063190000000006</v>
      </c>
      <c r="AC1169" s="3">
        <f t="shared" si="137"/>
        <v>93.986450000000005</v>
      </c>
      <c r="AD1169" s="1">
        <f t="shared" si="135"/>
        <v>8.4788459016756454E-2</v>
      </c>
    </row>
    <row r="1170" spans="20:30" x14ac:dyDescent="0.2">
      <c r="T1170" s="4">
        <v>250.00596999999999</v>
      </c>
      <c r="U1170" s="1">
        <v>582</v>
      </c>
      <c r="V1170" s="5">
        <v>83.610919999999993</v>
      </c>
      <c r="W1170" s="3">
        <f t="shared" si="136"/>
        <v>87.768319999999989</v>
      </c>
      <c r="X1170" s="1">
        <f t="shared" si="134"/>
        <v>0.15453709057932993</v>
      </c>
      <c r="Z1170" s="4">
        <v>250.01752999999999</v>
      </c>
      <c r="AA1170" s="1">
        <v>582</v>
      </c>
      <c r="AB1170" s="5">
        <v>93.992270000000005</v>
      </c>
      <c r="AC1170" s="3">
        <f t="shared" si="137"/>
        <v>93.915530000000004</v>
      </c>
      <c r="AD1170" s="1">
        <f t="shared" si="135"/>
        <v>8.5636685672383014E-2</v>
      </c>
    </row>
    <row r="1171" spans="20:30" x14ac:dyDescent="0.2">
      <c r="T1171" s="4">
        <v>250.00601</v>
      </c>
      <c r="U1171" s="1">
        <v>582.5</v>
      </c>
      <c r="V1171" s="3">
        <v>83.586839999999995</v>
      </c>
      <c r="W1171" s="3">
        <f t="shared" si="136"/>
        <v>87.744239999999991</v>
      </c>
      <c r="X1171" s="1">
        <f t="shared" si="134"/>
        <v>0.15482636350046508</v>
      </c>
      <c r="Z1171" s="4">
        <v>250.01746</v>
      </c>
      <c r="AA1171" s="1">
        <v>582.5</v>
      </c>
      <c r="AB1171" s="3">
        <v>94.048299999999998</v>
      </c>
      <c r="AC1171" s="3">
        <f t="shared" si="137"/>
        <v>93.971559999999997</v>
      </c>
      <c r="AD1171" s="1">
        <f t="shared" si="135"/>
        <v>8.4966548341379788E-2</v>
      </c>
    </row>
    <row r="1172" spans="20:30" x14ac:dyDescent="0.2">
      <c r="T1172" s="4">
        <v>250.00899999999999</v>
      </c>
      <c r="U1172" s="1">
        <v>583</v>
      </c>
      <c r="V1172" s="5">
        <v>83.58681</v>
      </c>
      <c r="W1172" s="3">
        <f t="shared" si="136"/>
        <v>87.744209999999995</v>
      </c>
      <c r="X1172" s="1">
        <f t="shared" si="134"/>
        <v>0.15482672389031693</v>
      </c>
      <c r="Z1172" s="4">
        <v>250.01664</v>
      </c>
      <c r="AA1172" s="1">
        <v>583</v>
      </c>
      <c r="AB1172" s="5">
        <v>93.950090000000003</v>
      </c>
      <c r="AC1172" s="3">
        <f t="shared" si="137"/>
        <v>93.873350000000002</v>
      </c>
      <c r="AD1172" s="1">
        <f t="shared" si="135"/>
        <v>8.6141172422726064E-2</v>
      </c>
    </row>
    <row r="1173" spans="20:30" x14ac:dyDescent="0.2">
      <c r="T1173" s="4">
        <v>250.00903</v>
      </c>
      <c r="U1173" s="1">
        <v>583.5</v>
      </c>
      <c r="V1173" s="3">
        <v>83.580759999999998</v>
      </c>
      <c r="W1173" s="3">
        <f t="shared" si="136"/>
        <v>87.738159999999993</v>
      </c>
      <c r="X1173" s="1">
        <f t="shared" si="134"/>
        <v>0.15489940251045264</v>
      </c>
      <c r="Z1173" s="4">
        <v>250.01641000000001</v>
      </c>
      <c r="AA1173" s="1">
        <v>583.5</v>
      </c>
      <c r="AB1173" s="3">
        <v>94.093010000000007</v>
      </c>
      <c r="AC1173" s="3">
        <f t="shared" si="137"/>
        <v>94.016270000000006</v>
      </c>
      <c r="AD1173" s="1">
        <f t="shared" si="135"/>
        <v>8.4431801954280655E-2</v>
      </c>
    </row>
    <row r="1174" spans="20:30" x14ac:dyDescent="0.2">
      <c r="T1174" s="4">
        <v>250.01197999999999</v>
      </c>
      <c r="U1174" s="1">
        <v>584</v>
      </c>
      <c r="V1174" s="5">
        <v>83.572609999999997</v>
      </c>
      <c r="W1174" s="3">
        <f t="shared" si="136"/>
        <v>87.730009999999993</v>
      </c>
      <c r="X1174" s="1">
        <f t="shared" ref="X1174:X1205" si="138">($W$21-W1174)/($W$21*(1-$M$1))</f>
        <v>0.15499730842022225</v>
      </c>
      <c r="Z1174" s="4">
        <v>250.01398</v>
      </c>
      <c r="AA1174" s="1">
        <v>584</v>
      </c>
      <c r="AB1174" s="5">
        <v>94.110699999999994</v>
      </c>
      <c r="AC1174" s="3">
        <f t="shared" si="137"/>
        <v>94.033959999999993</v>
      </c>
      <c r="AD1174" s="1">
        <f t="shared" si="135"/>
        <v>8.4220223703603506E-2</v>
      </c>
    </row>
    <row r="1175" spans="20:30" x14ac:dyDescent="0.2">
      <c r="T1175" s="4">
        <v>250.00799000000001</v>
      </c>
      <c r="U1175" s="1">
        <v>584.5</v>
      </c>
      <c r="V1175" s="3">
        <v>83.56474</v>
      </c>
      <c r="W1175" s="3">
        <f t="shared" si="136"/>
        <v>87.722139999999996</v>
      </c>
      <c r="X1175" s="1">
        <f t="shared" si="138"/>
        <v>0.15509185069137396</v>
      </c>
      <c r="Z1175" s="4">
        <v>250.01472999999999</v>
      </c>
      <c r="AA1175" s="1">
        <v>584.5</v>
      </c>
      <c r="AB1175" s="3">
        <v>94.02346</v>
      </c>
      <c r="AC1175" s="3">
        <f t="shared" si="137"/>
        <v>93.946719999999999</v>
      </c>
      <c r="AD1175" s="1">
        <f t="shared" si="135"/>
        <v>8.5263642956802249E-2</v>
      </c>
    </row>
    <row r="1176" spans="20:30" x14ac:dyDescent="0.2">
      <c r="T1176" s="4">
        <v>250.00398999999999</v>
      </c>
      <c r="U1176" s="1">
        <v>585</v>
      </c>
      <c r="V1176" s="5">
        <v>83.568820000000002</v>
      </c>
      <c r="W1176" s="3">
        <f t="shared" si="136"/>
        <v>87.726219999999998</v>
      </c>
      <c r="X1176" s="1">
        <f t="shared" si="138"/>
        <v>0.15504283767151381</v>
      </c>
      <c r="Z1176" s="4">
        <v>250.01600999999999</v>
      </c>
      <c r="AA1176" s="1">
        <v>585</v>
      </c>
      <c r="AB1176" s="5">
        <v>94.075879999999998</v>
      </c>
      <c r="AC1176" s="3">
        <f t="shared" si="137"/>
        <v>93.999139999999997</v>
      </c>
      <c r="AD1176" s="1">
        <f t="shared" si="135"/>
        <v>8.4636682419747228E-2</v>
      </c>
    </row>
    <row r="1177" spans="20:30" x14ac:dyDescent="0.2">
      <c r="T1177" s="4">
        <v>250.00095999999999</v>
      </c>
      <c r="U1177" s="1">
        <v>585.5</v>
      </c>
      <c r="V1177" s="3">
        <v>83.562560000000005</v>
      </c>
      <c r="W1177" s="3">
        <f t="shared" si="136"/>
        <v>87.71996</v>
      </c>
      <c r="X1177" s="1">
        <f t="shared" si="138"/>
        <v>0.15511803902061289</v>
      </c>
      <c r="Z1177" s="4">
        <v>250.01546999999999</v>
      </c>
      <c r="AA1177" s="1">
        <v>585.5</v>
      </c>
      <c r="AB1177" s="3">
        <v>94.105990000000006</v>
      </c>
      <c r="AC1177" s="3">
        <f t="shared" si="137"/>
        <v>94.029250000000005</v>
      </c>
      <c r="AD1177" s="1">
        <f t="shared" si="135"/>
        <v>8.4276556861358598E-2</v>
      </c>
    </row>
    <row r="1178" spans="20:30" x14ac:dyDescent="0.2">
      <c r="T1178" s="4">
        <v>250.00699</v>
      </c>
      <c r="U1178" s="1">
        <v>586</v>
      </c>
      <c r="V1178" s="5">
        <v>83.544709999999995</v>
      </c>
      <c r="W1178" s="3">
        <f t="shared" si="136"/>
        <v>87.70210999999999</v>
      </c>
      <c r="X1178" s="1">
        <f t="shared" si="138"/>
        <v>0.155332470982501</v>
      </c>
      <c r="Z1178" s="4">
        <v>250.02020999999999</v>
      </c>
      <c r="AA1178" s="1">
        <v>586</v>
      </c>
      <c r="AB1178" s="5">
        <v>94.017510000000001</v>
      </c>
      <c r="AC1178" s="3">
        <f t="shared" si="137"/>
        <v>93.940770000000001</v>
      </c>
      <c r="AD1178" s="1">
        <f t="shared" si="135"/>
        <v>8.533480692466712E-2</v>
      </c>
    </row>
    <row r="1179" spans="20:30" x14ac:dyDescent="0.2">
      <c r="T1179" s="4">
        <v>250.01</v>
      </c>
      <c r="U1179" s="1">
        <v>586.5</v>
      </c>
      <c r="V1179" s="3">
        <v>83.544560000000004</v>
      </c>
      <c r="W1179" s="3">
        <f t="shared" si="136"/>
        <v>87.70196</v>
      </c>
      <c r="X1179" s="1">
        <f t="shared" si="138"/>
        <v>0.15533427293176044</v>
      </c>
      <c r="Z1179" s="4">
        <v>250.02497</v>
      </c>
      <c r="AA1179" s="1">
        <v>586.5</v>
      </c>
      <c r="AB1179" s="3">
        <v>94.025090000000006</v>
      </c>
      <c r="AC1179" s="3">
        <f t="shared" si="137"/>
        <v>93.948350000000005</v>
      </c>
      <c r="AD1179" s="1">
        <f t="shared" si="135"/>
        <v>8.524414761770642E-2</v>
      </c>
    </row>
    <row r="1180" spans="20:30" x14ac:dyDescent="0.2">
      <c r="T1180" s="4">
        <v>250.00800000000001</v>
      </c>
      <c r="U1180" s="1">
        <v>587</v>
      </c>
      <c r="V1180" s="5">
        <v>83.544730000000001</v>
      </c>
      <c r="W1180" s="3">
        <f t="shared" si="136"/>
        <v>87.702129999999997</v>
      </c>
      <c r="X1180" s="1">
        <f t="shared" si="138"/>
        <v>0.15533223072259963</v>
      </c>
      <c r="Z1180" s="4">
        <v>250.02594999999999</v>
      </c>
      <c r="AA1180" s="1">
        <v>587</v>
      </c>
      <c r="AB1180" s="5">
        <v>94.006249999999994</v>
      </c>
      <c r="AC1180" s="3">
        <f t="shared" si="137"/>
        <v>93.929509999999993</v>
      </c>
      <c r="AD1180" s="1">
        <f t="shared" si="135"/>
        <v>8.5469480248727484E-2</v>
      </c>
    </row>
    <row r="1181" spans="20:30" x14ac:dyDescent="0.2">
      <c r="T1181" s="4">
        <v>250.00693999999999</v>
      </c>
      <c r="U1181" s="1">
        <v>587.5</v>
      </c>
      <c r="V1181" s="3">
        <v>83.538619999999995</v>
      </c>
      <c r="W1181" s="3">
        <f t="shared" si="136"/>
        <v>87.69601999999999</v>
      </c>
      <c r="X1181" s="1">
        <f t="shared" si="138"/>
        <v>0.15540563012243924</v>
      </c>
      <c r="Z1181" s="4">
        <v>250.02525</v>
      </c>
      <c r="AA1181" s="1">
        <v>587.5</v>
      </c>
      <c r="AB1181" s="3">
        <v>93.948520000000002</v>
      </c>
      <c r="AC1181" s="3">
        <f t="shared" si="137"/>
        <v>93.871780000000001</v>
      </c>
      <c r="AD1181" s="1">
        <f t="shared" si="135"/>
        <v>8.6159950141977817E-2</v>
      </c>
    </row>
    <row r="1182" spans="20:30" x14ac:dyDescent="0.2">
      <c r="T1182" s="4">
        <v>250.00201999999999</v>
      </c>
      <c r="U1182" s="1">
        <v>588</v>
      </c>
      <c r="V1182" s="5">
        <v>83.498500000000007</v>
      </c>
      <c r="W1182" s="3">
        <f t="shared" si="136"/>
        <v>87.655900000000003</v>
      </c>
      <c r="X1182" s="1">
        <f t="shared" si="138"/>
        <v>0.15588759148439688</v>
      </c>
      <c r="Z1182" s="4">
        <v>250.02625</v>
      </c>
      <c r="AA1182" s="1">
        <v>588</v>
      </c>
      <c r="AB1182" s="5">
        <v>93.872389999999996</v>
      </c>
      <c r="AC1182" s="3">
        <f t="shared" si="137"/>
        <v>93.795649999999995</v>
      </c>
      <c r="AD1182" s="1">
        <f t="shared" si="135"/>
        <v>8.7070490120726471E-2</v>
      </c>
    </row>
    <row r="1183" spans="20:30" x14ac:dyDescent="0.2">
      <c r="T1183" s="4">
        <v>250.00297</v>
      </c>
      <c r="U1183" s="1">
        <v>588.5</v>
      </c>
      <c r="V1183" s="3">
        <v>83.506510000000006</v>
      </c>
      <c r="W1183" s="3">
        <f t="shared" si="136"/>
        <v>87.663910000000001</v>
      </c>
      <c r="X1183" s="1">
        <f t="shared" si="138"/>
        <v>0.15579136739393623</v>
      </c>
      <c r="Z1183" s="4">
        <v>250.02397999999999</v>
      </c>
      <c r="AA1183" s="1">
        <v>588.5</v>
      </c>
      <c r="AB1183" s="3">
        <v>94.078540000000004</v>
      </c>
      <c r="AC1183" s="3">
        <f t="shared" si="137"/>
        <v>94.001800000000003</v>
      </c>
      <c r="AD1183" s="1">
        <f t="shared" si="135"/>
        <v>8.4604867939995804E-2</v>
      </c>
    </row>
    <row r="1184" spans="20:30" x14ac:dyDescent="0.2">
      <c r="T1184" s="4">
        <v>250.00698</v>
      </c>
      <c r="U1184" s="1">
        <v>589</v>
      </c>
      <c r="V1184" s="5">
        <v>83.500519999999995</v>
      </c>
      <c r="W1184" s="3">
        <f t="shared" si="136"/>
        <v>87.65791999999999</v>
      </c>
      <c r="X1184" s="1">
        <f t="shared" si="138"/>
        <v>0.15586332523436824</v>
      </c>
      <c r="Z1184" s="4">
        <v>250.02553</v>
      </c>
      <c r="AA1184" s="1">
        <v>589</v>
      </c>
      <c r="AB1184" s="5">
        <v>93.929469999999995</v>
      </c>
      <c r="AC1184" s="3">
        <f t="shared" si="137"/>
        <v>93.852729999999994</v>
      </c>
      <c r="AD1184" s="1">
        <f t="shared" si="135"/>
        <v>8.6387794442452884E-2</v>
      </c>
    </row>
    <row r="1185" spans="20:30" x14ac:dyDescent="0.2">
      <c r="T1185" s="4">
        <v>250.00904</v>
      </c>
      <c r="U1185" s="1">
        <v>589.5</v>
      </c>
      <c r="V1185" s="3">
        <v>83.488500000000002</v>
      </c>
      <c r="W1185" s="3">
        <f t="shared" si="136"/>
        <v>87.645899999999997</v>
      </c>
      <c r="X1185" s="1">
        <f t="shared" si="138"/>
        <v>0.15600772143503447</v>
      </c>
      <c r="Z1185" s="4">
        <v>250.0258</v>
      </c>
      <c r="AA1185" s="1">
        <v>589.5</v>
      </c>
      <c r="AB1185" s="3">
        <v>93.990139999999997</v>
      </c>
      <c r="AC1185" s="3">
        <f t="shared" si="137"/>
        <v>93.913399999999996</v>
      </c>
      <c r="AD1185" s="1">
        <f t="shared" si="135"/>
        <v>8.5662161176845664E-2</v>
      </c>
    </row>
    <row r="1186" spans="20:30" x14ac:dyDescent="0.2">
      <c r="T1186" s="4">
        <v>250.01101</v>
      </c>
      <c r="U1186" s="1">
        <v>590</v>
      </c>
      <c r="V1186" s="5">
        <v>83.490549999999999</v>
      </c>
      <c r="W1186" s="3">
        <f t="shared" si="136"/>
        <v>87.647949999999994</v>
      </c>
      <c r="X1186" s="1">
        <f t="shared" si="138"/>
        <v>0.15598309479515382</v>
      </c>
      <c r="Z1186" s="4">
        <v>250.01953</v>
      </c>
      <c r="AA1186" s="1">
        <v>590</v>
      </c>
      <c r="AB1186" s="5">
        <v>94.050820000000002</v>
      </c>
      <c r="AC1186" s="3">
        <f t="shared" si="137"/>
        <v>93.974080000000001</v>
      </c>
      <c r="AD1186" s="1">
        <f t="shared" si="135"/>
        <v>8.4936408307931074E-2</v>
      </c>
    </row>
    <row r="1187" spans="20:30" x14ac:dyDescent="0.2">
      <c r="T1187" s="4">
        <v>250.00801000000001</v>
      </c>
      <c r="U1187" s="1">
        <v>590.5</v>
      </c>
      <c r="V1187" s="3">
        <v>83.466210000000004</v>
      </c>
      <c r="W1187" s="3">
        <f t="shared" si="136"/>
        <v>87.623609999999999</v>
      </c>
      <c r="X1187" s="1">
        <f t="shared" si="138"/>
        <v>0.15627549109500549</v>
      </c>
      <c r="Z1187" s="4">
        <v>250.02087</v>
      </c>
      <c r="AA1187" s="1">
        <v>590.5</v>
      </c>
      <c r="AB1187" s="3">
        <v>94.015420000000006</v>
      </c>
      <c r="AC1187" s="3">
        <f t="shared" si="137"/>
        <v>93.938680000000005</v>
      </c>
      <c r="AD1187" s="1">
        <f t="shared" si="135"/>
        <v>8.5359804015900279E-2</v>
      </c>
    </row>
    <row r="1188" spans="20:30" x14ac:dyDescent="0.2">
      <c r="T1188" s="4">
        <v>250.00200000000001</v>
      </c>
      <c r="U1188" s="1">
        <v>591</v>
      </c>
      <c r="V1188" s="5">
        <v>83.472290000000001</v>
      </c>
      <c r="W1188" s="3">
        <f t="shared" si="136"/>
        <v>87.629689999999997</v>
      </c>
      <c r="X1188" s="1">
        <f t="shared" si="138"/>
        <v>0.1562024520850179</v>
      </c>
      <c r="Z1188" s="4">
        <v>250.02188000000001</v>
      </c>
      <c r="AA1188" s="1">
        <v>591</v>
      </c>
      <c r="AB1188" s="5">
        <v>93.961920000000006</v>
      </c>
      <c r="AC1188" s="3">
        <f t="shared" si="137"/>
        <v>93.885180000000005</v>
      </c>
      <c r="AD1188" s="1">
        <f t="shared" si="135"/>
        <v>8.5999681710147602E-2</v>
      </c>
    </row>
    <row r="1189" spans="20:30" x14ac:dyDescent="0.2">
      <c r="T1189" s="4">
        <v>250.00798</v>
      </c>
      <c r="U1189" s="1">
        <v>591.5</v>
      </c>
      <c r="V1189" s="3">
        <v>83.474440000000001</v>
      </c>
      <c r="W1189" s="3">
        <f t="shared" si="136"/>
        <v>87.631839999999997</v>
      </c>
      <c r="X1189" s="1">
        <f t="shared" si="138"/>
        <v>0.15617662414563085</v>
      </c>
      <c r="Z1189" s="4">
        <v>250.02412000000001</v>
      </c>
      <c r="AA1189" s="1">
        <v>591.5</v>
      </c>
      <c r="AB1189" s="3">
        <v>93.923640000000006</v>
      </c>
      <c r="AC1189" s="3">
        <f t="shared" si="137"/>
        <v>93.846900000000005</v>
      </c>
      <c r="AD1189" s="1">
        <f t="shared" si="135"/>
        <v>8.6457523170629616E-2</v>
      </c>
    </row>
    <row r="1190" spans="20:30" x14ac:dyDescent="0.2">
      <c r="T1190" s="4">
        <v>250.00095999999999</v>
      </c>
      <c r="U1190" s="1">
        <v>592</v>
      </c>
      <c r="V1190" s="5">
        <v>83.444010000000006</v>
      </c>
      <c r="W1190" s="3">
        <f t="shared" si="136"/>
        <v>87.601410000000001</v>
      </c>
      <c r="X1190" s="1">
        <f t="shared" si="138"/>
        <v>0.1565421795854208</v>
      </c>
      <c r="Z1190" s="4">
        <v>250.02345</v>
      </c>
      <c r="AA1190" s="1">
        <v>592</v>
      </c>
      <c r="AB1190" s="5">
        <v>93.939570000000003</v>
      </c>
      <c r="AC1190" s="3">
        <f t="shared" si="137"/>
        <v>93.862830000000002</v>
      </c>
      <c r="AD1190" s="1">
        <f t="shared" si="135"/>
        <v>8.6266995102043484E-2</v>
      </c>
    </row>
    <row r="1191" spans="20:30" x14ac:dyDescent="0.2">
      <c r="T1191" s="4">
        <v>250.00701000000001</v>
      </c>
      <c r="U1191" s="1">
        <v>592.5</v>
      </c>
      <c r="V1191" s="3">
        <v>83.446330000000003</v>
      </c>
      <c r="W1191" s="3">
        <f t="shared" si="136"/>
        <v>87.603729999999999</v>
      </c>
      <c r="X1191" s="1">
        <f t="shared" si="138"/>
        <v>0.15651430943687292</v>
      </c>
      <c r="Z1191" s="4">
        <v>250.02268000000001</v>
      </c>
      <c r="AA1191" s="1">
        <v>592.5</v>
      </c>
      <c r="AB1191" s="3">
        <v>93.863500000000002</v>
      </c>
      <c r="AC1191" s="3">
        <f t="shared" si="137"/>
        <v>93.786760000000001</v>
      </c>
      <c r="AD1191" s="1">
        <f t="shared" si="135"/>
        <v>8.7176817460948061E-2</v>
      </c>
    </row>
    <row r="1192" spans="20:30" x14ac:dyDescent="0.2">
      <c r="T1192" s="4">
        <v>250.00800000000001</v>
      </c>
      <c r="U1192" s="1">
        <v>593</v>
      </c>
      <c r="V1192" s="5">
        <v>83.434569999999994</v>
      </c>
      <c r="W1192" s="3">
        <f t="shared" si="136"/>
        <v>87.591969999999989</v>
      </c>
      <c r="X1192" s="1">
        <f t="shared" si="138"/>
        <v>0.15665558225882276</v>
      </c>
      <c r="Z1192" s="4">
        <v>250.0189</v>
      </c>
      <c r="AA1192" s="1">
        <v>593</v>
      </c>
      <c r="AB1192" s="5">
        <v>93.906000000000006</v>
      </c>
      <c r="AC1192" s="3">
        <f t="shared" si="137"/>
        <v>93.829260000000005</v>
      </c>
      <c r="AD1192" s="1">
        <f t="shared" si="135"/>
        <v>8.6668503404770225E-2</v>
      </c>
    </row>
    <row r="1193" spans="20:30" x14ac:dyDescent="0.2">
      <c r="T1193" s="4">
        <v>250</v>
      </c>
      <c r="U1193" s="1">
        <v>593.5</v>
      </c>
      <c r="V1193" s="3">
        <v>83.436310000000006</v>
      </c>
      <c r="W1193" s="3">
        <f t="shared" si="136"/>
        <v>87.593710000000002</v>
      </c>
      <c r="X1193" s="1">
        <f t="shared" si="138"/>
        <v>0.15663467964741168</v>
      </c>
      <c r="Z1193" s="4">
        <v>250.01150000000001</v>
      </c>
      <c r="AA1193" s="1">
        <v>593.5</v>
      </c>
      <c r="AB1193" s="3">
        <v>93.922539999999998</v>
      </c>
      <c r="AC1193" s="3">
        <f t="shared" si="137"/>
        <v>93.845799999999997</v>
      </c>
      <c r="AD1193" s="1">
        <f t="shared" si="135"/>
        <v>8.647067953443667E-2</v>
      </c>
    </row>
    <row r="1194" spans="20:30" x14ac:dyDescent="0.2">
      <c r="T1194" s="4">
        <v>250.00702000000001</v>
      </c>
      <c r="U1194" s="1">
        <v>594</v>
      </c>
      <c r="V1194" s="5">
        <v>83.416219999999996</v>
      </c>
      <c r="W1194" s="3">
        <f t="shared" si="136"/>
        <v>87.573619999999991</v>
      </c>
      <c r="X1194" s="1">
        <f t="shared" si="138"/>
        <v>0.15687602071824261</v>
      </c>
      <c r="Z1194" s="4">
        <v>250.00790000000001</v>
      </c>
      <c r="AA1194" s="1">
        <v>594</v>
      </c>
      <c r="AB1194" s="5">
        <v>93.937669999999997</v>
      </c>
      <c r="AC1194" s="3">
        <f t="shared" si="137"/>
        <v>93.860929999999996</v>
      </c>
      <c r="AD1194" s="1">
        <f t="shared" si="135"/>
        <v>8.6289719730437392E-2</v>
      </c>
    </row>
    <row r="1195" spans="20:30" x14ac:dyDescent="0.2">
      <c r="T1195" s="4">
        <v>250.00698</v>
      </c>
      <c r="U1195" s="1">
        <v>594.5</v>
      </c>
      <c r="V1195" s="3">
        <v>83.404169999999993</v>
      </c>
      <c r="W1195" s="3">
        <f t="shared" si="136"/>
        <v>87.561569999999989</v>
      </c>
      <c r="X1195" s="1">
        <f t="shared" si="138"/>
        <v>0.15702077730876088</v>
      </c>
      <c r="Z1195" s="4">
        <v>250.00820999999999</v>
      </c>
      <c r="AA1195" s="1">
        <v>594.5</v>
      </c>
      <c r="AB1195" s="3">
        <v>93.865849999999995</v>
      </c>
      <c r="AC1195" s="3">
        <f t="shared" si="137"/>
        <v>93.789109999999994</v>
      </c>
      <c r="AD1195" s="1">
        <f t="shared" si="135"/>
        <v>8.7148710683724193E-2</v>
      </c>
    </row>
    <row r="1196" spans="20:30" x14ac:dyDescent="0.2">
      <c r="T1196" s="4">
        <v>250.00396000000001</v>
      </c>
      <c r="U1196" s="1">
        <v>595</v>
      </c>
      <c r="V1196" s="5">
        <v>83.390209999999996</v>
      </c>
      <c r="W1196" s="3">
        <f t="shared" si="136"/>
        <v>87.547609999999992</v>
      </c>
      <c r="X1196" s="1">
        <f t="shared" si="138"/>
        <v>0.15718847871985084</v>
      </c>
      <c r="Z1196" s="4">
        <v>250.01131000000001</v>
      </c>
      <c r="AA1196" s="1">
        <v>595</v>
      </c>
      <c r="AB1196" s="5">
        <v>93.713099999999997</v>
      </c>
      <c r="AC1196" s="3">
        <f t="shared" si="137"/>
        <v>93.636359999999996</v>
      </c>
      <c r="AD1196" s="1">
        <f t="shared" si="135"/>
        <v>8.897565120328077E-2</v>
      </c>
    </row>
    <row r="1197" spans="20:30" x14ac:dyDescent="0.2">
      <c r="T1197" s="4">
        <v>250.00097</v>
      </c>
      <c r="U1197" s="1">
        <v>595.5</v>
      </c>
      <c r="V1197" s="3">
        <v>83.408230000000003</v>
      </c>
      <c r="W1197" s="3">
        <f t="shared" si="136"/>
        <v>87.565629999999999</v>
      </c>
      <c r="X1197" s="1">
        <f t="shared" si="138"/>
        <v>0.15697200454880192</v>
      </c>
      <c r="Z1197" s="4">
        <v>250.01614000000001</v>
      </c>
      <c r="AA1197" s="1">
        <v>595.5</v>
      </c>
      <c r="AB1197" s="3">
        <v>93.900319999999994</v>
      </c>
      <c r="AC1197" s="3">
        <f t="shared" si="137"/>
        <v>93.823579999999993</v>
      </c>
      <c r="AD1197" s="1">
        <f t="shared" si="135"/>
        <v>8.6736438083337197E-2</v>
      </c>
    </row>
    <row r="1198" spans="20:30" x14ac:dyDescent="0.2">
      <c r="T1198" s="4">
        <v>249.99897999999999</v>
      </c>
      <c r="U1198" s="1">
        <v>596</v>
      </c>
      <c r="V1198" s="5">
        <v>83.374089999999995</v>
      </c>
      <c r="W1198" s="3">
        <f t="shared" si="136"/>
        <v>87.531489999999991</v>
      </c>
      <c r="X1198" s="1">
        <f t="shared" si="138"/>
        <v>0.15738212820027853</v>
      </c>
      <c r="Z1198" s="4">
        <v>250.01330999999999</v>
      </c>
      <c r="AA1198" s="1">
        <v>596</v>
      </c>
      <c r="AB1198" s="5">
        <v>93.931539999999998</v>
      </c>
      <c r="AC1198" s="3">
        <f t="shared" si="137"/>
        <v>93.854799999999997</v>
      </c>
      <c r="AD1198" s="1">
        <f t="shared" si="135"/>
        <v>8.6363036557834311E-2</v>
      </c>
    </row>
    <row r="1199" spans="20:30" x14ac:dyDescent="0.2">
      <c r="T1199" s="4">
        <v>249.99997999999999</v>
      </c>
      <c r="U1199" s="1">
        <v>596.5</v>
      </c>
      <c r="V1199" s="3">
        <v>83.376069999999999</v>
      </c>
      <c r="W1199" s="3">
        <f t="shared" si="136"/>
        <v>87.533469999999994</v>
      </c>
      <c r="X1199" s="1">
        <f t="shared" si="138"/>
        <v>0.15735834247005226</v>
      </c>
      <c r="Z1199" s="4">
        <v>250.01023000000001</v>
      </c>
      <c r="AA1199" s="1">
        <v>596.5</v>
      </c>
      <c r="AB1199" s="3">
        <v>93.82902</v>
      </c>
      <c r="AC1199" s="3">
        <f t="shared" si="137"/>
        <v>93.752279999999999</v>
      </c>
      <c r="AD1199" s="1">
        <f t="shared" si="135"/>
        <v>8.7589209664642426E-2</v>
      </c>
    </row>
    <row r="1200" spans="20:30" x14ac:dyDescent="0.2">
      <c r="T1200" s="4">
        <v>250.00498999999999</v>
      </c>
      <c r="U1200" s="1">
        <v>597</v>
      </c>
      <c r="V1200" s="5">
        <v>83.349950000000007</v>
      </c>
      <c r="W1200" s="3">
        <f t="shared" si="136"/>
        <v>87.507350000000002</v>
      </c>
      <c r="X1200" s="1">
        <f t="shared" si="138"/>
        <v>0.1576721219011174</v>
      </c>
      <c r="Z1200" s="4">
        <v>250.01179999999999</v>
      </c>
      <c r="AA1200" s="1">
        <v>597</v>
      </c>
      <c r="AB1200" s="5">
        <v>93.898489999999995</v>
      </c>
      <c r="AC1200" s="3">
        <f t="shared" si="137"/>
        <v>93.821749999999994</v>
      </c>
      <c r="AD1200" s="1">
        <f t="shared" si="135"/>
        <v>8.6758325488579646E-2</v>
      </c>
    </row>
    <row r="1201" spans="20:30" x14ac:dyDescent="0.2">
      <c r="T1201" s="4">
        <v>250.00305</v>
      </c>
      <c r="U1201" s="1">
        <v>597.5</v>
      </c>
      <c r="V1201" s="3">
        <v>83.352029999999999</v>
      </c>
      <c r="W1201" s="3">
        <f t="shared" si="136"/>
        <v>87.509429999999995</v>
      </c>
      <c r="X1201" s="1">
        <f t="shared" si="138"/>
        <v>0.15764713487138488</v>
      </c>
      <c r="Z1201" s="4">
        <v>250.01492999999999</v>
      </c>
      <c r="AA1201" s="1">
        <v>597.5</v>
      </c>
      <c r="AB1201" s="3">
        <v>93.833160000000007</v>
      </c>
      <c r="AC1201" s="3">
        <f t="shared" si="137"/>
        <v>93.756420000000006</v>
      </c>
      <c r="AD1201" s="1">
        <f t="shared" si="135"/>
        <v>8.7539693895405266E-2</v>
      </c>
    </row>
    <row r="1202" spans="20:30" x14ac:dyDescent="0.2">
      <c r="T1202" s="4">
        <v>250.00798</v>
      </c>
      <c r="U1202" s="1">
        <v>598</v>
      </c>
      <c r="V1202" s="5">
        <v>83.352069999999998</v>
      </c>
      <c r="W1202" s="3">
        <f t="shared" si="136"/>
        <v>87.509469999999993</v>
      </c>
      <c r="X1202" s="1">
        <f t="shared" si="138"/>
        <v>0.15764665435158234</v>
      </c>
      <c r="Z1202" s="4">
        <v>250.01570000000001</v>
      </c>
      <c r="AA1202" s="1">
        <v>598</v>
      </c>
      <c r="AB1202" s="5">
        <v>93.87979</v>
      </c>
      <c r="AC1202" s="3">
        <f t="shared" si="137"/>
        <v>93.803049999999999</v>
      </c>
      <c r="AD1202" s="1">
        <f t="shared" si="135"/>
        <v>8.6981983673297819E-2</v>
      </c>
    </row>
    <row r="1203" spans="20:30" x14ac:dyDescent="0.2">
      <c r="T1203" s="4">
        <v>250.00796</v>
      </c>
      <c r="U1203" s="1">
        <v>598.5</v>
      </c>
      <c r="V1203" s="3">
        <v>83.334019999999995</v>
      </c>
      <c r="W1203" s="3">
        <f t="shared" si="136"/>
        <v>87.491419999999991</v>
      </c>
      <c r="X1203" s="1">
        <f t="shared" si="138"/>
        <v>0.15786348891248311</v>
      </c>
      <c r="Z1203" s="4">
        <v>250.01303999999999</v>
      </c>
      <c r="AA1203" s="1">
        <v>598.5</v>
      </c>
      <c r="AB1203" s="3">
        <v>93.855519999999999</v>
      </c>
      <c r="AC1203" s="3">
        <f t="shared" si="137"/>
        <v>93.778779999999998</v>
      </c>
      <c r="AD1203" s="1">
        <f t="shared" si="135"/>
        <v>8.7272260900202181E-2</v>
      </c>
    </row>
    <row r="1204" spans="20:30" x14ac:dyDescent="0.2">
      <c r="T1204" s="4">
        <v>250.00398999999999</v>
      </c>
      <c r="U1204" s="1">
        <v>599</v>
      </c>
      <c r="V1204" s="5">
        <v>83.317859999999996</v>
      </c>
      <c r="W1204" s="3">
        <f t="shared" si="136"/>
        <v>87.475259999999992</v>
      </c>
      <c r="X1204" s="1">
        <f t="shared" si="138"/>
        <v>0.15805761891271336</v>
      </c>
      <c r="Z1204" s="4">
        <v>250.01159999999999</v>
      </c>
      <c r="AA1204" s="1">
        <v>599</v>
      </c>
      <c r="AB1204" s="5">
        <v>93.797870000000003</v>
      </c>
      <c r="AC1204" s="3">
        <f t="shared" si="137"/>
        <v>93.721130000000002</v>
      </c>
      <c r="AD1204" s="1">
        <f t="shared" si="135"/>
        <v>8.7961773966993867E-2</v>
      </c>
    </row>
    <row r="1205" spans="20:30" x14ac:dyDescent="0.2">
      <c r="T1205" s="4">
        <v>250.00802999999999</v>
      </c>
      <c r="U1205" s="1">
        <v>599.5</v>
      </c>
      <c r="V1205" s="3">
        <v>83.338070000000002</v>
      </c>
      <c r="W1205" s="3">
        <f t="shared" si="136"/>
        <v>87.495469999999997</v>
      </c>
      <c r="X1205" s="1">
        <f t="shared" si="138"/>
        <v>0.15781483628247484</v>
      </c>
      <c r="Z1205" s="4">
        <v>250.00980999999999</v>
      </c>
      <c r="AA1205" s="1">
        <v>599.5</v>
      </c>
      <c r="AB1205" s="3">
        <v>93.82132</v>
      </c>
      <c r="AC1205" s="3">
        <f t="shared" si="137"/>
        <v>93.744579999999999</v>
      </c>
      <c r="AD1205" s="1">
        <f t="shared" si="135"/>
        <v>8.7681304211291111E-2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83A3-77AA-5641-A208-7A802615B185}">
  <dimension ref="A1:AS1205"/>
  <sheetViews>
    <sheetView topLeftCell="AG303" zoomScale="114" workbookViewId="0">
      <selection activeCell="AO11" sqref="AO11"/>
    </sheetView>
  </sheetViews>
  <sheetFormatPr baseColWidth="10" defaultRowHeight="13" x14ac:dyDescent="0.2"/>
  <cols>
    <col min="1" max="16384" width="10.83203125" style="1"/>
  </cols>
  <sheetData>
    <row r="1" spans="1:45" x14ac:dyDescent="0.2">
      <c r="F1" s="1" t="s">
        <v>17</v>
      </c>
      <c r="G1" s="1">
        <v>1.1463000000000001</v>
      </c>
      <c r="H1" s="1">
        <f>G1/100</f>
        <v>1.1463000000000001E-2</v>
      </c>
    </row>
    <row r="3" spans="1:45" x14ac:dyDescent="0.2">
      <c r="A3" s="1" t="s">
        <v>18</v>
      </c>
      <c r="G3" s="1" t="s">
        <v>19</v>
      </c>
      <c r="M3" s="1" t="s">
        <v>20</v>
      </c>
      <c r="S3" s="1" t="s">
        <v>21</v>
      </c>
      <c r="AF3" s="1" t="s">
        <v>44</v>
      </c>
      <c r="AK3" s="1" t="s">
        <v>45</v>
      </c>
      <c r="AP3" s="1" t="s">
        <v>51</v>
      </c>
    </row>
    <row r="5" spans="1:45" x14ac:dyDescent="0.2">
      <c r="A5" s="1" t="s">
        <v>12</v>
      </c>
      <c r="B5" s="1" t="s">
        <v>13</v>
      </c>
      <c r="C5" s="1" t="s">
        <v>22</v>
      </c>
      <c r="D5" s="1" t="s">
        <v>23</v>
      </c>
      <c r="E5" s="1" t="s">
        <v>24</v>
      </c>
      <c r="G5" s="1" t="s">
        <v>12</v>
      </c>
      <c r="H5" s="1" t="s">
        <v>25</v>
      </c>
      <c r="I5" s="1" t="s">
        <v>14</v>
      </c>
      <c r="J5" s="1" t="s">
        <v>15</v>
      </c>
      <c r="K5" s="1" t="s">
        <v>26</v>
      </c>
      <c r="M5" s="1" t="s">
        <v>12</v>
      </c>
      <c r="N5" s="1" t="s">
        <v>25</v>
      </c>
      <c r="O5" s="1" t="s">
        <v>14</v>
      </c>
      <c r="P5" s="1" t="s">
        <v>15</v>
      </c>
      <c r="Q5" s="1" t="s">
        <v>26</v>
      </c>
      <c r="S5" s="1" t="s">
        <v>12</v>
      </c>
      <c r="T5" s="1" t="s">
        <v>25</v>
      </c>
      <c r="U5" s="1" t="s">
        <v>14</v>
      </c>
      <c r="V5" s="1" t="s">
        <v>15</v>
      </c>
      <c r="W5" s="1" t="s">
        <v>26</v>
      </c>
      <c r="Y5" s="1" t="s">
        <v>12</v>
      </c>
      <c r="Z5" s="1" t="s">
        <v>25</v>
      </c>
      <c r="AA5" s="1" t="s">
        <v>14</v>
      </c>
      <c r="AB5" s="1" t="s">
        <v>15</v>
      </c>
      <c r="AC5" s="1" t="s">
        <v>26</v>
      </c>
      <c r="AF5" s="1" t="s">
        <v>12</v>
      </c>
      <c r="AG5" s="1" t="s">
        <v>43</v>
      </c>
      <c r="AH5" s="1" t="s">
        <v>46</v>
      </c>
      <c r="AI5" s="1" t="s">
        <v>15</v>
      </c>
      <c r="AJ5" s="1" t="s">
        <v>9</v>
      </c>
      <c r="AK5" s="1" t="s">
        <v>12</v>
      </c>
      <c r="AL5" s="1" t="s">
        <v>43</v>
      </c>
      <c r="AM5" s="1" t="s">
        <v>46</v>
      </c>
      <c r="AN5" s="1" t="s">
        <v>15</v>
      </c>
      <c r="AO5" s="1" t="s">
        <v>9</v>
      </c>
      <c r="AP5" s="1" t="s">
        <v>52</v>
      </c>
      <c r="AQ5" s="1" t="s">
        <v>53</v>
      </c>
      <c r="AR5" s="1" t="s">
        <v>54</v>
      </c>
      <c r="AS5" s="1" t="s">
        <v>55</v>
      </c>
    </row>
    <row r="6" spans="1:45" ht="16" x14ac:dyDescent="0.2">
      <c r="A6" s="2">
        <v>200.16045</v>
      </c>
      <c r="B6" s="1">
        <v>0</v>
      </c>
      <c r="C6" s="3">
        <v>100.12345000000001</v>
      </c>
      <c r="D6" s="1">
        <v>100</v>
      </c>
      <c r="G6" s="4">
        <v>225.00418999999999</v>
      </c>
      <c r="H6" s="1">
        <v>0</v>
      </c>
      <c r="I6" s="3">
        <v>98.409610000000001</v>
      </c>
      <c r="J6" s="1">
        <v>100</v>
      </c>
      <c r="M6" s="4">
        <v>225.02356</v>
      </c>
      <c r="N6" s="1">
        <v>0</v>
      </c>
      <c r="O6" s="3">
        <v>100.79239</v>
      </c>
      <c r="P6" s="1">
        <v>100</v>
      </c>
      <c r="S6" s="4">
        <v>250.00106</v>
      </c>
      <c r="T6" s="1">
        <v>0</v>
      </c>
      <c r="U6" s="5">
        <v>96.676310000000001</v>
      </c>
      <c r="V6" s="3">
        <f>100-($U$6-U6)</f>
        <v>100</v>
      </c>
      <c r="W6" s="3"/>
      <c r="Y6" s="4">
        <v>250.01900000000001</v>
      </c>
      <c r="Z6" s="1">
        <v>0</v>
      </c>
      <c r="AA6" s="5">
        <v>101.60902</v>
      </c>
      <c r="AB6" s="3">
        <f>100-($AA$6-AA6)</f>
        <v>100</v>
      </c>
      <c r="AC6" s="3"/>
      <c r="AF6" s="11">
        <v>105.19041</v>
      </c>
      <c r="AG6" s="1">
        <v>0</v>
      </c>
      <c r="AH6" s="12">
        <v>98.120559999999998</v>
      </c>
      <c r="AI6" s="3">
        <f>100-($AH$6-AH6)</f>
        <v>100</v>
      </c>
      <c r="AK6" s="11">
        <v>105.20819</v>
      </c>
      <c r="AL6" s="1">
        <v>0</v>
      </c>
      <c r="AM6" s="12">
        <v>98.034390000000002</v>
      </c>
      <c r="AN6" s="3">
        <f>100-($AM$6-AM6)</f>
        <v>100</v>
      </c>
      <c r="AO6" s="3"/>
      <c r="AP6" s="18">
        <v>88.636740000000003</v>
      </c>
      <c r="AQ6" s="1">
        <v>0</v>
      </c>
      <c r="AR6" s="12">
        <v>99.446190000000001</v>
      </c>
      <c r="AS6" s="3">
        <f>100-($AR$6-AR6)</f>
        <v>100</v>
      </c>
    </row>
    <row r="7" spans="1:45" ht="16" x14ac:dyDescent="0.2">
      <c r="A7" s="2">
        <v>202.34710000000001</v>
      </c>
      <c r="B7" s="1">
        <v>0.5</v>
      </c>
      <c r="C7" s="5">
        <v>100.30840000000001</v>
      </c>
      <c r="D7" s="3">
        <f>100-($C$6-C7)</f>
        <v>100.18495</v>
      </c>
      <c r="G7" s="4">
        <v>225.18163999999999</v>
      </c>
      <c r="H7" s="1">
        <v>0.5</v>
      </c>
      <c r="I7" s="5">
        <v>98.505920000000003</v>
      </c>
      <c r="J7" s="3">
        <f>100-($I$6-I7)</f>
        <v>100.09631</v>
      </c>
      <c r="M7" s="4">
        <v>227.14356000000001</v>
      </c>
      <c r="N7" s="1">
        <v>0.5</v>
      </c>
      <c r="O7" s="5">
        <v>100.85732</v>
      </c>
      <c r="P7" s="3">
        <f>100-($O$6-O7)</f>
        <v>100.06493</v>
      </c>
      <c r="S7" s="4">
        <v>250.24408</v>
      </c>
      <c r="T7" s="1">
        <v>0.5</v>
      </c>
      <c r="U7" s="3">
        <v>96.748530000000002</v>
      </c>
      <c r="V7" s="3">
        <f t="shared" ref="V7:V70" si="0">100-($U$6-U7)</f>
        <v>100.07222</v>
      </c>
      <c r="Y7" s="4">
        <v>250.07671999999999</v>
      </c>
      <c r="Z7" s="1">
        <v>0.5</v>
      </c>
      <c r="AA7" s="3">
        <v>101.70377000000001</v>
      </c>
      <c r="AB7" s="3">
        <f t="shared" ref="AB7:AB70" si="1">100-($AA$6-AA7)</f>
        <v>100.09475</v>
      </c>
      <c r="AF7" s="11">
        <v>106.42515</v>
      </c>
      <c r="AG7" s="1">
        <v>0.5</v>
      </c>
      <c r="AH7" s="13">
        <v>98.187979999999996</v>
      </c>
      <c r="AI7" s="3">
        <f t="shared" ref="AI7:AI70" si="2">100-($AH$6-AH7)</f>
        <v>100.06742</v>
      </c>
      <c r="AJ7" s="3"/>
      <c r="AK7" s="11">
        <v>106.44374999999999</v>
      </c>
      <c r="AL7" s="1">
        <v>0.5</v>
      </c>
      <c r="AM7" s="13">
        <v>98.104820000000004</v>
      </c>
      <c r="AN7" s="3">
        <f t="shared" ref="AN7:AN70" si="3">100-($AM$6-AM7)</f>
        <v>100.07043</v>
      </c>
      <c r="AP7" s="18">
        <v>91.138440000000003</v>
      </c>
      <c r="AQ7" s="1">
        <v>0.5</v>
      </c>
      <c r="AR7" s="13">
        <v>99.46875</v>
      </c>
      <c r="AS7" s="3">
        <f t="shared" ref="AS7:AS70" si="4">100-($AR$6-AR7)</f>
        <v>100.02256</v>
      </c>
    </row>
    <row r="8" spans="1:45" ht="16" x14ac:dyDescent="0.2">
      <c r="A8" s="2">
        <v>204.05022</v>
      </c>
      <c r="B8" s="1">
        <v>1</v>
      </c>
      <c r="C8" s="3">
        <v>100.3194</v>
      </c>
      <c r="D8" s="3">
        <f t="shared" ref="D8:D71" si="5">100-($C$6-C8)</f>
        <v>100.19595</v>
      </c>
      <c r="G8" s="4">
        <v>225.27373</v>
      </c>
      <c r="H8" s="1">
        <v>1</v>
      </c>
      <c r="I8" s="3">
        <v>98.626000000000005</v>
      </c>
      <c r="J8" s="3">
        <f t="shared" ref="J8:J71" si="6">100-($I$6-I8)</f>
        <v>100.21639</v>
      </c>
      <c r="M8" s="4">
        <v>228.74602999999999</v>
      </c>
      <c r="N8" s="1">
        <v>1</v>
      </c>
      <c r="O8" s="3">
        <v>101.01385999999999</v>
      </c>
      <c r="P8" s="3">
        <f t="shared" ref="P8:P71" si="7">100-($O$6-O8)</f>
        <v>100.22147</v>
      </c>
      <c r="S8" s="4">
        <v>250.37700000000001</v>
      </c>
      <c r="T8" s="1">
        <v>1</v>
      </c>
      <c r="U8" s="5">
        <v>96.917330000000007</v>
      </c>
      <c r="V8" s="3">
        <f t="shared" si="0"/>
        <v>100.24102000000001</v>
      </c>
      <c r="Y8" s="4">
        <v>250.14805999999999</v>
      </c>
      <c r="Z8" s="1">
        <v>1</v>
      </c>
      <c r="AA8" s="5">
        <v>101.96535</v>
      </c>
      <c r="AB8" s="3">
        <f t="shared" si="1"/>
        <v>100.35633</v>
      </c>
      <c r="AF8" s="11">
        <v>108.32773</v>
      </c>
      <c r="AG8" s="1">
        <v>1</v>
      </c>
      <c r="AH8" s="12">
        <v>98.154269999999997</v>
      </c>
      <c r="AI8" s="3">
        <f t="shared" si="2"/>
        <v>100.03371</v>
      </c>
      <c r="AK8" s="11">
        <v>108.3372</v>
      </c>
      <c r="AL8" s="1">
        <v>1</v>
      </c>
      <c r="AM8" s="12">
        <v>98.096869999999996</v>
      </c>
      <c r="AN8" s="3">
        <f t="shared" si="3"/>
        <v>100.06247999999999</v>
      </c>
      <c r="AP8" s="18">
        <v>94.812110000000004</v>
      </c>
      <c r="AQ8" s="1">
        <v>1</v>
      </c>
      <c r="AR8" s="12">
        <v>99.51831</v>
      </c>
      <c r="AS8" s="3">
        <f t="shared" si="4"/>
        <v>100.07212</v>
      </c>
    </row>
    <row r="9" spans="1:45" ht="16" x14ac:dyDescent="0.2">
      <c r="A9" s="2">
        <v>205.14419000000001</v>
      </c>
      <c r="B9" s="1">
        <v>1.5</v>
      </c>
      <c r="C9" s="5">
        <v>100.49401</v>
      </c>
      <c r="D9" s="3">
        <f t="shared" si="5"/>
        <v>100.37056</v>
      </c>
      <c r="G9" s="4">
        <v>225.22632999999999</v>
      </c>
      <c r="H9" s="1">
        <v>1.5</v>
      </c>
      <c r="I9" s="5">
        <v>98.689160000000001</v>
      </c>
      <c r="J9" s="3">
        <f t="shared" si="6"/>
        <v>100.27955</v>
      </c>
      <c r="M9" s="4">
        <v>229.70337000000001</v>
      </c>
      <c r="N9" s="1">
        <v>1.5</v>
      </c>
      <c r="O9" s="5">
        <v>101.13418</v>
      </c>
      <c r="P9" s="3">
        <f>100-($O$6-O9)</f>
        <v>100.34179</v>
      </c>
      <c r="S9" s="4">
        <v>250.30960999999999</v>
      </c>
      <c r="T9" s="1">
        <v>1.5</v>
      </c>
      <c r="U9" s="3">
        <v>97.041460000000001</v>
      </c>
      <c r="V9" s="3">
        <f t="shared" si="0"/>
        <v>100.36515</v>
      </c>
      <c r="Y9" s="4">
        <v>250.16394</v>
      </c>
      <c r="Z9" s="1">
        <v>1.5</v>
      </c>
      <c r="AA9" s="3">
        <v>102.12828</v>
      </c>
      <c r="AB9" s="3">
        <f t="shared" si="1"/>
        <v>100.51926</v>
      </c>
      <c r="AF9" s="11">
        <v>110.65187</v>
      </c>
      <c r="AG9" s="1">
        <v>1.5</v>
      </c>
      <c r="AH9" s="13">
        <v>98.166749999999993</v>
      </c>
      <c r="AI9" s="3">
        <f t="shared" si="2"/>
        <v>100.04619</v>
      </c>
      <c r="AK9" s="11">
        <v>110.64782</v>
      </c>
      <c r="AL9" s="1">
        <v>1.5</v>
      </c>
      <c r="AM9" s="13">
        <v>98.084879999999998</v>
      </c>
      <c r="AN9" s="3">
        <f t="shared" si="3"/>
        <v>100.05049</v>
      </c>
      <c r="AP9" s="18">
        <v>98.898020000000002</v>
      </c>
      <c r="AQ9" s="1">
        <v>1.5</v>
      </c>
      <c r="AR9" s="13">
        <v>99.536779999999993</v>
      </c>
      <c r="AS9" s="3">
        <f t="shared" si="4"/>
        <v>100.09058999999999</v>
      </c>
    </row>
    <row r="10" spans="1:45" ht="16" x14ac:dyDescent="0.2">
      <c r="A10" s="2">
        <v>205.71656999999999</v>
      </c>
      <c r="B10" s="1">
        <v>2</v>
      </c>
      <c r="C10" s="3">
        <v>100.47906999999999</v>
      </c>
      <c r="D10" s="3">
        <f t="shared" si="5"/>
        <v>100.35561999999999</v>
      </c>
      <c r="G10" s="4">
        <v>225.15446</v>
      </c>
      <c r="H10" s="1">
        <v>2</v>
      </c>
      <c r="I10" s="3">
        <v>98.775390000000002</v>
      </c>
      <c r="J10" s="3">
        <f t="shared" si="6"/>
        <v>100.36578</v>
      </c>
      <c r="M10" s="4">
        <v>230.15038999999999</v>
      </c>
      <c r="N10" s="1">
        <v>2</v>
      </c>
      <c r="O10" s="3">
        <v>101.09103</v>
      </c>
      <c r="P10" s="3">
        <f t="shared" si="7"/>
        <v>100.29864000000001</v>
      </c>
      <c r="S10" s="4">
        <v>250.21466000000001</v>
      </c>
      <c r="T10" s="1">
        <v>2</v>
      </c>
      <c r="U10" s="5">
        <v>97.1464</v>
      </c>
      <c r="V10" s="3">
        <f t="shared" si="0"/>
        <v>100.47009</v>
      </c>
      <c r="Y10" s="4">
        <v>250.14591999999999</v>
      </c>
      <c r="Z10" s="1">
        <v>2</v>
      </c>
      <c r="AA10" s="5">
        <v>102.13988999999999</v>
      </c>
      <c r="AB10" s="3">
        <f t="shared" si="1"/>
        <v>100.53086999999999</v>
      </c>
      <c r="AF10" s="11">
        <v>113.21245999999999</v>
      </c>
      <c r="AG10" s="1">
        <v>2</v>
      </c>
      <c r="AH10" s="12">
        <v>98.152810000000002</v>
      </c>
      <c r="AI10" s="3">
        <f t="shared" si="2"/>
        <v>100.03225</v>
      </c>
      <c r="AK10" s="11">
        <v>113.1991</v>
      </c>
      <c r="AL10" s="1">
        <v>2</v>
      </c>
      <c r="AM10" s="12">
        <v>98.081490000000002</v>
      </c>
      <c r="AN10" s="3">
        <f t="shared" si="3"/>
        <v>100.0471</v>
      </c>
      <c r="AP10" s="18">
        <v>102.9268</v>
      </c>
      <c r="AQ10" s="1">
        <v>2</v>
      </c>
      <c r="AR10" s="12">
        <v>99.454070000000002</v>
      </c>
      <c r="AS10" s="3">
        <f t="shared" si="4"/>
        <v>100.00788</v>
      </c>
    </row>
    <row r="11" spans="1:45" ht="16" x14ac:dyDescent="0.2">
      <c r="A11" s="2">
        <v>205.95375000000001</v>
      </c>
      <c r="B11" s="1">
        <v>2.5</v>
      </c>
      <c r="C11" s="5">
        <v>100.58235000000001</v>
      </c>
      <c r="D11" s="3">
        <f t="shared" si="5"/>
        <v>100.4589</v>
      </c>
      <c r="G11" s="4">
        <v>225.09360000000001</v>
      </c>
      <c r="H11" s="1">
        <v>2.5</v>
      </c>
      <c r="I11" s="5">
        <v>98.82056</v>
      </c>
      <c r="J11" s="3">
        <f t="shared" si="6"/>
        <v>100.41095</v>
      </c>
      <c r="M11" s="4">
        <v>230.30000999999999</v>
      </c>
      <c r="N11" s="1">
        <v>2.5</v>
      </c>
      <c r="O11" s="5">
        <v>101.2114</v>
      </c>
      <c r="P11" s="3">
        <f t="shared" si="7"/>
        <v>100.41901</v>
      </c>
      <c r="S11" s="4">
        <v>250.13078999999999</v>
      </c>
      <c r="T11" s="1">
        <v>2.5</v>
      </c>
      <c r="U11" s="3">
        <v>97.237520000000004</v>
      </c>
      <c r="V11" s="3">
        <f t="shared" si="0"/>
        <v>100.56121</v>
      </c>
      <c r="Y11" s="4">
        <v>250.11960999999999</v>
      </c>
      <c r="Z11" s="1">
        <v>2.5</v>
      </c>
      <c r="AA11" s="3">
        <v>102.31671</v>
      </c>
      <c r="AB11" s="3">
        <f t="shared" si="1"/>
        <v>100.70769</v>
      </c>
      <c r="AF11" s="11">
        <v>115.89867</v>
      </c>
      <c r="AG11" s="1">
        <v>2.5</v>
      </c>
      <c r="AH11" s="13">
        <v>98.13646</v>
      </c>
      <c r="AI11" s="3">
        <f t="shared" si="2"/>
        <v>100.0159</v>
      </c>
      <c r="AK11" s="11">
        <v>115.89239999999999</v>
      </c>
      <c r="AL11" s="1">
        <v>2.5</v>
      </c>
      <c r="AM11" s="13">
        <v>98.070440000000005</v>
      </c>
      <c r="AN11" s="3">
        <f t="shared" si="3"/>
        <v>100.03605</v>
      </c>
      <c r="AP11" s="18">
        <v>106.66616</v>
      </c>
      <c r="AQ11" s="1">
        <v>2.5</v>
      </c>
      <c r="AR11" s="13">
        <v>99.535939999999997</v>
      </c>
      <c r="AS11" s="3">
        <f t="shared" si="4"/>
        <v>100.08975</v>
      </c>
    </row>
    <row r="12" spans="1:45" ht="16" x14ac:dyDescent="0.2">
      <c r="A12" s="2">
        <v>206.0111</v>
      </c>
      <c r="B12" s="1">
        <v>3</v>
      </c>
      <c r="C12" s="3">
        <v>100.78585</v>
      </c>
      <c r="D12" s="3">
        <f t="shared" si="5"/>
        <v>100.66239999999999</v>
      </c>
      <c r="G12" s="4">
        <v>225.04898</v>
      </c>
      <c r="H12" s="1">
        <v>3</v>
      </c>
      <c r="I12" s="3">
        <v>98.86721</v>
      </c>
      <c r="J12" s="3">
        <f t="shared" si="6"/>
        <v>100.4576</v>
      </c>
      <c r="M12" s="4">
        <v>230.31912</v>
      </c>
      <c r="N12" s="1">
        <v>3</v>
      </c>
      <c r="O12" s="3">
        <v>101.32413</v>
      </c>
      <c r="P12" s="3">
        <f t="shared" si="7"/>
        <v>100.53174</v>
      </c>
      <c r="S12" s="4">
        <v>250.06374</v>
      </c>
      <c r="T12" s="1">
        <v>3</v>
      </c>
      <c r="U12" s="5">
        <v>97.320089999999993</v>
      </c>
      <c r="V12" s="3">
        <f t="shared" si="0"/>
        <v>100.64377999999999</v>
      </c>
      <c r="Y12" s="4">
        <v>250.09143</v>
      </c>
      <c r="Z12" s="1">
        <v>3</v>
      </c>
      <c r="AA12" s="5">
        <v>102.21044999999999</v>
      </c>
      <c r="AB12" s="3">
        <f t="shared" si="1"/>
        <v>100.60142999999999</v>
      </c>
      <c r="AF12" s="11">
        <v>118.64494000000001</v>
      </c>
      <c r="AG12" s="1">
        <v>3</v>
      </c>
      <c r="AH12" s="12">
        <v>98.122669999999999</v>
      </c>
      <c r="AI12" s="3">
        <f t="shared" si="2"/>
        <v>100.00211</v>
      </c>
      <c r="AK12" s="11">
        <v>118.64234999999999</v>
      </c>
      <c r="AL12" s="1">
        <v>3</v>
      </c>
      <c r="AM12" s="12">
        <v>98.053049999999999</v>
      </c>
      <c r="AN12" s="3">
        <f t="shared" si="3"/>
        <v>100.01866</v>
      </c>
      <c r="AP12" s="18">
        <v>109.99105</v>
      </c>
      <c r="AQ12" s="1">
        <v>3</v>
      </c>
      <c r="AR12" s="12">
        <v>99.484470000000002</v>
      </c>
      <c r="AS12" s="3">
        <f t="shared" si="4"/>
        <v>100.03828</v>
      </c>
    </row>
    <row r="13" spans="1:45" ht="16" x14ac:dyDescent="0.2">
      <c r="A13" s="2">
        <v>205.97839999999999</v>
      </c>
      <c r="B13" s="1">
        <v>3.5</v>
      </c>
      <c r="C13" s="5">
        <v>100.71317000000001</v>
      </c>
      <c r="D13" s="3">
        <f t="shared" si="5"/>
        <v>100.58972</v>
      </c>
      <c r="G13" s="4">
        <v>225.01769999999999</v>
      </c>
      <c r="H13" s="1">
        <v>3.5</v>
      </c>
      <c r="I13" s="5">
        <v>98.949089999999998</v>
      </c>
      <c r="J13" s="3">
        <f t="shared" si="6"/>
        <v>100.53948</v>
      </c>
      <c r="M13" s="4">
        <v>230.28103999999999</v>
      </c>
      <c r="N13" s="1">
        <v>3.5</v>
      </c>
      <c r="O13" s="5">
        <v>101.25149</v>
      </c>
      <c r="P13" s="3">
        <f t="shared" si="7"/>
        <v>100.45910000000001</v>
      </c>
      <c r="S13" s="4">
        <v>250.02287000000001</v>
      </c>
      <c r="T13" s="1">
        <v>3.5</v>
      </c>
      <c r="U13" s="3">
        <v>97.382260000000002</v>
      </c>
      <c r="V13" s="3">
        <f t="shared" si="0"/>
        <v>100.70595</v>
      </c>
      <c r="Y13" s="4">
        <v>250.07171</v>
      </c>
      <c r="Z13" s="1">
        <v>3.5</v>
      </c>
      <c r="AA13" s="3">
        <v>102.41475</v>
      </c>
      <c r="AB13" s="3">
        <f t="shared" si="1"/>
        <v>100.80573</v>
      </c>
      <c r="AF13" s="11">
        <v>121.41716</v>
      </c>
      <c r="AG13" s="1">
        <v>3.5</v>
      </c>
      <c r="AH13" s="13">
        <v>98.105260000000001</v>
      </c>
      <c r="AI13" s="3">
        <f t="shared" si="2"/>
        <v>99.984700000000004</v>
      </c>
      <c r="AK13" s="11">
        <v>121.4033</v>
      </c>
      <c r="AL13" s="1">
        <v>3.5</v>
      </c>
      <c r="AM13" s="13">
        <v>98.03201</v>
      </c>
      <c r="AN13" s="3">
        <f t="shared" si="3"/>
        <v>99.997619999999998</v>
      </c>
      <c r="AP13" s="18">
        <v>112.90872</v>
      </c>
      <c r="AQ13" s="1">
        <v>3.5</v>
      </c>
      <c r="AR13" s="13">
        <v>99.485560000000007</v>
      </c>
      <c r="AS13" s="3">
        <f t="shared" si="4"/>
        <v>100.03937000000001</v>
      </c>
    </row>
    <row r="14" spans="1:45" ht="16" x14ac:dyDescent="0.2">
      <c r="A14" s="2">
        <v>205.88446999999999</v>
      </c>
      <c r="B14" s="1">
        <v>4</v>
      </c>
      <c r="C14" s="3">
        <v>100.70979</v>
      </c>
      <c r="D14" s="3">
        <f t="shared" si="5"/>
        <v>100.58633999999999</v>
      </c>
      <c r="G14" s="4">
        <v>224.99391</v>
      </c>
      <c r="H14" s="1">
        <v>4</v>
      </c>
      <c r="I14" s="3">
        <v>98.986900000000006</v>
      </c>
      <c r="J14" s="3">
        <f t="shared" si="6"/>
        <v>100.57729</v>
      </c>
      <c r="M14" s="4">
        <v>230.20173</v>
      </c>
      <c r="N14" s="1">
        <v>4</v>
      </c>
      <c r="O14" s="3">
        <v>101.38406000000001</v>
      </c>
      <c r="P14" s="3">
        <f t="shared" si="7"/>
        <v>100.59167000000001</v>
      </c>
      <c r="S14" s="4">
        <v>249.99086</v>
      </c>
      <c r="T14" s="1">
        <v>4</v>
      </c>
      <c r="U14" s="5">
        <v>97.426940000000002</v>
      </c>
      <c r="V14" s="3">
        <f t="shared" si="0"/>
        <v>100.75063</v>
      </c>
      <c r="Y14" s="4">
        <v>250.06326000000001</v>
      </c>
      <c r="Z14" s="1">
        <v>4</v>
      </c>
      <c r="AA14" s="5">
        <v>102.48445</v>
      </c>
      <c r="AB14" s="3">
        <f t="shared" si="1"/>
        <v>100.87542999999999</v>
      </c>
      <c r="AF14" s="11">
        <v>124.1683</v>
      </c>
      <c r="AG14" s="1">
        <v>4</v>
      </c>
      <c r="AH14" s="12">
        <v>98.098759999999999</v>
      </c>
      <c r="AI14" s="3">
        <f t="shared" si="2"/>
        <v>99.978200000000001</v>
      </c>
      <c r="AK14" s="11">
        <v>124.15543</v>
      </c>
      <c r="AL14" s="1">
        <v>4</v>
      </c>
      <c r="AM14" s="12">
        <v>98.003960000000006</v>
      </c>
      <c r="AN14" s="3">
        <f t="shared" si="3"/>
        <v>99.969570000000004</v>
      </c>
      <c r="AP14" s="18">
        <v>115.43247</v>
      </c>
      <c r="AQ14" s="1">
        <v>4</v>
      </c>
      <c r="AR14" s="12">
        <v>99.50121</v>
      </c>
      <c r="AS14" s="3">
        <f t="shared" si="4"/>
        <v>100.05502</v>
      </c>
    </row>
    <row r="15" spans="1:45" ht="16" x14ac:dyDescent="0.2">
      <c r="A15" s="2">
        <v>205.72745</v>
      </c>
      <c r="B15" s="1">
        <v>4.5</v>
      </c>
      <c r="C15" s="5">
        <v>100.77182999999999</v>
      </c>
      <c r="D15" s="3">
        <f t="shared" si="5"/>
        <v>100.64837999999999</v>
      </c>
      <c r="G15" s="4">
        <v>224.98703</v>
      </c>
      <c r="H15" s="1">
        <v>4.5</v>
      </c>
      <c r="I15" s="5">
        <v>99.02149</v>
      </c>
      <c r="J15" s="3">
        <f t="shared" si="6"/>
        <v>100.61188</v>
      </c>
      <c r="M15" s="4">
        <v>230.06826000000001</v>
      </c>
      <c r="N15" s="1">
        <v>4.5</v>
      </c>
      <c r="O15" s="5">
        <v>101.40749</v>
      </c>
      <c r="P15" s="3">
        <f t="shared" si="7"/>
        <v>100.6151</v>
      </c>
      <c r="S15" s="4">
        <v>249.97397000000001</v>
      </c>
      <c r="T15" s="1">
        <v>4.5</v>
      </c>
      <c r="U15" s="3">
        <v>97.488709999999998</v>
      </c>
      <c r="V15" s="3">
        <f t="shared" si="0"/>
        <v>100.8124</v>
      </c>
      <c r="Y15" s="4">
        <v>250.05235999999999</v>
      </c>
      <c r="Z15" s="1">
        <v>4.5</v>
      </c>
      <c r="AA15" s="3">
        <v>102.45851999999999</v>
      </c>
      <c r="AB15" s="3">
        <f t="shared" si="1"/>
        <v>100.84949999999999</v>
      </c>
      <c r="AF15" s="11">
        <v>126.87304</v>
      </c>
      <c r="AG15" s="1">
        <v>4.5</v>
      </c>
      <c r="AH15" s="13">
        <v>98.095070000000007</v>
      </c>
      <c r="AI15" s="3">
        <f t="shared" si="2"/>
        <v>99.974510000000009</v>
      </c>
      <c r="AK15" s="11">
        <v>126.87102</v>
      </c>
      <c r="AL15" s="1">
        <v>4.5</v>
      </c>
      <c r="AM15" s="13">
        <v>97.987939999999995</v>
      </c>
      <c r="AN15" s="3">
        <f t="shared" si="3"/>
        <v>99.953549999999993</v>
      </c>
      <c r="AP15" s="18">
        <v>117.6313</v>
      </c>
      <c r="AQ15" s="1">
        <v>4.5</v>
      </c>
      <c r="AR15" s="13">
        <v>99.487840000000006</v>
      </c>
      <c r="AS15" s="3">
        <f t="shared" si="4"/>
        <v>100.04165</v>
      </c>
    </row>
    <row r="16" spans="1:45" ht="16" x14ac:dyDescent="0.2">
      <c r="A16" s="2">
        <v>205.50226000000001</v>
      </c>
      <c r="B16" s="1">
        <v>5</v>
      </c>
      <c r="C16" s="3">
        <v>100.74460000000001</v>
      </c>
      <c r="D16" s="3">
        <f t="shared" si="5"/>
        <v>100.62115</v>
      </c>
      <c r="G16" s="4">
        <v>224.97892999999999</v>
      </c>
      <c r="H16" s="1">
        <v>5</v>
      </c>
      <c r="I16" s="3">
        <v>99.026380000000003</v>
      </c>
      <c r="J16" s="3">
        <f t="shared" si="6"/>
        <v>100.61677</v>
      </c>
      <c r="M16" s="4">
        <v>229.85282000000001</v>
      </c>
      <c r="N16" s="1">
        <v>5</v>
      </c>
      <c r="O16" s="3">
        <v>101.42798000000001</v>
      </c>
      <c r="P16" s="3">
        <f t="shared" si="7"/>
        <v>100.63559000000001</v>
      </c>
      <c r="S16" s="4">
        <v>249.96591000000001</v>
      </c>
      <c r="T16" s="1">
        <v>5</v>
      </c>
      <c r="U16" s="5">
        <v>97.544659999999993</v>
      </c>
      <c r="V16" s="3">
        <f t="shared" si="0"/>
        <v>100.86834999999999</v>
      </c>
      <c r="Y16" s="4">
        <v>250.04517999999999</v>
      </c>
      <c r="Z16" s="1">
        <v>5</v>
      </c>
      <c r="AA16" s="5">
        <v>102.50897999999999</v>
      </c>
      <c r="AB16" s="3">
        <f t="shared" si="1"/>
        <v>100.89995999999999</v>
      </c>
      <c r="AF16" s="11">
        <v>129.52790999999999</v>
      </c>
      <c r="AG16" s="1">
        <v>5</v>
      </c>
      <c r="AH16" s="12">
        <v>98.05341</v>
      </c>
      <c r="AI16" s="3">
        <f t="shared" si="2"/>
        <v>99.932850000000002</v>
      </c>
      <c r="AK16" s="11">
        <v>129.52636999999999</v>
      </c>
      <c r="AL16" s="1">
        <v>5</v>
      </c>
      <c r="AM16" s="12">
        <v>97.998249999999999</v>
      </c>
      <c r="AN16" s="3">
        <f t="shared" si="3"/>
        <v>99.963859999999997</v>
      </c>
      <c r="AP16" s="18">
        <v>119.58266999999999</v>
      </c>
      <c r="AQ16" s="1">
        <v>5</v>
      </c>
      <c r="AR16" s="12">
        <v>99.490009999999998</v>
      </c>
      <c r="AS16" s="3">
        <f t="shared" si="4"/>
        <v>100.04382</v>
      </c>
    </row>
    <row r="17" spans="1:45" ht="16" x14ac:dyDescent="0.2">
      <c r="A17" s="2">
        <v>205.20817</v>
      </c>
      <c r="B17" s="1">
        <v>5.5</v>
      </c>
      <c r="C17" s="5">
        <v>100.90078</v>
      </c>
      <c r="D17" s="3">
        <f t="shared" si="5"/>
        <v>100.77732999999999</v>
      </c>
      <c r="G17" s="4">
        <v>224.97003000000001</v>
      </c>
      <c r="H17" s="1">
        <v>5.5</v>
      </c>
      <c r="I17" s="5">
        <v>99.064859999999996</v>
      </c>
      <c r="J17" s="3">
        <f t="shared" si="6"/>
        <v>100.65525</v>
      </c>
      <c r="M17" s="4">
        <v>229.57176999999999</v>
      </c>
      <c r="N17" s="1">
        <v>5.5</v>
      </c>
      <c r="O17" s="5">
        <v>101.482</v>
      </c>
      <c r="P17" s="3">
        <f t="shared" si="7"/>
        <v>100.68961</v>
      </c>
      <c r="S17" s="4">
        <v>249.96593999999999</v>
      </c>
      <c r="T17" s="1">
        <v>5.5</v>
      </c>
      <c r="U17" s="3">
        <v>97.593050000000005</v>
      </c>
      <c r="V17" s="3">
        <f t="shared" si="0"/>
        <v>100.91674</v>
      </c>
      <c r="Y17" s="4">
        <v>250.03969000000001</v>
      </c>
      <c r="Z17" s="1">
        <v>5.5</v>
      </c>
      <c r="AA17" s="3">
        <v>102.57071000000001</v>
      </c>
      <c r="AB17" s="3">
        <f t="shared" si="1"/>
        <v>100.96169</v>
      </c>
      <c r="AF17" s="11">
        <v>132.16086999999999</v>
      </c>
      <c r="AG17" s="1">
        <v>5.5</v>
      </c>
      <c r="AH17" s="13">
        <v>98.09084</v>
      </c>
      <c r="AI17" s="3">
        <f t="shared" si="2"/>
        <v>99.970280000000002</v>
      </c>
      <c r="AK17" s="11">
        <v>132.14796999999999</v>
      </c>
      <c r="AL17" s="1">
        <v>5.5</v>
      </c>
      <c r="AM17" s="13">
        <v>97.977130000000002</v>
      </c>
      <c r="AN17" s="3">
        <f t="shared" si="3"/>
        <v>99.942740000000001</v>
      </c>
      <c r="AP17" s="18">
        <v>121.35482</v>
      </c>
      <c r="AQ17" s="1">
        <v>5.5</v>
      </c>
      <c r="AR17" s="13">
        <v>99.451520000000002</v>
      </c>
      <c r="AS17" s="3">
        <f t="shared" si="4"/>
        <v>100.00533</v>
      </c>
    </row>
    <row r="18" spans="1:45" ht="16" x14ac:dyDescent="0.2">
      <c r="A18" s="2">
        <v>204.85042999999999</v>
      </c>
      <c r="B18" s="1">
        <v>6</v>
      </c>
      <c r="C18" s="3">
        <v>100.74669</v>
      </c>
      <c r="D18" s="3">
        <f t="shared" si="5"/>
        <v>100.62324</v>
      </c>
      <c r="G18" s="4">
        <v>224.97391999999999</v>
      </c>
      <c r="H18" s="1">
        <v>6</v>
      </c>
      <c r="I18" s="3">
        <v>99.116039999999998</v>
      </c>
      <c r="J18" s="3">
        <f t="shared" si="6"/>
        <v>100.70643</v>
      </c>
      <c r="M18" s="4">
        <v>229.23616000000001</v>
      </c>
      <c r="N18" s="1">
        <v>6</v>
      </c>
      <c r="O18" s="3">
        <v>101.59352</v>
      </c>
      <c r="P18" s="3">
        <f t="shared" si="7"/>
        <v>100.80113</v>
      </c>
      <c r="S18" s="4">
        <v>249.96098000000001</v>
      </c>
      <c r="T18" s="1">
        <v>6</v>
      </c>
      <c r="U18" s="5">
        <v>97.621319999999997</v>
      </c>
      <c r="V18" s="3">
        <f t="shared" si="0"/>
        <v>100.94501</v>
      </c>
      <c r="Y18" s="4">
        <v>250.03237999999999</v>
      </c>
      <c r="Z18" s="1">
        <v>6</v>
      </c>
      <c r="AA18" s="5">
        <v>102.58842</v>
      </c>
      <c r="AB18" s="3">
        <f t="shared" si="1"/>
        <v>100.9794</v>
      </c>
      <c r="AF18" s="11">
        <v>134.78</v>
      </c>
      <c r="AG18" s="1">
        <v>6</v>
      </c>
      <c r="AH18" s="12">
        <v>98.048640000000006</v>
      </c>
      <c r="AI18" s="3">
        <f t="shared" si="2"/>
        <v>99.928080000000008</v>
      </c>
      <c r="AK18" s="11">
        <v>134.76504</v>
      </c>
      <c r="AL18" s="1">
        <v>6</v>
      </c>
      <c r="AM18" s="12">
        <v>97.968609999999998</v>
      </c>
      <c r="AN18" s="3">
        <f t="shared" si="3"/>
        <v>99.934219999999996</v>
      </c>
      <c r="AP18" s="18">
        <v>123.01571</v>
      </c>
      <c r="AQ18" s="1">
        <v>6</v>
      </c>
      <c r="AR18" s="12">
        <v>99.498670000000004</v>
      </c>
      <c r="AS18" s="3">
        <f t="shared" si="4"/>
        <v>100.05248</v>
      </c>
    </row>
    <row r="19" spans="1:45" ht="16" x14ac:dyDescent="0.2">
      <c r="A19" s="2">
        <v>204.45410999999999</v>
      </c>
      <c r="B19" s="1">
        <v>6.5</v>
      </c>
      <c r="C19" s="5">
        <v>100.86172999999999</v>
      </c>
      <c r="D19" s="3">
        <f t="shared" si="5"/>
        <v>100.73827999999999</v>
      </c>
      <c r="G19" s="4">
        <v>224.97313</v>
      </c>
      <c r="H19" s="1">
        <v>6.5</v>
      </c>
      <c r="I19" s="5">
        <v>99.121319999999997</v>
      </c>
      <c r="J19" s="3">
        <f t="shared" si="6"/>
        <v>100.71171</v>
      </c>
      <c r="M19" s="4">
        <v>228.87183999999999</v>
      </c>
      <c r="N19" s="1">
        <v>6.5</v>
      </c>
      <c r="O19" s="5">
        <v>101.47503</v>
      </c>
      <c r="P19" s="3">
        <f t="shared" si="7"/>
        <v>100.68264000000001</v>
      </c>
      <c r="S19" s="4">
        <v>249.96692999999999</v>
      </c>
      <c r="T19" s="1">
        <v>6.5</v>
      </c>
      <c r="U19" s="3">
        <v>97.66704</v>
      </c>
      <c r="V19" s="3">
        <f t="shared" si="0"/>
        <v>100.99073</v>
      </c>
      <c r="Y19" s="4">
        <v>250.02251000000001</v>
      </c>
      <c r="Z19" s="1">
        <v>6.5</v>
      </c>
      <c r="AA19" s="3">
        <v>102.68134999999999</v>
      </c>
      <c r="AB19" s="3">
        <f t="shared" si="1"/>
        <v>101.07232999999999</v>
      </c>
      <c r="AF19" s="11">
        <v>137.35550000000001</v>
      </c>
      <c r="AG19" s="1">
        <v>6.5</v>
      </c>
      <c r="AH19" s="13">
        <v>98.038830000000004</v>
      </c>
      <c r="AI19" s="3">
        <f t="shared" si="2"/>
        <v>99.918270000000007</v>
      </c>
      <c r="AK19" s="11">
        <v>137.35732999999999</v>
      </c>
      <c r="AL19" s="1">
        <v>6.5</v>
      </c>
      <c r="AM19" s="13">
        <v>97.936670000000007</v>
      </c>
      <c r="AN19" s="3">
        <f t="shared" si="3"/>
        <v>99.902280000000005</v>
      </c>
      <c r="AP19" s="18">
        <v>124.58575999999999</v>
      </c>
      <c r="AQ19" s="1">
        <v>6.5</v>
      </c>
      <c r="AR19" s="13">
        <v>99.410659999999993</v>
      </c>
      <c r="AS19" s="3">
        <f t="shared" si="4"/>
        <v>99.964469999999992</v>
      </c>
    </row>
    <row r="20" spans="1:45" ht="16" x14ac:dyDescent="0.2">
      <c r="A20" s="2">
        <v>204.05059</v>
      </c>
      <c r="B20" s="1">
        <v>7</v>
      </c>
      <c r="C20" s="3">
        <v>100.84872</v>
      </c>
      <c r="D20" s="3">
        <f t="shared" si="5"/>
        <v>100.72526999999999</v>
      </c>
      <c r="G20" s="4">
        <v>224.98308</v>
      </c>
      <c r="H20" s="1">
        <v>7</v>
      </c>
      <c r="I20" s="3">
        <v>99.174199999999999</v>
      </c>
      <c r="J20" s="3">
        <f t="shared" si="6"/>
        <v>100.76459</v>
      </c>
      <c r="M20" s="4">
        <v>228.50792000000001</v>
      </c>
      <c r="N20" s="1">
        <v>7</v>
      </c>
      <c r="O20" s="3">
        <v>101.45806</v>
      </c>
      <c r="P20" s="3">
        <f t="shared" si="7"/>
        <v>100.66567000000001</v>
      </c>
      <c r="S20" s="4">
        <v>249.971</v>
      </c>
      <c r="T20" s="1">
        <v>7</v>
      </c>
      <c r="U20" s="5">
        <v>97.72663</v>
      </c>
      <c r="V20" s="3">
        <f t="shared" si="0"/>
        <v>101.05032</v>
      </c>
      <c r="Y20" s="4">
        <v>250.01952</v>
      </c>
      <c r="Z20" s="1">
        <v>7</v>
      </c>
      <c r="AA20" s="5">
        <v>102.71693999999999</v>
      </c>
      <c r="AB20" s="3">
        <f t="shared" si="1"/>
        <v>101.10791999999999</v>
      </c>
      <c r="AF20" s="11">
        <v>139.89623</v>
      </c>
      <c r="AG20" s="1">
        <v>7</v>
      </c>
      <c r="AH20" s="12">
        <v>98.035539999999997</v>
      </c>
      <c r="AI20" s="3">
        <f t="shared" si="2"/>
        <v>99.91498</v>
      </c>
      <c r="AK20" s="11">
        <v>139.90434999999999</v>
      </c>
      <c r="AL20" s="1">
        <v>7</v>
      </c>
      <c r="AM20" s="12">
        <v>97.934389999999993</v>
      </c>
      <c r="AN20" s="3">
        <f t="shared" si="3"/>
        <v>99.899999999999991</v>
      </c>
      <c r="AP20" s="18">
        <v>126.10843</v>
      </c>
      <c r="AQ20" s="1">
        <v>7</v>
      </c>
      <c r="AR20" s="12">
        <v>99.467299999999994</v>
      </c>
      <c r="AS20" s="3">
        <f t="shared" si="4"/>
        <v>100.02110999999999</v>
      </c>
    </row>
    <row r="21" spans="1:45" ht="16" x14ac:dyDescent="0.2">
      <c r="A21" s="2">
        <v>203.65727999999999</v>
      </c>
      <c r="B21" s="1">
        <v>7.5</v>
      </c>
      <c r="C21" s="5">
        <v>100.97069999999999</v>
      </c>
      <c r="D21" s="3">
        <f t="shared" si="5"/>
        <v>100.84724999999999</v>
      </c>
      <c r="G21" s="4">
        <v>224.98220000000001</v>
      </c>
      <c r="H21" s="1">
        <v>7.5</v>
      </c>
      <c r="I21" s="5">
        <v>99.189490000000006</v>
      </c>
      <c r="J21" s="3">
        <f t="shared" si="6"/>
        <v>100.77988000000001</v>
      </c>
      <c r="M21" s="4">
        <v>228.15644</v>
      </c>
      <c r="N21" s="1">
        <v>7.5</v>
      </c>
      <c r="O21" s="5">
        <v>101.66459</v>
      </c>
      <c r="P21" s="3">
        <f t="shared" si="7"/>
        <v>100.87220000000001</v>
      </c>
      <c r="S21" s="4">
        <v>249.97404</v>
      </c>
      <c r="T21" s="1">
        <v>7.5</v>
      </c>
      <c r="U21" s="3">
        <v>97.776409999999998</v>
      </c>
      <c r="V21" s="3">
        <f t="shared" si="0"/>
        <v>101.1001</v>
      </c>
      <c r="Y21" s="4">
        <v>250.01732999999999</v>
      </c>
      <c r="Z21" s="1">
        <v>7.5</v>
      </c>
      <c r="AA21" s="3">
        <v>102.72497</v>
      </c>
      <c r="AB21" s="3">
        <f t="shared" si="1"/>
        <v>101.11595</v>
      </c>
      <c r="AF21" s="11">
        <v>142.45734999999999</v>
      </c>
      <c r="AG21" s="1">
        <v>7.5</v>
      </c>
      <c r="AH21" s="13">
        <v>98.019800000000004</v>
      </c>
      <c r="AI21" s="3">
        <f t="shared" si="2"/>
        <v>99.899240000000006</v>
      </c>
      <c r="AK21" s="11">
        <v>142.44837000000001</v>
      </c>
      <c r="AL21" s="1">
        <v>7.5</v>
      </c>
      <c r="AM21" s="13">
        <v>97.890420000000006</v>
      </c>
      <c r="AN21" s="3">
        <f t="shared" si="3"/>
        <v>99.856030000000004</v>
      </c>
      <c r="AP21" s="18">
        <v>127.59577</v>
      </c>
      <c r="AQ21" s="1">
        <v>7.5</v>
      </c>
      <c r="AR21" s="13">
        <v>99.519909999999996</v>
      </c>
      <c r="AS21" s="3">
        <f t="shared" si="4"/>
        <v>100.07371999999999</v>
      </c>
    </row>
    <row r="22" spans="1:45" ht="16" x14ac:dyDescent="0.2">
      <c r="A22" s="2">
        <v>203.27668</v>
      </c>
      <c r="B22" s="1">
        <v>8</v>
      </c>
      <c r="C22" s="3">
        <v>100.94217999999999</v>
      </c>
      <c r="D22" s="3">
        <f t="shared" si="5"/>
        <v>100.81872999999999</v>
      </c>
      <c r="G22" s="4">
        <v>224.98589999999999</v>
      </c>
      <c r="H22" s="1">
        <v>8</v>
      </c>
      <c r="I22" s="3">
        <v>99.198610000000002</v>
      </c>
      <c r="J22" s="3">
        <f t="shared" si="6"/>
        <v>100.789</v>
      </c>
      <c r="M22" s="4">
        <v>227.82171</v>
      </c>
      <c r="N22" s="1">
        <v>8</v>
      </c>
      <c r="O22" s="3">
        <v>101.55194</v>
      </c>
      <c r="P22" s="3">
        <f t="shared" si="7"/>
        <v>100.75955</v>
      </c>
      <c r="S22" s="4">
        <v>249.98117999999999</v>
      </c>
      <c r="T22" s="1">
        <v>8</v>
      </c>
      <c r="U22" s="5">
        <v>97.803030000000007</v>
      </c>
      <c r="V22" s="3">
        <f t="shared" si="0"/>
        <v>101.12672000000001</v>
      </c>
      <c r="Y22" s="4">
        <v>250.01685000000001</v>
      </c>
      <c r="Z22" s="1">
        <v>8</v>
      </c>
      <c r="AA22" s="5">
        <v>102.75721</v>
      </c>
      <c r="AB22" s="3">
        <f t="shared" si="1"/>
        <v>101.14819</v>
      </c>
      <c r="AF22" s="11">
        <v>145.01275000000001</v>
      </c>
      <c r="AG22" s="1">
        <v>8</v>
      </c>
      <c r="AH22" s="12">
        <v>98.011679999999998</v>
      </c>
      <c r="AI22" s="3">
        <f t="shared" si="2"/>
        <v>99.891120000000001</v>
      </c>
      <c r="AK22" s="11">
        <v>145.00776999999999</v>
      </c>
      <c r="AL22" s="1">
        <v>8</v>
      </c>
      <c r="AM22" s="12">
        <v>97.918210000000002</v>
      </c>
      <c r="AN22" s="3">
        <f t="shared" si="3"/>
        <v>99.88382</v>
      </c>
      <c r="AP22" s="18">
        <v>129.06244000000001</v>
      </c>
      <c r="AQ22" s="1">
        <v>8</v>
      </c>
      <c r="AR22" s="12">
        <v>99.490759999999995</v>
      </c>
      <c r="AS22" s="3">
        <f t="shared" si="4"/>
        <v>100.04456999999999</v>
      </c>
    </row>
    <row r="23" spans="1:45" ht="16" x14ac:dyDescent="0.2">
      <c r="A23" s="2">
        <v>202.92108999999999</v>
      </c>
      <c r="B23" s="1">
        <v>8.5</v>
      </c>
      <c r="C23" s="5">
        <v>100.85196000000001</v>
      </c>
      <c r="D23" s="3">
        <f t="shared" si="5"/>
        <v>100.72851</v>
      </c>
      <c r="G23" s="4">
        <v>224.98797999999999</v>
      </c>
      <c r="H23" s="1">
        <v>8.5</v>
      </c>
      <c r="I23" s="5">
        <v>99.208740000000006</v>
      </c>
      <c r="J23" s="3">
        <f t="shared" si="6"/>
        <v>100.79913000000001</v>
      </c>
      <c r="M23" s="4">
        <v>227.51702</v>
      </c>
      <c r="N23" s="1">
        <v>8.5</v>
      </c>
      <c r="O23" s="5">
        <v>101.5378</v>
      </c>
      <c r="P23" s="3">
        <f t="shared" si="7"/>
        <v>100.74541000000001</v>
      </c>
      <c r="S23" s="4">
        <v>249.98611</v>
      </c>
      <c r="T23" s="1">
        <v>8.5</v>
      </c>
      <c r="U23" s="3">
        <v>97.833879999999994</v>
      </c>
      <c r="V23" s="3">
        <f t="shared" si="0"/>
        <v>101.15756999999999</v>
      </c>
      <c r="Y23" s="4">
        <v>250.01487</v>
      </c>
      <c r="Z23" s="1">
        <v>8.5</v>
      </c>
      <c r="AA23" s="3">
        <v>102.82762</v>
      </c>
      <c r="AB23" s="3">
        <f t="shared" si="1"/>
        <v>101.2186</v>
      </c>
      <c r="AF23" s="11">
        <v>147.51864</v>
      </c>
      <c r="AG23" s="1">
        <v>8.5</v>
      </c>
      <c r="AH23" s="13">
        <v>98.003230000000002</v>
      </c>
      <c r="AI23" s="3">
        <f t="shared" si="2"/>
        <v>99.882670000000005</v>
      </c>
      <c r="AK23" s="11">
        <v>147.52691999999999</v>
      </c>
      <c r="AL23" s="1">
        <v>8.5</v>
      </c>
      <c r="AM23" s="13">
        <v>97.896429999999995</v>
      </c>
      <c r="AN23" s="3">
        <f t="shared" si="3"/>
        <v>99.862039999999993</v>
      </c>
      <c r="AP23" s="18">
        <v>130.52159</v>
      </c>
      <c r="AQ23" s="1">
        <v>8.5</v>
      </c>
      <c r="AR23" s="13">
        <v>99.46199</v>
      </c>
      <c r="AS23" s="3">
        <f t="shared" si="4"/>
        <v>100.0158</v>
      </c>
    </row>
    <row r="24" spans="1:45" ht="16" x14ac:dyDescent="0.2">
      <c r="A24" s="2">
        <v>202.59395000000001</v>
      </c>
      <c r="B24" s="1">
        <v>9</v>
      </c>
      <c r="C24" s="3">
        <v>100.95456</v>
      </c>
      <c r="D24" s="3">
        <f t="shared" si="5"/>
        <v>100.83111</v>
      </c>
      <c r="G24" s="4">
        <v>224.99199999999999</v>
      </c>
      <c r="H24" s="1">
        <v>9</v>
      </c>
      <c r="I24" s="3">
        <v>99.231700000000004</v>
      </c>
      <c r="J24" s="3">
        <f t="shared" si="6"/>
        <v>100.82209</v>
      </c>
      <c r="M24" s="4">
        <v>227.2372</v>
      </c>
      <c r="N24" s="1">
        <v>9</v>
      </c>
      <c r="O24" s="3">
        <v>101.47136999999999</v>
      </c>
      <c r="P24" s="3">
        <f t="shared" si="7"/>
        <v>100.67898</v>
      </c>
      <c r="S24" s="4">
        <v>249.98801</v>
      </c>
      <c r="T24" s="1">
        <v>9</v>
      </c>
      <c r="U24" s="5">
        <v>97.856790000000004</v>
      </c>
      <c r="V24" s="3">
        <f t="shared" si="0"/>
        <v>101.18048</v>
      </c>
      <c r="Y24" s="4">
        <v>250.01558</v>
      </c>
      <c r="Z24" s="1">
        <v>9</v>
      </c>
      <c r="AA24" s="5">
        <v>102.77091</v>
      </c>
      <c r="AB24" s="3">
        <f t="shared" si="1"/>
        <v>101.16189</v>
      </c>
      <c r="AF24" s="11">
        <v>150.06746999999999</v>
      </c>
      <c r="AG24" s="1">
        <v>9</v>
      </c>
      <c r="AH24" s="12">
        <v>98.015090000000001</v>
      </c>
      <c r="AI24" s="3">
        <f t="shared" si="2"/>
        <v>99.894530000000003</v>
      </c>
      <c r="AK24" s="11">
        <v>150.04839000000001</v>
      </c>
      <c r="AL24" s="1">
        <v>9</v>
      </c>
      <c r="AM24" s="12">
        <v>97.896379999999994</v>
      </c>
      <c r="AN24" s="3">
        <f t="shared" si="3"/>
        <v>99.861989999999992</v>
      </c>
      <c r="AP24" s="18">
        <v>131.97828000000001</v>
      </c>
      <c r="AQ24" s="1">
        <v>9</v>
      </c>
      <c r="AR24" s="12">
        <v>99.512339999999995</v>
      </c>
      <c r="AS24" s="3">
        <f t="shared" si="4"/>
        <v>100.06614999999999</v>
      </c>
    </row>
    <row r="25" spans="1:45" ht="16" x14ac:dyDescent="0.2">
      <c r="A25" s="2">
        <v>202.29186000000001</v>
      </c>
      <c r="B25" s="1">
        <v>9.5</v>
      </c>
      <c r="C25" s="5">
        <v>100.99518</v>
      </c>
      <c r="D25" s="3">
        <f t="shared" si="5"/>
        <v>100.87173</v>
      </c>
      <c r="G25" s="4">
        <v>224.99314000000001</v>
      </c>
      <c r="H25" s="1">
        <v>9.5</v>
      </c>
      <c r="I25" s="5">
        <v>99.241470000000007</v>
      </c>
      <c r="J25" s="3">
        <f t="shared" si="6"/>
        <v>100.83186000000001</v>
      </c>
      <c r="M25" s="4">
        <v>226.97469000000001</v>
      </c>
      <c r="N25" s="1">
        <v>9.5</v>
      </c>
      <c r="O25" s="5">
        <v>101.63173</v>
      </c>
      <c r="P25" s="3">
        <f t="shared" si="7"/>
        <v>100.83934000000001</v>
      </c>
      <c r="S25" s="4">
        <v>249.98702</v>
      </c>
      <c r="T25" s="1">
        <v>9.5</v>
      </c>
      <c r="U25" s="3">
        <v>97.908730000000006</v>
      </c>
      <c r="V25" s="3">
        <f t="shared" si="0"/>
        <v>101.23242</v>
      </c>
      <c r="Y25" s="4">
        <v>250.01351</v>
      </c>
      <c r="Z25" s="1">
        <v>9.5</v>
      </c>
      <c r="AA25" s="3">
        <v>102.79123</v>
      </c>
      <c r="AB25" s="3">
        <f t="shared" si="1"/>
        <v>101.18221</v>
      </c>
      <c r="AF25" s="11">
        <v>152.61043000000001</v>
      </c>
      <c r="AG25" s="1">
        <v>9.5</v>
      </c>
      <c r="AH25" s="13">
        <v>97.990480000000005</v>
      </c>
      <c r="AI25" s="3">
        <f t="shared" si="2"/>
        <v>99.869920000000008</v>
      </c>
      <c r="AK25" s="11">
        <v>152.60407000000001</v>
      </c>
      <c r="AL25" s="1">
        <v>9.5</v>
      </c>
      <c r="AM25" s="13">
        <v>97.888909999999996</v>
      </c>
      <c r="AN25" s="3">
        <f t="shared" si="3"/>
        <v>99.854519999999994</v>
      </c>
      <c r="AP25" s="18">
        <v>133.45331999999999</v>
      </c>
      <c r="AQ25" s="1">
        <v>9.5</v>
      </c>
      <c r="AR25" s="13">
        <v>99.434610000000006</v>
      </c>
      <c r="AS25" s="3">
        <f t="shared" si="4"/>
        <v>99.988420000000005</v>
      </c>
    </row>
    <row r="26" spans="1:45" ht="16" x14ac:dyDescent="0.2">
      <c r="A26" s="2">
        <v>202.01355000000001</v>
      </c>
      <c r="B26" s="1">
        <v>10</v>
      </c>
      <c r="C26" s="3">
        <v>100.956</v>
      </c>
      <c r="D26" s="3">
        <f t="shared" si="5"/>
        <v>100.83255</v>
      </c>
      <c r="G26" s="4">
        <v>224.99206000000001</v>
      </c>
      <c r="H26" s="1">
        <v>10</v>
      </c>
      <c r="I26" s="3">
        <v>99.277469999999994</v>
      </c>
      <c r="J26" s="3">
        <f t="shared" si="6"/>
        <v>100.86785999999999</v>
      </c>
      <c r="M26" s="4">
        <v>226.73417000000001</v>
      </c>
      <c r="N26" s="1">
        <v>10</v>
      </c>
      <c r="O26" s="3">
        <v>101.81667</v>
      </c>
      <c r="P26" s="3">
        <f t="shared" si="7"/>
        <v>101.02428</v>
      </c>
      <c r="S26" s="4">
        <v>249.99590000000001</v>
      </c>
      <c r="T26" s="1">
        <v>10</v>
      </c>
      <c r="U26" s="5">
        <v>97.917019999999994</v>
      </c>
      <c r="V26" s="3">
        <f t="shared" si="0"/>
        <v>101.24070999999999</v>
      </c>
      <c r="Y26" s="4">
        <v>250.00826000000001</v>
      </c>
      <c r="Z26" s="1">
        <v>10</v>
      </c>
      <c r="AA26" s="5">
        <v>102.93521</v>
      </c>
      <c r="AB26" s="3">
        <f t="shared" si="1"/>
        <v>101.32619</v>
      </c>
      <c r="AF26" s="11">
        <v>155.12062</v>
      </c>
      <c r="AG26" s="1">
        <v>10</v>
      </c>
      <c r="AH26" s="12">
        <v>97.99915</v>
      </c>
      <c r="AI26" s="3">
        <f t="shared" si="2"/>
        <v>99.878590000000003</v>
      </c>
      <c r="AK26" s="11">
        <v>155.11855</v>
      </c>
      <c r="AL26" s="1">
        <v>10</v>
      </c>
      <c r="AM26" s="12">
        <v>97.890519999999995</v>
      </c>
      <c r="AN26" s="3">
        <f t="shared" si="3"/>
        <v>99.856129999999993</v>
      </c>
      <c r="AP26" s="18">
        <v>134.94592</v>
      </c>
      <c r="AQ26" s="1">
        <v>10</v>
      </c>
      <c r="AR26" s="12">
        <v>99.463139999999996</v>
      </c>
      <c r="AS26" s="3">
        <f t="shared" si="4"/>
        <v>100.01694999999999</v>
      </c>
    </row>
    <row r="27" spans="1:45" ht="16" x14ac:dyDescent="0.2">
      <c r="A27" s="2">
        <v>201.75371999999999</v>
      </c>
      <c r="B27" s="1">
        <v>10.5</v>
      </c>
      <c r="C27" s="5">
        <v>101.08929000000001</v>
      </c>
      <c r="D27" s="3">
        <f t="shared" si="5"/>
        <v>100.96584</v>
      </c>
      <c r="G27" s="4">
        <v>224.99396999999999</v>
      </c>
      <c r="H27" s="1">
        <v>10.5</v>
      </c>
      <c r="I27" s="5">
        <v>99.280349999999999</v>
      </c>
      <c r="J27" s="3">
        <f t="shared" si="6"/>
        <v>100.87074</v>
      </c>
      <c r="M27" s="4">
        <v>226.51638</v>
      </c>
      <c r="N27" s="1">
        <v>10.5</v>
      </c>
      <c r="O27" s="5">
        <v>101.62581</v>
      </c>
      <c r="P27" s="3">
        <f t="shared" si="7"/>
        <v>100.83342</v>
      </c>
      <c r="S27" s="4">
        <v>249.98708999999999</v>
      </c>
      <c r="T27" s="1">
        <v>10.5</v>
      </c>
      <c r="U27" s="3">
        <v>97.943619999999996</v>
      </c>
      <c r="V27" s="3">
        <f t="shared" si="0"/>
        <v>101.26730999999999</v>
      </c>
      <c r="Y27" s="4">
        <v>250.00470000000001</v>
      </c>
      <c r="Z27" s="1">
        <v>10.5</v>
      </c>
      <c r="AA27" s="3">
        <v>102.95023</v>
      </c>
      <c r="AB27" s="3">
        <f t="shared" si="1"/>
        <v>101.34121</v>
      </c>
      <c r="AF27" s="11">
        <v>157.65584999999999</v>
      </c>
      <c r="AG27" s="1">
        <v>10.5</v>
      </c>
      <c r="AH27" s="13">
        <v>97.980980000000002</v>
      </c>
      <c r="AI27" s="3">
        <f t="shared" si="2"/>
        <v>99.860420000000005</v>
      </c>
      <c r="AK27" s="11">
        <v>157.63762</v>
      </c>
      <c r="AL27" s="1">
        <v>10.5</v>
      </c>
      <c r="AM27" s="13">
        <v>97.861279999999994</v>
      </c>
      <c r="AN27" s="3">
        <f t="shared" si="3"/>
        <v>99.826889999999992</v>
      </c>
      <c r="AP27" s="18">
        <v>136.43993</v>
      </c>
      <c r="AQ27" s="1">
        <v>10.5</v>
      </c>
      <c r="AR27" s="13">
        <v>99.443340000000006</v>
      </c>
      <c r="AS27" s="3">
        <f t="shared" si="4"/>
        <v>99.997150000000005</v>
      </c>
    </row>
    <row r="28" spans="1:45" ht="16" x14ac:dyDescent="0.2">
      <c r="A28" s="2">
        <v>201.51824999999999</v>
      </c>
      <c r="B28" s="1">
        <v>11</v>
      </c>
      <c r="C28" s="3">
        <v>100.95155</v>
      </c>
      <c r="D28" s="3">
        <f t="shared" si="5"/>
        <v>100.82809999999999</v>
      </c>
      <c r="G28" s="4">
        <v>224.99606</v>
      </c>
      <c r="H28" s="1">
        <v>11</v>
      </c>
      <c r="I28" s="3">
        <v>99.367829999999998</v>
      </c>
      <c r="J28" s="3">
        <f t="shared" si="6"/>
        <v>100.95822</v>
      </c>
      <c r="M28" s="4">
        <v>226.31823</v>
      </c>
      <c r="N28" s="1">
        <v>11</v>
      </c>
      <c r="O28" s="3">
        <v>101.60951</v>
      </c>
      <c r="P28" s="3">
        <f t="shared" si="7"/>
        <v>100.81712</v>
      </c>
      <c r="S28" s="4">
        <v>249.98804999999999</v>
      </c>
      <c r="T28" s="1">
        <v>11</v>
      </c>
      <c r="U28" s="5">
        <v>97.966290000000001</v>
      </c>
      <c r="V28" s="3">
        <f t="shared" si="0"/>
        <v>101.28998</v>
      </c>
      <c r="Y28" s="4">
        <v>250.00434999999999</v>
      </c>
      <c r="Z28" s="1">
        <v>11</v>
      </c>
      <c r="AA28" s="5">
        <v>102.9083</v>
      </c>
      <c r="AB28" s="3">
        <f t="shared" si="1"/>
        <v>101.29928</v>
      </c>
      <c r="AF28" s="11">
        <v>160.18964</v>
      </c>
      <c r="AG28" s="1">
        <v>11</v>
      </c>
      <c r="AH28" s="12">
        <v>97.991339999999994</v>
      </c>
      <c r="AI28" s="3">
        <f t="shared" si="2"/>
        <v>99.870779999999996</v>
      </c>
      <c r="AK28" s="11">
        <v>160.18114</v>
      </c>
      <c r="AL28" s="1">
        <v>11</v>
      </c>
      <c r="AM28" s="12">
        <v>97.879570000000001</v>
      </c>
      <c r="AN28" s="3">
        <f t="shared" si="3"/>
        <v>99.845179999999999</v>
      </c>
      <c r="AP28" s="18">
        <v>137.93301</v>
      </c>
      <c r="AQ28" s="1">
        <v>11</v>
      </c>
      <c r="AR28" s="12">
        <v>99.470219999999998</v>
      </c>
      <c r="AS28" s="3">
        <f t="shared" si="4"/>
        <v>100.02403</v>
      </c>
    </row>
    <row r="29" spans="1:45" ht="16" x14ac:dyDescent="0.2">
      <c r="A29" s="2">
        <v>201.30455000000001</v>
      </c>
      <c r="B29" s="1">
        <v>11.5</v>
      </c>
      <c r="C29" s="5">
        <v>101.06531</v>
      </c>
      <c r="D29" s="3">
        <f t="shared" si="5"/>
        <v>100.94185999999999</v>
      </c>
      <c r="G29" s="4">
        <v>224.99700999999999</v>
      </c>
      <c r="H29" s="1">
        <v>11.5</v>
      </c>
      <c r="I29" s="5">
        <v>99.326490000000007</v>
      </c>
      <c r="J29" s="3">
        <f t="shared" si="6"/>
        <v>100.91688000000001</v>
      </c>
      <c r="M29" s="4">
        <v>226.13506000000001</v>
      </c>
      <c r="N29" s="1">
        <v>11.5</v>
      </c>
      <c r="O29" s="5">
        <v>101.82763</v>
      </c>
      <c r="P29" s="3">
        <f t="shared" si="7"/>
        <v>101.03524</v>
      </c>
      <c r="S29" s="4">
        <v>249.99501000000001</v>
      </c>
      <c r="T29" s="1">
        <v>11.5</v>
      </c>
      <c r="U29" s="3">
        <v>97.984700000000004</v>
      </c>
      <c r="V29" s="3">
        <f t="shared" si="0"/>
        <v>101.30839</v>
      </c>
      <c r="Y29" s="4">
        <v>250.00667999999999</v>
      </c>
      <c r="Z29" s="1">
        <v>11.5</v>
      </c>
      <c r="AA29" s="3">
        <v>102.93501999999999</v>
      </c>
      <c r="AB29" s="3">
        <f t="shared" si="1"/>
        <v>101.32599999999999</v>
      </c>
      <c r="AF29" s="11">
        <v>162.69093000000001</v>
      </c>
      <c r="AG29" s="1">
        <v>11.5</v>
      </c>
      <c r="AH29" s="13">
        <v>97.963310000000007</v>
      </c>
      <c r="AI29" s="3">
        <f t="shared" si="2"/>
        <v>99.842750000000009</v>
      </c>
      <c r="AK29" s="11">
        <v>162.67761999999999</v>
      </c>
      <c r="AL29" s="1">
        <v>11.5</v>
      </c>
      <c r="AM29" s="13">
        <v>97.825800000000001</v>
      </c>
      <c r="AN29" s="3">
        <f t="shared" si="3"/>
        <v>99.791409999999999</v>
      </c>
      <c r="AP29" s="18">
        <v>139.42246</v>
      </c>
      <c r="AQ29" s="1">
        <v>11.5</v>
      </c>
      <c r="AR29" s="13">
        <v>99.472279999999998</v>
      </c>
      <c r="AS29" s="3">
        <f t="shared" si="4"/>
        <v>100.02609</v>
      </c>
    </row>
    <row r="30" spans="1:45" ht="16" x14ac:dyDescent="0.2">
      <c r="A30" s="2">
        <v>201.11448999999999</v>
      </c>
      <c r="B30" s="1">
        <v>12</v>
      </c>
      <c r="C30" s="3">
        <v>100.9127</v>
      </c>
      <c r="D30" s="3">
        <f t="shared" si="5"/>
        <v>100.78925</v>
      </c>
      <c r="G30" s="4">
        <v>224.99503000000001</v>
      </c>
      <c r="H30" s="1">
        <v>12</v>
      </c>
      <c r="I30" s="3">
        <v>99.308400000000006</v>
      </c>
      <c r="J30" s="3">
        <f t="shared" si="6"/>
        <v>100.89879000000001</v>
      </c>
      <c r="M30" s="4">
        <v>225.97564</v>
      </c>
      <c r="N30" s="1">
        <v>12</v>
      </c>
      <c r="O30" s="3">
        <v>101.70535</v>
      </c>
      <c r="P30" s="3">
        <f t="shared" si="7"/>
        <v>100.91296</v>
      </c>
      <c r="S30" s="4">
        <v>249.99100000000001</v>
      </c>
      <c r="T30" s="1">
        <v>12</v>
      </c>
      <c r="U30" s="5">
        <v>98.001320000000007</v>
      </c>
      <c r="V30" s="3">
        <f t="shared" si="0"/>
        <v>101.32501000000001</v>
      </c>
      <c r="Y30" s="4">
        <v>250.01101</v>
      </c>
      <c r="Z30" s="1">
        <v>12</v>
      </c>
      <c r="AA30" s="5">
        <v>102.97447</v>
      </c>
      <c r="AB30" s="3">
        <f t="shared" si="1"/>
        <v>101.36545</v>
      </c>
      <c r="AF30" s="11">
        <v>165.20791</v>
      </c>
      <c r="AG30" s="1">
        <v>12</v>
      </c>
      <c r="AH30" s="12">
        <v>97.974729999999994</v>
      </c>
      <c r="AI30" s="3">
        <f t="shared" si="2"/>
        <v>99.854169999999996</v>
      </c>
      <c r="AK30" s="11">
        <v>165.20152999999999</v>
      </c>
      <c r="AL30" s="1">
        <v>12</v>
      </c>
      <c r="AM30" s="12">
        <v>97.867270000000005</v>
      </c>
      <c r="AN30" s="3">
        <f t="shared" si="3"/>
        <v>99.832880000000003</v>
      </c>
      <c r="AP30" s="18">
        <v>140.92504</v>
      </c>
      <c r="AQ30" s="1">
        <v>12</v>
      </c>
      <c r="AR30" s="12">
        <v>99.463939999999994</v>
      </c>
      <c r="AS30" s="3">
        <f t="shared" si="4"/>
        <v>100.01774999999999</v>
      </c>
    </row>
    <row r="31" spans="1:45" ht="16" x14ac:dyDescent="0.2">
      <c r="A31" s="2">
        <v>200.94146000000001</v>
      </c>
      <c r="B31" s="1">
        <v>12.5</v>
      </c>
      <c r="C31" s="5">
        <v>100.96205</v>
      </c>
      <c r="D31" s="3">
        <f t="shared" si="5"/>
        <v>100.8386</v>
      </c>
      <c r="G31" s="4">
        <v>224.99700000000001</v>
      </c>
      <c r="H31" s="1">
        <v>12.5</v>
      </c>
      <c r="I31" s="5">
        <v>99.366960000000006</v>
      </c>
      <c r="J31" s="3">
        <f t="shared" si="6"/>
        <v>100.95735000000001</v>
      </c>
      <c r="M31" s="4">
        <v>225.83459999999999</v>
      </c>
      <c r="N31" s="1">
        <v>12.5</v>
      </c>
      <c r="O31" s="5">
        <v>101.70815</v>
      </c>
      <c r="P31" s="3">
        <f t="shared" si="7"/>
        <v>100.91576000000001</v>
      </c>
      <c r="S31" s="4">
        <v>249.99401</v>
      </c>
      <c r="T31" s="1">
        <v>12.5</v>
      </c>
      <c r="U31" s="3">
        <v>98.034800000000004</v>
      </c>
      <c r="V31" s="3">
        <f t="shared" si="0"/>
        <v>101.35849</v>
      </c>
      <c r="Y31" s="4">
        <v>250.00998000000001</v>
      </c>
      <c r="Z31" s="1">
        <v>12.5</v>
      </c>
      <c r="AA31" s="3">
        <v>103.02516</v>
      </c>
      <c r="AB31" s="3">
        <f t="shared" si="1"/>
        <v>101.41614</v>
      </c>
      <c r="AF31" s="11">
        <v>167.71075999999999</v>
      </c>
      <c r="AG31" s="1">
        <v>12.5</v>
      </c>
      <c r="AH31" s="13">
        <v>97.952879999999993</v>
      </c>
      <c r="AI31" s="3">
        <f t="shared" si="2"/>
        <v>99.832319999999996</v>
      </c>
      <c r="AK31" s="11">
        <v>167.70830000000001</v>
      </c>
      <c r="AL31" s="1">
        <v>12.5</v>
      </c>
      <c r="AM31" s="13">
        <v>97.863439999999997</v>
      </c>
      <c r="AN31" s="3">
        <f t="shared" si="3"/>
        <v>99.829049999999995</v>
      </c>
      <c r="AP31" s="18">
        <v>142.45021</v>
      </c>
      <c r="AQ31" s="1">
        <v>12.5</v>
      </c>
      <c r="AR31" s="13">
        <v>99.492710000000002</v>
      </c>
      <c r="AS31" s="3">
        <f t="shared" si="4"/>
        <v>100.04652</v>
      </c>
    </row>
    <row r="32" spans="1:45" ht="16" x14ac:dyDescent="0.2">
      <c r="A32" s="2">
        <v>200.79415</v>
      </c>
      <c r="B32" s="1">
        <v>13</v>
      </c>
      <c r="C32" s="3">
        <v>101.09099000000001</v>
      </c>
      <c r="D32" s="3">
        <f t="shared" si="5"/>
        <v>100.96754</v>
      </c>
      <c r="G32" s="4">
        <v>224.99123</v>
      </c>
      <c r="H32" s="1">
        <v>13</v>
      </c>
      <c r="I32" s="3">
        <v>99.310019999999994</v>
      </c>
      <c r="J32" s="3">
        <f t="shared" si="6"/>
        <v>100.90040999999999</v>
      </c>
      <c r="M32" s="4">
        <v>225.71096</v>
      </c>
      <c r="N32" s="1">
        <v>13</v>
      </c>
      <c r="O32" s="3">
        <v>101.83277</v>
      </c>
      <c r="P32" s="3">
        <f t="shared" si="7"/>
        <v>101.04038</v>
      </c>
      <c r="S32" s="4">
        <v>249.99893</v>
      </c>
      <c r="T32" s="1">
        <v>13</v>
      </c>
      <c r="U32" s="5">
        <v>98.069389999999999</v>
      </c>
      <c r="V32" s="3">
        <f t="shared" si="0"/>
        <v>101.39308</v>
      </c>
      <c r="Y32" s="4">
        <v>250.00551999999999</v>
      </c>
      <c r="Z32" s="1">
        <v>13</v>
      </c>
      <c r="AA32" s="5">
        <v>102.93926</v>
      </c>
      <c r="AB32" s="3">
        <f t="shared" si="1"/>
        <v>101.33024</v>
      </c>
      <c r="AF32" s="11">
        <v>170.22130999999999</v>
      </c>
      <c r="AG32" s="1">
        <v>13</v>
      </c>
      <c r="AH32" s="12">
        <v>97.949179999999998</v>
      </c>
      <c r="AI32" s="3">
        <f t="shared" si="2"/>
        <v>99.828620000000001</v>
      </c>
      <c r="AK32" s="11">
        <v>170.21825000000001</v>
      </c>
      <c r="AL32" s="1">
        <v>13</v>
      </c>
      <c r="AM32" s="12">
        <v>97.818290000000005</v>
      </c>
      <c r="AN32" s="3">
        <f t="shared" si="3"/>
        <v>99.783900000000003</v>
      </c>
      <c r="AP32" s="18">
        <v>143.96254999999999</v>
      </c>
      <c r="AQ32" s="1">
        <v>13</v>
      </c>
      <c r="AR32" s="12">
        <v>99.444820000000007</v>
      </c>
      <c r="AS32" s="3">
        <f t="shared" si="4"/>
        <v>99.998630000000006</v>
      </c>
    </row>
    <row r="33" spans="1:45" ht="16" x14ac:dyDescent="0.2">
      <c r="A33" s="2">
        <v>200.66595000000001</v>
      </c>
      <c r="B33" s="1">
        <v>13.5</v>
      </c>
      <c r="C33" s="5">
        <v>100.98141</v>
      </c>
      <c r="D33" s="3">
        <f t="shared" si="5"/>
        <v>100.85795999999999</v>
      </c>
      <c r="G33" s="4">
        <v>224.99406999999999</v>
      </c>
      <c r="H33" s="1">
        <v>13.5</v>
      </c>
      <c r="I33" s="5">
        <v>99.368260000000006</v>
      </c>
      <c r="J33" s="3">
        <f t="shared" si="6"/>
        <v>100.95865000000001</v>
      </c>
      <c r="M33" s="4">
        <v>225.60271</v>
      </c>
      <c r="N33" s="1">
        <v>13.5</v>
      </c>
      <c r="O33" s="5">
        <v>101.74652</v>
      </c>
      <c r="P33" s="3">
        <f t="shared" si="7"/>
        <v>100.95413000000001</v>
      </c>
      <c r="S33" s="4">
        <v>249.99105</v>
      </c>
      <c r="T33" s="1">
        <v>13.5</v>
      </c>
      <c r="U33" s="3">
        <v>98.075580000000002</v>
      </c>
      <c r="V33" s="3">
        <f t="shared" si="0"/>
        <v>101.39927</v>
      </c>
      <c r="Y33" s="4">
        <v>250.00343000000001</v>
      </c>
      <c r="Z33" s="1">
        <v>13.5</v>
      </c>
      <c r="AA33" s="3">
        <v>103.0664</v>
      </c>
      <c r="AB33" s="3">
        <f t="shared" si="1"/>
        <v>101.45738</v>
      </c>
      <c r="AF33" s="11">
        <v>172.72576000000001</v>
      </c>
      <c r="AG33" s="1">
        <v>13.5</v>
      </c>
      <c r="AH33" s="13">
        <v>97.971339999999998</v>
      </c>
      <c r="AI33" s="3">
        <f t="shared" si="2"/>
        <v>99.85078</v>
      </c>
      <c r="AK33" s="11">
        <v>172.72234</v>
      </c>
      <c r="AL33" s="1">
        <v>13.5</v>
      </c>
      <c r="AM33" s="13">
        <v>97.842929999999996</v>
      </c>
      <c r="AN33" s="3">
        <f t="shared" si="3"/>
        <v>99.808539999999994</v>
      </c>
      <c r="AP33" s="18">
        <v>145.45589000000001</v>
      </c>
      <c r="AQ33" s="1">
        <v>13.5</v>
      </c>
      <c r="AR33" s="13">
        <v>99.444720000000004</v>
      </c>
      <c r="AS33" s="3">
        <f t="shared" si="4"/>
        <v>99.998530000000002</v>
      </c>
    </row>
    <row r="34" spans="1:45" ht="16" x14ac:dyDescent="0.2">
      <c r="A34" s="2">
        <v>200.55492000000001</v>
      </c>
      <c r="B34" s="1">
        <v>14</v>
      </c>
      <c r="C34" s="3">
        <v>101.09434</v>
      </c>
      <c r="D34" s="3">
        <f t="shared" si="5"/>
        <v>100.97089</v>
      </c>
      <c r="G34" s="4">
        <v>224.99796000000001</v>
      </c>
      <c r="H34" s="1">
        <v>14</v>
      </c>
      <c r="I34" s="3">
        <v>99.395449999999997</v>
      </c>
      <c r="J34" s="3">
        <f t="shared" si="6"/>
        <v>100.98584</v>
      </c>
      <c r="M34" s="4">
        <v>225.50651999999999</v>
      </c>
      <c r="N34" s="1">
        <v>14</v>
      </c>
      <c r="O34" s="3">
        <v>101.92554</v>
      </c>
      <c r="P34" s="3">
        <f t="shared" si="7"/>
        <v>101.13315</v>
      </c>
      <c r="S34" s="4">
        <v>249.99204</v>
      </c>
      <c r="T34" s="1">
        <v>14</v>
      </c>
      <c r="U34" s="5">
        <v>98.103020000000001</v>
      </c>
      <c r="V34" s="3">
        <f t="shared" si="0"/>
        <v>101.42671</v>
      </c>
      <c r="Y34" s="4">
        <v>250.00418999999999</v>
      </c>
      <c r="Z34" s="1">
        <v>14</v>
      </c>
      <c r="AA34" s="5">
        <v>103.095</v>
      </c>
      <c r="AB34" s="3">
        <f t="shared" si="1"/>
        <v>101.48598</v>
      </c>
      <c r="AF34" s="11">
        <v>175.23044999999999</v>
      </c>
      <c r="AG34" s="1">
        <v>14</v>
      </c>
      <c r="AH34" s="12">
        <v>97.971270000000004</v>
      </c>
      <c r="AI34" s="3">
        <f t="shared" si="2"/>
        <v>99.850710000000007</v>
      </c>
      <c r="AK34" s="11">
        <v>175.22568000000001</v>
      </c>
      <c r="AL34" s="1">
        <v>14</v>
      </c>
      <c r="AM34" s="12">
        <v>97.859200000000001</v>
      </c>
      <c r="AN34" s="3">
        <f t="shared" si="3"/>
        <v>99.824809999999999</v>
      </c>
      <c r="AP34" s="18">
        <v>146.96019000000001</v>
      </c>
      <c r="AQ34" s="1">
        <v>14</v>
      </c>
      <c r="AR34" s="12">
        <v>99.493690000000001</v>
      </c>
      <c r="AS34" s="3">
        <f t="shared" si="4"/>
        <v>100.0475</v>
      </c>
    </row>
    <row r="35" spans="1:45" ht="16" x14ac:dyDescent="0.2">
      <c r="A35" s="2">
        <v>200.45677000000001</v>
      </c>
      <c r="B35" s="1">
        <v>14.5</v>
      </c>
      <c r="C35" s="5">
        <v>101.21930999999999</v>
      </c>
      <c r="D35" s="3">
        <f t="shared" si="5"/>
        <v>101.09585999999999</v>
      </c>
      <c r="G35" s="4">
        <v>225.00112999999999</v>
      </c>
      <c r="H35" s="1">
        <v>14.5</v>
      </c>
      <c r="I35" s="5">
        <v>99.425060000000002</v>
      </c>
      <c r="J35" s="3">
        <f t="shared" si="6"/>
        <v>101.01545</v>
      </c>
      <c r="M35" s="4">
        <v>225.42193</v>
      </c>
      <c r="N35" s="1">
        <v>14.5</v>
      </c>
      <c r="O35" s="5">
        <v>101.72656000000001</v>
      </c>
      <c r="P35" s="3">
        <f t="shared" si="7"/>
        <v>100.93417000000001</v>
      </c>
      <c r="S35" s="4">
        <v>249.99404000000001</v>
      </c>
      <c r="T35" s="1">
        <v>14.5</v>
      </c>
      <c r="U35" s="3">
        <v>98.129869999999997</v>
      </c>
      <c r="V35" s="3">
        <f t="shared" si="0"/>
        <v>101.45356</v>
      </c>
      <c r="Y35" s="4">
        <v>250.01230000000001</v>
      </c>
      <c r="Z35" s="1">
        <v>14.5</v>
      </c>
      <c r="AA35" s="3">
        <v>103.06318</v>
      </c>
      <c r="AB35" s="3">
        <f t="shared" si="1"/>
        <v>101.45416</v>
      </c>
      <c r="AF35" s="11">
        <v>177.73518000000001</v>
      </c>
      <c r="AG35" s="1">
        <v>14.5</v>
      </c>
      <c r="AH35" s="13">
        <v>97.961730000000003</v>
      </c>
      <c r="AI35" s="3">
        <f t="shared" si="2"/>
        <v>99.841170000000005</v>
      </c>
      <c r="AK35" s="11">
        <v>177.73227</v>
      </c>
      <c r="AL35" s="1">
        <v>14.5</v>
      </c>
      <c r="AM35" s="13">
        <v>97.826999999999998</v>
      </c>
      <c r="AN35" s="3">
        <f t="shared" si="3"/>
        <v>99.792609999999996</v>
      </c>
      <c r="AP35" s="18">
        <v>148.49250000000001</v>
      </c>
      <c r="AQ35" s="1">
        <v>14.5</v>
      </c>
      <c r="AR35" s="13">
        <v>99.462360000000004</v>
      </c>
      <c r="AS35" s="3">
        <f t="shared" si="4"/>
        <v>100.01617</v>
      </c>
    </row>
    <row r="36" spans="1:45" ht="16" x14ac:dyDescent="0.2">
      <c r="A36" s="2">
        <v>200.37186</v>
      </c>
      <c r="B36" s="1">
        <v>15</v>
      </c>
      <c r="C36" s="3">
        <v>101.14093</v>
      </c>
      <c r="D36" s="3">
        <f t="shared" si="5"/>
        <v>101.01747999999999</v>
      </c>
      <c r="G36" s="4">
        <v>225.00391999999999</v>
      </c>
      <c r="H36" s="1">
        <v>15</v>
      </c>
      <c r="I36" s="3">
        <v>99.468559999999997</v>
      </c>
      <c r="J36" s="3">
        <f t="shared" si="6"/>
        <v>101.05895</v>
      </c>
      <c r="M36" s="4">
        <v>225.35547</v>
      </c>
      <c r="N36" s="1">
        <v>15</v>
      </c>
      <c r="O36" s="3">
        <v>101.73077000000001</v>
      </c>
      <c r="P36" s="3">
        <f t="shared" si="7"/>
        <v>100.93838000000001</v>
      </c>
      <c r="S36" s="4">
        <v>249.99896000000001</v>
      </c>
      <c r="T36" s="1">
        <v>15</v>
      </c>
      <c r="U36" s="5">
        <v>98.14958</v>
      </c>
      <c r="V36" s="3">
        <f t="shared" si="0"/>
        <v>101.47327</v>
      </c>
      <c r="Y36" s="4">
        <v>250.01284999999999</v>
      </c>
      <c r="Z36" s="1">
        <v>15</v>
      </c>
      <c r="AA36" s="5">
        <v>103.09012</v>
      </c>
      <c r="AB36" s="3">
        <f t="shared" si="1"/>
        <v>101.4811</v>
      </c>
      <c r="AF36" s="11">
        <v>180.23848000000001</v>
      </c>
      <c r="AG36" s="1">
        <v>15</v>
      </c>
      <c r="AH36" s="12">
        <v>97.957269999999994</v>
      </c>
      <c r="AI36" s="3">
        <f t="shared" si="2"/>
        <v>99.836709999999997</v>
      </c>
      <c r="AK36" s="11">
        <v>180.23702</v>
      </c>
      <c r="AL36" s="1">
        <v>15</v>
      </c>
      <c r="AM36" s="12">
        <v>97.814009999999996</v>
      </c>
      <c r="AN36" s="3">
        <f t="shared" si="3"/>
        <v>99.779619999999994</v>
      </c>
      <c r="AP36" s="18">
        <v>150.01139000000001</v>
      </c>
      <c r="AQ36" s="1">
        <v>15</v>
      </c>
      <c r="AR36" s="12">
        <v>99.473789999999994</v>
      </c>
      <c r="AS36" s="3">
        <f t="shared" si="4"/>
        <v>100.02759999999999</v>
      </c>
    </row>
    <row r="37" spans="1:45" ht="16" x14ac:dyDescent="0.2">
      <c r="A37" s="2">
        <v>200.29911000000001</v>
      </c>
      <c r="B37" s="1">
        <v>15.5</v>
      </c>
      <c r="C37" s="5">
        <v>101.12632000000001</v>
      </c>
      <c r="D37" s="3">
        <f t="shared" si="5"/>
        <v>101.00287</v>
      </c>
      <c r="G37" s="4">
        <v>224.99682000000001</v>
      </c>
      <c r="H37" s="1">
        <v>15.5</v>
      </c>
      <c r="I37" s="5">
        <v>99.438509999999994</v>
      </c>
      <c r="J37" s="3">
        <f t="shared" si="6"/>
        <v>101.02889999999999</v>
      </c>
      <c r="M37" s="4">
        <v>225.29679999999999</v>
      </c>
      <c r="N37" s="1">
        <v>15.5</v>
      </c>
      <c r="O37" s="5">
        <v>101.98958</v>
      </c>
      <c r="P37" s="3">
        <f t="shared" si="7"/>
        <v>101.19719000000001</v>
      </c>
      <c r="S37" s="4">
        <v>250.00296</v>
      </c>
      <c r="T37" s="1">
        <v>15.5</v>
      </c>
      <c r="U37" s="3">
        <v>98.182699999999997</v>
      </c>
      <c r="V37" s="3">
        <f t="shared" si="0"/>
        <v>101.50639</v>
      </c>
      <c r="Y37" s="4">
        <v>250.00624999999999</v>
      </c>
      <c r="Z37" s="1">
        <v>15.5</v>
      </c>
      <c r="AA37" s="3">
        <v>103.08942</v>
      </c>
      <c r="AB37" s="3">
        <f t="shared" si="1"/>
        <v>101.4804</v>
      </c>
      <c r="AF37" s="11">
        <v>182.74157</v>
      </c>
      <c r="AG37" s="1">
        <v>15.5</v>
      </c>
      <c r="AH37" s="13">
        <v>97.981219999999993</v>
      </c>
      <c r="AI37" s="3">
        <f t="shared" si="2"/>
        <v>99.860659999999996</v>
      </c>
      <c r="AK37" s="11">
        <v>182.74038999999999</v>
      </c>
      <c r="AL37" s="1">
        <v>15.5</v>
      </c>
      <c r="AM37" s="13">
        <v>97.843440000000001</v>
      </c>
      <c r="AN37" s="3">
        <f t="shared" si="3"/>
        <v>99.809049999999999</v>
      </c>
      <c r="AP37" s="18">
        <v>151.5119</v>
      </c>
      <c r="AQ37" s="1">
        <v>15.5</v>
      </c>
      <c r="AR37" s="13">
        <v>99.472729999999999</v>
      </c>
      <c r="AS37" s="3">
        <f t="shared" si="4"/>
        <v>100.02654</v>
      </c>
    </row>
    <row r="38" spans="1:45" ht="16" x14ac:dyDescent="0.2">
      <c r="A38" s="2">
        <v>200.23844</v>
      </c>
      <c r="B38" s="1">
        <v>16</v>
      </c>
      <c r="C38" s="3">
        <v>101.07064</v>
      </c>
      <c r="D38" s="3">
        <f t="shared" si="5"/>
        <v>100.94718999999999</v>
      </c>
      <c r="G38" s="4">
        <v>224.99865</v>
      </c>
      <c r="H38" s="1">
        <v>16</v>
      </c>
      <c r="I38" s="3">
        <v>99.468670000000003</v>
      </c>
      <c r="J38" s="3">
        <f t="shared" si="6"/>
        <v>101.05906</v>
      </c>
      <c r="M38" s="4">
        <v>225.24376000000001</v>
      </c>
      <c r="N38" s="1">
        <v>16</v>
      </c>
      <c r="O38" s="3">
        <v>101.93707000000001</v>
      </c>
      <c r="P38" s="3">
        <f t="shared" si="7"/>
        <v>101.14468000000001</v>
      </c>
      <c r="S38" s="4">
        <v>250.00192000000001</v>
      </c>
      <c r="T38" s="1">
        <v>16</v>
      </c>
      <c r="U38" s="5">
        <v>98.172499999999999</v>
      </c>
      <c r="V38" s="3">
        <f t="shared" si="0"/>
        <v>101.49619</v>
      </c>
      <c r="Y38" s="4">
        <v>249.99897000000001</v>
      </c>
      <c r="Z38" s="1">
        <v>16</v>
      </c>
      <c r="AA38" s="5">
        <v>103.3051</v>
      </c>
      <c r="AB38" s="3">
        <f t="shared" si="1"/>
        <v>101.69607999999999</v>
      </c>
      <c r="AF38" s="11">
        <v>185.24646999999999</v>
      </c>
      <c r="AG38" s="1">
        <v>16</v>
      </c>
      <c r="AH38" s="12">
        <v>98.003029999999995</v>
      </c>
      <c r="AI38" s="3">
        <f t="shared" si="2"/>
        <v>99.882469999999998</v>
      </c>
      <c r="AK38" s="11">
        <v>185.23818</v>
      </c>
      <c r="AL38" s="1">
        <v>16</v>
      </c>
      <c r="AM38" s="12">
        <v>97.860069999999993</v>
      </c>
      <c r="AN38" s="3">
        <f t="shared" si="3"/>
        <v>99.825679999999991</v>
      </c>
      <c r="AP38" s="18">
        <v>153.01734999999999</v>
      </c>
      <c r="AQ38" s="1">
        <v>16</v>
      </c>
      <c r="AR38" s="12">
        <v>99.478650000000002</v>
      </c>
      <c r="AS38" s="3">
        <f t="shared" si="4"/>
        <v>100.03246</v>
      </c>
    </row>
    <row r="39" spans="1:45" ht="16" x14ac:dyDescent="0.2">
      <c r="A39" s="2">
        <v>200.18893</v>
      </c>
      <c r="B39" s="1">
        <v>16.5</v>
      </c>
      <c r="C39" s="5">
        <v>101.2937</v>
      </c>
      <c r="D39" s="3">
        <f t="shared" si="5"/>
        <v>101.17025</v>
      </c>
      <c r="G39" s="4">
        <v>225.00290000000001</v>
      </c>
      <c r="H39" s="1">
        <v>16.5</v>
      </c>
      <c r="I39" s="5">
        <v>99.507400000000004</v>
      </c>
      <c r="J39" s="3">
        <f t="shared" si="6"/>
        <v>101.09779</v>
      </c>
      <c r="M39" s="4">
        <v>225.20114000000001</v>
      </c>
      <c r="N39" s="1">
        <v>16.5</v>
      </c>
      <c r="O39" s="5">
        <v>101.95934</v>
      </c>
      <c r="P39" s="3">
        <f t="shared" si="7"/>
        <v>101.16695</v>
      </c>
      <c r="S39" s="4">
        <v>249.99203</v>
      </c>
      <c r="T39" s="1">
        <v>16.5</v>
      </c>
      <c r="U39" s="3">
        <v>98.193269999999998</v>
      </c>
      <c r="V39" s="3">
        <f t="shared" si="0"/>
        <v>101.51696</v>
      </c>
      <c r="Y39" s="4">
        <v>249.99932999999999</v>
      </c>
      <c r="Z39" s="1">
        <v>16.5</v>
      </c>
      <c r="AA39" s="3">
        <v>103.23217</v>
      </c>
      <c r="AB39" s="3">
        <f t="shared" si="1"/>
        <v>101.62315</v>
      </c>
      <c r="AF39" s="11">
        <v>187.75237999999999</v>
      </c>
      <c r="AG39" s="1">
        <v>16.5</v>
      </c>
      <c r="AH39" s="13">
        <v>98.015479999999997</v>
      </c>
      <c r="AI39" s="3">
        <f t="shared" si="2"/>
        <v>99.894919999999999</v>
      </c>
      <c r="AK39" s="11">
        <v>187.74180000000001</v>
      </c>
      <c r="AL39" s="1">
        <v>16.5</v>
      </c>
      <c r="AM39" s="13">
        <v>97.880549999999999</v>
      </c>
      <c r="AN39" s="3">
        <f t="shared" si="3"/>
        <v>99.846159999999998</v>
      </c>
      <c r="AP39" s="18">
        <v>154.54497000000001</v>
      </c>
      <c r="AQ39" s="1">
        <v>16.5</v>
      </c>
      <c r="AR39" s="13">
        <v>99.479699999999994</v>
      </c>
      <c r="AS39" s="3">
        <f t="shared" si="4"/>
        <v>100.03350999999999</v>
      </c>
    </row>
    <row r="40" spans="1:45" ht="16" x14ac:dyDescent="0.2">
      <c r="A40" s="2">
        <v>200.14709999999999</v>
      </c>
      <c r="B40" s="1">
        <v>17</v>
      </c>
      <c r="C40" s="3">
        <v>101.22138</v>
      </c>
      <c r="D40" s="3">
        <f t="shared" si="5"/>
        <v>101.09792999999999</v>
      </c>
      <c r="G40" s="4">
        <v>225.00005999999999</v>
      </c>
      <c r="H40" s="1">
        <v>17</v>
      </c>
      <c r="I40" s="3">
        <v>99.488050000000001</v>
      </c>
      <c r="J40" s="3">
        <f t="shared" si="6"/>
        <v>101.07844</v>
      </c>
      <c r="M40" s="4">
        <v>225.16345000000001</v>
      </c>
      <c r="N40" s="1">
        <v>17</v>
      </c>
      <c r="O40" s="3">
        <v>101.9431</v>
      </c>
      <c r="P40" s="3">
        <f t="shared" si="7"/>
        <v>101.15071</v>
      </c>
      <c r="S40" s="4">
        <v>249.99098000000001</v>
      </c>
      <c r="T40" s="1">
        <v>17</v>
      </c>
      <c r="U40" s="5">
        <v>98.226079999999996</v>
      </c>
      <c r="V40" s="3">
        <f t="shared" si="0"/>
        <v>101.54977</v>
      </c>
      <c r="Y40" s="4">
        <v>249.99961999999999</v>
      </c>
      <c r="Z40" s="1">
        <v>17</v>
      </c>
      <c r="AA40" s="5">
        <v>103.19077</v>
      </c>
      <c r="AB40" s="3">
        <f t="shared" si="1"/>
        <v>101.58175</v>
      </c>
      <c r="AF40" s="11">
        <v>190.25949</v>
      </c>
      <c r="AG40" s="1">
        <v>17</v>
      </c>
      <c r="AH40" s="12">
        <v>97.972629999999995</v>
      </c>
      <c r="AI40" s="3">
        <f t="shared" si="2"/>
        <v>99.852069999999998</v>
      </c>
      <c r="AK40" s="11">
        <v>190.24576999999999</v>
      </c>
      <c r="AL40" s="1">
        <v>17</v>
      </c>
      <c r="AM40" s="12">
        <v>97.818879999999993</v>
      </c>
      <c r="AN40" s="3">
        <f t="shared" si="3"/>
        <v>99.784489999999991</v>
      </c>
      <c r="AP40" s="18">
        <v>156.04956000000001</v>
      </c>
      <c r="AQ40" s="1">
        <v>17</v>
      </c>
      <c r="AR40" s="12">
        <v>99.477260000000001</v>
      </c>
      <c r="AS40" s="3">
        <f t="shared" si="4"/>
        <v>100.03107</v>
      </c>
    </row>
    <row r="41" spans="1:45" ht="16" x14ac:dyDescent="0.2">
      <c r="A41" s="2">
        <v>200.11353</v>
      </c>
      <c r="B41" s="1">
        <v>17.5</v>
      </c>
      <c r="C41" s="5">
        <v>101.05812</v>
      </c>
      <c r="D41" s="3">
        <f t="shared" si="5"/>
        <v>100.93467</v>
      </c>
      <c r="G41" s="4">
        <v>224.99914000000001</v>
      </c>
      <c r="H41" s="1">
        <v>17.5</v>
      </c>
      <c r="I41" s="5">
        <v>99.468770000000006</v>
      </c>
      <c r="J41" s="3">
        <f t="shared" si="6"/>
        <v>101.05916000000001</v>
      </c>
      <c r="M41" s="4">
        <v>225.13781</v>
      </c>
      <c r="N41" s="1">
        <v>17.5</v>
      </c>
      <c r="O41" s="5">
        <v>101.9468</v>
      </c>
      <c r="P41" s="3">
        <f t="shared" si="7"/>
        <v>101.15441</v>
      </c>
      <c r="S41" s="4">
        <v>249.99699000000001</v>
      </c>
      <c r="T41" s="1">
        <v>17.5</v>
      </c>
      <c r="U41" s="3">
        <v>98.244929999999997</v>
      </c>
      <c r="V41" s="3">
        <f t="shared" si="0"/>
        <v>101.56862</v>
      </c>
      <c r="Y41" s="4">
        <v>250.00659999999999</v>
      </c>
      <c r="Z41" s="1">
        <v>17.5</v>
      </c>
      <c r="AA41" s="3">
        <v>103.22648</v>
      </c>
      <c r="AB41" s="3">
        <f t="shared" si="1"/>
        <v>101.61745999999999</v>
      </c>
      <c r="AF41" s="11">
        <v>192.75473</v>
      </c>
      <c r="AG41" s="1">
        <v>17.5</v>
      </c>
      <c r="AH41" s="13">
        <v>98.028180000000006</v>
      </c>
      <c r="AI41" s="3">
        <f t="shared" si="2"/>
        <v>99.907620000000009</v>
      </c>
      <c r="AK41" s="11">
        <v>192.74997999999999</v>
      </c>
      <c r="AL41" s="1">
        <v>17.5</v>
      </c>
      <c r="AM41" s="13">
        <v>97.867699999999999</v>
      </c>
      <c r="AN41" s="3">
        <f t="shared" si="3"/>
        <v>99.833309999999997</v>
      </c>
      <c r="AP41" s="18">
        <v>157.53117</v>
      </c>
      <c r="AQ41" s="1">
        <v>17.5</v>
      </c>
      <c r="AR41" s="13">
        <v>99.471500000000006</v>
      </c>
      <c r="AS41" s="3">
        <f t="shared" si="4"/>
        <v>100.02531</v>
      </c>
    </row>
    <row r="42" spans="1:45" ht="16" x14ac:dyDescent="0.2">
      <c r="A42" s="2">
        <v>200.08966000000001</v>
      </c>
      <c r="B42" s="1">
        <v>18</v>
      </c>
      <c r="C42" s="3">
        <v>101.14959</v>
      </c>
      <c r="D42" s="3">
        <f t="shared" si="5"/>
        <v>101.02614</v>
      </c>
      <c r="G42" s="4">
        <v>225.00197</v>
      </c>
      <c r="H42" s="1">
        <v>18</v>
      </c>
      <c r="I42" s="3">
        <v>99.513339999999999</v>
      </c>
      <c r="J42" s="3">
        <f t="shared" si="6"/>
        <v>101.10373</v>
      </c>
      <c r="M42" s="4">
        <v>225.11533</v>
      </c>
      <c r="N42" s="1">
        <v>18</v>
      </c>
      <c r="O42" s="3">
        <v>101.97376</v>
      </c>
      <c r="P42" s="3">
        <f t="shared" si="7"/>
        <v>101.18137</v>
      </c>
      <c r="S42" s="4">
        <v>250.00006999999999</v>
      </c>
      <c r="T42" s="1">
        <v>18</v>
      </c>
      <c r="U42" s="5">
        <v>98.232339999999994</v>
      </c>
      <c r="V42" s="3">
        <f t="shared" si="0"/>
        <v>101.55602999999999</v>
      </c>
      <c r="Y42" s="4">
        <v>250.00989999999999</v>
      </c>
      <c r="Z42" s="1">
        <v>18</v>
      </c>
      <c r="AA42" s="5">
        <v>103.24966000000001</v>
      </c>
      <c r="AB42" s="3">
        <f t="shared" si="1"/>
        <v>101.64064</v>
      </c>
      <c r="AF42" s="11">
        <v>195.24981</v>
      </c>
      <c r="AG42" s="1">
        <v>18</v>
      </c>
      <c r="AH42" s="12">
        <v>98.006349999999998</v>
      </c>
      <c r="AI42" s="3">
        <f t="shared" si="2"/>
        <v>99.88579</v>
      </c>
      <c r="AK42" s="11">
        <v>195.25604999999999</v>
      </c>
      <c r="AL42" s="1">
        <v>18</v>
      </c>
      <c r="AM42" s="12">
        <v>97.883269999999996</v>
      </c>
      <c r="AN42" s="3">
        <f t="shared" si="3"/>
        <v>99.848879999999994</v>
      </c>
      <c r="AP42" s="18">
        <v>159.04383000000001</v>
      </c>
      <c r="AQ42" s="1">
        <v>18</v>
      </c>
      <c r="AR42" s="12">
        <v>99.45187</v>
      </c>
      <c r="AS42" s="3">
        <f t="shared" si="4"/>
        <v>100.00568</v>
      </c>
    </row>
    <row r="43" spans="1:45" ht="16" x14ac:dyDescent="0.2">
      <c r="A43" s="2">
        <v>200.0703</v>
      </c>
      <c r="B43" s="1">
        <v>18.5</v>
      </c>
      <c r="C43" s="5">
        <v>101.15291000000001</v>
      </c>
      <c r="D43" s="3">
        <f t="shared" si="5"/>
        <v>101.02946</v>
      </c>
      <c r="G43" s="4">
        <v>225.00478000000001</v>
      </c>
      <c r="H43" s="1">
        <v>18.5</v>
      </c>
      <c r="I43" s="5">
        <v>99.521870000000007</v>
      </c>
      <c r="J43" s="3">
        <f t="shared" si="6"/>
        <v>101.11226000000001</v>
      </c>
      <c r="M43" s="4">
        <v>225.09062</v>
      </c>
      <c r="N43" s="1">
        <v>18.5</v>
      </c>
      <c r="O43" s="5">
        <v>101.94516</v>
      </c>
      <c r="P43" s="3">
        <f t="shared" si="7"/>
        <v>101.15277</v>
      </c>
      <c r="S43" s="4">
        <v>249.99995000000001</v>
      </c>
      <c r="T43" s="1">
        <v>18.5</v>
      </c>
      <c r="U43" s="3">
        <v>98.271749999999997</v>
      </c>
      <c r="V43" s="3">
        <f t="shared" si="0"/>
        <v>101.59544</v>
      </c>
      <c r="Y43" s="4">
        <v>250.01505</v>
      </c>
      <c r="Z43" s="1">
        <v>18.5</v>
      </c>
      <c r="AA43" s="3">
        <v>103.24018</v>
      </c>
      <c r="AB43" s="3">
        <f t="shared" si="1"/>
        <v>101.63115999999999</v>
      </c>
      <c r="AF43" s="11">
        <v>197.76301000000001</v>
      </c>
      <c r="AG43" s="1">
        <v>18.5</v>
      </c>
      <c r="AH43" s="13">
        <v>98.050529999999995</v>
      </c>
      <c r="AI43" s="3">
        <f t="shared" si="2"/>
        <v>99.929969999999997</v>
      </c>
      <c r="AK43" s="11">
        <v>197.75549000000001</v>
      </c>
      <c r="AL43" s="1">
        <v>18.5</v>
      </c>
      <c r="AM43" s="13">
        <v>97.900049999999993</v>
      </c>
      <c r="AN43" s="3">
        <f t="shared" si="3"/>
        <v>99.865659999999991</v>
      </c>
      <c r="AP43" s="18">
        <v>160.56801999999999</v>
      </c>
      <c r="AQ43" s="1">
        <v>18.5</v>
      </c>
      <c r="AR43" s="13">
        <v>99.504679999999993</v>
      </c>
      <c r="AS43" s="3">
        <f t="shared" si="4"/>
        <v>100.05848999999999</v>
      </c>
    </row>
    <row r="44" spans="1:45" ht="16" x14ac:dyDescent="0.2">
      <c r="A44" s="2">
        <v>200.05158</v>
      </c>
      <c r="B44" s="1">
        <v>19</v>
      </c>
      <c r="C44" s="3">
        <v>101.18655</v>
      </c>
      <c r="D44" s="3">
        <f t="shared" si="5"/>
        <v>101.06309999999999</v>
      </c>
      <c r="G44" s="4">
        <v>225.00518</v>
      </c>
      <c r="H44" s="1">
        <v>19</v>
      </c>
      <c r="I44" s="3">
        <v>99.526529999999994</v>
      </c>
      <c r="J44" s="3">
        <f t="shared" si="6"/>
        <v>101.11691999999999</v>
      </c>
      <c r="M44" s="4">
        <v>225.07319000000001</v>
      </c>
      <c r="N44" s="1">
        <v>19</v>
      </c>
      <c r="O44" s="3">
        <v>101.98058</v>
      </c>
      <c r="P44" s="3">
        <f t="shared" si="7"/>
        <v>101.18819000000001</v>
      </c>
      <c r="S44" s="4">
        <v>249.99594999999999</v>
      </c>
      <c r="T44" s="1">
        <v>19</v>
      </c>
      <c r="U44" s="5">
        <v>98.265439999999998</v>
      </c>
      <c r="V44" s="3">
        <f t="shared" si="0"/>
        <v>101.58913</v>
      </c>
      <c r="Y44" s="4">
        <v>250.01813000000001</v>
      </c>
      <c r="Z44" s="1">
        <v>19</v>
      </c>
      <c r="AA44" s="5">
        <v>103.28376</v>
      </c>
      <c r="AB44" s="3">
        <f t="shared" si="1"/>
        <v>101.67474</v>
      </c>
      <c r="AF44" s="11">
        <v>200.25674000000001</v>
      </c>
      <c r="AG44" s="1">
        <v>19</v>
      </c>
      <c r="AH44" s="12">
        <v>98.027119999999996</v>
      </c>
      <c r="AI44" s="3">
        <f t="shared" si="2"/>
        <v>99.906559999999999</v>
      </c>
      <c r="AK44" s="11">
        <v>200.25317000000001</v>
      </c>
      <c r="AL44" s="1">
        <v>19</v>
      </c>
      <c r="AM44" s="12">
        <v>97.892709999999994</v>
      </c>
      <c r="AN44" s="3">
        <f t="shared" si="3"/>
        <v>99.858319999999992</v>
      </c>
      <c r="AP44" s="18">
        <v>162.05155999999999</v>
      </c>
      <c r="AQ44" s="1">
        <v>19</v>
      </c>
      <c r="AR44" s="12">
        <v>99.488709999999998</v>
      </c>
      <c r="AS44" s="3">
        <f t="shared" si="4"/>
        <v>100.04252</v>
      </c>
    </row>
    <row r="45" spans="1:45" ht="16" x14ac:dyDescent="0.2">
      <c r="A45" s="2">
        <v>200.03442000000001</v>
      </c>
      <c r="B45" s="1">
        <v>19.5</v>
      </c>
      <c r="C45" s="5">
        <v>101.12315</v>
      </c>
      <c r="D45" s="3">
        <f t="shared" si="5"/>
        <v>100.99969999999999</v>
      </c>
      <c r="G45" s="4">
        <v>225.00194999999999</v>
      </c>
      <c r="H45" s="1">
        <v>19.5</v>
      </c>
      <c r="I45" s="5">
        <v>99.522769999999994</v>
      </c>
      <c r="J45" s="3">
        <f t="shared" si="6"/>
        <v>101.11315999999999</v>
      </c>
      <c r="M45" s="4">
        <v>225.05923999999999</v>
      </c>
      <c r="N45" s="1">
        <v>19.5</v>
      </c>
      <c r="O45" s="5">
        <v>101.82351</v>
      </c>
      <c r="P45" s="3">
        <f t="shared" si="7"/>
        <v>101.03112</v>
      </c>
      <c r="S45" s="4">
        <v>250.00098</v>
      </c>
      <c r="T45" s="1">
        <v>19.5</v>
      </c>
      <c r="U45" s="3">
        <v>98.277680000000004</v>
      </c>
      <c r="V45" s="3">
        <f t="shared" si="0"/>
        <v>101.60137</v>
      </c>
      <c r="Y45" s="4">
        <v>250.01616000000001</v>
      </c>
      <c r="Z45" s="1">
        <v>19.5</v>
      </c>
      <c r="AA45" s="3">
        <v>103.33698</v>
      </c>
      <c r="AB45" s="3">
        <f t="shared" si="1"/>
        <v>101.72796</v>
      </c>
      <c r="AF45" s="11">
        <v>202.75908000000001</v>
      </c>
      <c r="AG45" s="1">
        <v>19.5</v>
      </c>
      <c r="AH45" s="13">
        <v>98.041169999999994</v>
      </c>
      <c r="AI45" s="3">
        <f t="shared" si="2"/>
        <v>99.920609999999996</v>
      </c>
      <c r="AK45" s="11">
        <v>202.74692999999999</v>
      </c>
      <c r="AL45" s="1">
        <v>19.5</v>
      </c>
      <c r="AM45" s="13">
        <v>97.879499999999993</v>
      </c>
      <c r="AN45" s="3">
        <f t="shared" si="3"/>
        <v>99.845109999999991</v>
      </c>
      <c r="AP45" s="18">
        <v>163.56549999999999</v>
      </c>
      <c r="AQ45" s="1">
        <v>19.5</v>
      </c>
      <c r="AR45" s="13">
        <v>99.52234</v>
      </c>
      <c r="AS45" s="3">
        <f t="shared" si="4"/>
        <v>100.07615</v>
      </c>
    </row>
    <row r="46" spans="1:45" ht="16" x14ac:dyDescent="0.2">
      <c r="A46" s="2">
        <v>200.02456000000001</v>
      </c>
      <c r="B46" s="1">
        <v>20</v>
      </c>
      <c r="C46" s="3">
        <v>101.18084</v>
      </c>
      <c r="D46" s="3">
        <f t="shared" si="5"/>
        <v>101.05739</v>
      </c>
      <c r="G46" s="4">
        <v>225.00305</v>
      </c>
      <c r="H46" s="1">
        <v>20</v>
      </c>
      <c r="I46" s="3">
        <v>99.552499999999995</v>
      </c>
      <c r="J46" s="3">
        <f t="shared" si="6"/>
        <v>101.14288999999999</v>
      </c>
      <c r="M46" s="4">
        <v>225.0487</v>
      </c>
      <c r="N46" s="1">
        <v>20</v>
      </c>
      <c r="O46" s="3">
        <v>101.96004000000001</v>
      </c>
      <c r="P46" s="3">
        <f t="shared" si="7"/>
        <v>101.16765000000001</v>
      </c>
      <c r="S46" s="4">
        <v>249.99905000000001</v>
      </c>
      <c r="T46" s="1">
        <v>20</v>
      </c>
      <c r="U46" s="5">
        <v>98.304720000000003</v>
      </c>
      <c r="V46" s="3">
        <f t="shared" si="0"/>
        <v>101.62841</v>
      </c>
      <c r="Y46" s="4">
        <v>250.01407</v>
      </c>
      <c r="Z46" s="1">
        <v>20</v>
      </c>
      <c r="AA46" s="5">
        <v>103.33351999999999</v>
      </c>
      <c r="AB46" s="3">
        <f t="shared" si="1"/>
        <v>101.72449999999999</v>
      </c>
      <c r="AF46" s="11">
        <v>205.26313999999999</v>
      </c>
      <c r="AG46" s="1">
        <v>20</v>
      </c>
      <c r="AH46" s="12">
        <v>98.058480000000003</v>
      </c>
      <c r="AI46" s="3">
        <f t="shared" si="2"/>
        <v>99.937920000000005</v>
      </c>
      <c r="AK46" s="11">
        <v>205.25377</v>
      </c>
      <c r="AL46" s="1">
        <v>20</v>
      </c>
      <c r="AM46" s="12">
        <v>97.91807</v>
      </c>
      <c r="AN46" s="3">
        <f t="shared" si="3"/>
        <v>99.883679999999998</v>
      </c>
      <c r="AP46" s="18">
        <v>165.0943</v>
      </c>
      <c r="AQ46" s="1">
        <v>20</v>
      </c>
      <c r="AR46" s="12">
        <v>99.457130000000006</v>
      </c>
      <c r="AS46" s="3">
        <f t="shared" si="4"/>
        <v>100.01094000000001</v>
      </c>
    </row>
    <row r="47" spans="1:45" ht="16" x14ac:dyDescent="0.2">
      <c r="A47" s="2">
        <v>200.01752999999999</v>
      </c>
      <c r="B47" s="1">
        <v>20.5</v>
      </c>
      <c r="C47" s="5">
        <v>101.26653</v>
      </c>
      <c r="D47" s="3">
        <f t="shared" si="5"/>
        <v>101.14308</v>
      </c>
      <c r="G47" s="4">
        <v>224.99972</v>
      </c>
      <c r="H47" s="1">
        <v>20.5</v>
      </c>
      <c r="I47" s="5">
        <v>99.516800000000003</v>
      </c>
      <c r="J47" s="3">
        <f t="shared" si="6"/>
        <v>101.10719</v>
      </c>
      <c r="M47" s="4">
        <v>225.04587000000001</v>
      </c>
      <c r="N47" s="1">
        <v>20.5</v>
      </c>
      <c r="O47" s="5">
        <v>101.98669</v>
      </c>
      <c r="P47" s="3">
        <f t="shared" si="7"/>
        <v>101.1943</v>
      </c>
      <c r="S47" s="4">
        <v>249.99701999999999</v>
      </c>
      <c r="T47" s="1">
        <v>20.5</v>
      </c>
      <c r="U47" s="3">
        <v>98.319159999999997</v>
      </c>
      <c r="V47" s="3">
        <f t="shared" si="0"/>
        <v>101.64285</v>
      </c>
      <c r="Y47" s="4">
        <v>250.01114000000001</v>
      </c>
      <c r="Z47" s="1">
        <v>20.5</v>
      </c>
      <c r="AA47" s="3">
        <v>103.33656999999999</v>
      </c>
      <c r="AB47" s="3">
        <f t="shared" si="1"/>
        <v>101.72754999999999</v>
      </c>
      <c r="AF47" s="11">
        <v>207.76051000000001</v>
      </c>
      <c r="AG47" s="1">
        <v>20.5</v>
      </c>
      <c r="AH47" s="13">
        <v>98.084329999999994</v>
      </c>
      <c r="AI47" s="3">
        <f t="shared" si="2"/>
        <v>99.963769999999997</v>
      </c>
      <c r="AK47" s="11">
        <v>207.74816000000001</v>
      </c>
      <c r="AL47" s="1">
        <v>20.5</v>
      </c>
      <c r="AM47" s="13">
        <v>97.942580000000007</v>
      </c>
      <c r="AN47" s="3">
        <f t="shared" si="3"/>
        <v>99.908190000000005</v>
      </c>
      <c r="AP47" s="18">
        <v>166.58652000000001</v>
      </c>
      <c r="AQ47" s="1">
        <v>20.5</v>
      </c>
      <c r="AR47" s="13">
        <v>99.454080000000005</v>
      </c>
      <c r="AS47" s="3">
        <f t="shared" si="4"/>
        <v>100.00789</v>
      </c>
    </row>
    <row r="48" spans="1:45" ht="16" x14ac:dyDescent="0.2">
      <c r="A48" s="2">
        <v>200.01035999999999</v>
      </c>
      <c r="B48" s="1">
        <v>21</v>
      </c>
      <c r="C48" s="3">
        <v>101.26810999999999</v>
      </c>
      <c r="D48" s="3">
        <f t="shared" si="5"/>
        <v>101.14465999999999</v>
      </c>
      <c r="G48" s="4">
        <v>225.00091</v>
      </c>
      <c r="H48" s="1">
        <v>21</v>
      </c>
      <c r="I48" s="3">
        <v>99.525040000000004</v>
      </c>
      <c r="J48" s="3">
        <f t="shared" si="6"/>
        <v>101.11543</v>
      </c>
      <c r="M48" s="4">
        <v>225.04175000000001</v>
      </c>
      <c r="N48" s="1">
        <v>21</v>
      </c>
      <c r="O48" s="3">
        <v>101.85615</v>
      </c>
      <c r="P48" s="3">
        <f t="shared" si="7"/>
        <v>101.06376</v>
      </c>
      <c r="S48" s="4">
        <v>249.99709999999999</v>
      </c>
      <c r="T48" s="1">
        <v>21</v>
      </c>
      <c r="U48" s="5">
        <v>98.31953</v>
      </c>
      <c r="V48" s="3">
        <f t="shared" si="0"/>
        <v>101.64322</v>
      </c>
      <c r="Y48" s="4">
        <v>250.00917000000001</v>
      </c>
      <c r="Z48" s="1">
        <v>21</v>
      </c>
      <c r="AA48" s="5">
        <v>103.43705</v>
      </c>
      <c r="AB48" s="3">
        <f t="shared" si="1"/>
        <v>101.82803</v>
      </c>
      <c r="AF48" s="11">
        <v>210.26262</v>
      </c>
      <c r="AG48" s="1">
        <v>21</v>
      </c>
      <c r="AH48" s="12">
        <v>98.098730000000003</v>
      </c>
      <c r="AI48" s="3">
        <f t="shared" si="2"/>
        <v>99.978170000000006</v>
      </c>
      <c r="AK48" s="11">
        <v>210.25313</v>
      </c>
      <c r="AL48" s="1">
        <v>21</v>
      </c>
      <c r="AM48" s="12">
        <v>97.938149999999993</v>
      </c>
      <c r="AN48" s="3">
        <f t="shared" si="3"/>
        <v>99.903759999999991</v>
      </c>
      <c r="AP48" s="18">
        <v>168.08059</v>
      </c>
      <c r="AQ48" s="1">
        <v>21</v>
      </c>
      <c r="AR48" s="12">
        <v>99.479129999999998</v>
      </c>
      <c r="AS48" s="3">
        <f t="shared" si="4"/>
        <v>100.03294</v>
      </c>
    </row>
    <row r="49" spans="1:45" ht="16" x14ac:dyDescent="0.2">
      <c r="A49" s="2">
        <v>200.00371000000001</v>
      </c>
      <c r="B49" s="1">
        <v>21.5</v>
      </c>
      <c r="C49" s="5">
        <v>101.30795999999999</v>
      </c>
      <c r="D49" s="3">
        <f t="shared" si="5"/>
        <v>101.18450999999999</v>
      </c>
      <c r="G49" s="4">
        <v>224.99590000000001</v>
      </c>
      <c r="H49" s="1">
        <v>21.5</v>
      </c>
      <c r="I49" s="5">
        <v>99.540379999999999</v>
      </c>
      <c r="J49" s="3">
        <f t="shared" si="6"/>
        <v>101.13077</v>
      </c>
      <c r="M49" s="4">
        <v>225.03442000000001</v>
      </c>
      <c r="N49" s="1">
        <v>21.5</v>
      </c>
      <c r="O49" s="5">
        <v>101.93943</v>
      </c>
      <c r="P49" s="3">
        <f t="shared" si="7"/>
        <v>101.14704</v>
      </c>
      <c r="S49" s="4">
        <v>249.99799999999999</v>
      </c>
      <c r="T49" s="1">
        <v>21.5</v>
      </c>
      <c r="U49" s="3">
        <v>98.338049999999996</v>
      </c>
      <c r="V49" s="3">
        <f t="shared" si="0"/>
        <v>101.66173999999999</v>
      </c>
      <c r="Y49" s="4">
        <v>250.0086</v>
      </c>
      <c r="Z49" s="1">
        <v>21.5</v>
      </c>
      <c r="AA49" s="3">
        <v>103.35303999999999</v>
      </c>
      <c r="AB49" s="3">
        <f t="shared" si="1"/>
        <v>101.74401999999999</v>
      </c>
      <c r="AF49" s="11">
        <v>212.76687999999999</v>
      </c>
      <c r="AG49" s="1">
        <v>21.5</v>
      </c>
      <c r="AH49" s="13">
        <v>98.126419999999996</v>
      </c>
      <c r="AI49" s="3">
        <f t="shared" si="2"/>
        <v>100.00586</v>
      </c>
      <c r="AK49" s="11">
        <v>212.75903</v>
      </c>
      <c r="AL49" s="1">
        <v>21.5</v>
      </c>
      <c r="AM49" s="13">
        <v>97.972830000000002</v>
      </c>
      <c r="AN49" s="3">
        <f t="shared" si="3"/>
        <v>99.93844</v>
      </c>
      <c r="AP49" s="18">
        <v>169.6121</v>
      </c>
      <c r="AQ49" s="1">
        <v>21.5</v>
      </c>
      <c r="AR49" s="13">
        <v>99.48997</v>
      </c>
      <c r="AS49" s="3">
        <f t="shared" si="4"/>
        <v>100.04378</v>
      </c>
    </row>
    <row r="50" spans="1:45" ht="16" x14ac:dyDescent="0.2">
      <c r="A50" s="2">
        <v>200.00015999999999</v>
      </c>
      <c r="B50" s="1">
        <v>22</v>
      </c>
      <c r="C50" s="3">
        <v>101.17759</v>
      </c>
      <c r="D50" s="3">
        <f t="shared" si="5"/>
        <v>101.05413999999999</v>
      </c>
      <c r="G50" s="4">
        <v>225.005</v>
      </c>
      <c r="H50" s="1">
        <v>22</v>
      </c>
      <c r="I50" s="3">
        <v>99.588849999999994</v>
      </c>
      <c r="J50" s="3">
        <f t="shared" si="6"/>
        <v>101.17923999999999</v>
      </c>
      <c r="M50" s="4">
        <v>225.02768</v>
      </c>
      <c r="N50" s="1">
        <v>22</v>
      </c>
      <c r="O50" s="3">
        <v>101.97016000000001</v>
      </c>
      <c r="P50" s="3">
        <f t="shared" si="7"/>
        <v>101.17777000000001</v>
      </c>
      <c r="S50" s="4">
        <v>250.00101000000001</v>
      </c>
      <c r="T50" s="1">
        <v>22</v>
      </c>
      <c r="U50" s="5">
        <v>98.356830000000002</v>
      </c>
      <c r="V50" s="3">
        <f t="shared" si="0"/>
        <v>101.68052</v>
      </c>
      <c r="Y50" s="4">
        <v>250.00711999999999</v>
      </c>
      <c r="Z50" s="1">
        <v>22</v>
      </c>
      <c r="AA50" s="5">
        <v>103.38417</v>
      </c>
      <c r="AB50" s="3">
        <f t="shared" si="1"/>
        <v>101.77515</v>
      </c>
      <c r="AF50" s="11">
        <v>215.26840999999999</v>
      </c>
      <c r="AG50" s="1">
        <v>22</v>
      </c>
      <c r="AH50" s="12">
        <v>98.131360000000001</v>
      </c>
      <c r="AI50" s="3">
        <f t="shared" si="2"/>
        <v>100.0108</v>
      </c>
      <c r="AK50" s="11">
        <v>215.26273</v>
      </c>
      <c r="AL50" s="1">
        <v>22</v>
      </c>
      <c r="AM50" s="12">
        <v>97.993160000000003</v>
      </c>
      <c r="AN50" s="3">
        <f t="shared" si="3"/>
        <v>99.958770000000001</v>
      </c>
      <c r="AP50" s="18">
        <v>171.10082</v>
      </c>
      <c r="AQ50" s="1">
        <v>22</v>
      </c>
      <c r="AR50" s="12">
        <v>99.514030000000005</v>
      </c>
      <c r="AS50" s="3">
        <f t="shared" si="4"/>
        <v>100.06784</v>
      </c>
    </row>
    <row r="51" spans="1:45" ht="16" x14ac:dyDescent="0.2">
      <c r="A51" s="2">
        <v>199.99736999999999</v>
      </c>
      <c r="B51" s="1">
        <v>22.5</v>
      </c>
      <c r="C51" s="5">
        <v>101.28704999999999</v>
      </c>
      <c r="D51" s="3">
        <f t="shared" si="5"/>
        <v>101.16359999999999</v>
      </c>
      <c r="G51" s="4">
        <v>225.00197</v>
      </c>
      <c r="H51" s="1">
        <v>22.5</v>
      </c>
      <c r="I51" s="5">
        <v>99.586330000000004</v>
      </c>
      <c r="J51" s="3">
        <f t="shared" si="6"/>
        <v>101.17672</v>
      </c>
      <c r="M51" s="4">
        <v>225.01826</v>
      </c>
      <c r="N51" s="1">
        <v>22.5</v>
      </c>
      <c r="O51" s="5">
        <v>102.10297</v>
      </c>
      <c r="P51" s="3">
        <f t="shared" si="7"/>
        <v>101.31058</v>
      </c>
      <c r="S51" s="4">
        <v>250.00194999999999</v>
      </c>
      <c r="T51" s="1">
        <v>22.5</v>
      </c>
      <c r="U51" s="3">
        <v>98.356129999999993</v>
      </c>
      <c r="V51" s="3">
        <f t="shared" si="0"/>
        <v>101.67981999999999</v>
      </c>
      <c r="Y51" s="4">
        <v>250.00559999999999</v>
      </c>
      <c r="Z51" s="1">
        <v>22.5</v>
      </c>
      <c r="AA51" s="3">
        <v>103.3952</v>
      </c>
      <c r="AB51" s="3">
        <f t="shared" si="1"/>
        <v>101.78618</v>
      </c>
      <c r="AF51" s="11">
        <v>217.77012999999999</v>
      </c>
      <c r="AG51" s="1">
        <v>22.5</v>
      </c>
      <c r="AH51" s="13">
        <v>98.118629999999996</v>
      </c>
      <c r="AI51" s="3">
        <f t="shared" si="2"/>
        <v>99.998069999999998</v>
      </c>
      <c r="AK51" s="11">
        <v>217.76421999999999</v>
      </c>
      <c r="AL51" s="1">
        <v>22.5</v>
      </c>
      <c r="AM51" s="13">
        <v>97.982399999999998</v>
      </c>
      <c r="AN51" s="3">
        <f t="shared" si="3"/>
        <v>99.948009999999996</v>
      </c>
      <c r="AP51" s="18">
        <v>172.59784999999999</v>
      </c>
      <c r="AQ51" s="1">
        <v>22.5</v>
      </c>
      <c r="AR51" s="13">
        <v>99.472200000000001</v>
      </c>
      <c r="AS51" s="3">
        <f t="shared" si="4"/>
        <v>100.02601</v>
      </c>
    </row>
    <row r="52" spans="1:45" ht="16" x14ac:dyDescent="0.2">
      <c r="A52" s="2">
        <v>199.99664000000001</v>
      </c>
      <c r="B52" s="1">
        <v>23</v>
      </c>
      <c r="C52" s="3">
        <v>101.30525</v>
      </c>
      <c r="D52" s="3">
        <f t="shared" si="5"/>
        <v>101.1818</v>
      </c>
      <c r="G52" s="4">
        <v>225.00197</v>
      </c>
      <c r="H52" s="1">
        <v>23</v>
      </c>
      <c r="I52" s="3">
        <v>99.561980000000005</v>
      </c>
      <c r="J52" s="3">
        <f t="shared" si="6"/>
        <v>101.15237</v>
      </c>
      <c r="M52" s="4">
        <v>225.01383999999999</v>
      </c>
      <c r="N52" s="1">
        <v>23</v>
      </c>
      <c r="O52" s="3">
        <v>102.09266</v>
      </c>
      <c r="P52" s="3">
        <f t="shared" si="7"/>
        <v>101.30027</v>
      </c>
      <c r="S52" s="4">
        <v>250.00602000000001</v>
      </c>
      <c r="T52" s="1">
        <v>23</v>
      </c>
      <c r="U52" s="5">
        <v>98.377600000000001</v>
      </c>
      <c r="V52" s="3">
        <f t="shared" si="0"/>
        <v>101.70129</v>
      </c>
      <c r="Y52" s="4">
        <v>250.00586000000001</v>
      </c>
      <c r="Z52" s="1">
        <v>23</v>
      </c>
      <c r="AA52" s="5">
        <v>103.51907</v>
      </c>
      <c r="AB52" s="3">
        <f t="shared" si="1"/>
        <v>101.91005</v>
      </c>
      <c r="AF52" s="11">
        <v>220.27565000000001</v>
      </c>
      <c r="AG52" s="1">
        <v>23</v>
      </c>
      <c r="AH52" s="12">
        <v>98.171210000000002</v>
      </c>
      <c r="AI52" s="3">
        <f t="shared" si="2"/>
        <v>100.05065</v>
      </c>
      <c r="AK52" s="11">
        <v>220.26201</v>
      </c>
      <c r="AL52" s="1">
        <v>23</v>
      </c>
      <c r="AM52" s="12">
        <v>98.004739999999998</v>
      </c>
      <c r="AN52" s="3">
        <f t="shared" si="3"/>
        <v>99.970349999999996</v>
      </c>
      <c r="AP52" s="18">
        <v>174.12717000000001</v>
      </c>
      <c r="AQ52" s="1">
        <v>23</v>
      </c>
      <c r="AR52" s="12">
        <v>99.495689999999996</v>
      </c>
      <c r="AS52" s="3">
        <f t="shared" si="4"/>
        <v>100.04949999999999</v>
      </c>
    </row>
    <row r="53" spans="1:45" ht="16" x14ac:dyDescent="0.2">
      <c r="A53" s="2">
        <v>199.99909</v>
      </c>
      <c r="B53" s="1">
        <v>23.5</v>
      </c>
      <c r="C53" s="5">
        <v>101.26509</v>
      </c>
      <c r="D53" s="3">
        <f t="shared" si="5"/>
        <v>101.14164</v>
      </c>
      <c r="G53" s="4">
        <v>225.00009</v>
      </c>
      <c r="H53" s="1">
        <v>23.5</v>
      </c>
      <c r="I53" s="5">
        <v>99.572479999999999</v>
      </c>
      <c r="J53" s="3">
        <f t="shared" si="6"/>
        <v>101.16287</v>
      </c>
      <c r="M53" s="4">
        <v>225.01430999999999</v>
      </c>
      <c r="N53" s="1">
        <v>23.5</v>
      </c>
      <c r="O53" s="5">
        <v>102.00479</v>
      </c>
      <c r="P53" s="3">
        <f t="shared" si="7"/>
        <v>101.2124</v>
      </c>
      <c r="S53" s="4">
        <v>250</v>
      </c>
      <c r="T53" s="1">
        <v>23.5</v>
      </c>
      <c r="U53" s="3">
        <v>98.38964</v>
      </c>
      <c r="V53" s="3">
        <f t="shared" si="0"/>
        <v>101.71333</v>
      </c>
      <c r="Y53" s="4">
        <v>250.00791000000001</v>
      </c>
      <c r="Z53" s="1">
        <v>23.5</v>
      </c>
      <c r="AA53" s="3">
        <v>103.49250000000001</v>
      </c>
      <c r="AB53" s="3">
        <f t="shared" si="1"/>
        <v>101.88348000000001</v>
      </c>
      <c r="AF53" s="11">
        <v>222.77861999999999</v>
      </c>
      <c r="AG53" s="1">
        <v>23.5</v>
      </c>
      <c r="AH53" s="13">
        <v>98.193740000000005</v>
      </c>
      <c r="AI53" s="3">
        <f t="shared" si="2"/>
        <v>100.07318000000001</v>
      </c>
      <c r="AK53" s="11">
        <v>222.76426000000001</v>
      </c>
      <c r="AL53" s="1">
        <v>23.5</v>
      </c>
      <c r="AM53" s="13">
        <v>98.048330000000007</v>
      </c>
      <c r="AN53" s="3">
        <f t="shared" si="3"/>
        <v>100.01394000000001</v>
      </c>
      <c r="AP53" s="18">
        <v>175.62175999999999</v>
      </c>
      <c r="AQ53" s="1">
        <v>23.5</v>
      </c>
      <c r="AR53" s="13">
        <v>99.478819999999999</v>
      </c>
      <c r="AS53" s="3">
        <f t="shared" si="4"/>
        <v>100.03263</v>
      </c>
    </row>
    <row r="54" spans="1:45" ht="16" x14ac:dyDescent="0.2">
      <c r="A54" s="2">
        <v>200.00011000000001</v>
      </c>
      <c r="B54" s="1">
        <v>24</v>
      </c>
      <c r="C54" s="3">
        <v>101.32640000000001</v>
      </c>
      <c r="D54" s="3">
        <f t="shared" si="5"/>
        <v>101.20295</v>
      </c>
      <c r="G54" s="4">
        <v>224.99986999999999</v>
      </c>
      <c r="H54" s="1">
        <v>24</v>
      </c>
      <c r="I54" s="3">
        <v>99.586079999999995</v>
      </c>
      <c r="J54" s="3">
        <f t="shared" si="6"/>
        <v>101.17646999999999</v>
      </c>
      <c r="M54" s="4">
        <v>225.01490000000001</v>
      </c>
      <c r="N54" s="1">
        <v>24</v>
      </c>
      <c r="O54" s="3">
        <v>101.92128</v>
      </c>
      <c r="P54" s="3">
        <f t="shared" si="7"/>
        <v>101.12889</v>
      </c>
      <c r="S54" s="4">
        <v>250.00502</v>
      </c>
      <c r="T54" s="1">
        <v>24</v>
      </c>
      <c r="U54" s="5">
        <v>98.391270000000006</v>
      </c>
      <c r="V54" s="3">
        <f t="shared" si="0"/>
        <v>101.71496</v>
      </c>
      <c r="Y54" s="4">
        <v>250.00828000000001</v>
      </c>
      <c r="Z54" s="1">
        <v>24</v>
      </c>
      <c r="AA54" s="5">
        <v>103.50776999999999</v>
      </c>
      <c r="AB54" s="3">
        <f t="shared" si="1"/>
        <v>101.89874999999999</v>
      </c>
      <c r="AF54" s="11">
        <v>225.27983</v>
      </c>
      <c r="AG54" s="1">
        <v>24</v>
      </c>
      <c r="AH54" s="12">
        <v>98.204750000000004</v>
      </c>
      <c r="AI54" s="3">
        <f t="shared" si="2"/>
        <v>100.08419000000001</v>
      </c>
      <c r="AK54" s="11">
        <v>225.27719999999999</v>
      </c>
      <c r="AL54" s="1">
        <v>24</v>
      </c>
      <c r="AM54" s="12">
        <v>98.046779999999998</v>
      </c>
      <c r="AN54" s="3">
        <f t="shared" si="3"/>
        <v>100.01239</v>
      </c>
      <c r="AP54" s="18">
        <v>177.12746000000001</v>
      </c>
      <c r="AQ54" s="1">
        <v>24</v>
      </c>
      <c r="AR54" s="12">
        <v>99.487970000000004</v>
      </c>
      <c r="AS54" s="3">
        <f t="shared" si="4"/>
        <v>100.04178</v>
      </c>
    </row>
    <row r="55" spans="1:45" ht="16" x14ac:dyDescent="0.2">
      <c r="A55" s="2">
        <v>200.00211999999999</v>
      </c>
      <c r="B55" s="1">
        <v>24.5</v>
      </c>
      <c r="C55" s="5">
        <v>101.2925</v>
      </c>
      <c r="D55" s="3">
        <f t="shared" si="5"/>
        <v>101.16905</v>
      </c>
      <c r="G55" s="4">
        <v>224.99794</v>
      </c>
      <c r="H55" s="1">
        <v>24.5</v>
      </c>
      <c r="I55" s="5">
        <v>99.60575</v>
      </c>
      <c r="J55" s="3">
        <f t="shared" si="6"/>
        <v>101.19614</v>
      </c>
      <c r="M55" s="4">
        <v>225.01456999999999</v>
      </c>
      <c r="N55" s="1">
        <v>24.5</v>
      </c>
      <c r="O55" s="5">
        <v>101.96467</v>
      </c>
      <c r="P55" s="3">
        <f t="shared" si="7"/>
        <v>101.17228</v>
      </c>
      <c r="S55" s="4">
        <v>249.99797000000001</v>
      </c>
      <c r="T55" s="1">
        <v>24.5</v>
      </c>
      <c r="U55" s="3">
        <v>98.407839999999993</v>
      </c>
      <c r="V55" s="3">
        <f t="shared" si="0"/>
        <v>101.73152999999999</v>
      </c>
      <c r="Y55" s="4">
        <v>250.00573</v>
      </c>
      <c r="Z55" s="1">
        <v>24.5</v>
      </c>
      <c r="AA55" s="3">
        <v>103.46467</v>
      </c>
      <c r="AB55" s="3">
        <f t="shared" si="1"/>
        <v>101.85565</v>
      </c>
      <c r="AF55" s="11">
        <v>227.77889999999999</v>
      </c>
      <c r="AG55" s="1">
        <v>24.5</v>
      </c>
      <c r="AH55" s="13">
        <v>98.207790000000003</v>
      </c>
      <c r="AI55" s="3">
        <f t="shared" si="2"/>
        <v>100.08723000000001</v>
      </c>
      <c r="AK55" s="11">
        <v>227.78203999999999</v>
      </c>
      <c r="AL55" s="1">
        <v>24.5</v>
      </c>
      <c r="AM55" s="13">
        <v>98.057410000000004</v>
      </c>
      <c r="AN55" s="3">
        <f t="shared" si="3"/>
        <v>100.02302</v>
      </c>
      <c r="AP55" s="18">
        <v>178.62395000000001</v>
      </c>
      <c r="AQ55" s="1">
        <v>24.5</v>
      </c>
      <c r="AR55" s="13">
        <v>99.542850000000001</v>
      </c>
      <c r="AS55" s="3">
        <f t="shared" si="4"/>
        <v>100.09666</v>
      </c>
    </row>
    <row r="56" spans="1:45" ht="16" x14ac:dyDescent="0.2">
      <c r="A56" s="2">
        <v>200.00245000000001</v>
      </c>
      <c r="B56" s="1">
        <v>25</v>
      </c>
      <c r="C56" s="3">
        <v>101.35727</v>
      </c>
      <c r="D56" s="3">
        <f t="shared" si="5"/>
        <v>101.23381999999999</v>
      </c>
      <c r="G56" s="4">
        <v>225.00226000000001</v>
      </c>
      <c r="H56" s="1">
        <v>25</v>
      </c>
      <c r="I56" s="3">
        <v>99.601590000000002</v>
      </c>
      <c r="J56" s="3">
        <f t="shared" si="6"/>
        <v>101.19198</v>
      </c>
      <c r="M56" s="4">
        <v>225.01465999999999</v>
      </c>
      <c r="N56" s="1">
        <v>25</v>
      </c>
      <c r="O56" s="3">
        <v>101.89409000000001</v>
      </c>
      <c r="P56" s="3">
        <f t="shared" si="7"/>
        <v>101.10170000000001</v>
      </c>
      <c r="S56" s="4">
        <v>249.99907999999999</v>
      </c>
      <c r="T56" s="1">
        <v>25</v>
      </c>
      <c r="U56" s="5">
        <v>98.430589999999995</v>
      </c>
      <c r="V56" s="3">
        <f t="shared" si="0"/>
        <v>101.75427999999999</v>
      </c>
      <c r="Y56" s="4">
        <v>250.00418999999999</v>
      </c>
      <c r="Z56" s="1">
        <v>25</v>
      </c>
      <c r="AA56" s="5">
        <v>103.46854999999999</v>
      </c>
      <c r="AB56" s="3">
        <f t="shared" si="1"/>
        <v>101.85952999999999</v>
      </c>
      <c r="AF56" s="11">
        <v>230.28733</v>
      </c>
      <c r="AG56" s="1">
        <v>25</v>
      </c>
      <c r="AH56" s="12">
        <v>98.278120000000001</v>
      </c>
      <c r="AI56" s="3">
        <f t="shared" si="2"/>
        <v>100.15756</v>
      </c>
      <c r="AK56" s="11">
        <v>230.28133</v>
      </c>
      <c r="AL56" s="1">
        <v>25</v>
      </c>
      <c r="AM56" s="12">
        <v>98.121979999999994</v>
      </c>
      <c r="AN56" s="3">
        <f t="shared" si="3"/>
        <v>100.08758999999999</v>
      </c>
      <c r="AP56" s="18">
        <v>180.12098</v>
      </c>
      <c r="AQ56" s="1">
        <v>25</v>
      </c>
      <c r="AR56" s="12">
        <v>99.512799999999999</v>
      </c>
      <c r="AS56" s="3">
        <f t="shared" si="4"/>
        <v>100.06661</v>
      </c>
    </row>
    <row r="57" spans="1:45" ht="16" x14ac:dyDescent="0.2">
      <c r="A57" s="2">
        <v>200.00360000000001</v>
      </c>
      <c r="B57" s="1">
        <v>25.5</v>
      </c>
      <c r="C57" s="5">
        <v>101.31359999999999</v>
      </c>
      <c r="D57" s="3">
        <f t="shared" si="5"/>
        <v>101.19014999999999</v>
      </c>
      <c r="G57" s="4">
        <v>225.00394</v>
      </c>
      <c r="H57" s="1">
        <v>25.5</v>
      </c>
      <c r="I57" s="5">
        <v>99.675420000000003</v>
      </c>
      <c r="J57" s="3">
        <f t="shared" si="6"/>
        <v>101.26581</v>
      </c>
      <c r="M57" s="4">
        <v>225.01472999999999</v>
      </c>
      <c r="N57" s="1">
        <v>25.5</v>
      </c>
      <c r="O57" s="5">
        <v>102.11908</v>
      </c>
      <c r="P57" s="3">
        <f t="shared" si="7"/>
        <v>101.32669</v>
      </c>
      <c r="S57" s="4">
        <v>250.00002000000001</v>
      </c>
      <c r="T57" s="1">
        <v>25.5</v>
      </c>
      <c r="U57" s="3">
        <v>98.436620000000005</v>
      </c>
      <c r="V57" s="3">
        <f t="shared" si="0"/>
        <v>101.76031</v>
      </c>
      <c r="Y57" s="4">
        <v>250.00744</v>
      </c>
      <c r="Z57" s="1">
        <v>25.5</v>
      </c>
      <c r="AA57" s="3">
        <v>103.46272</v>
      </c>
      <c r="AB57" s="3">
        <f t="shared" si="1"/>
        <v>101.8537</v>
      </c>
      <c r="AF57" s="11">
        <v>232.79483999999999</v>
      </c>
      <c r="AG57" s="1">
        <v>25.5</v>
      </c>
      <c r="AH57" s="13">
        <v>98.273129999999995</v>
      </c>
      <c r="AI57" s="3">
        <f t="shared" si="2"/>
        <v>100.15257</v>
      </c>
      <c r="AK57" s="11">
        <v>232.78607</v>
      </c>
      <c r="AL57" s="1">
        <v>25.5</v>
      </c>
      <c r="AM57" s="13">
        <v>98.138980000000004</v>
      </c>
      <c r="AN57" s="3">
        <f t="shared" si="3"/>
        <v>100.10459</v>
      </c>
      <c r="AP57" s="18">
        <v>181.62116</v>
      </c>
      <c r="AQ57" s="1">
        <v>25.5</v>
      </c>
      <c r="AR57" s="13">
        <v>99.530850000000001</v>
      </c>
      <c r="AS57" s="3">
        <f t="shared" si="4"/>
        <v>100.08466</v>
      </c>
    </row>
    <row r="58" spans="1:45" ht="16" x14ac:dyDescent="0.2">
      <c r="A58" s="2">
        <v>200.00384</v>
      </c>
      <c r="B58" s="1">
        <v>26</v>
      </c>
      <c r="C58" s="3">
        <v>101.25920000000001</v>
      </c>
      <c r="D58" s="3">
        <f t="shared" si="5"/>
        <v>101.13575</v>
      </c>
      <c r="G58" s="4">
        <v>225.00028</v>
      </c>
      <c r="H58" s="1">
        <v>26</v>
      </c>
      <c r="I58" s="3">
        <v>99.669610000000006</v>
      </c>
      <c r="J58" s="3">
        <f t="shared" si="6"/>
        <v>101.26</v>
      </c>
      <c r="M58" s="4">
        <v>225.018</v>
      </c>
      <c r="N58" s="1">
        <v>26</v>
      </c>
      <c r="O58" s="3">
        <v>102.09838000000001</v>
      </c>
      <c r="P58" s="3">
        <f t="shared" si="7"/>
        <v>101.30599000000001</v>
      </c>
      <c r="S58" s="4">
        <v>250.00093000000001</v>
      </c>
      <c r="T58" s="1">
        <v>26</v>
      </c>
      <c r="U58" s="5">
        <v>98.44323</v>
      </c>
      <c r="V58" s="3">
        <f t="shared" si="0"/>
        <v>101.76692</v>
      </c>
      <c r="Y58" s="4">
        <v>250.00915000000001</v>
      </c>
      <c r="Z58" s="1">
        <v>26</v>
      </c>
      <c r="AA58" s="5">
        <v>103.50677</v>
      </c>
      <c r="AB58" s="3">
        <f t="shared" si="1"/>
        <v>101.89775</v>
      </c>
      <c r="AF58" s="11">
        <v>235.30187000000001</v>
      </c>
      <c r="AG58" s="1">
        <v>26</v>
      </c>
      <c r="AH58" s="12">
        <v>98.30547</v>
      </c>
      <c r="AI58" s="3">
        <f t="shared" si="2"/>
        <v>100.18491</v>
      </c>
      <c r="AK58" s="11">
        <v>235.28816</v>
      </c>
      <c r="AL58" s="1">
        <v>26</v>
      </c>
      <c r="AM58" s="12">
        <v>98.144049999999993</v>
      </c>
      <c r="AN58" s="3">
        <f t="shared" si="3"/>
        <v>100.10965999999999</v>
      </c>
      <c r="AP58" s="18">
        <v>183.12164000000001</v>
      </c>
      <c r="AQ58" s="1">
        <v>26</v>
      </c>
      <c r="AR58" s="12">
        <v>99.500600000000006</v>
      </c>
      <c r="AS58" s="3">
        <f t="shared" si="4"/>
        <v>100.05441</v>
      </c>
    </row>
    <row r="59" spans="1:45" ht="16" x14ac:dyDescent="0.2">
      <c r="A59" s="2">
        <v>200.00738999999999</v>
      </c>
      <c r="B59" s="1">
        <v>26.5</v>
      </c>
      <c r="C59" s="5">
        <v>101.35626000000001</v>
      </c>
      <c r="D59" s="3">
        <f t="shared" si="5"/>
        <v>101.23281</v>
      </c>
      <c r="G59" s="4">
        <v>225.00791000000001</v>
      </c>
      <c r="H59" s="1">
        <v>26.5</v>
      </c>
      <c r="I59" s="5">
        <v>99.694249999999997</v>
      </c>
      <c r="J59" s="3">
        <f t="shared" si="6"/>
        <v>101.28464</v>
      </c>
      <c r="M59" s="4">
        <v>225.01589000000001</v>
      </c>
      <c r="N59" s="1">
        <v>26.5</v>
      </c>
      <c r="O59" s="5">
        <v>102.08802</v>
      </c>
      <c r="P59" s="3">
        <f t="shared" si="7"/>
        <v>101.29563</v>
      </c>
      <c r="S59" s="4">
        <v>249.99891</v>
      </c>
      <c r="T59" s="1">
        <v>26.5</v>
      </c>
      <c r="U59" s="3">
        <v>98.449119999999994</v>
      </c>
      <c r="V59" s="3">
        <f t="shared" si="0"/>
        <v>101.77280999999999</v>
      </c>
      <c r="Y59" s="4">
        <v>250.01051000000001</v>
      </c>
      <c r="Z59" s="1">
        <v>26.5</v>
      </c>
      <c r="AA59" s="3">
        <v>103.61586</v>
      </c>
      <c r="AB59" s="3">
        <f t="shared" si="1"/>
        <v>102.00684</v>
      </c>
      <c r="AF59" s="11">
        <v>237.80141</v>
      </c>
      <c r="AG59" s="1">
        <v>26.5</v>
      </c>
      <c r="AH59" s="13">
        <v>98.347290000000001</v>
      </c>
      <c r="AI59" s="3">
        <f t="shared" si="2"/>
        <v>100.22673</v>
      </c>
      <c r="AK59" s="11">
        <v>237.79494</v>
      </c>
      <c r="AL59" s="1">
        <v>26.5</v>
      </c>
      <c r="AM59" s="13">
        <v>98.200659999999999</v>
      </c>
      <c r="AN59" s="3">
        <f t="shared" si="3"/>
        <v>100.16627</v>
      </c>
      <c r="AP59" s="18">
        <v>184.62550999999999</v>
      </c>
      <c r="AQ59" s="1">
        <v>26.5</v>
      </c>
      <c r="AR59" s="13">
        <v>99.577190000000002</v>
      </c>
      <c r="AS59" s="3">
        <f t="shared" si="4"/>
        <v>100.131</v>
      </c>
    </row>
    <row r="60" spans="1:45" ht="16" x14ac:dyDescent="0.2">
      <c r="A60" s="2">
        <v>200.01421999999999</v>
      </c>
      <c r="B60" s="1">
        <v>27</v>
      </c>
      <c r="C60" s="3">
        <v>101.37866</v>
      </c>
      <c r="D60" s="3">
        <f t="shared" si="5"/>
        <v>101.25520999999999</v>
      </c>
      <c r="G60" s="4">
        <v>225.00089</v>
      </c>
      <c r="H60" s="1">
        <v>27</v>
      </c>
      <c r="I60" s="3">
        <v>99.606710000000007</v>
      </c>
      <c r="J60" s="3">
        <f t="shared" si="6"/>
        <v>101.19710000000001</v>
      </c>
      <c r="M60" s="4">
        <v>225.01420999999999</v>
      </c>
      <c r="N60" s="1">
        <v>27</v>
      </c>
      <c r="O60" s="3">
        <v>102.07496999999999</v>
      </c>
      <c r="P60" s="3">
        <f t="shared" si="7"/>
        <v>101.28258</v>
      </c>
      <c r="S60" s="4">
        <v>250.00206</v>
      </c>
      <c r="T60" s="1">
        <v>27</v>
      </c>
      <c r="U60" s="5">
        <v>98.476299999999995</v>
      </c>
      <c r="V60" s="3">
        <f t="shared" si="0"/>
        <v>101.79998999999999</v>
      </c>
      <c r="Y60" s="4">
        <v>250.00935999999999</v>
      </c>
      <c r="Z60" s="1">
        <v>27</v>
      </c>
      <c r="AA60" s="5">
        <v>103.52627</v>
      </c>
      <c r="AB60" s="3">
        <f t="shared" si="1"/>
        <v>101.91725</v>
      </c>
      <c r="AF60" s="11">
        <v>240.30601999999999</v>
      </c>
      <c r="AG60" s="1">
        <v>27</v>
      </c>
      <c r="AH60" s="12">
        <v>98.385059999999996</v>
      </c>
      <c r="AI60" s="3">
        <f t="shared" si="2"/>
        <v>100.2645</v>
      </c>
      <c r="AK60" s="11">
        <v>240.29862</v>
      </c>
      <c r="AL60" s="1">
        <v>27</v>
      </c>
      <c r="AM60" s="12">
        <v>98.237440000000007</v>
      </c>
      <c r="AN60" s="3">
        <f t="shared" si="3"/>
        <v>100.20305</v>
      </c>
      <c r="AP60" s="18">
        <v>186.12321</v>
      </c>
      <c r="AQ60" s="1">
        <v>27</v>
      </c>
      <c r="AR60" s="12">
        <v>99.538970000000006</v>
      </c>
      <c r="AS60" s="3">
        <f t="shared" si="4"/>
        <v>100.09278</v>
      </c>
    </row>
    <row r="61" spans="1:45" ht="16" x14ac:dyDescent="0.2">
      <c r="A61" s="2">
        <v>200.01938000000001</v>
      </c>
      <c r="B61" s="1">
        <v>27.5</v>
      </c>
      <c r="C61" s="5">
        <v>101.36947000000001</v>
      </c>
      <c r="D61" s="3">
        <f t="shared" si="5"/>
        <v>101.24602</v>
      </c>
      <c r="G61" s="4">
        <v>225.00397000000001</v>
      </c>
      <c r="H61" s="1">
        <v>27.5</v>
      </c>
      <c r="I61" s="5">
        <v>99.659949999999995</v>
      </c>
      <c r="J61" s="3">
        <f t="shared" si="6"/>
        <v>101.25033999999999</v>
      </c>
      <c r="M61" s="4">
        <v>225.01199</v>
      </c>
      <c r="N61" s="1">
        <v>27.5</v>
      </c>
      <c r="O61" s="5">
        <v>102.10487000000001</v>
      </c>
      <c r="P61" s="3">
        <f t="shared" si="7"/>
        <v>101.31248000000001</v>
      </c>
      <c r="S61" s="4">
        <v>250.00496000000001</v>
      </c>
      <c r="T61" s="1">
        <v>27.5</v>
      </c>
      <c r="U61" s="3">
        <v>98.484480000000005</v>
      </c>
      <c r="V61" s="3">
        <f t="shared" si="0"/>
        <v>101.80817</v>
      </c>
      <c r="Y61" s="4">
        <v>250.00833</v>
      </c>
      <c r="Z61" s="1">
        <v>27.5</v>
      </c>
      <c r="AA61" s="3">
        <v>103.5945</v>
      </c>
      <c r="AB61" s="3">
        <f t="shared" si="1"/>
        <v>101.98548</v>
      </c>
      <c r="AF61" s="11">
        <v>242.81155999999999</v>
      </c>
      <c r="AG61" s="1">
        <v>27.5</v>
      </c>
      <c r="AH61" s="13">
        <v>98.413349999999994</v>
      </c>
      <c r="AI61" s="3">
        <f t="shared" si="2"/>
        <v>100.29279</v>
      </c>
      <c r="AK61" s="11">
        <v>242.80547999999999</v>
      </c>
      <c r="AL61" s="1">
        <v>27.5</v>
      </c>
      <c r="AM61" s="13">
        <v>98.273560000000003</v>
      </c>
      <c r="AN61" s="3">
        <f t="shared" si="3"/>
        <v>100.23917</v>
      </c>
      <c r="AP61" s="18">
        <v>187.62481</v>
      </c>
      <c r="AQ61" s="1">
        <v>27.5</v>
      </c>
      <c r="AR61" s="13">
        <v>99.531859999999995</v>
      </c>
      <c r="AS61" s="3">
        <f t="shared" si="4"/>
        <v>100.08566999999999</v>
      </c>
    </row>
    <row r="62" spans="1:45" ht="16" x14ac:dyDescent="0.2">
      <c r="A62" s="2">
        <v>200.02046000000001</v>
      </c>
      <c r="B62" s="1">
        <v>28</v>
      </c>
      <c r="C62" s="3">
        <v>101.28682000000001</v>
      </c>
      <c r="D62" s="3">
        <f t="shared" si="5"/>
        <v>101.16337</v>
      </c>
      <c r="G62" s="4">
        <v>225.00531000000001</v>
      </c>
      <c r="H62" s="1">
        <v>28</v>
      </c>
      <c r="I62" s="3">
        <v>99.662520000000001</v>
      </c>
      <c r="J62" s="3">
        <f t="shared" si="6"/>
        <v>101.25291</v>
      </c>
      <c r="M62" s="4">
        <v>225.01281</v>
      </c>
      <c r="N62" s="1">
        <v>28</v>
      </c>
      <c r="O62" s="3">
        <v>102.12787</v>
      </c>
      <c r="P62" s="3">
        <f t="shared" si="7"/>
        <v>101.33548</v>
      </c>
      <c r="S62" s="4">
        <v>250.00103999999999</v>
      </c>
      <c r="T62" s="1">
        <v>28</v>
      </c>
      <c r="U62" s="5">
        <v>98.476259999999996</v>
      </c>
      <c r="V62" s="3">
        <f t="shared" si="0"/>
        <v>101.79995</v>
      </c>
      <c r="Y62" s="4">
        <v>250.00876</v>
      </c>
      <c r="Z62" s="1">
        <v>28</v>
      </c>
      <c r="AA62" s="5">
        <v>103.61503</v>
      </c>
      <c r="AB62" s="3">
        <f t="shared" si="1"/>
        <v>102.00601</v>
      </c>
      <c r="AF62" s="11">
        <v>245.31683000000001</v>
      </c>
      <c r="AG62" s="1">
        <v>28</v>
      </c>
      <c r="AH62" s="12">
        <v>98.455510000000004</v>
      </c>
      <c r="AI62" s="3">
        <f t="shared" si="2"/>
        <v>100.33495000000001</v>
      </c>
      <c r="AK62" s="11">
        <v>245.30770999999999</v>
      </c>
      <c r="AL62" s="1">
        <v>28</v>
      </c>
      <c r="AM62" s="12">
        <v>98.298929999999999</v>
      </c>
      <c r="AN62" s="3">
        <f t="shared" si="3"/>
        <v>100.26454</v>
      </c>
      <c r="AP62" s="18">
        <v>189.12336999999999</v>
      </c>
      <c r="AQ62" s="1">
        <v>28</v>
      </c>
      <c r="AR62" s="12">
        <v>99.557879999999997</v>
      </c>
      <c r="AS62" s="3">
        <f t="shared" si="4"/>
        <v>100.11169</v>
      </c>
    </row>
    <row r="63" spans="1:45" ht="16" x14ac:dyDescent="0.2">
      <c r="A63" s="2">
        <v>200.01982000000001</v>
      </c>
      <c r="B63" s="1">
        <v>28.5</v>
      </c>
      <c r="C63" s="5">
        <v>101.36935</v>
      </c>
      <c r="D63" s="3">
        <f t="shared" si="5"/>
        <v>101.24589999999999</v>
      </c>
      <c r="G63" s="4">
        <v>225.00699</v>
      </c>
      <c r="H63" s="1">
        <v>28.5</v>
      </c>
      <c r="I63" s="5">
        <v>99.689099999999996</v>
      </c>
      <c r="J63" s="3">
        <f t="shared" si="6"/>
        <v>101.27949</v>
      </c>
      <c r="M63" s="4">
        <v>225.01417000000001</v>
      </c>
      <c r="N63" s="1">
        <v>28.5</v>
      </c>
      <c r="O63" s="5">
        <v>102.15673</v>
      </c>
      <c r="P63" s="3">
        <f t="shared" si="7"/>
        <v>101.36434</v>
      </c>
      <c r="S63" s="4">
        <v>250.00202999999999</v>
      </c>
      <c r="T63" s="1">
        <v>28.5</v>
      </c>
      <c r="U63" s="3">
        <v>98.486590000000007</v>
      </c>
      <c r="V63" s="3">
        <f t="shared" si="0"/>
        <v>101.81028000000001</v>
      </c>
      <c r="Y63" s="4">
        <v>250.00971999999999</v>
      </c>
      <c r="Z63" s="1">
        <v>28.5</v>
      </c>
      <c r="AA63" s="3">
        <v>103.59656</v>
      </c>
      <c r="AB63" s="3">
        <f t="shared" si="1"/>
        <v>101.98754</v>
      </c>
      <c r="AF63" s="11">
        <v>247.81643</v>
      </c>
      <c r="AG63" s="1">
        <v>28.5</v>
      </c>
      <c r="AH63" s="13">
        <v>98.463489999999993</v>
      </c>
      <c r="AI63" s="3">
        <f t="shared" si="2"/>
        <v>100.34293</v>
      </c>
      <c r="AK63" s="11">
        <v>247.81184999999999</v>
      </c>
      <c r="AL63" s="1">
        <v>28.5</v>
      </c>
      <c r="AM63" s="13">
        <v>98.321259999999995</v>
      </c>
      <c r="AN63" s="3">
        <f t="shared" si="3"/>
        <v>100.28686999999999</v>
      </c>
      <c r="AP63" s="18">
        <v>190.62629000000001</v>
      </c>
      <c r="AQ63" s="1">
        <v>28.5</v>
      </c>
      <c r="AR63" s="13">
        <v>99.551649999999995</v>
      </c>
      <c r="AS63" s="3">
        <f t="shared" si="4"/>
        <v>100.10545999999999</v>
      </c>
    </row>
    <row r="64" spans="1:45" ht="16" x14ac:dyDescent="0.2">
      <c r="A64" s="2">
        <v>200.02411000000001</v>
      </c>
      <c r="B64" s="1">
        <v>29</v>
      </c>
      <c r="C64" s="3">
        <v>101.2474</v>
      </c>
      <c r="D64" s="3">
        <f t="shared" si="5"/>
        <v>101.12394999999999</v>
      </c>
      <c r="G64" s="4">
        <v>225.00488000000001</v>
      </c>
      <c r="H64" s="1">
        <v>29</v>
      </c>
      <c r="I64" s="3">
        <v>99.681120000000007</v>
      </c>
      <c r="J64" s="3">
        <f t="shared" si="6"/>
        <v>101.27151000000001</v>
      </c>
      <c r="M64" s="4">
        <v>225.01459</v>
      </c>
      <c r="N64" s="1">
        <v>29</v>
      </c>
      <c r="O64" s="3">
        <v>102.17283999999999</v>
      </c>
      <c r="P64" s="3">
        <f t="shared" si="7"/>
        <v>101.38045</v>
      </c>
      <c r="S64" s="4">
        <v>250.00399999999999</v>
      </c>
      <c r="T64" s="1">
        <v>29</v>
      </c>
      <c r="U64" s="5">
        <v>98.490729999999999</v>
      </c>
      <c r="V64" s="3">
        <f t="shared" si="0"/>
        <v>101.81442</v>
      </c>
      <c r="Y64" s="4">
        <v>250.01032000000001</v>
      </c>
      <c r="Z64" s="1">
        <v>29</v>
      </c>
      <c r="AA64" s="5">
        <v>103.60326999999999</v>
      </c>
      <c r="AB64" s="3">
        <f t="shared" si="1"/>
        <v>101.99424999999999</v>
      </c>
      <c r="AF64" s="11">
        <v>250.3304</v>
      </c>
      <c r="AG64" s="1">
        <v>29</v>
      </c>
      <c r="AH64" s="12">
        <v>98.512150000000005</v>
      </c>
      <c r="AI64" s="3">
        <f t="shared" si="2"/>
        <v>100.39159000000001</v>
      </c>
      <c r="AK64" s="11">
        <v>250.32026999999999</v>
      </c>
      <c r="AL64" s="1">
        <v>29</v>
      </c>
      <c r="AM64" s="12">
        <v>98.361940000000004</v>
      </c>
      <c r="AN64" s="3">
        <f t="shared" si="3"/>
        <v>100.32755</v>
      </c>
      <c r="AP64" s="18">
        <v>192.11725999999999</v>
      </c>
      <c r="AQ64" s="1">
        <v>29</v>
      </c>
      <c r="AR64" s="12">
        <v>99.599950000000007</v>
      </c>
      <c r="AS64" s="3">
        <f t="shared" si="4"/>
        <v>100.15376000000001</v>
      </c>
    </row>
    <row r="65" spans="1:45" ht="16" x14ac:dyDescent="0.2">
      <c r="A65" s="2">
        <v>200.03004000000001</v>
      </c>
      <c r="B65" s="1">
        <v>29.5</v>
      </c>
      <c r="C65" s="5">
        <v>101.34643</v>
      </c>
      <c r="D65" s="3">
        <f t="shared" si="5"/>
        <v>101.22297999999999</v>
      </c>
      <c r="G65" s="4">
        <v>225.00192999999999</v>
      </c>
      <c r="H65" s="1">
        <v>29.5</v>
      </c>
      <c r="I65" s="5">
        <v>99.702209999999994</v>
      </c>
      <c r="J65" s="3">
        <f t="shared" si="6"/>
        <v>101.29259999999999</v>
      </c>
      <c r="M65" s="4">
        <v>225.01277999999999</v>
      </c>
      <c r="N65" s="1">
        <v>29.5</v>
      </c>
      <c r="O65" s="5">
        <v>102.17007</v>
      </c>
      <c r="P65" s="3">
        <f t="shared" si="7"/>
        <v>101.37768</v>
      </c>
      <c r="S65" s="4">
        <v>250.00291999999999</v>
      </c>
      <c r="T65" s="1">
        <v>29.5</v>
      </c>
      <c r="U65" s="3">
        <v>98.508849999999995</v>
      </c>
      <c r="V65" s="3">
        <f t="shared" si="0"/>
        <v>101.83253999999999</v>
      </c>
      <c r="Y65" s="4">
        <v>250.01149000000001</v>
      </c>
      <c r="Z65" s="1">
        <v>29.5</v>
      </c>
      <c r="AA65" s="3">
        <v>103.61458</v>
      </c>
      <c r="AB65" s="3">
        <f t="shared" si="1"/>
        <v>102.00556</v>
      </c>
      <c r="AF65" s="11">
        <v>252.83049</v>
      </c>
      <c r="AG65" s="1">
        <v>29.5</v>
      </c>
      <c r="AH65" s="13">
        <v>98.541920000000005</v>
      </c>
      <c r="AI65" s="3">
        <f t="shared" si="2"/>
        <v>100.42136000000001</v>
      </c>
      <c r="AK65" s="11">
        <v>252.82524000000001</v>
      </c>
      <c r="AL65" s="1">
        <v>29.5</v>
      </c>
      <c r="AM65" s="13">
        <v>98.43338</v>
      </c>
      <c r="AN65" s="3">
        <f t="shared" si="3"/>
        <v>100.39899</v>
      </c>
      <c r="AP65" s="18">
        <v>193.61734000000001</v>
      </c>
      <c r="AQ65" s="1">
        <v>29.5</v>
      </c>
      <c r="AR65" s="13">
        <v>99.55341</v>
      </c>
      <c r="AS65" s="3">
        <f t="shared" si="4"/>
        <v>100.10722</v>
      </c>
    </row>
    <row r="66" spans="1:45" ht="16" x14ac:dyDescent="0.2">
      <c r="A66" s="2">
        <v>200.02572000000001</v>
      </c>
      <c r="B66" s="1">
        <v>30</v>
      </c>
      <c r="C66" s="3">
        <v>101.41287</v>
      </c>
      <c r="D66" s="3">
        <f t="shared" si="5"/>
        <v>101.28941999999999</v>
      </c>
      <c r="G66" s="4">
        <v>225.00483</v>
      </c>
      <c r="H66" s="1">
        <v>30</v>
      </c>
      <c r="I66" s="3">
        <v>99.709429999999998</v>
      </c>
      <c r="J66" s="3">
        <f t="shared" si="6"/>
        <v>101.29982</v>
      </c>
      <c r="M66" s="4">
        <v>225.00843</v>
      </c>
      <c r="N66" s="1">
        <v>30</v>
      </c>
      <c r="O66" s="3">
        <v>102.21042</v>
      </c>
      <c r="P66" s="3">
        <f t="shared" si="7"/>
        <v>101.41803</v>
      </c>
      <c r="S66" s="4">
        <v>249.99903</v>
      </c>
      <c r="T66" s="1">
        <v>30</v>
      </c>
      <c r="U66" s="5">
        <v>98.515550000000005</v>
      </c>
      <c r="V66" s="3">
        <f t="shared" si="0"/>
        <v>101.83924</v>
      </c>
      <c r="Y66" s="4">
        <v>250.01169999999999</v>
      </c>
      <c r="Z66" s="1">
        <v>30</v>
      </c>
      <c r="AA66" s="5">
        <v>103.57769999999999</v>
      </c>
      <c r="AB66" s="3">
        <f t="shared" si="1"/>
        <v>101.96867999999999</v>
      </c>
      <c r="AF66" s="11">
        <v>255.33679000000001</v>
      </c>
      <c r="AG66" s="1">
        <v>30</v>
      </c>
      <c r="AH66" s="12">
        <v>98.597520000000003</v>
      </c>
      <c r="AI66" s="3">
        <f t="shared" si="2"/>
        <v>100.47696000000001</v>
      </c>
      <c r="AK66" s="11">
        <v>255.32559000000001</v>
      </c>
      <c r="AL66" s="1">
        <v>30</v>
      </c>
      <c r="AM66" s="12">
        <v>98.411429999999996</v>
      </c>
      <c r="AN66" s="3">
        <f t="shared" si="3"/>
        <v>100.37703999999999</v>
      </c>
      <c r="AP66" s="18">
        <v>195.12468999999999</v>
      </c>
      <c r="AQ66" s="1">
        <v>30</v>
      </c>
      <c r="AR66" s="12">
        <v>99.604680000000002</v>
      </c>
      <c r="AS66" s="3">
        <f t="shared" si="4"/>
        <v>100.15849</v>
      </c>
    </row>
    <row r="67" spans="1:45" ht="16" x14ac:dyDescent="0.2">
      <c r="A67" s="2">
        <v>200.01971</v>
      </c>
      <c r="B67" s="1">
        <v>30.5</v>
      </c>
      <c r="C67" s="5">
        <v>101.37545</v>
      </c>
      <c r="D67" s="3">
        <f t="shared" si="5"/>
        <v>101.252</v>
      </c>
      <c r="G67" s="4">
        <v>225.00513000000001</v>
      </c>
      <c r="H67" s="1">
        <v>30.5</v>
      </c>
      <c r="I67" s="5">
        <v>99.746669999999995</v>
      </c>
      <c r="J67" s="3">
        <f t="shared" si="6"/>
        <v>101.33705999999999</v>
      </c>
      <c r="M67" s="4">
        <v>225.00591</v>
      </c>
      <c r="N67" s="1">
        <v>30.5</v>
      </c>
      <c r="O67" s="5">
        <v>102.16163</v>
      </c>
      <c r="P67" s="3">
        <f t="shared" si="7"/>
        <v>101.36924</v>
      </c>
      <c r="S67" s="4">
        <v>250.00501</v>
      </c>
      <c r="T67" s="1">
        <v>30.5</v>
      </c>
      <c r="U67" s="3">
        <v>98.527659999999997</v>
      </c>
      <c r="V67" s="3">
        <f t="shared" si="0"/>
        <v>101.85135</v>
      </c>
      <c r="Y67" s="4">
        <v>250.01082</v>
      </c>
      <c r="Z67" s="1">
        <v>30.5</v>
      </c>
      <c r="AA67" s="3">
        <v>103.75852999999999</v>
      </c>
      <c r="AB67" s="3">
        <f t="shared" si="1"/>
        <v>102.14950999999999</v>
      </c>
      <c r="AF67" s="11">
        <v>257.84114</v>
      </c>
      <c r="AG67" s="1">
        <v>30.5</v>
      </c>
      <c r="AH67" s="13">
        <v>98.630340000000004</v>
      </c>
      <c r="AI67" s="3">
        <f t="shared" si="2"/>
        <v>100.50978000000001</v>
      </c>
      <c r="AK67" s="11">
        <v>257.83893</v>
      </c>
      <c r="AL67" s="1">
        <v>30.5</v>
      </c>
      <c r="AM67" s="13">
        <v>98.481769999999997</v>
      </c>
      <c r="AN67" s="3">
        <f t="shared" si="3"/>
        <v>100.44738</v>
      </c>
      <c r="AP67" s="18">
        <v>196.62824000000001</v>
      </c>
      <c r="AQ67" s="1">
        <v>30.5</v>
      </c>
      <c r="AR67" s="13">
        <v>99.614890000000003</v>
      </c>
      <c r="AS67" s="3">
        <f t="shared" si="4"/>
        <v>100.1687</v>
      </c>
    </row>
    <row r="68" spans="1:45" ht="16" x14ac:dyDescent="0.2">
      <c r="A68" s="2">
        <v>200.01884999999999</v>
      </c>
      <c r="B68" s="1">
        <v>31</v>
      </c>
      <c r="C68" s="3">
        <v>101.39465</v>
      </c>
      <c r="D68" s="3">
        <f t="shared" si="5"/>
        <v>101.27119999999999</v>
      </c>
      <c r="G68" s="4">
        <v>225.00414000000001</v>
      </c>
      <c r="H68" s="1">
        <v>31</v>
      </c>
      <c r="I68" s="3">
        <v>99.701530000000005</v>
      </c>
      <c r="J68" s="3">
        <f t="shared" si="6"/>
        <v>101.29192</v>
      </c>
      <c r="M68" s="4">
        <v>225.00637</v>
      </c>
      <c r="N68" s="1">
        <v>31</v>
      </c>
      <c r="O68" s="3">
        <v>102.22308</v>
      </c>
      <c r="P68" s="3">
        <f t="shared" si="7"/>
        <v>101.43069</v>
      </c>
      <c r="S68" s="4">
        <v>250.00205</v>
      </c>
      <c r="T68" s="1">
        <v>31</v>
      </c>
      <c r="U68" s="5">
        <v>98.527699999999996</v>
      </c>
      <c r="V68" s="3">
        <f t="shared" si="0"/>
        <v>101.85138999999999</v>
      </c>
      <c r="Y68" s="4">
        <v>250.01241999999999</v>
      </c>
      <c r="Z68" s="1">
        <v>31</v>
      </c>
      <c r="AA68" s="5">
        <v>103.74633</v>
      </c>
      <c r="AB68" s="3">
        <f t="shared" si="1"/>
        <v>102.13731</v>
      </c>
      <c r="AF68" s="11">
        <v>260.34838000000002</v>
      </c>
      <c r="AG68" s="1">
        <v>31</v>
      </c>
      <c r="AH68" s="12">
        <v>98.694590000000005</v>
      </c>
      <c r="AI68" s="3">
        <f t="shared" si="2"/>
        <v>100.57403000000001</v>
      </c>
      <c r="AK68" s="11">
        <v>260.34266000000002</v>
      </c>
      <c r="AL68" s="1">
        <v>31</v>
      </c>
      <c r="AM68" s="12">
        <v>98.504059999999996</v>
      </c>
      <c r="AN68" s="3">
        <f t="shared" si="3"/>
        <v>100.46966999999999</v>
      </c>
      <c r="AP68" s="18">
        <v>198.13027</v>
      </c>
      <c r="AQ68" s="1">
        <v>31</v>
      </c>
      <c r="AR68" s="12">
        <v>99.637479999999996</v>
      </c>
      <c r="AS68" s="3">
        <f t="shared" si="4"/>
        <v>100.19129</v>
      </c>
    </row>
    <row r="69" spans="1:45" ht="16" x14ac:dyDescent="0.2">
      <c r="A69" s="2">
        <v>200.02154999999999</v>
      </c>
      <c r="B69" s="1">
        <v>31.5</v>
      </c>
      <c r="C69" s="5">
        <v>101.3395</v>
      </c>
      <c r="D69" s="3">
        <f t="shared" si="5"/>
        <v>101.21605</v>
      </c>
      <c r="G69" s="4">
        <v>225.00298000000001</v>
      </c>
      <c r="H69" s="1">
        <v>31.5</v>
      </c>
      <c r="I69" s="5">
        <v>99.707610000000003</v>
      </c>
      <c r="J69" s="3">
        <f t="shared" si="6"/>
        <v>101.298</v>
      </c>
      <c r="M69" s="4">
        <v>225.01266000000001</v>
      </c>
      <c r="N69" s="1">
        <v>31.5</v>
      </c>
      <c r="O69" s="5">
        <v>102.21787999999999</v>
      </c>
      <c r="P69" s="3">
        <f t="shared" si="7"/>
        <v>101.42549</v>
      </c>
      <c r="S69" s="4">
        <v>250.00194999999999</v>
      </c>
      <c r="T69" s="1">
        <v>31.5</v>
      </c>
      <c r="U69" s="3">
        <v>98.544120000000007</v>
      </c>
      <c r="V69" s="3">
        <f t="shared" si="0"/>
        <v>101.86781000000001</v>
      </c>
      <c r="Y69" s="4">
        <v>250.0164</v>
      </c>
      <c r="Z69" s="1">
        <v>31.5</v>
      </c>
      <c r="AA69" s="3">
        <v>103.66969</v>
      </c>
      <c r="AB69" s="3">
        <f t="shared" si="1"/>
        <v>102.06067</v>
      </c>
      <c r="AF69" s="11">
        <v>262.85663</v>
      </c>
      <c r="AG69" s="1">
        <v>31.5</v>
      </c>
      <c r="AH69" s="13">
        <v>98.732709999999997</v>
      </c>
      <c r="AI69" s="3">
        <f t="shared" si="2"/>
        <v>100.61215</v>
      </c>
      <c r="AK69" s="11">
        <v>262.85176000000001</v>
      </c>
      <c r="AL69" s="1">
        <v>31.5</v>
      </c>
      <c r="AM69" s="13">
        <v>98.579719999999995</v>
      </c>
      <c r="AN69" s="3">
        <f t="shared" si="3"/>
        <v>100.54532999999999</v>
      </c>
      <c r="AP69" s="18">
        <v>199.63175000000001</v>
      </c>
      <c r="AQ69" s="1">
        <v>31.5</v>
      </c>
      <c r="AR69" s="13">
        <v>99.594340000000003</v>
      </c>
      <c r="AS69" s="3">
        <f t="shared" si="4"/>
        <v>100.14815</v>
      </c>
    </row>
    <row r="70" spans="1:45" ht="16" x14ac:dyDescent="0.2">
      <c r="A70" s="2">
        <v>200.01956000000001</v>
      </c>
      <c r="B70" s="1">
        <v>32</v>
      </c>
      <c r="C70" s="3">
        <v>101.46199</v>
      </c>
      <c r="D70" s="3">
        <f t="shared" si="5"/>
        <v>101.33853999999999</v>
      </c>
      <c r="G70" s="4">
        <v>225.00418999999999</v>
      </c>
      <c r="H70" s="1">
        <v>32</v>
      </c>
      <c r="I70" s="3">
        <v>99.692049999999995</v>
      </c>
      <c r="J70" s="3">
        <f t="shared" si="6"/>
        <v>101.28243999999999</v>
      </c>
      <c r="M70" s="4">
        <v>225.01409000000001</v>
      </c>
      <c r="N70" s="1">
        <v>32</v>
      </c>
      <c r="O70" s="3">
        <v>102.24008000000001</v>
      </c>
      <c r="P70" s="3">
        <f t="shared" si="7"/>
        <v>101.44769000000001</v>
      </c>
      <c r="S70" s="4">
        <v>250.00495000000001</v>
      </c>
      <c r="T70" s="1">
        <v>32</v>
      </c>
      <c r="U70" s="5">
        <v>98.571190000000001</v>
      </c>
      <c r="V70" s="3">
        <f t="shared" si="0"/>
        <v>101.89488</v>
      </c>
      <c r="Y70" s="4">
        <v>250.01865000000001</v>
      </c>
      <c r="Z70" s="1">
        <v>32</v>
      </c>
      <c r="AA70" s="5">
        <v>103.73811000000001</v>
      </c>
      <c r="AB70" s="3">
        <f t="shared" si="1"/>
        <v>102.12909000000001</v>
      </c>
      <c r="AF70" s="11">
        <v>265.36437999999998</v>
      </c>
      <c r="AG70" s="1">
        <v>32</v>
      </c>
      <c r="AH70" s="12">
        <v>98.778980000000004</v>
      </c>
      <c r="AI70" s="3">
        <f t="shared" si="2"/>
        <v>100.65842000000001</v>
      </c>
      <c r="AK70" s="11">
        <v>265.35295000000002</v>
      </c>
      <c r="AL70" s="1">
        <v>32</v>
      </c>
      <c r="AM70" s="12">
        <v>98.621619999999993</v>
      </c>
      <c r="AN70" s="3">
        <f t="shared" si="3"/>
        <v>100.58722999999999</v>
      </c>
      <c r="AP70" s="18">
        <v>201.12987000000001</v>
      </c>
      <c r="AQ70" s="1">
        <v>32</v>
      </c>
      <c r="AR70" s="12">
        <v>99.613330000000005</v>
      </c>
      <c r="AS70" s="3">
        <f t="shared" si="4"/>
        <v>100.16714</v>
      </c>
    </row>
    <row r="71" spans="1:45" ht="16" x14ac:dyDescent="0.2">
      <c r="A71" s="2">
        <v>200.02148</v>
      </c>
      <c r="B71" s="1">
        <v>32.5</v>
      </c>
      <c r="C71" s="5">
        <v>101.34901000000001</v>
      </c>
      <c r="D71" s="3">
        <f t="shared" si="5"/>
        <v>101.22556</v>
      </c>
      <c r="G71" s="4">
        <v>225.00676000000001</v>
      </c>
      <c r="H71" s="1">
        <v>32.5</v>
      </c>
      <c r="I71" s="5">
        <v>99.731679999999997</v>
      </c>
      <c r="J71" s="3">
        <f t="shared" si="6"/>
        <v>101.32207</v>
      </c>
      <c r="M71" s="4">
        <v>225.01649</v>
      </c>
      <c r="N71" s="1">
        <v>32.5</v>
      </c>
      <c r="O71" s="5">
        <v>102.30343999999999</v>
      </c>
      <c r="P71" s="3">
        <f t="shared" si="7"/>
        <v>101.51105</v>
      </c>
      <c r="S71" s="4">
        <v>250.00300999999999</v>
      </c>
      <c r="T71" s="1">
        <v>32.5</v>
      </c>
      <c r="U71" s="3">
        <v>98.557259999999999</v>
      </c>
      <c r="V71" s="3">
        <f t="shared" ref="V71:V134" si="8">100-($U$6-U71)</f>
        <v>101.88095</v>
      </c>
      <c r="Y71" s="4">
        <v>250.02393000000001</v>
      </c>
      <c r="Z71" s="1">
        <v>32.5</v>
      </c>
      <c r="AA71" s="3">
        <v>103.80240999999999</v>
      </c>
      <c r="AB71" s="3">
        <f t="shared" ref="AB71:AB134" si="9">100-($AA$6-AA71)</f>
        <v>102.19338999999999</v>
      </c>
      <c r="AF71" s="11">
        <v>267.86117999999999</v>
      </c>
      <c r="AG71" s="1">
        <v>32.5</v>
      </c>
      <c r="AH71" s="13">
        <v>98.793340000000001</v>
      </c>
      <c r="AI71" s="3">
        <f t="shared" ref="AI71:AI134" si="10">100-($AH$6-AH71)</f>
        <v>100.67278</v>
      </c>
      <c r="AK71" s="11">
        <v>267.85782</v>
      </c>
      <c r="AL71" s="1">
        <v>32.5</v>
      </c>
      <c r="AM71" s="13">
        <v>98.644720000000007</v>
      </c>
      <c r="AN71" s="3">
        <f t="shared" ref="AN71:AN134" si="11">100-($AM$6-AM71)</f>
        <v>100.61033</v>
      </c>
      <c r="AP71" s="18">
        <v>202.63222999999999</v>
      </c>
      <c r="AQ71" s="1">
        <v>32.5</v>
      </c>
      <c r="AR71" s="13">
        <v>99.66883</v>
      </c>
      <c r="AS71" s="3">
        <f t="shared" ref="AS71:AS134" si="12">100-($AR$6-AR71)</f>
        <v>100.22264</v>
      </c>
    </row>
    <row r="72" spans="1:45" ht="16" x14ac:dyDescent="0.2">
      <c r="A72" s="2">
        <v>200.02141</v>
      </c>
      <c r="B72" s="1">
        <v>33</v>
      </c>
      <c r="C72" s="3">
        <v>101.43698999999999</v>
      </c>
      <c r="D72" s="3">
        <f t="shared" ref="D72:D135" si="13">100-($C$6-C72)</f>
        <v>101.31353999999999</v>
      </c>
      <c r="G72" s="4">
        <v>225.00523999999999</v>
      </c>
      <c r="H72" s="1">
        <v>33</v>
      </c>
      <c r="I72" s="3">
        <v>99.708439999999996</v>
      </c>
      <c r="J72" s="3">
        <f t="shared" ref="J72:J135" si="14">100-($I$6-I72)</f>
        <v>101.29883</v>
      </c>
      <c r="M72" s="4">
        <v>225.02032</v>
      </c>
      <c r="N72" s="1">
        <v>33</v>
      </c>
      <c r="O72" s="3">
        <v>102.17748</v>
      </c>
      <c r="P72" s="3">
        <f t="shared" ref="P72:P135" si="15">100-($O$6-O72)</f>
        <v>101.38509000000001</v>
      </c>
      <c r="S72" s="4">
        <v>250.00102000000001</v>
      </c>
      <c r="T72" s="1">
        <v>33</v>
      </c>
      <c r="U72" s="5">
        <v>98.566890000000001</v>
      </c>
      <c r="V72" s="3">
        <f t="shared" si="8"/>
        <v>101.89058</v>
      </c>
      <c r="Y72" s="4">
        <v>250.02494999999999</v>
      </c>
      <c r="Z72" s="1">
        <v>33</v>
      </c>
      <c r="AA72" s="5">
        <v>103.81793999999999</v>
      </c>
      <c r="AB72" s="3">
        <f t="shared" si="9"/>
        <v>102.20891999999999</v>
      </c>
      <c r="AF72" s="11">
        <v>270.36819000000003</v>
      </c>
      <c r="AG72" s="1">
        <v>33</v>
      </c>
      <c r="AH72" s="12">
        <v>98.897720000000007</v>
      </c>
      <c r="AI72" s="3">
        <f t="shared" si="10"/>
        <v>100.77716000000001</v>
      </c>
      <c r="AK72" s="11">
        <v>270.37074999999999</v>
      </c>
      <c r="AL72" s="1">
        <v>33</v>
      </c>
      <c r="AM72" s="12">
        <v>98.720799999999997</v>
      </c>
      <c r="AN72" s="3">
        <f t="shared" si="11"/>
        <v>100.68641</v>
      </c>
      <c r="AP72" s="18">
        <v>204.13568000000001</v>
      </c>
      <c r="AQ72" s="1">
        <v>33</v>
      </c>
      <c r="AR72" s="12">
        <v>99.603300000000004</v>
      </c>
      <c r="AS72" s="3">
        <f t="shared" si="12"/>
        <v>100.15711</v>
      </c>
    </row>
    <row r="73" spans="1:45" ht="16" x14ac:dyDescent="0.2">
      <c r="A73" s="2">
        <v>200.02104</v>
      </c>
      <c r="B73" s="1">
        <v>33.5</v>
      </c>
      <c r="C73" s="5">
        <v>101.45820000000001</v>
      </c>
      <c r="D73" s="3">
        <f t="shared" si="13"/>
        <v>101.33475</v>
      </c>
      <c r="G73" s="4">
        <v>225.01092</v>
      </c>
      <c r="H73" s="1">
        <v>33.5</v>
      </c>
      <c r="I73" s="5">
        <v>99.770880000000005</v>
      </c>
      <c r="J73" s="3">
        <f t="shared" si="14"/>
        <v>101.36127</v>
      </c>
      <c r="M73" s="4">
        <v>225.02101999999999</v>
      </c>
      <c r="N73" s="1">
        <v>33.5</v>
      </c>
      <c r="O73" s="5">
        <v>102.2916</v>
      </c>
      <c r="P73" s="3">
        <f t="shared" si="15"/>
        <v>101.49921000000001</v>
      </c>
      <c r="S73" s="4">
        <v>250.00095999999999</v>
      </c>
      <c r="T73" s="1">
        <v>33.5</v>
      </c>
      <c r="U73" s="3">
        <v>98.571340000000006</v>
      </c>
      <c r="V73" s="3">
        <f t="shared" si="8"/>
        <v>101.89503000000001</v>
      </c>
      <c r="Y73" s="4">
        <v>250.02368999999999</v>
      </c>
      <c r="Z73" s="1">
        <v>33.5</v>
      </c>
      <c r="AA73" s="3">
        <v>103.76423</v>
      </c>
      <c r="AB73" s="3">
        <f t="shared" si="9"/>
        <v>102.15521</v>
      </c>
      <c r="AF73" s="11">
        <v>272.87630000000001</v>
      </c>
      <c r="AG73" s="1">
        <v>33.5</v>
      </c>
      <c r="AH73" s="13">
        <v>98.883619999999993</v>
      </c>
      <c r="AI73" s="3">
        <f t="shared" si="10"/>
        <v>100.76306</v>
      </c>
      <c r="AK73" s="11">
        <v>272.87473999999997</v>
      </c>
      <c r="AL73" s="1">
        <v>33.5</v>
      </c>
      <c r="AM73" s="13">
        <v>98.736999999999995</v>
      </c>
      <c r="AN73" s="3">
        <f t="shared" si="11"/>
        <v>100.70260999999999</v>
      </c>
      <c r="AP73" s="18">
        <v>205.64107999999999</v>
      </c>
      <c r="AQ73" s="1">
        <v>33.5</v>
      </c>
      <c r="AR73" s="13">
        <v>99.63664</v>
      </c>
      <c r="AS73" s="3">
        <f t="shared" si="12"/>
        <v>100.19045</v>
      </c>
    </row>
    <row r="74" spans="1:45" ht="16" x14ac:dyDescent="0.2">
      <c r="A74" s="2">
        <v>200.01902999999999</v>
      </c>
      <c r="B74" s="1">
        <v>34</v>
      </c>
      <c r="C74" s="3">
        <v>101.49798</v>
      </c>
      <c r="D74" s="3">
        <f t="shared" si="13"/>
        <v>101.37452999999999</v>
      </c>
      <c r="G74" s="4">
        <v>225.00030000000001</v>
      </c>
      <c r="H74" s="1">
        <v>34</v>
      </c>
      <c r="I74" s="3">
        <v>99.684610000000006</v>
      </c>
      <c r="J74" s="3">
        <f t="shared" si="14"/>
        <v>101.27500000000001</v>
      </c>
      <c r="M74" s="4">
        <v>225.02166</v>
      </c>
      <c r="N74" s="1">
        <v>34</v>
      </c>
      <c r="O74" s="3">
        <v>102.22833</v>
      </c>
      <c r="P74" s="3">
        <f t="shared" si="15"/>
        <v>101.43594</v>
      </c>
      <c r="S74" s="4">
        <v>249.99902</v>
      </c>
      <c r="T74" s="1">
        <v>34</v>
      </c>
      <c r="U74" s="5">
        <v>98.591679999999997</v>
      </c>
      <c r="V74" s="3">
        <f t="shared" si="8"/>
        <v>101.91537</v>
      </c>
      <c r="Y74" s="4">
        <v>250.01973000000001</v>
      </c>
      <c r="Z74" s="1">
        <v>34</v>
      </c>
      <c r="AA74" s="5">
        <v>103.78375</v>
      </c>
      <c r="AB74" s="3">
        <f t="shared" si="9"/>
        <v>102.17473</v>
      </c>
      <c r="AF74" s="11">
        <v>275.38452999999998</v>
      </c>
      <c r="AG74" s="1">
        <v>34</v>
      </c>
      <c r="AH74" s="12">
        <v>98.967299999999994</v>
      </c>
      <c r="AI74" s="3">
        <f t="shared" si="10"/>
        <v>100.84674</v>
      </c>
      <c r="AK74" s="11">
        <v>275.37675000000002</v>
      </c>
      <c r="AL74" s="1">
        <v>34</v>
      </c>
      <c r="AM74" s="12">
        <v>98.791560000000004</v>
      </c>
      <c r="AN74" s="3">
        <f t="shared" si="11"/>
        <v>100.75717</v>
      </c>
      <c r="AP74" s="18">
        <v>207.13390000000001</v>
      </c>
      <c r="AQ74" s="1">
        <v>34</v>
      </c>
      <c r="AR74" s="12">
        <v>99.613309999999998</v>
      </c>
      <c r="AS74" s="3">
        <f t="shared" si="12"/>
        <v>100.16712</v>
      </c>
    </row>
    <row r="75" spans="1:45" ht="16" x14ac:dyDescent="0.2">
      <c r="A75" s="2">
        <v>200.01792</v>
      </c>
      <c r="B75" s="1">
        <v>34.5</v>
      </c>
      <c r="C75" s="5">
        <v>101.4063</v>
      </c>
      <c r="D75" s="3">
        <f t="shared" si="13"/>
        <v>101.28285</v>
      </c>
      <c r="G75" s="4">
        <v>225.00388000000001</v>
      </c>
      <c r="H75" s="1">
        <v>34.5</v>
      </c>
      <c r="I75" s="5">
        <v>99.743260000000006</v>
      </c>
      <c r="J75" s="3">
        <f t="shared" si="14"/>
        <v>101.33365000000001</v>
      </c>
      <c r="M75" s="4">
        <v>225.02459999999999</v>
      </c>
      <c r="N75" s="1">
        <v>34.5</v>
      </c>
      <c r="O75" s="5">
        <v>102.24196999999999</v>
      </c>
      <c r="P75" s="3">
        <f t="shared" si="15"/>
        <v>101.44958</v>
      </c>
      <c r="S75" s="4">
        <v>249.99988999999999</v>
      </c>
      <c r="T75" s="1">
        <v>34.5</v>
      </c>
      <c r="U75" s="3">
        <v>98.583430000000007</v>
      </c>
      <c r="V75" s="3">
        <f t="shared" si="8"/>
        <v>101.90712000000001</v>
      </c>
      <c r="Y75" s="4">
        <v>250.01811000000001</v>
      </c>
      <c r="Z75" s="1">
        <v>34.5</v>
      </c>
      <c r="AA75" s="3">
        <v>103.79375</v>
      </c>
      <c r="AB75" s="3">
        <f t="shared" si="9"/>
        <v>102.18473</v>
      </c>
      <c r="AF75" s="11">
        <v>277.89229</v>
      </c>
      <c r="AG75" s="1">
        <v>34.5</v>
      </c>
      <c r="AH75" s="13">
        <v>99.006900000000002</v>
      </c>
      <c r="AI75" s="3">
        <f t="shared" si="10"/>
        <v>100.88634</v>
      </c>
      <c r="AK75" s="11">
        <v>277.87371000000002</v>
      </c>
      <c r="AL75" s="1">
        <v>34.5</v>
      </c>
      <c r="AM75" s="13">
        <v>98.849209999999999</v>
      </c>
      <c r="AN75" s="3">
        <f t="shared" si="11"/>
        <v>100.81482</v>
      </c>
      <c r="AP75" s="18">
        <v>208.63093000000001</v>
      </c>
      <c r="AQ75" s="1">
        <v>34.5</v>
      </c>
      <c r="AR75" s="13">
        <v>99.685519999999997</v>
      </c>
      <c r="AS75" s="3">
        <f t="shared" si="12"/>
        <v>100.23933</v>
      </c>
    </row>
    <row r="76" spans="1:45" ht="16" x14ac:dyDescent="0.2">
      <c r="A76" s="2">
        <v>200.01827</v>
      </c>
      <c r="B76" s="1">
        <v>35</v>
      </c>
      <c r="C76" s="3">
        <v>101.50928</v>
      </c>
      <c r="D76" s="3">
        <f t="shared" si="13"/>
        <v>101.38583</v>
      </c>
      <c r="G76" s="4">
        <v>225.00398000000001</v>
      </c>
      <c r="H76" s="1">
        <v>35</v>
      </c>
      <c r="I76" s="3">
        <v>99.766900000000007</v>
      </c>
      <c r="J76" s="3">
        <f t="shared" si="14"/>
        <v>101.35729000000001</v>
      </c>
      <c r="M76" s="4">
        <v>225.02461</v>
      </c>
      <c r="N76" s="1">
        <v>35</v>
      </c>
      <c r="O76" s="3">
        <v>102.23744000000001</v>
      </c>
      <c r="P76" s="3">
        <f t="shared" si="15"/>
        <v>101.44505000000001</v>
      </c>
      <c r="S76" s="4">
        <v>250.00009</v>
      </c>
      <c r="T76" s="1">
        <v>35</v>
      </c>
      <c r="U76" s="5">
        <v>98.59863</v>
      </c>
      <c r="V76" s="3">
        <f t="shared" si="8"/>
        <v>101.92232</v>
      </c>
      <c r="Y76" s="4">
        <v>250.01736</v>
      </c>
      <c r="Z76" s="1">
        <v>35</v>
      </c>
      <c r="AA76" s="5">
        <v>103.84424</v>
      </c>
      <c r="AB76" s="3">
        <f t="shared" si="9"/>
        <v>102.23522</v>
      </c>
      <c r="AF76" s="11">
        <v>280.38830000000002</v>
      </c>
      <c r="AG76" s="1">
        <v>35</v>
      </c>
      <c r="AH76" s="12">
        <v>99.02337</v>
      </c>
      <c r="AI76" s="3">
        <f t="shared" si="10"/>
        <v>100.90281</v>
      </c>
      <c r="AK76" s="11">
        <v>280.38636000000002</v>
      </c>
      <c r="AL76" s="1">
        <v>35</v>
      </c>
      <c r="AM76" s="12">
        <v>98.895210000000006</v>
      </c>
      <c r="AN76" s="3">
        <f t="shared" si="11"/>
        <v>100.86082</v>
      </c>
      <c r="AP76" s="18">
        <v>210.13722999999999</v>
      </c>
      <c r="AQ76" s="1">
        <v>35</v>
      </c>
      <c r="AR76" s="12">
        <v>99.715699999999998</v>
      </c>
      <c r="AS76" s="3">
        <f t="shared" si="12"/>
        <v>100.26951</v>
      </c>
    </row>
    <row r="77" spans="1:45" ht="16" x14ac:dyDescent="0.2">
      <c r="A77" s="2">
        <v>200.01804999999999</v>
      </c>
      <c r="B77" s="1">
        <v>35.5</v>
      </c>
      <c r="C77" s="5">
        <v>101.37737</v>
      </c>
      <c r="D77" s="3">
        <f t="shared" si="13"/>
        <v>101.25391999999999</v>
      </c>
      <c r="G77" s="4">
        <v>225.00470000000001</v>
      </c>
      <c r="H77" s="1">
        <v>35.5</v>
      </c>
      <c r="I77" s="5">
        <v>99.744200000000006</v>
      </c>
      <c r="J77" s="3">
        <f t="shared" si="14"/>
        <v>101.33459000000001</v>
      </c>
      <c r="M77" s="4">
        <v>225.02386000000001</v>
      </c>
      <c r="N77" s="1">
        <v>35.5</v>
      </c>
      <c r="O77" s="5">
        <v>102.20847000000001</v>
      </c>
      <c r="P77" s="3">
        <f t="shared" si="15"/>
        <v>101.41608000000001</v>
      </c>
      <c r="S77" s="4">
        <v>250.00603000000001</v>
      </c>
      <c r="T77" s="1">
        <v>35.5</v>
      </c>
      <c r="U77" s="3">
        <v>98.591620000000006</v>
      </c>
      <c r="V77" s="3">
        <f t="shared" si="8"/>
        <v>101.91531000000001</v>
      </c>
      <c r="Y77" s="4">
        <v>250.02010000000001</v>
      </c>
      <c r="Z77" s="1">
        <v>35.5</v>
      </c>
      <c r="AA77" s="3">
        <v>103.89005</v>
      </c>
      <c r="AB77" s="3">
        <f t="shared" si="9"/>
        <v>102.28103</v>
      </c>
      <c r="AF77" s="11">
        <v>282.89791000000002</v>
      </c>
      <c r="AG77" s="1">
        <v>35.5</v>
      </c>
      <c r="AH77" s="13">
        <v>99.114649999999997</v>
      </c>
      <c r="AI77" s="3">
        <f t="shared" si="10"/>
        <v>100.99409</v>
      </c>
      <c r="AK77" s="11">
        <v>282.88763999999998</v>
      </c>
      <c r="AL77" s="1">
        <v>35.5</v>
      </c>
      <c r="AM77" s="13">
        <v>98.950220000000002</v>
      </c>
      <c r="AN77" s="3">
        <f t="shared" si="11"/>
        <v>100.91583</v>
      </c>
      <c r="AP77" s="18">
        <v>211.63287</v>
      </c>
      <c r="AQ77" s="1">
        <v>35.5</v>
      </c>
      <c r="AR77" s="13">
        <v>99.688820000000007</v>
      </c>
      <c r="AS77" s="3">
        <f t="shared" si="12"/>
        <v>100.24263000000001</v>
      </c>
    </row>
    <row r="78" spans="1:45" ht="16" x14ac:dyDescent="0.2">
      <c r="A78" s="2">
        <v>200.01464999999999</v>
      </c>
      <c r="B78" s="1">
        <v>36</v>
      </c>
      <c r="C78" s="3">
        <v>101.45341000000001</v>
      </c>
      <c r="D78" s="3">
        <f t="shared" si="13"/>
        <v>101.32996</v>
      </c>
      <c r="G78" s="4">
        <v>225.00118000000001</v>
      </c>
      <c r="H78" s="1">
        <v>36</v>
      </c>
      <c r="I78" s="3">
        <v>99.745679999999993</v>
      </c>
      <c r="J78" s="3">
        <f t="shared" si="14"/>
        <v>101.33606999999999</v>
      </c>
      <c r="M78" s="4">
        <v>225.02072000000001</v>
      </c>
      <c r="N78" s="1">
        <v>36</v>
      </c>
      <c r="O78" s="3">
        <v>102.28547</v>
      </c>
      <c r="P78" s="3">
        <f t="shared" si="15"/>
        <v>101.49308000000001</v>
      </c>
      <c r="S78" s="4">
        <v>250.00906000000001</v>
      </c>
      <c r="T78" s="1">
        <v>36</v>
      </c>
      <c r="U78" s="5">
        <v>98.593940000000003</v>
      </c>
      <c r="V78" s="3">
        <f t="shared" si="8"/>
        <v>101.91763</v>
      </c>
      <c r="Y78" s="4">
        <v>250.01944</v>
      </c>
      <c r="Z78" s="1">
        <v>36</v>
      </c>
      <c r="AA78" s="5">
        <v>103.80237</v>
      </c>
      <c r="AB78" s="3">
        <f t="shared" si="9"/>
        <v>102.19335</v>
      </c>
      <c r="AF78" s="11">
        <v>285.40224999999998</v>
      </c>
      <c r="AG78" s="1">
        <v>36</v>
      </c>
      <c r="AH78" s="12">
        <v>99.116579999999999</v>
      </c>
      <c r="AI78" s="3">
        <f t="shared" si="10"/>
        <v>100.99602</v>
      </c>
      <c r="AK78" s="11">
        <v>285.39402000000001</v>
      </c>
      <c r="AL78" s="1">
        <v>36</v>
      </c>
      <c r="AM78" s="12">
        <v>98.95805</v>
      </c>
      <c r="AN78" s="3">
        <f t="shared" si="11"/>
        <v>100.92366</v>
      </c>
      <c r="AP78" s="18">
        <v>213.13896</v>
      </c>
      <c r="AQ78" s="1">
        <v>36</v>
      </c>
      <c r="AR78" s="12">
        <v>99.700090000000003</v>
      </c>
      <c r="AS78" s="3">
        <f t="shared" si="12"/>
        <v>100.2539</v>
      </c>
    </row>
    <row r="79" spans="1:45" ht="16" x14ac:dyDescent="0.2">
      <c r="A79" s="2">
        <v>200.01467</v>
      </c>
      <c r="B79" s="1">
        <v>36.5</v>
      </c>
      <c r="C79" s="5">
        <v>101.42028999999999</v>
      </c>
      <c r="D79" s="3">
        <f t="shared" si="13"/>
        <v>101.29683999999999</v>
      </c>
      <c r="G79" s="4">
        <v>225.00208000000001</v>
      </c>
      <c r="H79" s="1">
        <v>36.5</v>
      </c>
      <c r="I79" s="5">
        <v>99.7667</v>
      </c>
      <c r="J79" s="3">
        <f t="shared" si="14"/>
        <v>101.35709</v>
      </c>
      <c r="M79" s="4">
        <v>225.01819</v>
      </c>
      <c r="N79" s="1">
        <v>36.5</v>
      </c>
      <c r="O79" s="5">
        <v>102.38551</v>
      </c>
      <c r="P79" s="3">
        <f t="shared" si="15"/>
        <v>101.59312</v>
      </c>
      <c r="S79" s="4">
        <v>250.00501</v>
      </c>
      <c r="T79" s="1">
        <v>36.5</v>
      </c>
      <c r="U79" s="3">
        <v>98.591480000000004</v>
      </c>
      <c r="V79" s="3">
        <f t="shared" si="8"/>
        <v>101.91517</v>
      </c>
      <c r="Y79" s="4">
        <v>250.01488000000001</v>
      </c>
      <c r="Z79" s="1">
        <v>36.5</v>
      </c>
      <c r="AA79" s="3">
        <v>103.86239</v>
      </c>
      <c r="AB79" s="3">
        <f t="shared" si="9"/>
        <v>102.25337</v>
      </c>
      <c r="AF79" s="11">
        <v>287.90778</v>
      </c>
      <c r="AG79" s="1">
        <v>36.5</v>
      </c>
      <c r="AH79" s="13">
        <v>99.198629999999994</v>
      </c>
      <c r="AI79" s="3">
        <f t="shared" si="10"/>
        <v>101.07807</v>
      </c>
      <c r="AK79" s="11">
        <v>287.89962000000003</v>
      </c>
      <c r="AL79" s="1">
        <v>36.5</v>
      </c>
      <c r="AM79" s="13">
        <v>99.036689999999993</v>
      </c>
      <c r="AN79" s="3">
        <f t="shared" si="11"/>
        <v>101.00229999999999</v>
      </c>
      <c r="AP79" s="18">
        <v>214.63524000000001</v>
      </c>
      <c r="AQ79" s="1">
        <v>36.5</v>
      </c>
      <c r="AR79" s="13">
        <v>99.687209999999993</v>
      </c>
      <c r="AS79" s="3">
        <f t="shared" si="12"/>
        <v>100.24101999999999</v>
      </c>
    </row>
    <row r="80" spans="1:45" ht="16" x14ac:dyDescent="0.2">
      <c r="A80" s="2">
        <v>200.01602</v>
      </c>
      <c r="B80" s="1">
        <v>37</v>
      </c>
      <c r="C80" s="3">
        <v>101.43536</v>
      </c>
      <c r="D80" s="3">
        <f t="shared" si="13"/>
        <v>101.31191</v>
      </c>
      <c r="G80" s="4">
        <v>225.005</v>
      </c>
      <c r="H80" s="1">
        <v>37</v>
      </c>
      <c r="I80" s="3">
        <v>99.757580000000004</v>
      </c>
      <c r="J80" s="3">
        <f t="shared" si="14"/>
        <v>101.34797</v>
      </c>
      <c r="M80" s="4">
        <v>225.01966999999999</v>
      </c>
      <c r="N80" s="1">
        <v>37</v>
      </c>
      <c r="O80" s="3">
        <v>102.21066999999999</v>
      </c>
      <c r="P80" s="3">
        <f t="shared" si="15"/>
        <v>101.41828</v>
      </c>
      <c r="S80" s="4">
        <v>250.00201999999999</v>
      </c>
      <c r="T80" s="1">
        <v>37</v>
      </c>
      <c r="U80" s="5">
        <v>98.606129999999993</v>
      </c>
      <c r="V80" s="3">
        <f t="shared" si="8"/>
        <v>101.92981999999999</v>
      </c>
      <c r="Y80" s="4">
        <v>250.01432</v>
      </c>
      <c r="Z80" s="1">
        <v>37</v>
      </c>
      <c r="AA80" s="5">
        <v>103.81585</v>
      </c>
      <c r="AB80" s="3">
        <f t="shared" si="9"/>
        <v>102.20683</v>
      </c>
      <c r="AF80" s="11">
        <v>290.41338000000002</v>
      </c>
      <c r="AG80" s="1">
        <v>37</v>
      </c>
      <c r="AH80" s="12">
        <v>99.24015</v>
      </c>
      <c r="AI80" s="3">
        <f t="shared" si="10"/>
        <v>101.11959</v>
      </c>
      <c r="AK80" s="11">
        <v>290.40863000000002</v>
      </c>
      <c r="AL80" s="1">
        <v>37</v>
      </c>
      <c r="AM80" s="12">
        <v>99.060569999999998</v>
      </c>
      <c r="AN80" s="3">
        <f t="shared" si="11"/>
        <v>101.02618</v>
      </c>
      <c r="AP80" s="18">
        <v>216.13704000000001</v>
      </c>
      <c r="AQ80" s="1">
        <v>37</v>
      </c>
      <c r="AR80" s="12">
        <v>99.723429999999993</v>
      </c>
      <c r="AS80" s="3">
        <f t="shared" si="12"/>
        <v>100.27723999999999</v>
      </c>
    </row>
    <row r="81" spans="1:45" ht="16" x14ac:dyDescent="0.2">
      <c r="A81" s="2">
        <v>200.01841999999999</v>
      </c>
      <c r="B81" s="1">
        <v>37.5</v>
      </c>
      <c r="C81" s="5">
        <v>101.48984</v>
      </c>
      <c r="D81" s="3">
        <f t="shared" si="13"/>
        <v>101.36639</v>
      </c>
      <c r="G81" s="4">
        <v>225.00094999999999</v>
      </c>
      <c r="H81" s="1">
        <v>37.5</v>
      </c>
      <c r="I81" s="5">
        <v>99.735110000000006</v>
      </c>
      <c r="J81" s="3">
        <f t="shared" si="14"/>
        <v>101.32550000000001</v>
      </c>
      <c r="M81" s="4">
        <v>225.01815999999999</v>
      </c>
      <c r="N81" s="1">
        <v>37.5</v>
      </c>
      <c r="O81" s="5">
        <v>102.29827</v>
      </c>
      <c r="P81" s="3">
        <f t="shared" si="15"/>
        <v>101.50588</v>
      </c>
      <c r="S81" s="4">
        <v>250.00098</v>
      </c>
      <c r="T81" s="1">
        <v>37.5</v>
      </c>
      <c r="U81" s="3">
        <v>98.606390000000005</v>
      </c>
      <c r="V81" s="3">
        <f t="shared" si="8"/>
        <v>101.93008</v>
      </c>
      <c r="Y81" s="4">
        <v>250.01410999999999</v>
      </c>
      <c r="Z81" s="1">
        <v>37.5</v>
      </c>
      <c r="AA81" s="3">
        <v>103.97882</v>
      </c>
      <c r="AB81" s="3">
        <f t="shared" si="9"/>
        <v>102.3698</v>
      </c>
      <c r="AF81" s="11">
        <v>292.92469</v>
      </c>
      <c r="AG81" s="1">
        <v>37.5</v>
      </c>
      <c r="AH81" s="13">
        <v>99.293139999999994</v>
      </c>
      <c r="AI81" s="3">
        <f t="shared" si="10"/>
        <v>101.17258</v>
      </c>
      <c r="AK81" s="11">
        <v>292.91872000000001</v>
      </c>
      <c r="AL81" s="1">
        <v>37.5</v>
      </c>
      <c r="AM81" s="13">
        <v>99.11627</v>
      </c>
      <c r="AN81" s="3">
        <f t="shared" si="11"/>
        <v>101.08188</v>
      </c>
      <c r="AP81" s="18">
        <v>217.63740999999999</v>
      </c>
      <c r="AQ81" s="1">
        <v>37.5</v>
      </c>
      <c r="AR81" s="13">
        <v>99.763360000000006</v>
      </c>
      <c r="AS81" s="3">
        <f t="shared" si="12"/>
        <v>100.31717</v>
      </c>
    </row>
    <row r="82" spans="1:45" ht="16" x14ac:dyDescent="0.2">
      <c r="A82" s="2">
        <v>200.01535999999999</v>
      </c>
      <c r="B82" s="1">
        <v>38</v>
      </c>
      <c r="C82" s="3">
        <v>101.54531</v>
      </c>
      <c r="D82" s="3">
        <f t="shared" si="13"/>
        <v>101.42186</v>
      </c>
      <c r="G82" s="4">
        <v>225.00691</v>
      </c>
      <c r="H82" s="1">
        <v>38</v>
      </c>
      <c r="I82" s="3">
        <v>99.791380000000004</v>
      </c>
      <c r="J82" s="3">
        <f t="shared" si="14"/>
        <v>101.38177</v>
      </c>
      <c r="M82" s="4">
        <v>225.01320000000001</v>
      </c>
      <c r="N82" s="1">
        <v>38</v>
      </c>
      <c r="O82" s="3">
        <v>102.24772</v>
      </c>
      <c r="P82" s="3">
        <f t="shared" si="15"/>
        <v>101.45533</v>
      </c>
      <c r="S82" s="4">
        <v>250.00102000000001</v>
      </c>
      <c r="T82" s="1">
        <v>38</v>
      </c>
      <c r="U82" s="5">
        <v>98.614639999999994</v>
      </c>
      <c r="V82" s="3">
        <f t="shared" si="8"/>
        <v>101.93832999999999</v>
      </c>
      <c r="Y82" s="4">
        <v>250.01528999999999</v>
      </c>
      <c r="Z82" s="1">
        <v>38</v>
      </c>
      <c r="AA82" s="5">
        <v>103.86364</v>
      </c>
      <c r="AB82" s="3">
        <f t="shared" si="9"/>
        <v>102.25462</v>
      </c>
      <c r="AF82" s="11">
        <v>295.43239</v>
      </c>
      <c r="AG82" s="1">
        <v>38</v>
      </c>
      <c r="AH82" s="12">
        <v>99.371480000000005</v>
      </c>
      <c r="AI82" s="3">
        <f t="shared" si="10"/>
        <v>101.25092000000001</v>
      </c>
      <c r="AK82" s="11">
        <v>295.42444</v>
      </c>
      <c r="AL82" s="1">
        <v>38</v>
      </c>
      <c r="AM82" s="12">
        <v>99.199190000000002</v>
      </c>
      <c r="AN82" s="3">
        <f t="shared" si="11"/>
        <v>101.1648</v>
      </c>
      <c r="AP82" s="18">
        <v>219.13587999999999</v>
      </c>
      <c r="AQ82" s="1">
        <v>38</v>
      </c>
      <c r="AR82" s="12">
        <v>99.760329999999996</v>
      </c>
      <c r="AS82" s="3">
        <f t="shared" si="12"/>
        <v>100.31413999999999</v>
      </c>
    </row>
    <row r="83" spans="1:45" ht="16" x14ac:dyDescent="0.2">
      <c r="A83" s="2">
        <v>200.01159999999999</v>
      </c>
      <c r="B83" s="1">
        <v>38.5</v>
      </c>
      <c r="C83" s="5">
        <v>101.62618999999999</v>
      </c>
      <c r="D83" s="3">
        <f t="shared" si="13"/>
        <v>101.50273999999999</v>
      </c>
      <c r="G83" s="4">
        <v>225.00596999999999</v>
      </c>
      <c r="H83" s="1">
        <v>38.5</v>
      </c>
      <c r="I83" s="5">
        <v>99.79383</v>
      </c>
      <c r="J83" s="3">
        <f t="shared" si="14"/>
        <v>101.38422</v>
      </c>
      <c r="M83" s="4">
        <v>225.00946999999999</v>
      </c>
      <c r="N83" s="1">
        <v>38.5</v>
      </c>
      <c r="O83" s="5">
        <v>102.35297</v>
      </c>
      <c r="P83" s="3">
        <f t="shared" si="15"/>
        <v>101.56058</v>
      </c>
      <c r="S83" s="4">
        <v>250.00200000000001</v>
      </c>
      <c r="T83" s="1">
        <v>38.5</v>
      </c>
      <c r="U83" s="3">
        <v>98.62303</v>
      </c>
      <c r="V83" s="3">
        <f t="shared" si="8"/>
        <v>101.94672</v>
      </c>
      <c r="Y83" s="4">
        <v>250.01670999999999</v>
      </c>
      <c r="Z83" s="1">
        <v>38.5</v>
      </c>
      <c r="AA83" s="3">
        <v>103.86865</v>
      </c>
      <c r="AB83" s="3">
        <f t="shared" si="9"/>
        <v>102.25963</v>
      </c>
      <c r="AF83" s="11">
        <v>297.94042000000002</v>
      </c>
      <c r="AG83" s="1">
        <v>38.5</v>
      </c>
      <c r="AH83" s="13">
        <v>99.413020000000003</v>
      </c>
      <c r="AI83" s="3">
        <f t="shared" si="10"/>
        <v>101.29246000000001</v>
      </c>
      <c r="AK83" s="11">
        <v>297.92872</v>
      </c>
      <c r="AL83" s="1">
        <v>38.5</v>
      </c>
      <c r="AM83" s="13">
        <v>99.292469999999994</v>
      </c>
      <c r="AN83" s="3">
        <f t="shared" si="11"/>
        <v>101.25807999999999</v>
      </c>
      <c r="AP83" s="18">
        <v>220.63498000000001</v>
      </c>
      <c r="AQ83" s="1">
        <v>38.5</v>
      </c>
      <c r="AR83" s="13">
        <v>99.779889999999995</v>
      </c>
      <c r="AS83" s="3">
        <f t="shared" si="12"/>
        <v>100.33369999999999</v>
      </c>
    </row>
    <row r="84" spans="1:45" ht="16" x14ac:dyDescent="0.2">
      <c r="A84" s="2">
        <v>200.01340999999999</v>
      </c>
      <c r="B84" s="1">
        <v>39</v>
      </c>
      <c r="C84" s="3">
        <v>101.36368</v>
      </c>
      <c r="D84" s="3">
        <f t="shared" si="13"/>
        <v>101.24023</v>
      </c>
      <c r="G84" s="4">
        <v>225.00688</v>
      </c>
      <c r="H84" s="1">
        <v>39</v>
      </c>
      <c r="I84" s="3">
        <v>99.735309999999998</v>
      </c>
      <c r="J84" s="3">
        <f t="shared" si="14"/>
        <v>101.3257</v>
      </c>
      <c r="M84" s="4">
        <v>225.01208</v>
      </c>
      <c r="N84" s="1">
        <v>39</v>
      </c>
      <c r="O84" s="3">
        <v>102.35046</v>
      </c>
      <c r="P84" s="3">
        <f t="shared" si="15"/>
        <v>101.55807</v>
      </c>
      <c r="S84" s="4">
        <v>250.00200000000001</v>
      </c>
      <c r="T84" s="1">
        <v>39</v>
      </c>
      <c r="U84" s="5">
        <v>98.620620000000002</v>
      </c>
      <c r="V84" s="3">
        <f t="shared" si="8"/>
        <v>101.94431</v>
      </c>
      <c r="Y84" s="4">
        <v>250.02200999999999</v>
      </c>
      <c r="Z84" s="1">
        <v>39</v>
      </c>
      <c r="AA84" s="5">
        <v>103.96006</v>
      </c>
      <c r="AB84" s="3">
        <f t="shared" si="9"/>
        <v>102.35104</v>
      </c>
      <c r="AF84" s="11">
        <v>300.44558000000001</v>
      </c>
      <c r="AG84" s="1">
        <v>39</v>
      </c>
      <c r="AH84" s="12">
        <v>99.463239999999999</v>
      </c>
      <c r="AI84" s="3">
        <f t="shared" si="10"/>
        <v>101.34268</v>
      </c>
      <c r="AK84" s="11">
        <v>300.42971</v>
      </c>
      <c r="AL84" s="1">
        <v>39</v>
      </c>
      <c r="AM84" s="12">
        <v>99.286199999999994</v>
      </c>
      <c r="AN84" s="3">
        <f t="shared" si="11"/>
        <v>101.25180999999999</v>
      </c>
      <c r="AP84" s="18">
        <v>222.13959</v>
      </c>
      <c r="AQ84" s="1">
        <v>39</v>
      </c>
      <c r="AR84" s="12">
        <v>99.810649999999995</v>
      </c>
      <c r="AS84" s="3">
        <f t="shared" si="12"/>
        <v>100.36445999999999</v>
      </c>
    </row>
    <row r="85" spans="1:45" ht="16" x14ac:dyDescent="0.2">
      <c r="A85" s="2">
        <v>200.01437000000001</v>
      </c>
      <c r="B85" s="1">
        <v>39.5</v>
      </c>
      <c r="C85" s="5">
        <v>101.48618</v>
      </c>
      <c r="D85" s="3">
        <f t="shared" si="13"/>
        <v>101.36273</v>
      </c>
      <c r="G85" s="4">
        <v>225.00377</v>
      </c>
      <c r="H85" s="1">
        <v>39.5</v>
      </c>
      <c r="I85" s="5">
        <v>99.767780000000002</v>
      </c>
      <c r="J85" s="3">
        <f t="shared" si="14"/>
        <v>101.35817</v>
      </c>
      <c r="M85" s="4">
        <v>225.01621</v>
      </c>
      <c r="N85" s="1">
        <v>39.5</v>
      </c>
      <c r="O85" s="5">
        <v>102.34171000000001</v>
      </c>
      <c r="P85" s="3">
        <f t="shared" si="15"/>
        <v>101.54932000000001</v>
      </c>
      <c r="S85" s="4">
        <v>249.99905000000001</v>
      </c>
      <c r="T85" s="1">
        <v>39.5</v>
      </c>
      <c r="U85" s="3">
        <v>98.628810000000001</v>
      </c>
      <c r="V85" s="3">
        <f t="shared" si="8"/>
        <v>101.9525</v>
      </c>
      <c r="Y85" s="4">
        <v>250.02467999999999</v>
      </c>
      <c r="Z85" s="1">
        <v>39.5</v>
      </c>
      <c r="AA85" s="3">
        <v>103.84181</v>
      </c>
      <c r="AB85" s="3">
        <f t="shared" si="9"/>
        <v>102.23278999999999</v>
      </c>
      <c r="AF85" s="11">
        <v>302.94317000000001</v>
      </c>
      <c r="AG85" s="1">
        <v>39.5</v>
      </c>
      <c r="AH85" s="13">
        <v>99.496440000000007</v>
      </c>
      <c r="AI85" s="3">
        <f t="shared" si="10"/>
        <v>101.37588000000001</v>
      </c>
      <c r="AK85" s="11">
        <v>302.92966000000001</v>
      </c>
      <c r="AL85" s="1">
        <v>39.5</v>
      </c>
      <c r="AM85" s="13">
        <v>99.316379999999995</v>
      </c>
      <c r="AN85" s="3">
        <f t="shared" si="11"/>
        <v>101.28198999999999</v>
      </c>
      <c r="AP85" s="18">
        <v>223.64303000000001</v>
      </c>
      <c r="AQ85" s="1">
        <v>39.5</v>
      </c>
      <c r="AR85" s="13">
        <v>99.816940000000002</v>
      </c>
      <c r="AS85" s="3">
        <f t="shared" si="12"/>
        <v>100.37075</v>
      </c>
    </row>
    <row r="86" spans="1:45" ht="16" x14ac:dyDescent="0.2">
      <c r="A86" s="2">
        <v>200.01543000000001</v>
      </c>
      <c r="B86" s="1">
        <v>40</v>
      </c>
      <c r="C86" s="3">
        <v>101.49328</v>
      </c>
      <c r="D86" s="3">
        <f t="shared" si="13"/>
        <v>101.36982999999999</v>
      </c>
      <c r="G86" s="4">
        <v>225.00603000000001</v>
      </c>
      <c r="H86" s="1">
        <v>40</v>
      </c>
      <c r="I86" s="3">
        <v>99.716539999999995</v>
      </c>
      <c r="J86" s="3">
        <f t="shared" si="14"/>
        <v>101.30692999999999</v>
      </c>
      <c r="M86" s="4">
        <v>225.01759000000001</v>
      </c>
      <c r="N86" s="1">
        <v>40</v>
      </c>
      <c r="O86" s="3">
        <v>102.45511</v>
      </c>
      <c r="P86" s="3">
        <f t="shared" si="15"/>
        <v>101.66272000000001</v>
      </c>
      <c r="S86" s="4">
        <v>250.00198</v>
      </c>
      <c r="T86" s="1">
        <v>40</v>
      </c>
      <c r="U86" s="5">
        <v>98.633089999999996</v>
      </c>
      <c r="V86" s="3">
        <f t="shared" si="8"/>
        <v>101.95677999999999</v>
      </c>
      <c r="Y86" s="4">
        <v>250.02204</v>
      </c>
      <c r="Z86" s="1">
        <v>40</v>
      </c>
      <c r="AA86" s="5">
        <v>103.85392</v>
      </c>
      <c r="AB86" s="3">
        <f t="shared" si="9"/>
        <v>102.2449</v>
      </c>
      <c r="AF86" s="11">
        <v>305.45332000000002</v>
      </c>
      <c r="AG86" s="1">
        <v>40</v>
      </c>
      <c r="AH86" s="12">
        <v>99.530850000000001</v>
      </c>
      <c r="AI86" s="3">
        <f t="shared" si="10"/>
        <v>101.41029</v>
      </c>
      <c r="AK86" s="11">
        <v>305.43912999999998</v>
      </c>
      <c r="AL86" s="1">
        <v>40</v>
      </c>
      <c r="AM86" s="12">
        <v>99.38158</v>
      </c>
      <c r="AN86" s="3">
        <f t="shared" si="11"/>
        <v>101.34719</v>
      </c>
      <c r="AP86" s="18">
        <v>225.14992000000001</v>
      </c>
      <c r="AQ86" s="1">
        <v>40</v>
      </c>
      <c r="AR86" s="12">
        <v>99.818020000000004</v>
      </c>
      <c r="AS86" s="3">
        <f t="shared" si="12"/>
        <v>100.37183</v>
      </c>
    </row>
    <row r="87" spans="1:45" ht="16" x14ac:dyDescent="0.2">
      <c r="A87" s="2">
        <v>200.01829000000001</v>
      </c>
      <c r="B87" s="1">
        <v>40.5</v>
      </c>
      <c r="C87" s="5">
        <v>101.604</v>
      </c>
      <c r="D87" s="3">
        <f t="shared" si="13"/>
        <v>101.48054999999999</v>
      </c>
      <c r="G87" s="4">
        <v>225.00503</v>
      </c>
      <c r="H87" s="1">
        <v>40.5</v>
      </c>
      <c r="I87" s="5">
        <v>99.80789</v>
      </c>
      <c r="J87" s="3">
        <f t="shared" si="14"/>
        <v>101.39828</v>
      </c>
      <c r="M87" s="4">
        <v>225.01553999999999</v>
      </c>
      <c r="N87" s="1">
        <v>40.5</v>
      </c>
      <c r="O87" s="5">
        <v>102.40621</v>
      </c>
      <c r="P87" s="3">
        <f t="shared" si="15"/>
        <v>101.61382</v>
      </c>
      <c r="S87" s="4">
        <v>250.00316000000001</v>
      </c>
      <c r="T87" s="1">
        <v>40.5</v>
      </c>
      <c r="U87" s="3">
        <v>98.647819999999996</v>
      </c>
      <c r="V87" s="3">
        <f t="shared" si="8"/>
        <v>101.97150999999999</v>
      </c>
      <c r="Y87" s="4">
        <v>250.02262999999999</v>
      </c>
      <c r="Z87" s="1">
        <v>40.5</v>
      </c>
      <c r="AA87" s="3">
        <v>103.91858999999999</v>
      </c>
      <c r="AB87" s="3">
        <f t="shared" si="9"/>
        <v>102.30956999999999</v>
      </c>
      <c r="AF87" s="11">
        <v>307.95762999999999</v>
      </c>
      <c r="AG87" s="1">
        <v>40.5</v>
      </c>
      <c r="AH87" s="13">
        <v>99.566220000000001</v>
      </c>
      <c r="AI87" s="3">
        <f t="shared" si="10"/>
        <v>101.44566</v>
      </c>
      <c r="AK87" s="11">
        <v>307.94290000000001</v>
      </c>
      <c r="AL87" s="1">
        <v>40.5</v>
      </c>
      <c r="AM87" s="13">
        <v>99.405469999999994</v>
      </c>
      <c r="AN87" s="3">
        <f t="shared" si="11"/>
        <v>101.37107999999999</v>
      </c>
      <c r="AP87" s="18">
        <v>226.64845</v>
      </c>
      <c r="AQ87" s="1">
        <v>40.5</v>
      </c>
      <c r="AR87" s="13">
        <v>99.862489999999994</v>
      </c>
      <c r="AS87" s="3">
        <f t="shared" si="12"/>
        <v>100.41629999999999</v>
      </c>
    </row>
    <row r="88" spans="1:45" ht="16" x14ac:dyDescent="0.2">
      <c r="A88" s="2">
        <v>200.01767000000001</v>
      </c>
      <c r="B88" s="1">
        <v>41</v>
      </c>
      <c r="C88" s="3">
        <v>101.50048</v>
      </c>
      <c r="D88" s="3">
        <f t="shared" si="13"/>
        <v>101.37702999999999</v>
      </c>
      <c r="G88" s="4">
        <v>225.00891999999999</v>
      </c>
      <c r="H88" s="1">
        <v>41</v>
      </c>
      <c r="I88" s="3">
        <v>99.784469999999999</v>
      </c>
      <c r="J88" s="3">
        <f t="shared" si="14"/>
        <v>101.37486</v>
      </c>
      <c r="M88" s="4">
        <v>225.01693</v>
      </c>
      <c r="N88" s="1">
        <v>41</v>
      </c>
      <c r="O88" s="3">
        <v>102.22924999999999</v>
      </c>
      <c r="P88" s="3">
        <f t="shared" si="15"/>
        <v>101.43686</v>
      </c>
      <c r="S88" s="4">
        <v>250.00206</v>
      </c>
      <c r="T88" s="1">
        <v>41</v>
      </c>
      <c r="U88" s="5">
        <v>98.635329999999996</v>
      </c>
      <c r="V88" s="3">
        <f t="shared" si="8"/>
        <v>101.95902</v>
      </c>
      <c r="Y88" s="4">
        <v>250.0214</v>
      </c>
      <c r="Z88" s="1">
        <v>41</v>
      </c>
      <c r="AA88" s="5">
        <v>103.89678000000001</v>
      </c>
      <c r="AB88" s="3">
        <f t="shared" si="9"/>
        <v>102.28776000000001</v>
      </c>
      <c r="AF88" s="11">
        <v>310.46519000000001</v>
      </c>
      <c r="AG88" s="1">
        <v>41</v>
      </c>
      <c r="AH88" s="12">
        <v>99.609790000000004</v>
      </c>
      <c r="AI88" s="3">
        <f t="shared" si="10"/>
        <v>101.48923000000001</v>
      </c>
      <c r="AK88" s="11">
        <v>310.44738999999998</v>
      </c>
      <c r="AL88" s="1">
        <v>41</v>
      </c>
      <c r="AM88" s="12">
        <v>99.442369999999997</v>
      </c>
      <c r="AN88" s="3">
        <f t="shared" si="11"/>
        <v>101.40797999999999</v>
      </c>
      <c r="AP88" s="18">
        <v>228.15312</v>
      </c>
      <c r="AQ88" s="1">
        <v>41</v>
      </c>
      <c r="AR88" s="12">
        <v>99.898719999999997</v>
      </c>
      <c r="AS88" s="3">
        <f t="shared" si="12"/>
        <v>100.45253</v>
      </c>
    </row>
    <row r="89" spans="1:45" ht="16" x14ac:dyDescent="0.2">
      <c r="A89" s="2">
        <v>200.01383000000001</v>
      </c>
      <c r="B89" s="1">
        <v>41.5</v>
      </c>
      <c r="C89" s="5">
        <v>101.49621</v>
      </c>
      <c r="D89" s="3">
        <f t="shared" si="13"/>
        <v>101.37276</v>
      </c>
      <c r="G89" s="4">
        <v>225.00601</v>
      </c>
      <c r="H89" s="1">
        <v>41.5</v>
      </c>
      <c r="I89" s="5">
        <v>99.783799999999999</v>
      </c>
      <c r="J89" s="3">
        <f t="shared" si="14"/>
        <v>101.37419</v>
      </c>
      <c r="M89" s="4">
        <v>225.01956000000001</v>
      </c>
      <c r="N89" s="1">
        <v>41.5</v>
      </c>
      <c r="O89" s="5">
        <v>102.26129</v>
      </c>
      <c r="P89" s="3">
        <f t="shared" si="15"/>
        <v>101.4689</v>
      </c>
      <c r="S89" s="4">
        <v>249.99901</v>
      </c>
      <c r="T89" s="1">
        <v>41.5</v>
      </c>
      <c r="U89" s="3">
        <v>98.663849999999996</v>
      </c>
      <c r="V89" s="3">
        <f t="shared" si="8"/>
        <v>101.98754</v>
      </c>
      <c r="Y89" s="4">
        <v>250.01898</v>
      </c>
      <c r="Z89" s="1">
        <v>41.5</v>
      </c>
      <c r="AA89" s="3">
        <v>103.98787</v>
      </c>
      <c r="AB89" s="3">
        <f t="shared" si="9"/>
        <v>102.37885</v>
      </c>
      <c r="AF89" s="11">
        <v>312.96890999999999</v>
      </c>
      <c r="AG89" s="1">
        <v>41.5</v>
      </c>
      <c r="AH89" s="13">
        <v>99.631330000000005</v>
      </c>
      <c r="AI89" s="3">
        <f t="shared" si="10"/>
        <v>101.51077000000001</v>
      </c>
      <c r="AK89" s="11">
        <v>312.94781999999998</v>
      </c>
      <c r="AL89" s="1">
        <v>41.5</v>
      </c>
      <c r="AM89" s="13">
        <v>99.447630000000004</v>
      </c>
      <c r="AN89" s="3">
        <f t="shared" si="11"/>
        <v>101.41324</v>
      </c>
      <c r="AP89" s="18">
        <v>229.64644999999999</v>
      </c>
      <c r="AQ89" s="1">
        <v>41.5</v>
      </c>
      <c r="AR89" s="13">
        <v>99.909310000000005</v>
      </c>
      <c r="AS89" s="3">
        <f t="shared" si="12"/>
        <v>100.46312</v>
      </c>
    </row>
    <row r="90" spans="1:45" ht="16" x14ac:dyDescent="0.2">
      <c r="A90" s="2">
        <v>200.01579000000001</v>
      </c>
      <c r="B90" s="1">
        <v>42</v>
      </c>
      <c r="C90" s="3">
        <v>101.48242</v>
      </c>
      <c r="D90" s="3">
        <f t="shared" si="13"/>
        <v>101.35897</v>
      </c>
      <c r="G90" s="4">
        <v>225.00506999999999</v>
      </c>
      <c r="H90" s="1">
        <v>42</v>
      </c>
      <c r="I90" s="3">
        <v>99.788690000000003</v>
      </c>
      <c r="J90" s="3">
        <f t="shared" si="14"/>
        <v>101.37908</v>
      </c>
      <c r="M90" s="4">
        <v>225.02422000000001</v>
      </c>
      <c r="N90" s="1">
        <v>42</v>
      </c>
      <c r="O90" s="3">
        <v>102.1828</v>
      </c>
      <c r="P90" s="3">
        <f t="shared" si="15"/>
        <v>101.39041</v>
      </c>
      <c r="S90" s="4">
        <v>250.00202999999999</v>
      </c>
      <c r="T90" s="1">
        <v>42</v>
      </c>
      <c r="U90" s="5">
        <v>98.651830000000004</v>
      </c>
      <c r="V90" s="3">
        <f t="shared" si="8"/>
        <v>101.97552</v>
      </c>
      <c r="Y90" s="4">
        <v>250.01657</v>
      </c>
      <c r="Z90" s="1">
        <v>42</v>
      </c>
      <c r="AA90" s="5">
        <v>103.89317</v>
      </c>
      <c r="AB90" s="3">
        <f t="shared" si="9"/>
        <v>102.28415</v>
      </c>
      <c r="AF90" s="11">
        <v>315.47068999999999</v>
      </c>
      <c r="AG90" s="1">
        <v>42</v>
      </c>
      <c r="AH90" s="12">
        <v>99.628770000000003</v>
      </c>
      <c r="AI90" s="3">
        <f t="shared" si="10"/>
        <v>101.50821000000001</v>
      </c>
      <c r="AK90" s="11">
        <v>315.45350999999999</v>
      </c>
      <c r="AL90" s="1">
        <v>42</v>
      </c>
      <c r="AM90" s="12">
        <v>99.46123</v>
      </c>
      <c r="AN90" s="3">
        <f t="shared" si="11"/>
        <v>101.42684</v>
      </c>
      <c r="AP90" s="18">
        <v>231.14818</v>
      </c>
      <c r="AQ90" s="1">
        <v>42</v>
      </c>
      <c r="AR90" s="12">
        <v>99.95966</v>
      </c>
      <c r="AS90" s="3">
        <f t="shared" si="12"/>
        <v>100.51347</v>
      </c>
    </row>
    <row r="91" spans="1:45" ht="16" x14ac:dyDescent="0.2">
      <c r="A91" s="2">
        <v>200.01754</v>
      </c>
      <c r="B91" s="1">
        <v>42.5</v>
      </c>
      <c r="C91" s="5">
        <v>101.51676</v>
      </c>
      <c r="D91" s="3">
        <f t="shared" si="13"/>
        <v>101.39331</v>
      </c>
      <c r="G91" s="4">
        <v>225.00702000000001</v>
      </c>
      <c r="H91" s="1">
        <v>42.5</v>
      </c>
      <c r="I91" s="5">
        <v>99.786869999999993</v>
      </c>
      <c r="J91" s="3">
        <f t="shared" si="14"/>
        <v>101.37725999999999</v>
      </c>
      <c r="M91" s="4">
        <v>225.02569</v>
      </c>
      <c r="N91" s="1">
        <v>42.5</v>
      </c>
      <c r="O91" s="5">
        <v>102.49988</v>
      </c>
      <c r="P91" s="3">
        <f t="shared" si="15"/>
        <v>101.70749000000001</v>
      </c>
      <c r="S91" s="4">
        <v>250.00193999999999</v>
      </c>
      <c r="T91" s="1">
        <v>42.5</v>
      </c>
      <c r="U91" s="3">
        <v>98.641509999999997</v>
      </c>
      <c r="V91" s="3">
        <f t="shared" si="8"/>
        <v>101.9652</v>
      </c>
      <c r="Y91" s="4">
        <v>250.01591999999999</v>
      </c>
      <c r="Z91" s="1">
        <v>42.5</v>
      </c>
      <c r="AA91" s="3">
        <v>103.95157</v>
      </c>
      <c r="AB91" s="3">
        <f t="shared" si="9"/>
        <v>102.34255</v>
      </c>
      <c r="AF91" s="11">
        <v>317.97192999999999</v>
      </c>
      <c r="AG91" s="1">
        <v>42.5</v>
      </c>
      <c r="AH91" s="13">
        <v>99.633589999999998</v>
      </c>
      <c r="AI91" s="3">
        <f t="shared" si="10"/>
        <v>101.51303</v>
      </c>
      <c r="AK91" s="11">
        <v>317.95434</v>
      </c>
      <c r="AL91" s="1">
        <v>42.5</v>
      </c>
      <c r="AM91" s="13">
        <v>99.484139999999996</v>
      </c>
      <c r="AN91" s="7">
        <f t="shared" si="11"/>
        <v>101.44974999999999</v>
      </c>
      <c r="AO91" s="1">
        <f>($AN$91-AN91)/($AN$91*(1-$H$1))</f>
        <v>0</v>
      </c>
      <c r="AP91" s="18">
        <v>232.65115</v>
      </c>
      <c r="AQ91" s="1">
        <v>42.5</v>
      </c>
      <c r="AR91" s="13">
        <v>99.945099999999996</v>
      </c>
      <c r="AS91" s="3">
        <f t="shared" si="12"/>
        <v>100.49891</v>
      </c>
    </row>
    <row r="92" spans="1:45" ht="16" x14ac:dyDescent="0.2">
      <c r="A92" s="2">
        <v>200.02101999999999</v>
      </c>
      <c r="B92" s="1">
        <v>43</v>
      </c>
      <c r="C92" s="3">
        <v>101.66956999999999</v>
      </c>
      <c r="D92" s="3">
        <f t="shared" si="13"/>
        <v>101.54611999999999</v>
      </c>
      <c r="G92" s="4">
        <v>225.00509</v>
      </c>
      <c r="H92" s="1">
        <v>43</v>
      </c>
      <c r="I92" s="3">
        <v>99.786370000000005</v>
      </c>
      <c r="J92" s="3">
        <f t="shared" si="14"/>
        <v>101.37676</v>
      </c>
      <c r="M92" s="4">
        <v>225.02696</v>
      </c>
      <c r="N92" s="1">
        <v>43</v>
      </c>
      <c r="O92" s="3">
        <v>102.30662</v>
      </c>
      <c r="P92" s="3">
        <f t="shared" si="15"/>
        <v>101.51423</v>
      </c>
      <c r="S92" s="4">
        <v>249.99795</v>
      </c>
      <c r="T92" s="1">
        <v>43</v>
      </c>
      <c r="U92" s="5">
        <v>98.655550000000005</v>
      </c>
      <c r="V92" s="3">
        <f t="shared" si="8"/>
        <v>101.97924</v>
      </c>
      <c r="Y92" s="4">
        <v>250.01666</v>
      </c>
      <c r="Z92" s="1">
        <v>43</v>
      </c>
      <c r="AA92" s="5">
        <v>104.07344999999999</v>
      </c>
      <c r="AB92" s="3">
        <f t="shared" si="9"/>
        <v>102.46442999999999</v>
      </c>
      <c r="AF92" s="11">
        <v>320.47840000000002</v>
      </c>
      <c r="AG92" s="1">
        <v>43</v>
      </c>
      <c r="AH92" s="12">
        <v>99.644090000000006</v>
      </c>
      <c r="AI92" s="7">
        <f t="shared" si="10"/>
        <v>101.52353000000001</v>
      </c>
      <c r="AJ92" s="1">
        <f>($AI$92-AI92)/($AI$92*(1-$H$1))</f>
        <v>0</v>
      </c>
      <c r="AK92" s="11">
        <v>320.46221000000003</v>
      </c>
      <c r="AL92" s="1">
        <v>43</v>
      </c>
      <c r="AM92" s="12">
        <v>99.469729999999998</v>
      </c>
      <c r="AN92" s="3">
        <f t="shared" si="11"/>
        <v>101.43534</v>
      </c>
      <c r="AO92" s="1">
        <f t="shared" ref="AO92:AO155" si="16">($AN$91-AN92)/($AN$91*(1-$H$1))</f>
        <v>1.4368785793910491E-4</v>
      </c>
      <c r="AP92" s="18">
        <v>234.15153000000001</v>
      </c>
      <c r="AQ92" s="1">
        <v>43</v>
      </c>
      <c r="AR92" s="12">
        <v>99.944379999999995</v>
      </c>
      <c r="AS92" s="3">
        <f t="shared" si="12"/>
        <v>100.49818999999999</v>
      </c>
    </row>
    <row r="93" spans="1:45" ht="16" x14ac:dyDescent="0.2">
      <c r="A93" s="2">
        <v>200.02259000000001</v>
      </c>
      <c r="B93" s="1">
        <v>43.5</v>
      </c>
      <c r="C93" s="5">
        <v>101.43861</v>
      </c>
      <c r="D93" s="3">
        <f t="shared" si="13"/>
        <v>101.31515999999999</v>
      </c>
      <c r="G93" s="4">
        <v>225.00980999999999</v>
      </c>
      <c r="H93" s="1">
        <v>43.5</v>
      </c>
      <c r="I93" s="5">
        <v>99.774749999999997</v>
      </c>
      <c r="J93" s="3">
        <f t="shared" si="14"/>
        <v>101.36514</v>
      </c>
      <c r="M93" s="4">
        <v>225.02618000000001</v>
      </c>
      <c r="N93" s="1">
        <v>43.5</v>
      </c>
      <c r="O93" s="5">
        <v>102.32483999999999</v>
      </c>
      <c r="P93" s="3">
        <f t="shared" si="15"/>
        <v>101.53245</v>
      </c>
      <c r="S93" s="4">
        <v>250.00400999999999</v>
      </c>
      <c r="T93" s="1">
        <v>43.5</v>
      </c>
      <c r="U93" s="3">
        <v>98.672089999999997</v>
      </c>
      <c r="V93" s="3">
        <f t="shared" si="8"/>
        <v>101.99578</v>
      </c>
      <c r="Y93" s="4">
        <v>250.01788999999999</v>
      </c>
      <c r="Z93" s="1">
        <v>43.5</v>
      </c>
      <c r="AA93" s="3">
        <v>103.93195</v>
      </c>
      <c r="AB93" s="3">
        <f t="shared" si="9"/>
        <v>102.32293</v>
      </c>
      <c r="AF93" s="11">
        <v>322.98014000000001</v>
      </c>
      <c r="AG93" s="1">
        <v>43.5</v>
      </c>
      <c r="AH93" s="13">
        <v>99.634410000000003</v>
      </c>
      <c r="AI93" s="3">
        <f t="shared" si="10"/>
        <v>101.51385000000001</v>
      </c>
      <c r="AJ93" s="1">
        <f t="shared" ref="AJ93:AJ156" si="17">($AI$92-AI93)/($AI$92*(1-$H$1))</f>
        <v>9.6452995133987316E-5</v>
      </c>
      <c r="AK93" s="11">
        <v>322.96328999999997</v>
      </c>
      <c r="AL93" s="1">
        <v>43.5</v>
      </c>
      <c r="AM93" s="13">
        <v>99.459379999999996</v>
      </c>
      <c r="AN93" s="3">
        <f t="shared" si="11"/>
        <v>101.42498999999999</v>
      </c>
      <c r="AO93" s="1">
        <f t="shared" si="16"/>
        <v>2.4689183640338677E-4</v>
      </c>
      <c r="AP93" s="18">
        <v>235.65987000000001</v>
      </c>
      <c r="AQ93" s="1">
        <v>43.5</v>
      </c>
      <c r="AR93" s="13">
        <v>99.991640000000004</v>
      </c>
      <c r="AS93" s="3">
        <f t="shared" si="12"/>
        <v>100.54545</v>
      </c>
    </row>
    <row r="94" spans="1:45" ht="16" x14ac:dyDescent="0.2">
      <c r="A94" s="2">
        <v>200.02314000000001</v>
      </c>
      <c r="B94" s="1">
        <v>44</v>
      </c>
      <c r="C94" s="3">
        <v>101.6023</v>
      </c>
      <c r="D94" s="3">
        <f t="shared" si="13"/>
        <v>101.47884999999999</v>
      </c>
      <c r="G94" s="4">
        <v>225.00683000000001</v>
      </c>
      <c r="H94" s="1">
        <v>44</v>
      </c>
      <c r="I94" s="3">
        <v>99.764020000000002</v>
      </c>
      <c r="J94" s="3">
        <f t="shared" si="14"/>
        <v>101.35441</v>
      </c>
      <c r="M94" s="4">
        <v>225.02276000000001</v>
      </c>
      <c r="N94" s="1">
        <v>44</v>
      </c>
      <c r="O94" s="3">
        <v>102.41092999999999</v>
      </c>
      <c r="P94" s="3">
        <f t="shared" si="15"/>
        <v>101.61854</v>
      </c>
      <c r="S94" s="4">
        <v>250.00201999999999</v>
      </c>
      <c r="T94" s="1">
        <v>44</v>
      </c>
      <c r="U94" s="5">
        <v>98.670509999999993</v>
      </c>
      <c r="V94" s="3">
        <f t="shared" si="8"/>
        <v>101.99419999999999</v>
      </c>
      <c r="Y94" s="4">
        <v>250.01848000000001</v>
      </c>
      <c r="Z94" s="1">
        <v>44</v>
      </c>
      <c r="AA94" s="5">
        <v>103.97476</v>
      </c>
      <c r="AB94" s="3">
        <f t="shared" si="9"/>
        <v>102.36574</v>
      </c>
      <c r="AF94" s="11">
        <v>325.48282</v>
      </c>
      <c r="AG94" s="1">
        <v>44</v>
      </c>
      <c r="AH94" s="12">
        <v>99.598079999999996</v>
      </c>
      <c r="AI94" s="3">
        <f t="shared" si="10"/>
        <v>101.47752</v>
      </c>
      <c r="AJ94" s="1">
        <f t="shared" si="17"/>
        <v>4.5845065145808919E-4</v>
      </c>
      <c r="AK94" s="11">
        <v>325.46141</v>
      </c>
      <c r="AL94" s="1">
        <v>44</v>
      </c>
      <c r="AM94" s="12">
        <v>99.409970000000001</v>
      </c>
      <c r="AN94" s="3">
        <f t="shared" si="11"/>
        <v>101.37558</v>
      </c>
      <c r="AO94" s="1">
        <f t="shared" si="16"/>
        <v>7.3957865533269768E-4</v>
      </c>
      <c r="AP94" s="18">
        <v>237.16144</v>
      </c>
      <c r="AQ94" s="1">
        <v>44</v>
      </c>
      <c r="AR94" s="12">
        <v>99.988709999999998</v>
      </c>
      <c r="AS94" s="3">
        <f t="shared" si="12"/>
        <v>100.54252</v>
      </c>
    </row>
    <row r="95" spans="1:45" ht="16" x14ac:dyDescent="0.2">
      <c r="A95" s="2">
        <v>200.02517</v>
      </c>
      <c r="B95" s="1">
        <v>44.5</v>
      </c>
      <c r="C95" s="5">
        <v>101.7028</v>
      </c>
      <c r="D95" s="3">
        <f t="shared" si="13"/>
        <v>101.57934999999999</v>
      </c>
      <c r="G95" s="4">
        <v>225.00697</v>
      </c>
      <c r="H95" s="1">
        <v>44.5</v>
      </c>
      <c r="I95" s="5">
        <v>99.758150000000001</v>
      </c>
      <c r="J95" s="3">
        <f t="shared" si="14"/>
        <v>101.34854</v>
      </c>
      <c r="M95" s="4">
        <v>225.01911999999999</v>
      </c>
      <c r="N95" s="1">
        <v>44.5</v>
      </c>
      <c r="O95" s="5">
        <v>102.36982</v>
      </c>
      <c r="P95" s="3">
        <f t="shared" si="15"/>
        <v>101.57743000000001</v>
      </c>
      <c r="S95" s="4">
        <v>250.00185999999999</v>
      </c>
      <c r="T95" s="1">
        <v>44.5</v>
      </c>
      <c r="U95" s="3">
        <v>98.682599999999994</v>
      </c>
      <c r="V95" s="3">
        <f t="shared" si="8"/>
        <v>102.00628999999999</v>
      </c>
      <c r="Y95" s="4">
        <v>250.01922999999999</v>
      </c>
      <c r="Z95" s="1">
        <v>44.5</v>
      </c>
      <c r="AA95" s="3">
        <v>104.04837000000001</v>
      </c>
      <c r="AB95" s="3">
        <f t="shared" si="9"/>
        <v>102.43935</v>
      </c>
      <c r="AF95" s="11">
        <v>327.98201</v>
      </c>
      <c r="AG95" s="1">
        <v>44.5</v>
      </c>
      <c r="AH95" s="13">
        <v>99.568910000000002</v>
      </c>
      <c r="AI95" s="3">
        <f t="shared" si="10"/>
        <v>101.44835</v>
      </c>
      <c r="AJ95" s="1">
        <f t="shared" si="17"/>
        <v>7.4910497667057916E-4</v>
      </c>
      <c r="AK95" s="11">
        <v>327.96589</v>
      </c>
      <c r="AL95" s="1">
        <v>44.5</v>
      </c>
      <c r="AM95" s="13">
        <v>99.420599999999993</v>
      </c>
      <c r="AN95" s="3">
        <f t="shared" si="11"/>
        <v>101.38620999999999</v>
      </c>
      <c r="AO95" s="1">
        <f t="shared" si="16"/>
        <v>6.3358268518059959E-4</v>
      </c>
      <c r="AP95" s="18">
        <v>238.66150999999999</v>
      </c>
      <c r="AQ95" s="1">
        <v>44.5</v>
      </c>
      <c r="AR95" s="13">
        <v>100.01257</v>
      </c>
      <c r="AS95" s="3">
        <f t="shared" si="12"/>
        <v>100.56638</v>
      </c>
    </row>
    <row r="96" spans="1:45" ht="16" x14ac:dyDescent="0.2">
      <c r="A96" s="2">
        <v>200.02086</v>
      </c>
      <c r="B96" s="1">
        <v>45</v>
      </c>
      <c r="C96" s="3">
        <v>101.4997</v>
      </c>
      <c r="D96" s="3">
        <f t="shared" si="13"/>
        <v>101.37625</v>
      </c>
      <c r="G96" s="4">
        <v>225.00693999999999</v>
      </c>
      <c r="H96" s="1">
        <v>45</v>
      </c>
      <c r="I96" s="3">
        <v>99.800470000000004</v>
      </c>
      <c r="J96" s="3">
        <f t="shared" si="14"/>
        <v>101.39086</v>
      </c>
      <c r="M96" s="4">
        <v>225.01553999999999</v>
      </c>
      <c r="N96" s="1">
        <v>45</v>
      </c>
      <c r="O96" s="3">
        <v>102.33289000000001</v>
      </c>
      <c r="P96" s="3">
        <f t="shared" si="15"/>
        <v>101.54050000000001</v>
      </c>
      <c r="S96" s="4">
        <v>250.00801999999999</v>
      </c>
      <c r="T96" s="1">
        <v>45</v>
      </c>
      <c r="U96" s="5">
        <v>98.68477</v>
      </c>
      <c r="V96" s="3">
        <f t="shared" si="8"/>
        <v>102.00846</v>
      </c>
      <c r="Y96" s="4">
        <v>250.01785000000001</v>
      </c>
      <c r="Z96" s="1">
        <v>45</v>
      </c>
      <c r="AA96" s="5">
        <v>104.00306</v>
      </c>
      <c r="AB96" s="3">
        <f t="shared" si="9"/>
        <v>102.39404</v>
      </c>
      <c r="AF96" s="11">
        <v>330.47978000000001</v>
      </c>
      <c r="AG96" s="1">
        <v>45</v>
      </c>
      <c r="AH96" s="12">
        <v>99.518630000000002</v>
      </c>
      <c r="AI96" s="3">
        <f t="shared" si="10"/>
        <v>101.39807</v>
      </c>
      <c r="AJ96" s="1">
        <f t="shared" si="17"/>
        <v>1.2501025588333317E-3</v>
      </c>
      <c r="AK96" s="11">
        <v>330.47138999999999</v>
      </c>
      <c r="AL96" s="1">
        <v>45</v>
      </c>
      <c r="AM96" s="12">
        <v>99.36421</v>
      </c>
      <c r="AN96" s="3">
        <f t="shared" si="11"/>
        <v>101.32982</v>
      </c>
      <c r="AO96" s="1">
        <f t="shared" si="16"/>
        <v>1.1958698683302363E-3</v>
      </c>
      <c r="AP96" s="18">
        <v>240.16082</v>
      </c>
      <c r="AQ96" s="1">
        <v>45</v>
      </c>
      <c r="AR96" s="12">
        <v>100.04134999999999</v>
      </c>
      <c r="AS96" s="3">
        <f t="shared" si="12"/>
        <v>100.59515999999999</v>
      </c>
    </row>
    <row r="97" spans="1:45" ht="16" x14ac:dyDescent="0.2">
      <c r="A97" s="2">
        <v>200.02044000000001</v>
      </c>
      <c r="B97" s="1">
        <v>45.5</v>
      </c>
      <c r="C97" s="5">
        <v>101.57693</v>
      </c>
      <c r="D97" s="3">
        <f t="shared" si="13"/>
        <v>101.45348</v>
      </c>
      <c r="G97" s="4">
        <v>225.00701000000001</v>
      </c>
      <c r="H97" s="1">
        <v>45.5</v>
      </c>
      <c r="I97" s="5">
        <v>99.796030000000002</v>
      </c>
      <c r="J97" s="3">
        <f t="shared" si="14"/>
        <v>101.38642</v>
      </c>
      <c r="M97" s="4">
        <v>225.01363000000001</v>
      </c>
      <c r="N97" s="1">
        <v>45.5</v>
      </c>
      <c r="O97" s="5">
        <v>102.38585999999999</v>
      </c>
      <c r="P97" s="3">
        <f t="shared" si="15"/>
        <v>101.59347</v>
      </c>
      <c r="S97" s="4">
        <v>250.00599</v>
      </c>
      <c r="T97" s="1">
        <v>45.5</v>
      </c>
      <c r="U97" s="3">
        <v>98.680390000000003</v>
      </c>
      <c r="V97" s="3">
        <f t="shared" si="8"/>
        <v>102.00408</v>
      </c>
      <c r="Y97" s="4">
        <v>250.01642000000001</v>
      </c>
      <c r="Z97" s="1">
        <v>45.5</v>
      </c>
      <c r="AA97" s="3">
        <v>104.08364</v>
      </c>
      <c r="AB97" s="3">
        <f t="shared" si="9"/>
        <v>102.47462</v>
      </c>
      <c r="AF97" s="11">
        <v>332.98234000000002</v>
      </c>
      <c r="AG97" s="1">
        <v>45.5</v>
      </c>
      <c r="AH97" s="13">
        <v>99.431820000000002</v>
      </c>
      <c r="AI97" s="3">
        <f t="shared" si="10"/>
        <v>101.31126</v>
      </c>
      <c r="AJ97" s="1">
        <f t="shared" si="17"/>
        <v>2.1150906277980848E-3</v>
      </c>
      <c r="AK97" s="11">
        <v>332.97777000000002</v>
      </c>
      <c r="AL97" s="1">
        <v>45.5</v>
      </c>
      <c r="AM97" s="13">
        <v>99.269379999999998</v>
      </c>
      <c r="AN97" s="3">
        <f t="shared" si="11"/>
        <v>101.23499</v>
      </c>
      <c r="AO97" s="1">
        <f t="shared" si="16"/>
        <v>2.1414576246360953E-3</v>
      </c>
      <c r="AP97" s="18">
        <v>241.66421</v>
      </c>
      <c r="AQ97" s="1">
        <v>45.5</v>
      </c>
      <c r="AR97" s="13">
        <v>100.07955</v>
      </c>
      <c r="AS97" s="3">
        <f t="shared" si="12"/>
        <v>100.63336</v>
      </c>
    </row>
    <row r="98" spans="1:45" ht="16" x14ac:dyDescent="0.2">
      <c r="A98" s="2">
        <v>200.02009000000001</v>
      </c>
      <c r="B98" s="1">
        <v>46</v>
      </c>
      <c r="C98" s="3">
        <v>101.58514</v>
      </c>
      <c r="D98" s="3">
        <f t="shared" si="13"/>
        <v>101.46168999999999</v>
      </c>
      <c r="G98" s="4">
        <v>225.00599</v>
      </c>
      <c r="H98" s="1">
        <v>46</v>
      </c>
      <c r="I98" s="3">
        <v>99.777140000000003</v>
      </c>
      <c r="J98" s="3">
        <f t="shared" si="14"/>
        <v>101.36753</v>
      </c>
      <c r="M98" s="4">
        <v>225.01420999999999</v>
      </c>
      <c r="N98" s="1">
        <v>46</v>
      </c>
      <c r="O98" s="3">
        <v>102.4558</v>
      </c>
      <c r="P98" s="3">
        <f t="shared" si="15"/>
        <v>101.66341</v>
      </c>
      <c r="S98" s="4">
        <v>250.00591</v>
      </c>
      <c r="T98" s="1">
        <v>46</v>
      </c>
      <c r="U98" s="5">
        <v>98.695099999999996</v>
      </c>
      <c r="V98" s="3">
        <f t="shared" si="8"/>
        <v>102.01879</v>
      </c>
      <c r="Y98" s="4">
        <v>250.0154</v>
      </c>
      <c r="Z98" s="1">
        <v>46</v>
      </c>
      <c r="AA98" s="5">
        <v>104.08271999999999</v>
      </c>
      <c r="AB98" s="3">
        <f t="shared" si="9"/>
        <v>102.47369999999999</v>
      </c>
      <c r="AF98" s="11">
        <v>335.49176999999997</v>
      </c>
      <c r="AG98" s="1">
        <v>46</v>
      </c>
      <c r="AH98" s="12">
        <v>99.349950000000007</v>
      </c>
      <c r="AI98" s="3">
        <f t="shared" si="10"/>
        <v>101.22939000000001</v>
      </c>
      <c r="AJ98" s="1">
        <f t="shared" si="17"/>
        <v>2.9308557839568239E-3</v>
      </c>
      <c r="AK98" s="11">
        <v>335.47638999999998</v>
      </c>
      <c r="AL98" s="1">
        <v>46</v>
      </c>
      <c r="AM98" s="12">
        <v>99.135689999999997</v>
      </c>
      <c r="AN98" s="3">
        <f t="shared" si="11"/>
        <v>101.10129999999999</v>
      </c>
      <c r="AO98" s="1">
        <f t="shared" si="16"/>
        <v>3.4745339416299716E-3</v>
      </c>
      <c r="AP98" s="18">
        <v>243.16652999999999</v>
      </c>
      <c r="AQ98" s="1">
        <v>46</v>
      </c>
      <c r="AR98" s="12">
        <v>100.11693</v>
      </c>
      <c r="AS98" s="3">
        <f t="shared" si="12"/>
        <v>100.67074</v>
      </c>
    </row>
    <row r="99" spans="1:45" ht="16" x14ac:dyDescent="0.2">
      <c r="A99" s="2">
        <v>200.01938000000001</v>
      </c>
      <c r="B99" s="1">
        <v>46.5</v>
      </c>
      <c r="C99" s="5">
        <v>101.61024</v>
      </c>
      <c r="D99" s="3">
        <f t="shared" si="13"/>
        <v>101.48679</v>
      </c>
      <c r="G99" s="4">
        <v>225.00303</v>
      </c>
      <c r="H99" s="1">
        <v>46.5</v>
      </c>
      <c r="I99" s="5">
        <v>99.788219999999995</v>
      </c>
      <c r="J99" s="3">
        <f t="shared" si="14"/>
        <v>101.37860999999999</v>
      </c>
      <c r="M99" s="4">
        <v>225.01897</v>
      </c>
      <c r="N99" s="1">
        <v>46.5</v>
      </c>
      <c r="O99" s="5">
        <v>102.44423999999999</v>
      </c>
      <c r="P99" s="3">
        <f t="shared" si="15"/>
        <v>101.65185</v>
      </c>
      <c r="S99" s="4">
        <v>250.00695999999999</v>
      </c>
      <c r="T99" s="1">
        <v>46.5</v>
      </c>
      <c r="U99" s="3">
        <v>98.697019999999995</v>
      </c>
      <c r="V99" s="3">
        <f t="shared" si="8"/>
        <v>102.02070999999999</v>
      </c>
      <c r="Y99" s="4">
        <v>250.01537999999999</v>
      </c>
      <c r="Z99" s="1">
        <v>46.5</v>
      </c>
      <c r="AA99" s="3">
        <v>104.04119</v>
      </c>
      <c r="AB99" s="3">
        <f t="shared" si="9"/>
        <v>102.43217</v>
      </c>
      <c r="AF99" s="11">
        <v>337.99700000000001</v>
      </c>
      <c r="AG99" s="1">
        <v>46.5</v>
      </c>
      <c r="AH99" s="13">
        <v>99.241860000000003</v>
      </c>
      <c r="AI99" s="3">
        <f t="shared" si="10"/>
        <v>101.12130000000001</v>
      </c>
      <c r="AJ99" s="1">
        <f t="shared" si="17"/>
        <v>4.0078810157780894E-3</v>
      </c>
      <c r="AK99" s="11">
        <v>337.97924999999998</v>
      </c>
      <c r="AL99" s="1">
        <v>46.5</v>
      </c>
      <c r="AM99" s="13">
        <v>99.058869999999999</v>
      </c>
      <c r="AN99" s="3">
        <f t="shared" si="11"/>
        <v>101.02448</v>
      </c>
      <c r="AO99" s="1">
        <f t="shared" si="16"/>
        <v>4.2405368040091002E-3</v>
      </c>
      <c r="AP99" s="18">
        <v>244.67141000000001</v>
      </c>
      <c r="AQ99" s="1">
        <v>46.5</v>
      </c>
      <c r="AR99" s="13">
        <v>100.14187</v>
      </c>
      <c r="AS99" s="3">
        <f t="shared" si="12"/>
        <v>100.69568</v>
      </c>
    </row>
    <row r="100" spans="1:45" ht="16" x14ac:dyDescent="0.2">
      <c r="A100" s="2">
        <v>200.01844</v>
      </c>
      <c r="B100" s="1">
        <v>47</v>
      </c>
      <c r="C100" s="3">
        <v>101.63428999999999</v>
      </c>
      <c r="D100" s="3">
        <f t="shared" si="13"/>
        <v>101.51083999999999</v>
      </c>
      <c r="G100" s="4">
        <v>225.00313</v>
      </c>
      <c r="H100" s="1">
        <v>47</v>
      </c>
      <c r="I100" s="3">
        <v>99.841139999999996</v>
      </c>
      <c r="J100" s="3">
        <f t="shared" si="14"/>
        <v>101.43153</v>
      </c>
      <c r="M100" s="4">
        <v>225.01613</v>
      </c>
      <c r="N100" s="1">
        <v>47</v>
      </c>
      <c r="O100" s="3">
        <v>102.36319</v>
      </c>
      <c r="P100" s="3">
        <f t="shared" si="15"/>
        <v>101.57080000000001</v>
      </c>
      <c r="S100" s="4">
        <v>250.00498999999999</v>
      </c>
      <c r="T100" s="1">
        <v>47</v>
      </c>
      <c r="U100" s="5">
        <v>98.688810000000004</v>
      </c>
      <c r="V100" s="3">
        <f t="shared" si="8"/>
        <v>102.0125</v>
      </c>
      <c r="Y100" s="4">
        <v>250.01697999999999</v>
      </c>
      <c r="Z100" s="1">
        <v>47</v>
      </c>
      <c r="AA100" s="5">
        <v>104.07061</v>
      </c>
      <c r="AB100" s="3">
        <f t="shared" si="9"/>
        <v>102.46159</v>
      </c>
      <c r="AF100" s="11">
        <v>340.49585000000002</v>
      </c>
      <c r="AG100" s="1">
        <v>47</v>
      </c>
      <c r="AH100" s="12">
        <v>99.094859999999997</v>
      </c>
      <c r="AI100" s="3">
        <f t="shared" si="10"/>
        <v>100.9743</v>
      </c>
      <c r="AJ100" s="1">
        <f t="shared" si="17"/>
        <v>5.4726114170892716E-3</v>
      </c>
      <c r="AK100" s="11">
        <v>340.48435999999998</v>
      </c>
      <c r="AL100" s="1">
        <v>47</v>
      </c>
      <c r="AM100" s="12">
        <v>98.931340000000006</v>
      </c>
      <c r="AN100" s="3">
        <f t="shared" si="11"/>
        <v>100.89695</v>
      </c>
      <c r="AO100" s="1">
        <f t="shared" si="16"/>
        <v>5.5121893038686106E-3</v>
      </c>
      <c r="AP100" s="18">
        <v>246.17007000000001</v>
      </c>
      <c r="AQ100" s="1">
        <v>47</v>
      </c>
      <c r="AR100" s="12">
        <v>100.16513</v>
      </c>
      <c r="AS100" s="3">
        <f t="shared" si="12"/>
        <v>100.71894</v>
      </c>
    </row>
    <row r="101" spans="1:45" ht="16" x14ac:dyDescent="0.2">
      <c r="A101" s="2">
        <v>200.01411999999999</v>
      </c>
      <c r="B101" s="1">
        <v>47.5</v>
      </c>
      <c r="C101" s="5">
        <v>101.54503</v>
      </c>
      <c r="D101" s="3">
        <f t="shared" si="13"/>
        <v>101.42157999999999</v>
      </c>
      <c r="G101" s="4">
        <v>225.00200000000001</v>
      </c>
      <c r="H101" s="1">
        <v>47.5</v>
      </c>
      <c r="I101" s="5">
        <v>99.770089999999996</v>
      </c>
      <c r="J101" s="3">
        <f t="shared" si="14"/>
        <v>101.36048</v>
      </c>
      <c r="M101" s="4">
        <v>225.01231999999999</v>
      </c>
      <c r="N101" s="1">
        <v>47.5</v>
      </c>
      <c r="O101" s="5">
        <v>102.50788</v>
      </c>
      <c r="P101" s="3">
        <f t="shared" si="15"/>
        <v>101.71549</v>
      </c>
      <c r="S101" s="4">
        <v>250.00398999999999</v>
      </c>
      <c r="T101" s="1">
        <v>47.5</v>
      </c>
      <c r="U101" s="3">
        <v>98.690849999999998</v>
      </c>
      <c r="V101" s="3">
        <f t="shared" si="8"/>
        <v>102.01454</v>
      </c>
      <c r="Y101" s="4">
        <v>250.01746</v>
      </c>
      <c r="Z101" s="1">
        <v>47.5</v>
      </c>
      <c r="AA101" s="3">
        <v>104.10917000000001</v>
      </c>
      <c r="AB101" s="3">
        <f t="shared" si="9"/>
        <v>102.50015</v>
      </c>
      <c r="AF101" s="11">
        <v>342.99281999999999</v>
      </c>
      <c r="AG101" s="1">
        <v>47.5</v>
      </c>
      <c r="AH101" s="13">
        <v>98.971239999999995</v>
      </c>
      <c r="AI101" s="3">
        <f t="shared" si="10"/>
        <v>100.85068</v>
      </c>
      <c r="AJ101" s="1">
        <f t="shared" si="17"/>
        <v>6.7043799355252258E-3</v>
      </c>
      <c r="AK101" s="11">
        <v>342.98757999999998</v>
      </c>
      <c r="AL101" s="1">
        <v>47.5</v>
      </c>
      <c r="AM101" s="13">
        <v>98.806229999999999</v>
      </c>
      <c r="AN101" s="3">
        <f t="shared" si="11"/>
        <v>100.77184</v>
      </c>
      <c r="AO101" s="1">
        <f t="shared" si="16"/>
        <v>6.7597110184255023E-3</v>
      </c>
      <c r="AP101" s="18">
        <v>247.67680999999999</v>
      </c>
      <c r="AQ101" s="1">
        <v>47.5</v>
      </c>
      <c r="AR101" s="13">
        <v>100.20916</v>
      </c>
      <c r="AS101" s="3">
        <f t="shared" si="12"/>
        <v>100.76297</v>
      </c>
    </row>
    <row r="102" spans="1:45" ht="16" x14ac:dyDescent="0.2">
      <c r="A102" s="2">
        <v>200.01098999999999</v>
      </c>
      <c r="B102" s="1">
        <v>48</v>
      </c>
      <c r="C102" s="3">
        <v>101.6431</v>
      </c>
      <c r="D102" s="3">
        <f t="shared" si="13"/>
        <v>101.51965</v>
      </c>
      <c r="G102" s="4">
        <v>225.00505000000001</v>
      </c>
      <c r="H102" s="1">
        <v>48</v>
      </c>
      <c r="I102" s="3">
        <v>99.792640000000006</v>
      </c>
      <c r="J102" s="3">
        <f t="shared" si="14"/>
        <v>101.38303000000001</v>
      </c>
      <c r="M102" s="4">
        <v>225.01510999999999</v>
      </c>
      <c r="N102" s="1">
        <v>48</v>
      </c>
      <c r="O102" s="3">
        <v>102.53419</v>
      </c>
      <c r="P102" s="3">
        <f t="shared" si="15"/>
        <v>101.7418</v>
      </c>
      <c r="S102" s="4">
        <v>250.001</v>
      </c>
      <c r="T102" s="1">
        <v>48</v>
      </c>
      <c r="U102" s="5">
        <v>98.709819999999993</v>
      </c>
      <c r="V102" s="3">
        <f t="shared" si="8"/>
        <v>102.03350999999999</v>
      </c>
      <c r="Y102" s="4">
        <v>250.01673</v>
      </c>
      <c r="Z102" s="1">
        <v>48</v>
      </c>
      <c r="AA102" s="5">
        <v>104.1092</v>
      </c>
      <c r="AB102" s="3">
        <f t="shared" si="9"/>
        <v>102.50018</v>
      </c>
      <c r="AF102" s="11">
        <v>345.49982999999997</v>
      </c>
      <c r="AG102" s="1">
        <v>48</v>
      </c>
      <c r="AH102" s="12">
        <v>98.832539999999995</v>
      </c>
      <c r="AI102" s="3">
        <f t="shared" si="10"/>
        <v>100.71198</v>
      </c>
      <c r="AJ102" s="1">
        <f t="shared" si="17"/>
        <v>8.0864078720004201E-3</v>
      </c>
      <c r="AK102" s="11">
        <v>345.48678000000001</v>
      </c>
      <c r="AL102" s="1">
        <v>48</v>
      </c>
      <c r="AM102" s="12">
        <v>98.616690000000006</v>
      </c>
      <c r="AN102" s="3">
        <f t="shared" si="11"/>
        <v>100.5823</v>
      </c>
      <c r="AO102" s="1">
        <f t="shared" si="16"/>
        <v>8.6496899631708715E-3</v>
      </c>
      <c r="AP102" s="18">
        <v>249.17224999999999</v>
      </c>
      <c r="AQ102" s="1">
        <v>48</v>
      </c>
      <c r="AR102" s="12">
        <v>100.19992999999999</v>
      </c>
      <c r="AS102" s="3">
        <f t="shared" si="12"/>
        <v>100.75373999999999</v>
      </c>
    </row>
    <row r="103" spans="1:45" ht="16" x14ac:dyDescent="0.2">
      <c r="A103" s="2">
        <v>200.0147</v>
      </c>
      <c r="B103" s="1">
        <v>48.5</v>
      </c>
      <c r="C103" s="5">
        <v>101.53925</v>
      </c>
      <c r="D103" s="3">
        <f t="shared" si="13"/>
        <v>101.41579999999999</v>
      </c>
      <c r="G103" s="4">
        <v>225.00792000000001</v>
      </c>
      <c r="H103" s="1">
        <v>48.5</v>
      </c>
      <c r="I103" s="5">
        <v>99.807500000000005</v>
      </c>
      <c r="J103" s="3">
        <f t="shared" si="14"/>
        <v>101.39789</v>
      </c>
      <c r="M103" s="4">
        <v>225.01609999999999</v>
      </c>
      <c r="N103" s="1">
        <v>48.5</v>
      </c>
      <c r="O103" s="5">
        <v>102.49791999999999</v>
      </c>
      <c r="P103" s="3">
        <f t="shared" si="15"/>
        <v>101.70553</v>
      </c>
      <c r="S103" s="4">
        <v>249.99891</v>
      </c>
      <c r="T103" s="1">
        <v>48.5</v>
      </c>
      <c r="U103" s="3">
        <v>98.727909999999994</v>
      </c>
      <c r="V103" s="3">
        <f t="shared" si="8"/>
        <v>102.05159999999999</v>
      </c>
      <c r="Y103" s="4">
        <v>250.02078</v>
      </c>
      <c r="Z103" s="1">
        <v>48.5</v>
      </c>
      <c r="AA103" s="3">
        <v>104.09397</v>
      </c>
      <c r="AB103" s="3">
        <f t="shared" si="9"/>
        <v>102.48495</v>
      </c>
      <c r="AF103" s="11">
        <v>347.99626000000001</v>
      </c>
      <c r="AG103" s="1">
        <v>48.5</v>
      </c>
      <c r="AH103" s="13">
        <v>98.581869999999995</v>
      </c>
      <c r="AI103" s="3">
        <f t="shared" si="10"/>
        <v>100.46131</v>
      </c>
      <c r="AJ103" s="1">
        <f t="shared" si="17"/>
        <v>1.0584121951569532E-2</v>
      </c>
      <c r="AK103" s="11">
        <v>347.98079999999999</v>
      </c>
      <c r="AL103" s="1">
        <v>48.5</v>
      </c>
      <c r="AM103" s="13">
        <v>98.417439999999999</v>
      </c>
      <c r="AN103" s="3">
        <f t="shared" si="11"/>
        <v>100.38305</v>
      </c>
      <c r="AO103" s="1">
        <f t="shared" si="16"/>
        <v>1.0636491191093944E-2</v>
      </c>
      <c r="AP103" s="18">
        <v>250.67621</v>
      </c>
      <c r="AQ103" s="1">
        <v>48.5</v>
      </c>
      <c r="AR103" s="13">
        <v>100.23408000000001</v>
      </c>
      <c r="AS103" s="3">
        <f t="shared" si="12"/>
        <v>100.78789</v>
      </c>
    </row>
    <row r="104" spans="1:45" ht="16" x14ac:dyDescent="0.2">
      <c r="A104" s="2">
        <v>200.01449</v>
      </c>
      <c r="B104" s="1">
        <v>49</v>
      </c>
      <c r="C104" s="3">
        <v>101.77867999999999</v>
      </c>
      <c r="D104" s="3">
        <f t="shared" si="13"/>
        <v>101.65522999999999</v>
      </c>
      <c r="G104" s="4">
        <v>225.00888</v>
      </c>
      <c r="H104" s="1">
        <v>49</v>
      </c>
      <c r="I104" s="3">
        <v>99.82141</v>
      </c>
      <c r="J104" s="3">
        <f t="shared" si="14"/>
        <v>101.4118</v>
      </c>
      <c r="M104" s="4">
        <v>225.01463000000001</v>
      </c>
      <c r="N104" s="1">
        <v>49</v>
      </c>
      <c r="O104" s="3">
        <v>102.50364999999999</v>
      </c>
      <c r="P104" s="3">
        <f t="shared" si="15"/>
        <v>101.71126</v>
      </c>
      <c r="S104" s="4">
        <v>249.99605</v>
      </c>
      <c r="T104" s="1">
        <v>49</v>
      </c>
      <c r="U104" s="5">
        <v>98.694999999999993</v>
      </c>
      <c r="V104" s="3">
        <f t="shared" si="8"/>
        <v>102.01868999999999</v>
      </c>
      <c r="Y104" s="4">
        <v>250.01976999999999</v>
      </c>
      <c r="Z104" s="1">
        <v>49</v>
      </c>
      <c r="AA104" s="5">
        <v>104.18894</v>
      </c>
      <c r="AB104" s="3">
        <f t="shared" si="9"/>
        <v>102.57992</v>
      </c>
      <c r="AF104" s="11">
        <v>350.49784</v>
      </c>
      <c r="AG104" s="1">
        <v>49</v>
      </c>
      <c r="AH104" s="12">
        <v>98.396129999999999</v>
      </c>
      <c r="AI104" s="3">
        <f t="shared" si="10"/>
        <v>100.27557</v>
      </c>
      <c r="AJ104" s="1">
        <f t="shared" si="17"/>
        <v>1.2434863616464242E-2</v>
      </c>
      <c r="AK104" s="11">
        <v>350.48354999999998</v>
      </c>
      <c r="AL104" s="1">
        <v>49</v>
      </c>
      <c r="AM104" s="12">
        <v>98.190089999999998</v>
      </c>
      <c r="AN104" s="3">
        <f t="shared" si="11"/>
        <v>100.1557</v>
      </c>
      <c r="AO104" s="1">
        <f t="shared" si="16"/>
        <v>1.29034887276977E-2</v>
      </c>
      <c r="AP104" s="18">
        <v>252.17635000000001</v>
      </c>
      <c r="AQ104" s="1">
        <v>49</v>
      </c>
      <c r="AR104" s="12">
        <v>100.27546</v>
      </c>
      <c r="AS104" s="3">
        <f t="shared" si="12"/>
        <v>100.82926999999999</v>
      </c>
    </row>
    <row r="105" spans="1:45" ht="16" x14ac:dyDescent="0.2">
      <c r="A105" s="2">
        <v>200.01143999999999</v>
      </c>
      <c r="B105" s="1">
        <v>49.5</v>
      </c>
      <c r="C105" s="5">
        <v>101.69785</v>
      </c>
      <c r="D105" s="3">
        <f t="shared" si="13"/>
        <v>101.5744</v>
      </c>
      <c r="G105" s="4">
        <v>225.00793999999999</v>
      </c>
      <c r="H105" s="1">
        <v>49.5</v>
      </c>
      <c r="I105" s="5">
        <v>99.809719999999999</v>
      </c>
      <c r="J105" s="3">
        <f t="shared" si="14"/>
        <v>101.40011</v>
      </c>
      <c r="M105" s="4">
        <v>225.01585</v>
      </c>
      <c r="N105" s="1">
        <v>49.5</v>
      </c>
      <c r="O105" s="5">
        <v>102.51621</v>
      </c>
      <c r="P105" s="3">
        <f t="shared" si="15"/>
        <v>101.72382</v>
      </c>
      <c r="S105" s="4">
        <v>250.00402</v>
      </c>
      <c r="T105" s="1">
        <v>49.5</v>
      </c>
      <c r="U105" s="3">
        <v>98.719459999999998</v>
      </c>
      <c r="V105" s="3">
        <f t="shared" si="8"/>
        <v>102.04315</v>
      </c>
      <c r="Y105" s="4">
        <v>250.01729</v>
      </c>
      <c r="Z105" s="1">
        <v>49.5</v>
      </c>
      <c r="AA105" s="3">
        <v>104.19625000000001</v>
      </c>
      <c r="AB105" s="3">
        <f t="shared" si="9"/>
        <v>102.58723000000001</v>
      </c>
      <c r="AF105" s="11">
        <v>352.99772999999999</v>
      </c>
      <c r="AG105" s="1">
        <v>49.5</v>
      </c>
      <c r="AH105" s="13">
        <v>98.084280000000007</v>
      </c>
      <c r="AI105" s="3">
        <f t="shared" si="10"/>
        <v>99.963720000000009</v>
      </c>
      <c r="AJ105" s="1">
        <f t="shared" si="17"/>
        <v>1.5542184539245631E-2</v>
      </c>
      <c r="AK105" s="11">
        <v>352.9794</v>
      </c>
      <c r="AL105" s="1">
        <v>49.5</v>
      </c>
      <c r="AM105" s="13">
        <v>97.898420000000002</v>
      </c>
      <c r="AN105" s="3">
        <f t="shared" si="11"/>
        <v>99.86403</v>
      </c>
      <c r="AO105" s="1">
        <f t="shared" si="16"/>
        <v>1.5811846640612616E-2</v>
      </c>
      <c r="AP105" s="18">
        <v>253.68082999999999</v>
      </c>
      <c r="AQ105" s="1">
        <v>49.5</v>
      </c>
      <c r="AR105" s="13">
        <v>100.29857</v>
      </c>
      <c r="AS105" s="3">
        <f t="shared" si="12"/>
        <v>100.85238</v>
      </c>
    </row>
    <row r="106" spans="1:45" ht="16" x14ac:dyDescent="0.2">
      <c r="A106" s="2">
        <v>200.01291000000001</v>
      </c>
      <c r="B106" s="1">
        <v>50</v>
      </c>
      <c r="C106" s="3">
        <v>101.75371</v>
      </c>
      <c r="D106" s="3">
        <f t="shared" si="13"/>
        <v>101.63025999999999</v>
      </c>
      <c r="G106" s="4">
        <v>225.00425000000001</v>
      </c>
      <c r="H106" s="1">
        <v>50</v>
      </c>
      <c r="I106" s="3">
        <v>99.794970000000006</v>
      </c>
      <c r="J106" s="3">
        <f t="shared" si="14"/>
        <v>101.38536000000001</v>
      </c>
      <c r="M106" s="4">
        <v>225.01410999999999</v>
      </c>
      <c r="N106" s="1">
        <v>50</v>
      </c>
      <c r="O106" s="3">
        <v>102.51427</v>
      </c>
      <c r="P106" s="3">
        <f t="shared" si="15"/>
        <v>101.72188</v>
      </c>
      <c r="S106" s="4">
        <v>250.00104999999999</v>
      </c>
      <c r="T106" s="1">
        <v>50</v>
      </c>
      <c r="U106" s="5">
        <v>98.725880000000004</v>
      </c>
      <c r="V106" s="3">
        <f t="shared" si="8"/>
        <v>102.04957</v>
      </c>
      <c r="Y106" s="4">
        <v>250.01750000000001</v>
      </c>
      <c r="Z106" s="1">
        <v>50</v>
      </c>
      <c r="AA106" s="5">
        <v>104.24675999999999</v>
      </c>
      <c r="AB106" s="3">
        <f t="shared" si="9"/>
        <v>102.63773999999999</v>
      </c>
      <c r="AF106" s="11">
        <v>355.50098000000003</v>
      </c>
      <c r="AG106" s="1">
        <v>50</v>
      </c>
      <c r="AH106" s="12">
        <v>97.802120000000002</v>
      </c>
      <c r="AI106" s="3">
        <f t="shared" si="10"/>
        <v>99.681560000000005</v>
      </c>
      <c r="AJ106" s="1">
        <f t="shared" si="17"/>
        <v>1.8353669777571854E-2</v>
      </c>
      <c r="AK106" s="11">
        <v>355.48498000000001</v>
      </c>
      <c r="AL106" s="1">
        <v>50</v>
      </c>
      <c r="AM106" s="12">
        <v>97.714160000000007</v>
      </c>
      <c r="AN106" s="3">
        <f t="shared" si="11"/>
        <v>99.679770000000005</v>
      </c>
      <c r="AO106" s="1">
        <f t="shared" si="16"/>
        <v>1.7649176599242894E-2</v>
      </c>
      <c r="AP106" s="18">
        <v>255.18510000000001</v>
      </c>
      <c r="AQ106" s="1">
        <v>50</v>
      </c>
      <c r="AR106" s="12">
        <v>100.33812</v>
      </c>
      <c r="AS106" s="3">
        <f t="shared" si="12"/>
        <v>100.89193</v>
      </c>
    </row>
    <row r="107" spans="1:45" ht="16" x14ac:dyDescent="0.2">
      <c r="A107" s="2">
        <v>200.01345000000001</v>
      </c>
      <c r="B107" s="1">
        <v>50.5</v>
      </c>
      <c r="C107" s="5">
        <v>101.63337</v>
      </c>
      <c r="D107" s="3">
        <f t="shared" si="13"/>
        <v>101.50991999999999</v>
      </c>
      <c r="G107" s="4">
        <v>225.0077</v>
      </c>
      <c r="H107" s="1">
        <v>50.5</v>
      </c>
      <c r="I107" s="5">
        <v>99.842560000000006</v>
      </c>
      <c r="J107" s="3">
        <f t="shared" si="14"/>
        <v>101.43295000000001</v>
      </c>
      <c r="M107" s="4">
        <v>225.01621</v>
      </c>
      <c r="N107" s="1">
        <v>50.5</v>
      </c>
      <c r="O107" s="5">
        <v>102.35908000000001</v>
      </c>
      <c r="P107" s="3">
        <f t="shared" si="15"/>
        <v>101.56669000000001</v>
      </c>
      <c r="S107" s="4">
        <v>250.00208000000001</v>
      </c>
      <c r="T107" s="1">
        <v>50.5</v>
      </c>
      <c r="U107" s="3">
        <v>98.740629999999996</v>
      </c>
      <c r="V107" s="3">
        <f t="shared" si="8"/>
        <v>102.06432</v>
      </c>
      <c r="Y107" s="4">
        <v>250.01943</v>
      </c>
      <c r="Z107" s="1">
        <v>50.5</v>
      </c>
      <c r="AA107" s="3">
        <v>104.15998999999999</v>
      </c>
      <c r="AB107" s="3">
        <f t="shared" si="9"/>
        <v>102.55096999999999</v>
      </c>
      <c r="AF107" s="11">
        <v>358.00310999999999</v>
      </c>
      <c r="AG107" s="1">
        <v>50.5</v>
      </c>
      <c r="AH107" s="13">
        <v>97.501329999999996</v>
      </c>
      <c r="AI107" s="3">
        <f t="shared" si="10"/>
        <v>99.380769999999998</v>
      </c>
      <c r="AJ107" s="1">
        <f t="shared" si="17"/>
        <v>2.13507871749214E-2</v>
      </c>
      <c r="AK107" s="11">
        <v>357.98993000000002</v>
      </c>
      <c r="AL107" s="1">
        <v>50.5</v>
      </c>
      <c r="AM107" s="13">
        <v>97.301029999999997</v>
      </c>
      <c r="AN107" s="3">
        <f t="shared" si="11"/>
        <v>99.266639999999995</v>
      </c>
      <c r="AO107" s="1">
        <f t="shared" si="16"/>
        <v>2.1768660620782927E-2</v>
      </c>
      <c r="AP107" s="18">
        <v>256.68344000000002</v>
      </c>
      <c r="AQ107" s="1">
        <v>50.5</v>
      </c>
      <c r="AR107" s="13">
        <v>100.33538</v>
      </c>
      <c r="AS107" s="3">
        <f t="shared" si="12"/>
        <v>100.88919</v>
      </c>
    </row>
    <row r="108" spans="1:45" ht="16" x14ac:dyDescent="0.2">
      <c r="A108" s="2">
        <v>200.01114000000001</v>
      </c>
      <c r="B108" s="1">
        <v>51</v>
      </c>
      <c r="C108" s="3">
        <v>101.65231</v>
      </c>
      <c r="D108" s="3">
        <f t="shared" si="13"/>
        <v>101.52885999999999</v>
      </c>
      <c r="G108" s="4">
        <v>225.00391999999999</v>
      </c>
      <c r="H108" s="1">
        <v>51</v>
      </c>
      <c r="I108" s="3">
        <v>99.801240000000007</v>
      </c>
      <c r="J108" s="3">
        <f t="shared" si="14"/>
        <v>101.39163000000001</v>
      </c>
      <c r="M108" s="4">
        <v>225.01664</v>
      </c>
      <c r="N108" s="1">
        <v>51</v>
      </c>
      <c r="O108" s="3">
        <v>102.46420999999999</v>
      </c>
      <c r="P108" s="3">
        <f t="shared" si="15"/>
        <v>101.67182</v>
      </c>
      <c r="S108" s="4">
        <v>250.00403</v>
      </c>
      <c r="T108" s="1">
        <v>51</v>
      </c>
      <c r="U108" s="5">
        <v>98.752600000000001</v>
      </c>
      <c r="V108" s="3">
        <f t="shared" si="8"/>
        <v>102.07629</v>
      </c>
      <c r="Y108" s="4">
        <v>250.01885999999999</v>
      </c>
      <c r="Z108" s="1">
        <v>51</v>
      </c>
      <c r="AA108" s="5">
        <v>104.09387</v>
      </c>
      <c r="AB108" s="3">
        <f t="shared" si="9"/>
        <v>102.48484999999999</v>
      </c>
      <c r="AF108" s="11">
        <v>360.50358999999997</v>
      </c>
      <c r="AG108" s="1">
        <v>51</v>
      </c>
      <c r="AH108" s="12">
        <v>97.166970000000006</v>
      </c>
      <c r="AI108" s="3">
        <f t="shared" si="10"/>
        <v>99.046410000000009</v>
      </c>
      <c r="AJ108" s="1">
        <f t="shared" si="17"/>
        <v>2.4682401167998767E-2</v>
      </c>
      <c r="AK108" s="11">
        <v>360.49434000000002</v>
      </c>
      <c r="AL108" s="1">
        <v>51</v>
      </c>
      <c r="AM108" s="12">
        <v>97.025189999999995</v>
      </c>
      <c r="AN108" s="3">
        <f t="shared" si="11"/>
        <v>98.990799999999993</v>
      </c>
      <c r="AO108" s="1">
        <f t="shared" si="16"/>
        <v>2.451917128934146E-2</v>
      </c>
      <c r="AP108" s="18">
        <v>258.19</v>
      </c>
      <c r="AQ108" s="1">
        <v>51</v>
      </c>
      <c r="AR108" s="12">
        <v>100.37849</v>
      </c>
      <c r="AS108" s="3">
        <f t="shared" si="12"/>
        <v>100.9323</v>
      </c>
    </row>
    <row r="109" spans="1:45" ht="16" x14ac:dyDescent="0.2">
      <c r="A109" s="2">
        <v>200.01385999999999</v>
      </c>
      <c r="B109" s="1">
        <v>51.5</v>
      </c>
      <c r="C109" s="5">
        <v>101.5817</v>
      </c>
      <c r="D109" s="3">
        <f t="shared" si="13"/>
        <v>101.45824999999999</v>
      </c>
      <c r="G109" s="4">
        <v>225.00388000000001</v>
      </c>
      <c r="H109" s="1">
        <v>51.5</v>
      </c>
      <c r="I109" s="5">
        <v>99.829250000000002</v>
      </c>
      <c r="J109" s="3">
        <f t="shared" si="14"/>
        <v>101.41964</v>
      </c>
      <c r="M109" s="4">
        <v>225.01625999999999</v>
      </c>
      <c r="N109" s="1">
        <v>51.5</v>
      </c>
      <c r="O109" s="5">
        <v>102.53719</v>
      </c>
      <c r="P109" s="3">
        <f t="shared" si="15"/>
        <v>101.7448</v>
      </c>
      <c r="S109" s="4">
        <v>250.00292999999999</v>
      </c>
      <c r="T109" s="1">
        <v>51.5</v>
      </c>
      <c r="U109" s="3">
        <v>98.723600000000005</v>
      </c>
      <c r="V109" s="3">
        <f t="shared" si="8"/>
        <v>102.04729</v>
      </c>
      <c r="Y109" s="4">
        <v>250.01582999999999</v>
      </c>
      <c r="Z109" s="1">
        <v>51.5</v>
      </c>
      <c r="AA109" s="3">
        <v>104.17531</v>
      </c>
      <c r="AB109" s="3">
        <f t="shared" si="9"/>
        <v>102.56629</v>
      </c>
      <c r="AF109" s="11">
        <v>363.00389999999999</v>
      </c>
      <c r="AG109" s="1">
        <v>51.5</v>
      </c>
      <c r="AH109" s="13">
        <v>96.742949999999993</v>
      </c>
      <c r="AI109" s="3">
        <f t="shared" si="10"/>
        <v>98.622389999999996</v>
      </c>
      <c r="AJ109" s="1">
        <f t="shared" si="17"/>
        <v>2.8907401064352259E-2</v>
      </c>
      <c r="AK109" s="11">
        <v>362.98529000000002</v>
      </c>
      <c r="AL109" s="1">
        <v>51.5</v>
      </c>
      <c r="AM109" s="13">
        <v>96.536190000000005</v>
      </c>
      <c r="AN109" s="3">
        <f t="shared" si="11"/>
        <v>98.501800000000003</v>
      </c>
      <c r="AO109" s="1">
        <f t="shared" si="16"/>
        <v>2.9395185344319286E-2</v>
      </c>
      <c r="AP109" s="18">
        <v>259.68988000000002</v>
      </c>
      <c r="AQ109" s="1">
        <v>51.5</v>
      </c>
      <c r="AR109" s="13">
        <v>100.50655</v>
      </c>
      <c r="AS109" s="3">
        <f t="shared" si="12"/>
        <v>101.06036</v>
      </c>
    </row>
    <row r="110" spans="1:45" ht="16" x14ac:dyDescent="0.2">
      <c r="A110" s="2">
        <v>200.02028000000001</v>
      </c>
      <c r="B110" s="1">
        <v>52</v>
      </c>
      <c r="C110" s="3">
        <v>101.48267</v>
      </c>
      <c r="D110" s="3">
        <f t="shared" si="13"/>
        <v>101.35921999999999</v>
      </c>
      <c r="G110" s="4">
        <v>225.00604000000001</v>
      </c>
      <c r="H110" s="1">
        <v>52</v>
      </c>
      <c r="I110" s="3">
        <v>99.816789999999997</v>
      </c>
      <c r="J110" s="3">
        <f t="shared" si="14"/>
        <v>101.40718</v>
      </c>
      <c r="M110" s="4">
        <v>225.01818</v>
      </c>
      <c r="N110" s="1">
        <v>52</v>
      </c>
      <c r="O110" s="3">
        <v>102.51881</v>
      </c>
      <c r="P110" s="3">
        <f t="shared" si="15"/>
        <v>101.72642</v>
      </c>
      <c r="S110" s="4">
        <v>250.00497999999999</v>
      </c>
      <c r="T110" s="1">
        <v>52</v>
      </c>
      <c r="U110" s="5">
        <v>98.744219999999999</v>
      </c>
      <c r="V110" s="3">
        <f t="shared" si="8"/>
        <v>102.06791</v>
      </c>
      <c r="Y110" s="4">
        <v>250.01101</v>
      </c>
      <c r="Z110" s="1">
        <v>52</v>
      </c>
      <c r="AA110" s="5">
        <v>104.14131999999999</v>
      </c>
      <c r="AB110" s="3">
        <f t="shared" si="9"/>
        <v>102.53229999999999</v>
      </c>
      <c r="AF110" s="11">
        <v>365.49561999999997</v>
      </c>
      <c r="AG110" s="1">
        <v>52</v>
      </c>
      <c r="AH110" s="12">
        <v>96.358720000000005</v>
      </c>
      <c r="AI110" s="3">
        <f t="shared" si="10"/>
        <v>98.238160000000008</v>
      </c>
      <c r="AJ110" s="1">
        <f t="shared" si="17"/>
        <v>3.273592733711251E-2</v>
      </c>
      <c r="AK110" s="11">
        <v>365.48966000000001</v>
      </c>
      <c r="AL110" s="1">
        <v>52</v>
      </c>
      <c r="AM110" s="12">
        <v>96.192179999999993</v>
      </c>
      <c r="AN110" s="3">
        <f t="shared" si="11"/>
        <v>98.157789999999991</v>
      </c>
      <c r="AO110" s="1">
        <f t="shared" si="16"/>
        <v>3.2825446274898043E-2</v>
      </c>
      <c r="AP110" s="18">
        <v>261.18943000000002</v>
      </c>
      <c r="AQ110" s="1">
        <v>52</v>
      </c>
      <c r="AR110" s="12">
        <v>100.44788</v>
      </c>
      <c r="AS110" s="3">
        <f t="shared" si="12"/>
        <v>101.00169</v>
      </c>
    </row>
    <row r="111" spans="1:45" ht="16" x14ac:dyDescent="0.2">
      <c r="A111" s="2">
        <v>200.02206000000001</v>
      </c>
      <c r="B111" s="1">
        <v>52.5</v>
      </c>
      <c r="C111" s="5">
        <v>101.68425999999999</v>
      </c>
      <c r="D111" s="3">
        <f t="shared" si="13"/>
        <v>101.56080999999999</v>
      </c>
      <c r="G111" s="4">
        <v>225.00890000000001</v>
      </c>
      <c r="H111" s="1">
        <v>52.5</v>
      </c>
      <c r="I111" s="5">
        <v>99.818510000000003</v>
      </c>
      <c r="J111" s="3">
        <f t="shared" si="14"/>
        <v>101.4089</v>
      </c>
      <c r="M111" s="4">
        <v>225.01793000000001</v>
      </c>
      <c r="N111" s="1">
        <v>52.5</v>
      </c>
      <c r="O111" s="5">
        <v>102.51708000000001</v>
      </c>
      <c r="P111" s="3">
        <f t="shared" si="15"/>
        <v>101.72469000000001</v>
      </c>
      <c r="S111" s="4">
        <v>250.00801000000001</v>
      </c>
      <c r="T111" s="1">
        <v>52.5</v>
      </c>
      <c r="U111" s="3">
        <v>98.740170000000006</v>
      </c>
      <c r="V111" s="3">
        <f t="shared" si="8"/>
        <v>102.06386000000001</v>
      </c>
      <c r="Y111" s="4">
        <v>250.00615999999999</v>
      </c>
      <c r="Z111" s="1">
        <v>52.5</v>
      </c>
      <c r="AA111" s="3">
        <v>104.16809000000001</v>
      </c>
      <c r="AB111" s="3">
        <f t="shared" si="9"/>
        <v>102.55907000000001</v>
      </c>
      <c r="AF111" s="11">
        <v>367.99261999999999</v>
      </c>
      <c r="AG111" s="1">
        <v>52.5</v>
      </c>
      <c r="AH111" s="13">
        <v>95.9041</v>
      </c>
      <c r="AI111" s="3">
        <f t="shared" si="10"/>
        <v>97.783540000000002</v>
      </c>
      <c r="AJ111" s="1">
        <f t="shared" si="17"/>
        <v>3.7265830296595998E-2</v>
      </c>
      <c r="AK111" s="11">
        <v>367.98887000000002</v>
      </c>
      <c r="AL111" s="1">
        <v>52.5</v>
      </c>
      <c r="AM111" s="13">
        <v>95.738159999999993</v>
      </c>
      <c r="AN111" s="3">
        <f t="shared" si="11"/>
        <v>97.703769999999992</v>
      </c>
      <c r="AO111" s="1">
        <f t="shared" si="16"/>
        <v>3.7352660796863432E-2</v>
      </c>
      <c r="AP111" s="18">
        <v>262.69430999999997</v>
      </c>
      <c r="AQ111" s="1">
        <v>52.5</v>
      </c>
      <c r="AR111" s="13">
        <v>100.43328</v>
      </c>
      <c r="AS111" s="3">
        <f t="shared" si="12"/>
        <v>100.98708999999999</v>
      </c>
    </row>
    <row r="112" spans="1:45" ht="16" x14ac:dyDescent="0.2">
      <c r="A112" s="2">
        <v>200.02248</v>
      </c>
      <c r="B112" s="1">
        <v>53</v>
      </c>
      <c r="C112" s="3">
        <v>101.78018</v>
      </c>
      <c r="D112" s="3">
        <f t="shared" si="13"/>
        <v>101.65673</v>
      </c>
      <c r="G112" s="4">
        <v>225.00513000000001</v>
      </c>
      <c r="H112" s="1">
        <v>53</v>
      </c>
      <c r="I112" s="3">
        <v>99.809110000000004</v>
      </c>
      <c r="J112" s="3">
        <f t="shared" si="14"/>
        <v>101.3995</v>
      </c>
      <c r="M112" s="4">
        <v>225.01906</v>
      </c>
      <c r="N112" s="1">
        <v>53</v>
      </c>
      <c r="O112" s="3">
        <v>102.50749</v>
      </c>
      <c r="P112" s="3">
        <f t="shared" si="15"/>
        <v>101.71510000000001</v>
      </c>
      <c r="S112" s="4">
        <v>250.00703999999999</v>
      </c>
      <c r="T112" s="1">
        <v>53</v>
      </c>
      <c r="U112" s="5">
        <v>98.742440000000002</v>
      </c>
      <c r="V112" s="3">
        <f t="shared" si="8"/>
        <v>102.06613</v>
      </c>
      <c r="Y112" s="4">
        <v>250.00341</v>
      </c>
      <c r="Z112" s="1">
        <v>53</v>
      </c>
      <c r="AA112" s="5">
        <v>104.24332</v>
      </c>
      <c r="AB112" s="3">
        <f t="shared" si="9"/>
        <v>102.6343</v>
      </c>
      <c r="AF112" s="11">
        <v>370.49970999999999</v>
      </c>
      <c r="AG112" s="1">
        <v>53</v>
      </c>
      <c r="AH112" s="12">
        <v>95.428200000000004</v>
      </c>
      <c r="AI112" s="3">
        <f t="shared" si="10"/>
        <v>97.307640000000006</v>
      </c>
      <c r="AJ112" s="1">
        <f t="shared" si="17"/>
        <v>4.2007770418935858E-2</v>
      </c>
      <c r="AK112" s="11">
        <v>370.49502999999999</v>
      </c>
      <c r="AL112" s="1">
        <v>53</v>
      </c>
      <c r="AM112" s="12">
        <v>95.235569999999996</v>
      </c>
      <c r="AN112" s="3">
        <f t="shared" si="11"/>
        <v>97.201179999999994</v>
      </c>
      <c r="AO112" s="1">
        <f t="shared" si="16"/>
        <v>4.2364186162694405E-2</v>
      </c>
      <c r="AP112" s="18">
        <v>264.19222000000002</v>
      </c>
      <c r="AQ112" s="1">
        <v>53</v>
      </c>
      <c r="AR112" s="12">
        <v>100.51188999999999</v>
      </c>
      <c r="AS112" s="3">
        <f t="shared" si="12"/>
        <v>101.06569999999999</v>
      </c>
    </row>
    <row r="113" spans="1:45" ht="16" x14ac:dyDescent="0.2">
      <c r="A113" s="2">
        <v>200.02258</v>
      </c>
      <c r="B113" s="1">
        <v>53.5</v>
      </c>
      <c r="C113" s="5">
        <v>101.61002000000001</v>
      </c>
      <c r="D113" s="3">
        <f t="shared" si="13"/>
        <v>101.48657</v>
      </c>
      <c r="G113" s="4">
        <v>225.00301999999999</v>
      </c>
      <c r="H113" s="1">
        <v>53.5</v>
      </c>
      <c r="I113" s="5">
        <v>99.795069999999996</v>
      </c>
      <c r="J113" s="3">
        <f t="shared" si="14"/>
        <v>101.38545999999999</v>
      </c>
      <c r="M113" s="4">
        <v>225.01987</v>
      </c>
      <c r="N113" s="1">
        <v>53.5</v>
      </c>
      <c r="O113" s="5">
        <v>102.41746999999999</v>
      </c>
      <c r="P113" s="3">
        <f t="shared" si="15"/>
        <v>101.62508</v>
      </c>
      <c r="S113" s="4">
        <v>250.00391999999999</v>
      </c>
      <c r="T113" s="1">
        <v>53.5</v>
      </c>
      <c r="U113" s="3">
        <v>98.728099999999998</v>
      </c>
      <c r="V113" s="3">
        <f t="shared" si="8"/>
        <v>102.05179</v>
      </c>
      <c r="Y113" s="4">
        <v>250.00637</v>
      </c>
      <c r="Z113" s="1">
        <v>53.5</v>
      </c>
      <c r="AA113" s="3">
        <v>104.16092</v>
      </c>
      <c r="AB113" s="3">
        <f t="shared" si="9"/>
        <v>102.5519</v>
      </c>
      <c r="AF113" s="11">
        <v>373.00713999999999</v>
      </c>
      <c r="AG113" s="1">
        <v>53.5</v>
      </c>
      <c r="AH113" s="13">
        <v>94.906630000000007</v>
      </c>
      <c r="AI113" s="3">
        <f t="shared" si="10"/>
        <v>96.786070000000009</v>
      </c>
      <c r="AJ113" s="1">
        <f t="shared" si="17"/>
        <v>4.7204773380921168E-2</v>
      </c>
      <c r="AK113" s="11">
        <v>372.99691000000001</v>
      </c>
      <c r="AL113" s="1">
        <v>53.5</v>
      </c>
      <c r="AM113" s="13">
        <v>94.802499999999995</v>
      </c>
      <c r="AN113" s="3">
        <f t="shared" si="11"/>
        <v>96.768109999999993</v>
      </c>
      <c r="AO113" s="1">
        <f t="shared" si="16"/>
        <v>4.6682499878009931E-2</v>
      </c>
      <c r="AP113" s="18">
        <v>265.69706000000002</v>
      </c>
      <c r="AQ113" s="1">
        <v>53.5</v>
      </c>
      <c r="AR113" s="13">
        <v>100.52576999999999</v>
      </c>
      <c r="AS113" s="3">
        <f t="shared" si="12"/>
        <v>101.07957999999999</v>
      </c>
    </row>
    <row r="114" spans="1:45" ht="16" x14ac:dyDescent="0.2">
      <c r="A114" s="2">
        <v>200.02226999999999</v>
      </c>
      <c r="B114" s="1">
        <v>54</v>
      </c>
      <c r="C114" s="3">
        <v>101.58534</v>
      </c>
      <c r="D114" s="3">
        <f t="shared" si="13"/>
        <v>101.46189</v>
      </c>
      <c r="G114" s="4">
        <v>225.00389000000001</v>
      </c>
      <c r="H114" s="1">
        <v>54</v>
      </c>
      <c r="I114" s="3">
        <v>99.795879999999997</v>
      </c>
      <c r="J114" s="3">
        <f t="shared" si="14"/>
        <v>101.38627</v>
      </c>
      <c r="M114" s="4">
        <v>225.02063000000001</v>
      </c>
      <c r="N114" s="1">
        <v>54</v>
      </c>
      <c r="O114" s="3">
        <v>102.56985</v>
      </c>
      <c r="P114" s="3">
        <f t="shared" si="15"/>
        <v>101.77746</v>
      </c>
      <c r="S114" s="4">
        <v>250.00698</v>
      </c>
      <c r="T114" s="1">
        <v>54</v>
      </c>
      <c r="U114" s="5">
        <v>98.736080000000001</v>
      </c>
      <c r="V114" s="3">
        <f t="shared" si="8"/>
        <v>102.05977</v>
      </c>
      <c r="Y114" s="4">
        <v>250.00763000000001</v>
      </c>
      <c r="Z114" s="1">
        <v>54</v>
      </c>
      <c r="AA114" s="5">
        <v>104.2756</v>
      </c>
      <c r="AB114" s="3">
        <f t="shared" si="9"/>
        <v>102.66658</v>
      </c>
      <c r="AF114" s="11">
        <v>375.50497000000001</v>
      </c>
      <c r="AG114" s="1">
        <v>54</v>
      </c>
      <c r="AH114" s="12">
        <v>94.380880000000005</v>
      </c>
      <c r="AI114" s="3">
        <f t="shared" si="10"/>
        <v>96.260320000000007</v>
      </c>
      <c r="AJ114" s="1">
        <f t="shared" si="17"/>
        <v>5.2443426499896188E-2</v>
      </c>
      <c r="AK114" s="11">
        <v>375.49874999999997</v>
      </c>
      <c r="AL114" s="1">
        <v>54</v>
      </c>
      <c r="AM114" s="12">
        <v>94.20581</v>
      </c>
      <c r="AN114" s="3">
        <f t="shared" si="11"/>
        <v>96.171419999999998</v>
      </c>
      <c r="AO114" s="1">
        <f t="shared" si="16"/>
        <v>5.2632333878960345E-2</v>
      </c>
      <c r="AP114" s="18">
        <v>267.20188000000002</v>
      </c>
      <c r="AQ114" s="1">
        <v>54</v>
      </c>
      <c r="AR114" s="12">
        <v>100.54577999999999</v>
      </c>
      <c r="AS114" s="3">
        <f t="shared" si="12"/>
        <v>101.09958999999999</v>
      </c>
    </row>
    <row r="115" spans="1:45" ht="16" x14ac:dyDescent="0.2">
      <c r="A115" s="2">
        <v>200.01526000000001</v>
      </c>
      <c r="B115" s="1">
        <v>54.5</v>
      </c>
      <c r="C115" s="5">
        <v>101.60899999999999</v>
      </c>
      <c r="D115" s="3">
        <f t="shared" si="13"/>
        <v>101.48554999999999</v>
      </c>
      <c r="G115" s="4">
        <v>225.00584000000001</v>
      </c>
      <c r="H115" s="1">
        <v>54.5</v>
      </c>
      <c r="I115" s="5">
        <v>99.810460000000006</v>
      </c>
      <c r="J115" s="3">
        <f t="shared" si="14"/>
        <v>101.40085000000001</v>
      </c>
      <c r="M115" s="4">
        <v>225.02108000000001</v>
      </c>
      <c r="N115" s="1">
        <v>54.5</v>
      </c>
      <c r="O115" s="5">
        <v>102.51938</v>
      </c>
      <c r="P115" s="3">
        <f t="shared" si="15"/>
        <v>101.72699</v>
      </c>
      <c r="S115" s="4">
        <v>250.00189</v>
      </c>
      <c r="T115" s="1">
        <v>54.5</v>
      </c>
      <c r="U115" s="3">
        <v>98.761359999999996</v>
      </c>
      <c r="V115" s="3">
        <f t="shared" si="8"/>
        <v>102.08505</v>
      </c>
      <c r="Y115" s="4">
        <v>250.00640000000001</v>
      </c>
      <c r="Z115" s="1">
        <v>54.5</v>
      </c>
      <c r="AA115" s="3">
        <v>104.29045000000001</v>
      </c>
      <c r="AB115" s="3">
        <f t="shared" si="9"/>
        <v>102.68143000000001</v>
      </c>
      <c r="AF115" s="11">
        <v>377.99795</v>
      </c>
      <c r="AG115" s="1">
        <v>54.5</v>
      </c>
      <c r="AH115" s="13">
        <v>93.771820000000005</v>
      </c>
      <c r="AI115" s="3">
        <f t="shared" si="10"/>
        <v>95.651260000000008</v>
      </c>
      <c r="AJ115" s="1">
        <f t="shared" si="17"/>
        <v>5.8512193154471391E-2</v>
      </c>
      <c r="AK115" s="11">
        <v>377.99455999999998</v>
      </c>
      <c r="AL115" s="1">
        <v>54.5</v>
      </c>
      <c r="AM115" s="13">
        <v>93.591650000000001</v>
      </c>
      <c r="AN115" s="3">
        <f t="shared" si="11"/>
        <v>95.557259999999999</v>
      </c>
      <c r="AO115" s="1">
        <f t="shared" si="16"/>
        <v>5.8756368218439353E-2</v>
      </c>
      <c r="AP115" s="18">
        <v>268.69583999999998</v>
      </c>
      <c r="AQ115" s="1">
        <v>54.5</v>
      </c>
      <c r="AR115" s="13">
        <v>100.54474</v>
      </c>
      <c r="AS115" s="3">
        <f t="shared" si="12"/>
        <v>101.09855</v>
      </c>
    </row>
    <row r="116" spans="1:45" ht="16" x14ac:dyDescent="0.2">
      <c r="A116" s="2">
        <v>200.0153</v>
      </c>
      <c r="B116" s="1">
        <v>55</v>
      </c>
      <c r="C116" s="3">
        <v>101.73612</v>
      </c>
      <c r="D116" s="3">
        <f t="shared" si="13"/>
        <v>101.61266999999999</v>
      </c>
      <c r="G116" s="4">
        <v>225.00403</v>
      </c>
      <c r="H116" s="1">
        <v>55</v>
      </c>
      <c r="I116" s="3">
        <v>99.801010000000005</v>
      </c>
      <c r="J116" s="3">
        <f t="shared" si="14"/>
        <v>101.3914</v>
      </c>
      <c r="M116" s="4">
        <v>225.02006</v>
      </c>
      <c r="N116" s="1">
        <v>55</v>
      </c>
      <c r="O116" s="3">
        <v>102.65443</v>
      </c>
      <c r="P116" s="3">
        <f t="shared" si="15"/>
        <v>101.86204000000001</v>
      </c>
      <c r="S116" s="4">
        <v>249.99798000000001</v>
      </c>
      <c r="T116" s="1">
        <v>55</v>
      </c>
      <c r="U116" s="5">
        <v>98.750489999999999</v>
      </c>
      <c r="V116" s="3">
        <f t="shared" si="8"/>
        <v>102.07418</v>
      </c>
      <c r="Y116" s="4">
        <v>250.00386</v>
      </c>
      <c r="Z116" s="1">
        <v>55</v>
      </c>
      <c r="AA116" s="5">
        <v>104.21807</v>
      </c>
      <c r="AB116" s="3">
        <f t="shared" si="9"/>
        <v>102.60905</v>
      </c>
      <c r="AF116" s="11">
        <v>380.50331</v>
      </c>
      <c r="AG116" s="1">
        <v>55</v>
      </c>
      <c r="AH116" s="12">
        <v>93.119349999999997</v>
      </c>
      <c r="AI116" s="3">
        <f t="shared" si="10"/>
        <v>94.99879</v>
      </c>
      <c r="AJ116" s="1">
        <f t="shared" si="17"/>
        <v>6.5013503664290997E-2</v>
      </c>
      <c r="AK116" s="11">
        <v>380.49126000000001</v>
      </c>
      <c r="AL116" s="1">
        <v>55</v>
      </c>
      <c r="AM116" s="12">
        <v>92.918949999999995</v>
      </c>
      <c r="AN116" s="3">
        <f t="shared" si="11"/>
        <v>94.884559999999993</v>
      </c>
      <c r="AO116" s="1">
        <f t="shared" si="16"/>
        <v>6.546412824867183E-2</v>
      </c>
      <c r="AP116" s="18">
        <v>270.20391000000001</v>
      </c>
      <c r="AQ116" s="1">
        <v>55</v>
      </c>
      <c r="AR116" s="12">
        <v>100.64084</v>
      </c>
      <c r="AS116" s="3">
        <f t="shared" si="12"/>
        <v>101.19465</v>
      </c>
    </row>
    <row r="117" spans="1:45" ht="16" x14ac:dyDescent="0.2">
      <c r="A117" s="2">
        <v>200.02243999999999</v>
      </c>
      <c r="B117" s="1">
        <v>55.5</v>
      </c>
      <c r="C117" s="5">
        <v>101.65928</v>
      </c>
      <c r="D117" s="3">
        <f t="shared" si="13"/>
        <v>101.53582999999999</v>
      </c>
      <c r="G117" s="4">
        <v>225.00710000000001</v>
      </c>
      <c r="H117" s="1">
        <v>55.5</v>
      </c>
      <c r="I117" s="5">
        <v>99.821889999999996</v>
      </c>
      <c r="J117" s="3">
        <f t="shared" si="14"/>
        <v>101.41228</v>
      </c>
      <c r="M117" s="4">
        <v>225.01883000000001</v>
      </c>
      <c r="N117" s="1">
        <v>55.5</v>
      </c>
      <c r="O117" s="5">
        <v>102.51648</v>
      </c>
      <c r="P117" s="3">
        <f t="shared" si="15"/>
        <v>101.72409</v>
      </c>
      <c r="S117" s="4">
        <v>250.00505000000001</v>
      </c>
      <c r="T117" s="1">
        <v>55.5</v>
      </c>
      <c r="U117" s="3">
        <v>98.746979999999994</v>
      </c>
      <c r="V117" s="3">
        <f t="shared" si="8"/>
        <v>102.07066999999999</v>
      </c>
      <c r="Y117" s="4">
        <v>250.00373999999999</v>
      </c>
      <c r="Z117" s="1">
        <v>55.5</v>
      </c>
      <c r="AA117" s="3">
        <v>104.28005</v>
      </c>
      <c r="AB117" s="3">
        <f t="shared" si="9"/>
        <v>102.67103</v>
      </c>
      <c r="AF117" s="11">
        <v>383.01101999999997</v>
      </c>
      <c r="AG117" s="1">
        <v>55.5</v>
      </c>
      <c r="AH117" s="13">
        <v>92.464460000000003</v>
      </c>
      <c r="AI117" s="3">
        <f t="shared" si="10"/>
        <v>94.343900000000005</v>
      </c>
      <c r="AJ117" s="1">
        <f t="shared" si="17"/>
        <v>7.1538927422893972E-2</v>
      </c>
      <c r="AK117" s="11">
        <v>383.00076000000001</v>
      </c>
      <c r="AL117" s="1">
        <v>55.5</v>
      </c>
      <c r="AM117" s="13">
        <v>92.272220000000004</v>
      </c>
      <c r="AN117" s="3">
        <f t="shared" si="11"/>
        <v>94.237830000000002</v>
      </c>
      <c r="AO117" s="1">
        <f t="shared" si="16"/>
        <v>7.1912931049849388E-2</v>
      </c>
      <c r="AP117" s="18">
        <v>271.70524999999998</v>
      </c>
      <c r="AQ117" s="1">
        <v>55.5</v>
      </c>
      <c r="AR117" s="13">
        <v>100.6401</v>
      </c>
      <c r="AS117" s="3">
        <f t="shared" si="12"/>
        <v>101.19391</v>
      </c>
    </row>
    <row r="118" spans="1:45" ht="16" x14ac:dyDescent="0.2">
      <c r="A118" s="2">
        <v>200.02278000000001</v>
      </c>
      <c r="B118" s="1">
        <v>56</v>
      </c>
      <c r="C118" s="3">
        <v>101.63135</v>
      </c>
      <c r="D118" s="3">
        <f t="shared" si="13"/>
        <v>101.50789999999999</v>
      </c>
      <c r="G118" s="4">
        <v>225.00887</v>
      </c>
      <c r="H118" s="1">
        <v>56</v>
      </c>
      <c r="I118" s="3">
        <v>99.856920000000002</v>
      </c>
      <c r="J118" s="7">
        <f t="shared" si="14"/>
        <v>101.44731</v>
      </c>
      <c r="K118" s="1">
        <f>($J$118-J118)/($J$118*(1-$H$1))</f>
        <v>0</v>
      </c>
      <c r="M118" s="4">
        <v>225.02059</v>
      </c>
      <c r="N118" s="1">
        <v>56</v>
      </c>
      <c r="O118" s="3">
        <v>102.5792</v>
      </c>
      <c r="P118" s="3">
        <f t="shared" si="15"/>
        <v>101.78681</v>
      </c>
      <c r="S118" s="4">
        <v>250.00596999999999</v>
      </c>
      <c r="T118" s="1">
        <v>56</v>
      </c>
      <c r="U118" s="5">
        <v>98.759180000000001</v>
      </c>
      <c r="V118" s="3">
        <f t="shared" si="8"/>
        <v>102.08287</v>
      </c>
      <c r="Y118" s="4">
        <v>250.00402</v>
      </c>
      <c r="Z118" s="1">
        <v>56</v>
      </c>
      <c r="AA118" s="5">
        <v>104.32007</v>
      </c>
      <c r="AB118" s="3">
        <f t="shared" si="9"/>
        <v>102.71105</v>
      </c>
      <c r="AF118" s="11">
        <v>385.52148</v>
      </c>
      <c r="AG118" s="1">
        <v>56</v>
      </c>
      <c r="AH118" s="12">
        <v>91.734690000000001</v>
      </c>
      <c r="AI118" s="3">
        <f t="shared" si="10"/>
        <v>93.614130000000003</v>
      </c>
      <c r="AJ118" s="1">
        <f t="shared" si="17"/>
        <v>7.8810466912450597E-2</v>
      </c>
      <c r="AK118" s="11">
        <v>385.50767000000002</v>
      </c>
      <c r="AL118" s="1">
        <v>56</v>
      </c>
      <c r="AM118" s="12">
        <v>91.501720000000006</v>
      </c>
      <c r="AN118" s="3">
        <f t="shared" si="11"/>
        <v>93.467330000000004</v>
      </c>
      <c r="AO118" s="1">
        <f t="shared" si="16"/>
        <v>7.9595893891077366E-2</v>
      </c>
      <c r="AP118" s="18">
        <v>273.20834000000002</v>
      </c>
      <c r="AQ118" s="1">
        <v>56</v>
      </c>
      <c r="AR118" s="12">
        <v>100.67487</v>
      </c>
      <c r="AS118" s="3">
        <f t="shared" si="12"/>
        <v>101.22868</v>
      </c>
    </row>
    <row r="119" spans="1:45" ht="16" x14ac:dyDescent="0.2">
      <c r="A119" s="2">
        <v>200.02162000000001</v>
      </c>
      <c r="B119" s="1">
        <v>56.5</v>
      </c>
      <c r="C119" s="5">
        <v>101.6998</v>
      </c>
      <c r="D119" s="3">
        <f t="shared" si="13"/>
        <v>101.57634999999999</v>
      </c>
      <c r="G119" s="4">
        <v>225.00389999999999</v>
      </c>
      <c r="H119" s="1">
        <v>56.5</v>
      </c>
      <c r="I119" s="5">
        <v>99.821969999999993</v>
      </c>
      <c r="J119" s="3">
        <f t="shared" si="14"/>
        <v>101.41235999999999</v>
      </c>
      <c r="K119" s="1">
        <f t="shared" ref="K119:K182" si="18">($J$118-J119)/($J$118*(1-$H$1))</f>
        <v>3.4850877314070682E-4</v>
      </c>
      <c r="M119" s="4">
        <v>225.01918000000001</v>
      </c>
      <c r="N119" s="1">
        <v>56.5</v>
      </c>
      <c r="O119" s="5">
        <v>102.41105</v>
      </c>
      <c r="P119" s="3">
        <f t="shared" si="15"/>
        <v>101.61866000000001</v>
      </c>
      <c r="S119" s="4">
        <v>250.00398999999999</v>
      </c>
      <c r="T119" s="1">
        <v>56.5</v>
      </c>
      <c r="U119" s="3">
        <v>98.736289999999997</v>
      </c>
      <c r="V119" s="3">
        <f t="shared" si="8"/>
        <v>102.05998</v>
      </c>
      <c r="Y119" s="4">
        <v>250.00515999999999</v>
      </c>
      <c r="Z119" s="1">
        <v>56.5</v>
      </c>
      <c r="AA119" s="3">
        <v>104.26215000000001</v>
      </c>
      <c r="AB119" s="3">
        <f t="shared" si="9"/>
        <v>102.65313</v>
      </c>
      <c r="AF119" s="11">
        <v>388.02434</v>
      </c>
      <c r="AG119" s="1">
        <v>56.5</v>
      </c>
      <c r="AH119" s="13">
        <v>91.029579999999996</v>
      </c>
      <c r="AI119" s="3">
        <f t="shared" si="10"/>
        <v>92.909019999999998</v>
      </c>
      <c r="AJ119" s="1">
        <f t="shared" si="17"/>
        <v>8.5836290404073021E-2</v>
      </c>
      <c r="AK119" s="11">
        <v>388.01479999999998</v>
      </c>
      <c r="AL119" s="1">
        <v>56.5</v>
      </c>
      <c r="AM119" s="13">
        <v>90.78595</v>
      </c>
      <c r="AN119" s="3">
        <f t="shared" si="11"/>
        <v>92.751559999999998</v>
      </c>
      <c r="AO119" s="1">
        <f t="shared" si="16"/>
        <v>8.6733122071305555E-2</v>
      </c>
      <c r="AP119" s="18">
        <v>274.70902000000001</v>
      </c>
      <c r="AQ119" s="1">
        <v>56.5</v>
      </c>
      <c r="AR119" s="13">
        <v>100.74435</v>
      </c>
      <c r="AS119" s="3">
        <f t="shared" si="12"/>
        <v>101.29816</v>
      </c>
    </row>
    <row r="120" spans="1:45" ht="16" x14ac:dyDescent="0.2">
      <c r="A120" s="2">
        <v>200.02051</v>
      </c>
      <c r="B120" s="1">
        <v>57</v>
      </c>
      <c r="C120" s="3">
        <v>101.60923</v>
      </c>
      <c r="D120" s="3">
        <f t="shared" si="13"/>
        <v>101.48577999999999</v>
      </c>
      <c r="G120" s="4">
        <v>225.00689</v>
      </c>
      <c r="H120" s="1">
        <v>57</v>
      </c>
      <c r="I120" s="3">
        <v>99.818089999999998</v>
      </c>
      <c r="J120" s="3">
        <f t="shared" si="14"/>
        <v>101.40848</v>
      </c>
      <c r="K120" s="1">
        <f t="shared" si="18"/>
        <v>3.8719873136056152E-4</v>
      </c>
      <c r="M120" s="4">
        <v>225.01523</v>
      </c>
      <c r="N120" s="1">
        <v>57</v>
      </c>
      <c r="O120" s="3">
        <v>102.73719</v>
      </c>
      <c r="P120" s="3">
        <f t="shared" si="15"/>
        <v>101.9448</v>
      </c>
      <c r="S120" s="4">
        <v>250.00599</v>
      </c>
      <c r="T120" s="1">
        <v>57</v>
      </c>
      <c r="U120" s="5">
        <v>98.742599999999996</v>
      </c>
      <c r="V120" s="3">
        <f t="shared" si="8"/>
        <v>102.06629</v>
      </c>
      <c r="Y120" s="4">
        <v>250.00514999999999</v>
      </c>
      <c r="Z120" s="1">
        <v>57</v>
      </c>
      <c r="AA120" s="5">
        <v>104.29185</v>
      </c>
      <c r="AB120" s="3">
        <f t="shared" si="9"/>
        <v>102.68283</v>
      </c>
      <c r="AF120" s="11">
        <v>390.52634999999998</v>
      </c>
      <c r="AG120" s="1">
        <v>57</v>
      </c>
      <c r="AH120" s="12">
        <v>90.163070000000005</v>
      </c>
      <c r="AI120" s="3">
        <f t="shared" si="10"/>
        <v>92.042510000000007</v>
      </c>
      <c r="AJ120" s="1">
        <f t="shared" si="17"/>
        <v>9.4470328091420586E-2</v>
      </c>
      <c r="AK120" s="11">
        <v>390.51459</v>
      </c>
      <c r="AL120" s="1">
        <v>57</v>
      </c>
      <c r="AM120" s="12">
        <v>89.953779999999995</v>
      </c>
      <c r="AN120" s="3">
        <f t="shared" si="11"/>
        <v>91.919389999999993</v>
      </c>
      <c r="AO120" s="1">
        <f t="shared" si="16"/>
        <v>9.5031021081798395E-2</v>
      </c>
      <c r="AP120" s="18">
        <v>276.21024999999997</v>
      </c>
      <c r="AQ120" s="1">
        <v>57</v>
      </c>
      <c r="AR120" s="12">
        <v>100.72923</v>
      </c>
      <c r="AS120" s="3">
        <f t="shared" si="12"/>
        <v>101.28304</v>
      </c>
    </row>
    <row r="121" spans="1:45" ht="16" x14ac:dyDescent="0.2">
      <c r="A121" s="2">
        <v>200.02062000000001</v>
      </c>
      <c r="B121" s="1">
        <v>57.5</v>
      </c>
      <c r="C121" s="5">
        <v>101.79062999999999</v>
      </c>
      <c r="D121" s="3">
        <f t="shared" si="13"/>
        <v>101.66717999999999</v>
      </c>
      <c r="G121" s="4">
        <v>225.00592</v>
      </c>
      <c r="H121" s="1">
        <v>57.5</v>
      </c>
      <c r="I121" s="5">
        <v>99.814700000000002</v>
      </c>
      <c r="J121" s="3">
        <f t="shared" si="14"/>
        <v>101.40509</v>
      </c>
      <c r="K121" s="1">
        <f t="shared" si="18"/>
        <v>4.2100258660935399E-4</v>
      </c>
      <c r="M121" s="4">
        <v>225.01492999999999</v>
      </c>
      <c r="N121" s="1">
        <v>57.5</v>
      </c>
      <c r="O121" s="5">
        <v>102.74016</v>
      </c>
      <c r="P121" s="3">
        <f t="shared" si="15"/>
        <v>101.94777000000001</v>
      </c>
      <c r="S121" s="4">
        <v>250.00595999999999</v>
      </c>
      <c r="T121" s="1">
        <v>57.5</v>
      </c>
      <c r="U121" s="3">
        <v>98.752970000000005</v>
      </c>
      <c r="V121" s="3">
        <f t="shared" si="8"/>
        <v>102.07666</v>
      </c>
      <c r="Y121" s="4">
        <v>250.00516999999999</v>
      </c>
      <c r="Z121" s="1">
        <v>57.5</v>
      </c>
      <c r="AA121" s="3">
        <v>104.33712</v>
      </c>
      <c r="AB121" s="3">
        <f t="shared" si="9"/>
        <v>102.7281</v>
      </c>
      <c r="AF121" s="11">
        <v>393.03384</v>
      </c>
      <c r="AG121" s="1">
        <v>57.5</v>
      </c>
      <c r="AH121" s="13">
        <v>89.286850000000001</v>
      </c>
      <c r="AI121" s="3">
        <f t="shared" si="10"/>
        <v>91.166290000000004</v>
      </c>
      <c r="AJ121" s="1">
        <f t="shared" si="17"/>
        <v>0.10320111769847393</v>
      </c>
      <c r="AK121" s="11">
        <v>393.02166</v>
      </c>
      <c r="AL121" s="1">
        <v>57.5</v>
      </c>
      <c r="AM121" s="13">
        <v>89.099969999999999</v>
      </c>
      <c r="AN121" s="3">
        <f t="shared" si="11"/>
        <v>91.065579999999997</v>
      </c>
      <c r="AO121" s="1">
        <f t="shared" si="16"/>
        <v>0.10354470116417197</v>
      </c>
      <c r="AP121" s="18">
        <v>277.70370000000003</v>
      </c>
      <c r="AQ121" s="1">
        <v>57.5</v>
      </c>
      <c r="AR121" s="13">
        <v>100.78412</v>
      </c>
      <c r="AS121" s="3">
        <f t="shared" si="12"/>
        <v>101.33793</v>
      </c>
    </row>
    <row r="122" spans="1:45" ht="16" x14ac:dyDescent="0.2">
      <c r="A122" s="2">
        <v>200.02136999999999</v>
      </c>
      <c r="B122" s="1">
        <v>58</v>
      </c>
      <c r="C122" s="3">
        <v>101.72233</v>
      </c>
      <c r="D122" s="3">
        <f t="shared" si="13"/>
        <v>101.59887999999999</v>
      </c>
      <c r="G122" s="4">
        <v>225.00605999999999</v>
      </c>
      <c r="H122" s="1">
        <v>58</v>
      </c>
      <c r="I122" s="3">
        <v>99.808000000000007</v>
      </c>
      <c r="J122" s="3">
        <f t="shared" si="14"/>
        <v>101.39839000000001</v>
      </c>
      <c r="K122" s="1">
        <f t="shared" si="18"/>
        <v>4.8781256600965149E-4</v>
      </c>
      <c r="M122" s="4">
        <v>225.01523</v>
      </c>
      <c r="N122" s="1">
        <v>58</v>
      </c>
      <c r="O122" s="3">
        <v>102.601</v>
      </c>
      <c r="P122" s="3">
        <f t="shared" si="15"/>
        <v>101.80861</v>
      </c>
      <c r="S122" s="4">
        <v>250.00896</v>
      </c>
      <c r="T122" s="1">
        <v>58</v>
      </c>
      <c r="U122" s="5">
        <v>98.757090000000005</v>
      </c>
      <c r="V122" s="3">
        <f t="shared" si="8"/>
        <v>102.08078</v>
      </c>
      <c r="Y122" s="4">
        <v>250.00291000000001</v>
      </c>
      <c r="Z122" s="1">
        <v>58</v>
      </c>
      <c r="AA122" s="5">
        <v>104.29145</v>
      </c>
      <c r="AB122" s="3">
        <f t="shared" si="9"/>
        <v>102.68243</v>
      </c>
      <c r="AF122" s="11">
        <v>395.53922999999998</v>
      </c>
      <c r="AG122" s="1">
        <v>58</v>
      </c>
      <c r="AH122" s="12">
        <v>88.408869999999993</v>
      </c>
      <c r="AI122" s="3">
        <f t="shared" si="10"/>
        <v>90.288309999999996</v>
      </c>
      <c r="AJ122" s="1">
        <f t="shared" si="17"/>
        <v>0.11194944421373348</v>
      </c>
      <c r="AK122" s="11">
        <v>395.52312999999998</v>
      </c>
      <c r="AL122" s="1">
        <v>58</v>
      </c>
      <c r="AM122" s="12">
        <v>88.142089999999996</v>
      </c>
      <c r="AN122" s="3">
        <f t="shared" si="11"/>
        <v>90.107699999999994</v>
      </c>
      <c r="AO122" s="1">
        <f t="shared" si="16"/>
        <v>0.11309610472855289</v>
      </c>
      <c r="AP122" s="18">
        <v>279.20805000000001</v>
      </c>
      <c r="AQ122" s="1">
        <v>58</v>
      </c>
      <c r="AR122" s="12">
        <v>100.84868</v>
      </c>
      <c r="AS122" s="3">
        <f t="shared" si="12"/>
        <v>101.40249</v>
      </c>
    </row>
    <row r="123" spans="1:45" ht="16" x14ac:dyDescent="0.2">
      <c r="A123" s="2">
        <v>200.02007</v>
      </c>
      <c r="B123" s="1">
        <v>58.5</v>
      </c>
      <c r="C123" s="5">
        <v>101.82328</v>
      </c>
      <c r="D123" s="3">
        <f t="shared" si="13"/>
        <v>101.69982999999999</v>
      </c>
      <c r="G123" s="4">
        <v>225.00717</v>
      </c>
      <c r="H123" s="1">
        <v>58.5</v>
      </c>
      <c r="I123" s="5">
        <v>99.811310000000006</v>
      </c>
      <c r="J123" s="3">
        <f t="shared" si="14"/>
        <v>101.40170000000001</v>
      </c>
      <c r="K123" s="1">
        <f t="shared" si="18"/>
        <v>4.5480644185814641E-4</v>
      </c>
      <c r="M123" s="4">
        <v>225.01559</v>
      </c>
      <c r="N123" s="1">
        <v>58.5</v>
      </c>
      <c r="O123" s="5">
        <v>102.61275000000001</v>
      </c>
      <c r="P123" s="3">
        <f t="shared" si="15"/>
        <v>101.82036000000001</v>
      </c>
      <c r="S123" s="4">
        <v>250.00701000000001</v>
      </c>
      <c r="T123" s="1">
        <v>58.5</v>
      </c>
      <c r="U123" s="3">
        <v>98.73648</v>
      </c>
      <c r="V123" s="3">
        <f t="shared" si="8"/>
        <v>102.06017</v>
      </c>
      <c r="Y123" s="4">
        <v>250.00711999999999</v>
      </c>
      <c r="Z123" s="1">
        <v>58.5</v>
      </c>
      <c r="AA123" s="3">
        <v>104.27039000000001</v>
      </c>
      <c r="AB123" s="3">
        <f t="shared" si="9"/>
        <v>102.66137000000001</v>
      </c>
      <c r="AF123" s="11">
        <v>398.04415</v>
      </c>
      <c r="AG123" s="1">
        <v>58.5</v>
      </c>
      <c r="AH123" s="13">
        <v>87.432079999999999</v>
      </c>
      <c r="AI123" s="3">
        <f t="shared" si="10"/>
        <v>89.311520000000002</v>
      </c>
      <c r="AJ123" s="1">
        <f t="shared" si="17"/>
        <v>0.12168232862663612</v>
      </c>
      <c r="AK123" s="11">
        <v>398.02965</v>
      </c>
      <c r="AL123" s="1">
        <v>58.5</v>
      </c>
      <c r="AM123" s="13">
        <v>87.156469999999999</v>
      </c>
      <c r="AN123" s="3">
        <f t="shared" si="11"/>
        <v>89.122079999999997</v>
      </c>
      <c r="AO123" s="1">
        <f t="shared" si="16"/>
        <v>0.12292411489801573</v>
      </c>
      <c r="AP123" s="18">
        <v>280.70931000000002</v>
      </c>
      <c r="AQ123" s="1">
        <v>58.5</v>
      </c>
      <c r="AR123" s="13">
        <v>100.86704</v>
      </c>
      <c r="AS123" s="3">
        <f t="shared" si="12"/>
        <v>101.42085</v>
      </c>
    </row>
    <row r="124" spans="1:45" ht="16" x14ac:dyDescent="0.2">
      <c r="A124" s="2">
        <v>200.01591999999999</v>
      </c>
      <c r="B124" s="1">
        <v>59</v>
      </c>
      <c r="C124" s="3">
        <v>101.69516</v>
      </c>
      <c r="D124" s="3">
        <f t="shared" si="13"/>
        <v>101.57171</v>
      </c>
      <c r="G124" s="4">
        <v>225.0112</v>
      </c>
      <c r="H124" s="1">
        <v>59</v>
      </c>
      <c r="I124" s="3">
        <v>99.804810000000003</v>
      </c>
      <c r="J124" s="3">
        <f t="shared" si="14"/>
        <v>101.3952</v>
      </c>
      <c r="K124" s="1">
        <f t="shared" si="18"/>
        <v>5.1962209351522548E-4</v>
      </c>
      <c r="M124" s="4">
        <v>225.0147</v>
      </c>
      <c r="N124" s="1">
        <v>59</v>
      </c>
      <c r="O124" s="3">
        <v>102.70699</v>
      </c>
      <c r="P124" s="3">
        <f t="shared" si="15"/>
        <v>101.91460000000001</v>
      </c>
      <c r="S124" s="4">
        <v>250.00606999999999</v>
      </c>
      <c r="T124" s="1">
        <v>59</v>
      </c>
      <c r="U124" s="5">
        <v>98.756749999999997</v>
      </c>
      <c r="V124" s="3">
        <f t="shared" si="8"/>
        <v>102.08044</v>
      </c>
      <c r="Y124" s="4">
        <v>250.0103</v>
      </c>
      <c r="Z124" s="1">
        <v>59</v>
      </c>
      <c r="AA124" s="5">
        <v>104.36360000000001</v>
      </c>
      <c r="AB124" s="3">
        <f t="shared" si="9"/>
        <v>102.75458</v>
      </c>
      <c r="AF124" s="11">
        <v>400.55063000000001</v>
      </c>
      <c r="AG124" s="1">
        <v>59</v>
      </c>
      <c r="AH124" s="12">
        <v>86.413390000000007</v>
      </c>
      <c r="AI124" s="3">
        <f t="shared" si="10"/>
        <v>88.292830000000009</v>
      </c>
      <c r="AJ124" s="1">
        <f t="shared" si="17"/>
        <v>0.13183271102467436</v>
      </c>
      <c r="AK124" s="11">
        <v>400.53847000000002</v>
      </c>
      <c r="AL124" s="1">
        <v>59</v>
      </c>
      <c r="AM124" s="12">
        <v>86.179820000000007</v>
      </c>
      <c r="AN124" s="3">
        <f t="shared" si="11"/>
        <v>88.145430000000005</v>
      </c>
      <c r="AO124" s="1">
        <f t="shared" si="16"/>
        <v>0.13266268161947617</v>
      </c>
      <c r="AP124" s="18">
        <v>282.21471000000003</v>
      </c>
      <c r="AQ124" s="1">
        <v>59</v>
      </c>
      <c r="AR124" s="12">
        <v>100.97391</v>
      </c>
      <c r="AS124" s="3">
        <f t="shared" si="12"/>
        <v>101.52772</v>
      </c>
    </row>
    <row r="125" spans="1:45" ht="16" x14ac:dyDescent="0.2">
      <c r="A125" s="2">
        <v>200.01837</v>
      </c>
      <c r="B125" s="1">
        <v>59.5</v>
      </c>
      <c r="C125" s="5">
        <v>101.81863</v>
      </c>
      <c r="D125" s="3">
        <f t="shared" si="13"/>
        <v>101.69517999999999</v>
      </c>
      <c r="G125" s="4">
        <v>225.00899999999999</v>
      </c>
      <c r="H125" s="1">
        <v>59.5</v>
      </c>
      <c r="I125" s="5">
        <v>99.792929999999998</v>
      </c>
      <c r="J125" s="3">
        <f t="shared" si="14"/>
        <v>101.38332</v>
      </c>
      <c r="K125" s="1">
        <f t="shared" si="18"/>
        <v>6.3808516146693524E-4</v>
      </c>
      <c r="M125" s="4">
        <v>225.01387</v>
      </c>
      <c r="N125" s="1">
        <v>59.5</v>
      </c>
      <c r="O125" s="5">
        <v>102.63574</v>
      </c>
      <c r="P125" s="3">
        <f t="shared" si="15"/>
        <v>101.84335</v>
      </c>
      <c r="S125" s="4">
        <v>250.00693999999999</v>
      </c>
      <c r="T125" s="1">
        <v>59.5</v>
      </c>
      <c r="U125" s="3">
        <v>98.756799999999998</v>
      </c>
      <c r="V125" s="3">
        <f t="shared" si="8"/>
        <v>102.08049</v>
      </c>
      <c r="Y125" s="4">
        <v>250.01453000000001</v>
      </c>
      <c r="Z125" s="1">
        <v>59.5</v>
      </c>
      <c r="AA125" s="3">
        <v>104.35786</v>
      </c>
      <c r="AB125" s="3">
        <f t="shared" si="9"/>
        <v>102.74884</v>
      </c>
      <c r="AF125" s="11">
        <v>403.05569000000003</v>
      </c>
      <c r="AG125" s="1">
        <v>59.5</v>
      </c>
      <c r="AH125" s="13">
        <v>85.313649999999996</v>
      </c>
      <c r="AI125" s="3">
        <f t="shared" si="10"/>
        <v>87.193089999999998</v>
      </c>
      <c r="AJ125" s="1">
        <f t="shared" si="17"/>
        <v>0.14279068797391187</v>
      </c>
      <c r="AK125" s="11">
        <v>403.0421</v>
      </c>
      <c r="AL125" s="1">
        <v>59.5</v>
      </c>
      <c r="AM125" s="13">
        <v>85.065020000000004</v>
      </c>
      <c r="AN125" s="3">
        <f t="shared" si="11"/>
        <v>87.030630000000002</v>
      </c>
      <c r="AO125" s="1">
        <f t="shared" si="16"/>
        <v>0.14377879709695959</v>
      </c>
      <c r="AP125" s="18">
        <v>283.71048000000002</v>
      </c>
      <c r="AQ125" s="1">
        <v>59.5</v>
      </c>
      <c r="AR125" s="13">
        <v>100.92645</v>
      </c>
      <c r="AS125" s="3">
        <f t="shared" si="12"/>
        <v>101.48026</v>
      </c>
    </row>
    <row r="126" spans="1:45" ht="16" x14ac:dyDescent="0.2">
      <c r="A126" s="2">
        <v>200.01888</v>
      </c>
      <c r="B126" s="1">
        <v>60</v>
      </c>
      <c r="C126" s="3">
        <v>101.74386</v>
      </c>
      <c r="D126" s="3">
        <f t="shared" si="13"/>
        <v>101.62040999999999</v>
      </c>
      <c r="G126" s="4">
        <v>225.00805</v>
      </c>
      <c r="H126" s="1">
        <v>60</v>
      </c>
      <c r="I126" s="3">
        <v>99.798400000000001</v>
      </c>
      <c r="J126" s="3">
        <f t="shared" si="14"/>
        <v>101.38879</v>
      </c>
      <c r="K126" s="1">
        <f t="shared" si="18"/>
        <v>5.835402976878208E-4</v>
      </c>
      <c r="M126" s="4">
        <v>225.01374000000001</v>
      </c>
      <c r="N126" s="1">
        <v>60</v>
      </c>
      <c r="O126" s="3">
        <v>102.76607</v>
      </c>
      <c r="P126" s="3">
        <f t="shared" si="15"/>
        <v>101.97368</v>
      </c>
      <c r="S126" s="4">
        <v>250.00808000000001</v>
      </c>
      <c r="T126" s="1">
        <v>60</v>
      </c>
      <c r="U126" s="5">
        <v>98.744569999999996</v>
      </c>
      <c r="V126" s="3">
        <f t="shared" si="8"/>
        <v>102.06826</v>
      </c>
      <c r="Y126" s="4">
        <v>250.01429999999999</v>
      </c>
      <c r="Z126" s="1">
        <v>60</v>
      </c>
      <c r="AA126" s="5">
        <v>104.34773</v>
      </c>
      <c r="AB126" s="3">
        <f t="shared" si="9"/>
        <v>102.73871</v>
      </c>
      <c r="AF126" s="11">
        <v>405.56493999999998</v>
      </c>
      <c r="AG126" s="1">
        <v>60</v>
      </c>
      <c r="AH126" s="12">
        <v>84.206389999999999</v>
      </c>
      <c r="AI126" s="3">
        <f t="shared" si="10"/>
        <v>86.085830000000001</v>
      </c>
      <c r="AJ126" s="1">
        <f t="shared" si="17"/>
        <v>0.1538235953491211</v>
      </c>
      <c r="AK126" s="11">
        <v>405.55290000000002</v>
      </c>
      <c r="AL126" s="1">
        <v>60</v>
      </c>
      <c r="AM126" s="12">
        <v>83.919250000000005</v>
      </c>
      <c r="AN126" s="3">
        <f t="shared" si="11"/>
        <v>85.884860000000003</v>
      </c>
      <c r="AO126" s="1">
        <f t="shared" si="16"/>
        <v>0.15520372679792493</v>
      </c>
      <c r="AP126" s="18">
        <v>285.22086999999999</v>
      </c>
      <c r="AQ126" s="1">
        <v>60</v>
      </c>
      <c r="AR126" s="12">
        <v>101.03464</v>
      </c>
      <c r="AS126" s="3">
        <f t="shared" si="12"/>
        <v>101.58844999999999</v>
      </c>
    </row>
    <row r="127" spans="1:45" ht="16" x14ac:dyDescent="0.2">
      <c r="A127" s="2">
        <v>200.02133000000001</v>
      </c>
      <c r="B127" s="1">
        <v>60.5</v>
      </c>
      <c r="C127" s="5">
        <v>101.77605</v>
      </c>
      <c r="D127" s="3">
        <f t="shared" si="13"/>
        <v>101.65259999999999</v>
      </c>
      <c r="G127" s="4">
        <v>225.00294</v>
      </c>
      <c r="H127" s="1">
        <v>60.5</v>
      </c>
      <c r="I127" s="5">
        <v>99.815749999999994</v>
      </c>
      <c r="J127" s="3">
        <f t="shared" si="14"/>
        <v>101.40613999999999</v>
      </c>
      <c r="K127" s="1">
        <f t="shared" si="18"/>
        <v>4.1053236595713836E-4</v>
      </c>
      <c r="M127" s="4">
        <v>225.01232999999999</v>
      </c>
      <c r="N127" s="1">
        <v>60.5</v>
      </c>
      <c r="O127" s="5">
        <v>102.55794</v>
      </c>
      <c r="P127" s="3">
        <f t="shared" si="15"/>
        <v>101.76555</v>
      </c>
      <c r="S127" s="4">
        <v>250.00308999999999</v>
      </c>
      <c r="T127" s="1">
        <v>60.5</v>
      </c>
      <c r="U127" s="3">
        <v>98.763279999999995</v>
      </c>
      <c r="V127" s="3">
        <f t="shared" si="8"/>
        <v>102.08696999999999</v>
      </c>
      <c r="Y127" s="4">
        <v>250.01285999999999</v>
      </c>
      <c r="Z127" s="1">
        <v>60.5</v>
      </c>
      <c r="AA127" s="3">
        <v>104.38223000000001</v>
      </c>
      <c r="AB127" s="3">
        <f t="shared" si="9"/>
        <v>102.77321000000001</v>
      </c>
      <c r="AF127" s="11">
        <v>408.07297999999997</v>
      </c>
      <c r="AG127" s="1">
        <v>60.5</v>
      </c>
      <c r="AH127" s="13">
        <v>82.936509999999998</v>
      </c>
      <c r="AI127" s="3">
        <f t="shared" si="10"/>
        <v>84.815950000000001</v>
      </c>
      <c r="AJ127" s="1">
        <f t="shared" si="17"/>
        <v>0.16647687318597126</v>
      </c>
      <c r="AK127" s="11">
        <v>408.05972000000003</v>
      </c>
      <c r="AL127" s="1">
        <v>60.5</v>
      </c>
      <c r="AM127" s="13">
        <v>82.640870000000007</v>
      </c>
      <c r="AN127" s="3">
        <f t="shared" si="11"/>
        <v>84.606480000000005</v>
      </c>
      <c r="AO127" s="1">
        <f t="shared" si="16"/>
        <v>0.16795096370508786</v>
      </c>
      <c r="AP127" s="18">
        <v>286.71535</v>
      </c>
      <c r="AQ127" s="1">
        <v>60.5</v>
      </c>
      <c r="AR127" s="13">
        <v>101.01618999999999</v>
      </c>
      <c r="AS127" s="3">
        <f t="shared" si="12"/>
        <v>101.57</v>
      </c>
    </row>
    <row r="128" spans="1:45" ht="16" x14ac:dyDescent="0.2">
      <c r="A128" s="2">
        <v>200.01918000000001</v>
      </c>
      <c r="B128" s="1">
        <v>61</v>
      </c>
      <c r="C128" s="3">
        <v>101.76336999999999</v>
      </c>
      <c r="D128" s="3">
        <f t="shared" si="13"/>
        <v>101.63991999999999</v>
      </c>
      <c r="G128" s="4">
        <v>225.00295</v>
      </c>
      <c r="H128" s="1">
        <v>61</v>
      </c>
      <c r="I128" s="3">
        <v>99.788529999999994</v>
      </c>
      <c r="J128" s="3">
        <f t="shared" si="14"/>
        <v>101.37891999999999</v>
      </c>
      <c r="K128" s="1">
        <f t="shared" si="18"/>
        <v>6.8196037181944135E-4</v>
      </c>
      <c r="M128" s="4">
        <v>225.01275000000001</v>
      </c>
      <c r="N128" s="1">
        <v>61</v>
      </c>
      <c r="O128" s="3">
        <v>102.7195</v>
      </c>
      <c r="P128" s="3">
        <f t="shared" si="15"/>
        <v>101.92711</v>
      </c>
      <c r="S128" s="4">
        <v>250.00314</v>
      </c>
      <c r="T128" s="1">
        <v>61</v>
      </c>
      <c r="U128" s="5">
        <v>98.763260000000002</v>
      </c>
      <c r="V128" s="3">
        <f t="shared" si="8"/>
        <v>102.08695</v>
      </c>
      <c r="Y128" s="4">
        <v>250.01343</v>
      </c>
      <c r="Z128" s="1">
        <v>61</v>
      </c>
      <c r="AA128" s="5">
        <v>104.37271</v>
      </c>
      <c r="AB128" s="3">
        <f t="shared" si="9"/>
        <v>102.76369</v>
      </c>
      <c r="AF128" s="11">
        <v>410.57817999999997</v>
      </c>
      <c r="AG128" s="1">
        <v>61</v>
      </c>
      <c r="AH128" s="12">
        <v>81.672839999999994</v>
      </c>
      <c r="AI128" s="3">
        <f t="shared" si="10"/>
        <v>83.552279999999996</v>
      </c>
      <c r="AJ128" s="1">
        <f t="shared" si="17"/>
        <v>0.17906827363648037</v>
      </c>
      <c r="AK128" s="11">
        <v>410.56178999999997</v>
      </c>
      <c r="AL128" s="1">
        <v>61</v>
      </c>
      <c r="AM128" s="12">
        <v>81.347210000000004</v>
      </c>
      <c r="AN128" s="3">
        <f t="shared" si="11"/>
        <v>83.312820000000002</v>
      </c>
      <c r="AO128" s="1">
        <f t="shared" si="16"/>
        <v>0.18085056358722029</v>
      </c>
      <c r="AP128" s="18">
        <v>288.21946000000003</v>
      </c>
      <c r="AQ128" s="1">
        <v>61</v>
      </c>
      <c r="AR128" s="12">
        <v>101.03621</v>
      </c>
      <c r="AS128" s="3">
        <f t="shared" si="12"/>
        <v>101.59002</v>
      </c>
    </row>
    <row r="129" spans="1:45" ht="16" x14ac:dyDescent="0.2">
      <c r="A129" s="2">
        <v>200.00994</v>
      </c>
      <c r="B129" s="1">
        <v>61.5</v>
      </c>
      <c r="C129" s="5">
        <v>101.83489</v>
      </c>
      <c r="D129" s="3">
        <f t="shared" si="13"/>
        <v>101.71144</v>
      </c>
      <c r="G129" s="4">
        <v>225.00996000000001</v>
      </c>
      <c r="H129" s="1">
        <v>61.5</v>
      </c>
      <c r="I129" s="5">
        <v>99.811449999999994</v>
      </c>
      <c r="J129" s="3">
        <f t="shared" si="14"/>
        <v>101.40183999999999</v>
      </c>
      <c r="K129" s="1">
        <f t="shared" si="18"/>
        <v>4.5341041243796438E-4</v>
      </c>
      <c r="M129" s="4">
        <v>225.01087000000001</v>
      </c>
      <c r="N129" s="1">
        <v>61.5</v>
      </c>
      <c r="O129" s="5">
        <v>102.62987</v>
      </c>
      <c r="P129" s="3">
        <f t="shared" si="15"/>
        <v>101.83748</v>
      </c>
      <c r="S129" s="4">
        <v>250.00301999999999</v>
      </c>
      <c r="T129" s="1">
        <v>61.5</v>
      </c>
      <c r="U129" s="3">
        <v>98.755099999999999</v>
      </c>
      <c r="V129" s="3">
        <f t="shared" si="8"/>
        <v>102.07879</v>
      </c>
      <c r="Y129" s="4">
        <v>250.01461</v>
      </c>
      <c r="Z129" s="1">
        <v>61.5</v>
      </c>
      <c r="AA129" s="3">
        <v>104.34904</v>
      </c>
      <c r="AB129" s="3">
        <f t="shared" si="9"/>
        <v>102.74002</v>
      </c>
      <c r="AF129" s="11">
        <v>413.08210000000003</v>
      </c>
      <c r="AG129" s="1">
        <v>61.5</v>
      </c>
      <c r="AH129" s="13">
        <v>80.358890000000002</v>
      </c>
      <c r="AI129" s="3">
        <f t="shared" si="10"/>
        <v>82.238330000000005</v>
      </c>
      <c r="AJ129" s="1">
        <f t="shared" si="17"/>
        <v>0.1921606716691521</v>
      </c>
      <c r="AK129" s="11">
        <v>413.06783000000001</v>
      </c>
      <c r="AL129" s="1">
        <v>61.5</v>
      </c>
      <c r="AM129" s="13">
        <v>79.992890000000003</v>
      </c>
      <c r="AN129" s="3">
        <f t="shared" si="11"/>
        <v>81.958500000000001</v>
      </c>
      <c r="AO129" s="1">
        <f t="shared" si="16"/>
        <v>0.19435502852574321</v>
      </c>
      <c r="AP129" s="18">
        <v>289.72559999999999</v>
      </c>
      <c r="AQ129" s="1">
        <v>61.5</v>
      </c>
      <c r="AR129" s="13">
        <v>101.07980000000001</v>
      </c>
      <c r="AS129" s="3">
        <f t="shared" si="12"/>
        <v>101.63361</v>
      </c>
    </row>
    <row r="130" spans="1:45" ht="16" x14ac:dyDescent="0.2">
      <c r="A130" s="2">
        <v>200.01095000000001</v>
      </c>
      <c r="B130" s="1">
        <v>62</v>
      </c>
      <c r="C130" s="3">
        <v>101.79053</v>
      </c>
      <c r="D130" s="3">
        <f t="shared" si="13"/>
        <v>101.66708</v>
      </c>
      <c r="G130" s="4">
        <v>225.01096999999999</v>
      </c>
      <c r="H130" s="1">
        <v>62</v>
      </c>
      <c r="I130" s="3">
        <v>99.817700000000002</v>
      </c>
      <c r="J130" s="3">
        <f t="shared" si="14"/>
        <v>101.40809</v>
      </c>
      <c r="K130" s="1">
        <f t="shared" si="18"/>
        <v>3.9108767045994378E-4</v>
      </c>
      <c r="M130" s="4">
        <v>225.01299</v>
      </c>
      <c r="N130" s="1">
        <v>62</v>
      </c>
      <c r="O130" s="3">
        <v>102.62156</v>
      </c>
      <c r="P130" s="3">
        <f t="shared" si="15"/>
        <v>101.82917</v>
      </c>
      <c r="S130" s="4">
        <v>250.00799000000001</v>
      </c>
      <c r="T130" s="1">
        <v>62</v>
      </c>
      <c r="U130" s="5">
        <v>98.758870000000002</v>
      </c>
      <c r="V130" s="3">
        <f t="shared" si="8"/>
        <v>102.08256</v>
      </c>
      <c r="Y130" s="4">
        <v>250.01375999999999</v>
      </c>
      <c r="Z130" s="1">
        <v>62</v>
      </c>
      <c r="AA130" s="5">
        <v>104.34610000000001</v>
      </c>
      <c r="AB130" s="3">
        <f t="shared" si="9"/>
        <v>102.73708000000001</v>
      </c>
      <c r="AF130" s="11">
        <v>415.59305999999998</v>
      </c>
      <c r="AG130" s="1">
        <v>62</v>
      </c>
      <c r="AH130" s="12">
        <v>78.941329999999994</v>
      </c>
      <c r="AI130" s="3">
        <f t="shared" si="10"/>
        <v>80.820769999999996</v>
      </c>
      <c r="AJ130" s="1">
        <f t="shared" si="17"/>
        <v>0.20628545553093858</v>
      </c>
      <c r="AK130" s="11">
        <v>415.57531</v>
      </c>
      <c r="AL130" s="1">
        <v>62</v>
      </c>
      <c r="AM130" s="12">
        <v>78.58108</v>
      </c>
      <c r="AN130" s="3">
        <f t="shared" si="11"/>
        <v>80.546689999999998</v>
      </c>
      <c r="AO130" s="1">
        <f t="shared" si="16"/>
        <v>0.20843274918618984</v>
      </c>
      <c r="AP130" s="18">
        <v>291.22998999999999</v>
      </c>
      <c r="AQ130" s="1">
        <v>62</v>
      </c>
      <c r="AR130" s="12">
        <v>101.1221</v>
      </c>
      <c r="AS130" s="3">
        <f t="shared" si="12"/>
        <v>101.67591</v>
      </c>
    </row>
    <row r="131" spans="1:45" ht="16" x14ac:dyDescent="0.2">
      <c r="A131" s="2">
        <v>200.01401999999999</v>
      </c>
      <c r="B131" s="1">
        <v>62.5</v>
      </c>
      <c r="C131" s="5">
        <v>101.724</v>
      </c>
      <c r="D131" s="3">
        <f t="shared" si="13"/>
        <v>101.60055</v>
      </c>
      <c r="G131" s="4">
        <v>225.00798</v>
      </c>
      <c r="H131" s="1">
        <v>62.5</v>
      </c>
      <c r="I131" s="5">
        <v>99.816289999999995</v>
      </c>
      <c r="J131" s="3">
        <f t="shared" si="14"/>
        <v>101.40667999999999</v>
      </c>
      <c r="K131" s="1">
        <f t="shared" si="18"/>
        <v>4.0514768105023602E-4</v>
      </c>
      <c r="M131" s="4">
        <v>225.01725999999999</v>
      </c>
      <c r="N131" s="1">
        <v>62.5</v>
      </c>
      <c r="O131" s="5">
        <v>102.66916999999999</v>
      </c>
      <c r="P131" s="3">
        <f t="shared" si="15"/>
        <v>101.87678</v>
      </c>
      <c r="S131" s="4">
        <v>250.00496999999999</v>
      </c>
      <c r="T131" s="1">
        <v>62.5</v>
      </c>
      <c r="U131" s="3">
        <v>98.750489999999999</v>
      </c>
      <c r="V131" s="3">
        <f t="shared" si="8"/>
        <v>102.07418</v>
      </c>
      <c r="Y131" s="4">
        <v>250.01562000000001</v>
      </c>
      <c r="Z131" s="1">
        <v>62.5</v>
      </c>
      <c r="AA131" s="3">
        <v>104.43881</v>
      </c>
      <c r="AB131" s="3">
        <f t="shared" si="9"/>
        <v>102.82979</v>
      </c>
      <c r="AF131" s="11">
        <v>418.09802000000002</v>
      </c>
      <c r="AG131" s="1">
        <v>62.5</v>
      </c>
      <c r="AH131" s="13">
        <v>77.343980000000002</v>
      </c>
      <c r="AI131" s="3">
        <f t="shared" si="10"/>
        <v>79.223420000000004</v>
      </c>
      <c r="AJ131" s="1">
        <f t="shared" si="17"/>
        <v>0.22220169435089993</v>
      </c>
      <c r="AK131" s="11">
        <v>418.08274</v>
      </c>
      <c r="AL131" s="1">
        <v>62.5</v>
      </c>
      <c r="AM131" s="13">
        <v>76.999629999999996</v>
      </c>
      <c r="AN131" s="3">
        <f t="shared" si="11"/>
        <v>78.965239999999994</v>
      </c>
      <c r="AO131" s="1">
        <f t="shared" si="16"/>
        <v>0.22420201795356173</v>
      </c>
      <c r="AP131" s="18">
        <v>292.73016999999999</v>
      </c>
      <c r="AQ131" s="1">
        <v>62.5</v>
      </c>
      <c r="AR131" s="13">
        <v>101.0565</v>
      </c>
      <c r="AS131" s="3">
        <f t="shared" si="12"/>
        <v>101.61031</v>
      </c>
    </row>
    <row r="132" spans="1:45" ht="16" x14ac:dyDescent="0.2">
      <c r="A132" s="2">
        <v>200.01612</v>
      </c>
      <c r="B132" s="1">
        <v>63</v>
      </c>
      <c r="C132" s="3">
        <v>101.708</v>
      </c>
      <c r="D132" s="3">
        <f t="shared" si="13"/>
        <v>101.58454999999999</v>
      </c>
      <c r="G132" s="4">
        <v>225.00612000000001</v>
      </c>
      <c r="H132" s="1">
        <v>63</v>
      </c>
      <c r="I132" s="3">
        <v>99.77158</v>
      </c>
      <c r="J132" s="3">
        <f t="shared" si="14"/>
        <v>101.36197</v>
      </c>
      <c r="K132" s="1">
        <f t="shared" si="18"/>
        <v>8.5097964806354518E-4</v>
      </c>
      <c r="M132" s="4">
        <v>225.02141</v>
      </c>
      <c r="N132" s="1">
        <v>63</v>
      </c>
      <c r="O132" s="3">
        <v>102.55203</v>
      </c>
      <c r="P132" s="3">
        <f t="shared" si="15"/>
        <v>101.75964</v>
      </c>
      <c r="S132" s="4">
        <v>249.99897000000001</v>
      </c>
      <c r="T132" s="1">
        <v>63</v>
      </c>
      <c r="U132" s="5">
        <v>98.77364</v>
      </c>
      <c r="V132" s="3">
        <f t="shared" si="8"/>
        <v>102.09733</v>
      </c>
      <c r="Y132" s="4">
        <v>250.01687999999999</v>
      </c>
      <c r="Z132" s="1">
        <v>63</v>
      </c>
      <c r="AA132" s="5">
        <v>104.33234</v>
      </c>
      <c r="AB132" s="3">
        <f t="shared" si="9"/>
        <v>102.72332</v>
      </c>
      <c r="AF132" s="11">
        <v>420.61158999999998</v>
      </c>
      <c r="AG132" s="1">
        <v>63</v>
      </c>
      <c r="AH132" s="12">
        <v>75.802040000000005</v>
      </c>
      <c r="AI132" s="3">
        <f t="shared" si="10"/>
        <v>77.681480000000008</v>
      </c>
      <c r="AJ132" s="1">
        <f t="shared" si="17"/>
        <v>0.23756581948693853</v>
      </c>
      <c r="AK132" s="11">
        <v>420.58971000000003</v>
      </c>
      <c r="AL132" s="1">
        <v>63</v>
      </c>
      <c r="AM132" s="12">
        <v>75.38673</v>
      </c>
      <c r="AN132" s="3">
        <f t="shared" si="11"/>
        <v>77.352339999999998</v>
      </c>
      <c r="AO132" s="1">
        <f t="shared" si="16"/>
        <v>0.24028488721588048</v>
      </c>
      <c r="AP132" s="18">
        <v>294.22742</v>
      </c>
      <c r="AQ132" s="1">
        <v>63</v>
      </c>
      <c r="AR132" s="12">
        <v>101.16603000000001</v>
      </c>
      <c r="AS132" s="3">
        <f t="shared" si="12"/>
        <v>101.71984</v>
      </c>
    </row>
    <row r="133" spans="1:45" ht="16" x14ac:dyDescent="0.2">
      <c r="A133" s="2">
        <v>200.01346000000001</v>
      </c>
      <c r="B133" s="1">
        <v>63.5</v>
      </c>
      <c r="C133" s="5">
        <v>101.71335999999999</v>
      </c>
      <c r="D133" s="3">
        <f t="shared" si="13"/>
        <v>101.58990999999999</v>
      </c>
      <c r="G133" s="4">
        <v>225.00797</v>
      </c>
      <c r="H133" s="1">
        <v>63.5</v>
      </c>
      <c r="I133" s="5">
        <v>99.791179999999997</v>
      </c>
      <c r="J133" s="3">
        <f t="shared" si="14"/>
        <v>101.38157</v>
      </c>
      <c r="K133" s="1">
        <f t="shared" si="18"/>
        <v>6.555355292207697E-4</v>
      </c>
      <c r="M133" s="4">
        <v>225.02189999999999</v>
      </c>
      <c r="N133" s="1">
        <v>63.5</v>
      </c>
      <c r="O133" s="5">
        <v>102.68832999999999</v>
      </c>
      <c r="P133" s="3">
        <f t="shared" si="15"/>
        <v>101.89594</v>
      </c>
      <c r="S133" s="4">
        <v>250.00004000000001</v>
      </c>
      <c r="T133" s="1">
        <v>63.5</v>
      </c>
      <c r="U133" s="3">
        <v>98.779259999999994</v>
      </c>
      <c r="V133" s="3">
        <f t="shared" si="8"/>
        <v>102.10294999999999</v>
      </c>
      <c r="Y133" s="4">
        <v>250.01495</v>
      </c>
      <c r="Z133" s="1">
        <v>63.5</v>
      </c>
      <c r="AA133" s="3">
        <v>104.41829</v>
      </c>
      <c r="AB133" s="3">
        <f t="shared" si="9"/>
        <v>102.80927</v>
      </c>
      <c r="AF133" s="11">
        <v>423.11775999999998</v>
      </c>
      <c r="AG133" s="1">
        <v>63.5</v>
      </c>
      <c r="AH133" s="13">
        <v>74.116730000000004</v>
      </c>
      <c r="AI133" s="3">
        <f t="shared" si="10"/>
        <v>75.996170000000006</v>
      </c>
      <c r="AJ133" s="1">
        <f t="shared" si="17"/>
        <v>0.25435850515111308</v>
      </c>
      <c r="AK133" s="11">
        <v>423.09732000000002</v>
      </c>
      <c r="AL133" s="1">
        <v>63.5</v>
      </c>
      <c r="AM133" s="13">
        <v>73.654499999999999</v>
      </c>
      <c r="AN133" s="3">
        <f t="shared" si="11"/>
        <v>75.620109999999997</v>
      </c>
      <c r="AO133" s="1">
        <f t="shared" si="16"/>
        <v>0.25755764350719829</v>
      </c>
      <c r="AP133" s="18">
        <v>295.73516000000001</v>
      </c>
      <c r="AQ133" s="1">
        <v>63.5</v>
      </c>
      <c r="AR133" s="13">
        <v>101.25409000000001</v>
      </c>
      <c r="AS133" s="3">
        <f t="shared" si="12"/>
        <v>101.8079</v>
      </c>
    </row>
    <row r="134" spans="1:45" ht="16" x14ac:dyDescent="0.2">
      <c r="A134" s="2">
        <v>200.01235</v>
      </c>
      <c r="B134" s="1">
        <v>64</v>
      </c>
      <c r="C134" s="3">
        <v>101.87452999999999</v>
      </c>
      <c r="D134" s="3">
        <f t="shared" si="13"/>
        <v>101.75107999999999</v>
      </c>
      <c r="G134" s="4">
        <v>225.00404</v>
      </c>
      <c r="H134" s="1">
        <v>64</v>
      </c>
      <c r="I134" s="3">
        <v>99.75067</v>
      </c>
      <c r="J134" s="3">
        <f t="shared" si="14"/>
        <v>101.34106</v>
      </c>
      <c r="K134" s="1">
        <f t="shared" si="18"/>
        <v>1.0594866136249329E-3</v>
      </c>
      <c r="M134" s="4">
        <v>225.02127999999999</v>
      </c>
      <c r="N134" s="1">
        <v>64</v>
      </c>
      <c r="O134" s="3">
        <v>102.69132999999999</v>
      </c>
      <c r="P134" s="3">
        <f t="shared" si="15"/>
        <v>101.89894</v>
      </c>
      <c r="S134" s="4">
        <v>250.00495000000001</v>
      </c>
      <c r="T134" s="1">
        <v>64</v>
      </c>
      <c r="U134" s="5">
        <v>98.777760000000001</v>
      </c>
      <c r="V134" s="3">
        <f t="shared" si="8"/>
        <v>102.10145</v>
      </c>
      <c r="Y134" s="4">
        <v>250.01467</v>
      </c>
      <c r="Z134" s="1">
        <v>64</v>
      </c>
      <c r="AA134" s="5">
        <v>104.41616</v>
      </c>
      <c r="AB134" s="3">
        <f t="shared" si="9"/>
        <v>102.80714</v>
      </c>
      <c r="AF134" s="11">
        <v>425.63476000000003</v>
      </c>
      <c r="AG134" s="1">
        <v>64</v>
      </c>
      <c r="AH134" s="12">
        <v>72.313800000000001</v>
      </c>
      <c r="AI134" s="3">
        <f t="shared" si="10"/>
        <v>74.193240000000003</v>
      </c>
      <c r="AJ134" s="1">
        <f t="shared" si="17"/>
        <v>0.27232317441938436</v>
      </c>
      <c r="AK134" s="11">
        <v>425.60874999999999</v>
      </c>
      <c r="AL134" s="1">
        <v>64</v>
      </c>
      <c r="AM134" s="12">
        <v>71.844729999999998</v>
      </c>
      <c r="AN134" s="3">
        <f t="shared" si="11"/>
        <v>73.810339999999997</v>
      </c>
      <c r="AO134" s="1">
        <f t="shared" si="16"/>
        <v>0.27560358206809277</v>
      </c>
      <c r="AP134" s="18">
        <v>297.23183999999998</v>
      </c>
      <c r="AQ134" s="1">
        <v>64</v>
      </c>
      <c r="AR134" s="12">
        <v>101.1688</v>
      </c>
      <c r="AS134" s="3">
        <f t="shared" si="12"/>
        <v>101.72261</v>
      </c>
    </row>
    <row r="135" spans="1:45" ht="16" x14ac:dyDescent="0.2">
      <c r="A135" s="2">
        <v>200.01038</v>
      </c>
      <c r="B135" s="1">
        <v>64.5</v>
      </c>
      <c r="C135" s="5">
        <v>101.72272</v>
      </c>
      <c r="D135" s="3">
        <f t="shared" si="13"/>
        <v>101.59926999999999</v>
      </c>
      <c r="G135" s="4">
        <v>225.00184999999999</v>
      </c>
      <c r="H135" s="1">
        <v>64.5</v>
      </c>
      <c r="I135" s="5">
        <v>99.766360000000006</v>
      </c>
      <c r="J135" s="3">
        <f t="shared" si="14"/>
        <v>101.35675000000001</v>
      </c>
      <c r="K135" s="1">
        <f t="shared" si="18"/>
        <v>9.0303160216345939E-4</v>
      </c>
      <c r="M135" s="4">
        <v>225.02092999999999</v>
      </c>
      <c r="N135" s="1">
        <v>64.5</v>
      </c>
      <c r="O135" s="5">
        <v>102.76702</v>
      </c>
      <c r="P135" s="3">
        <f t="shared" si="15"/>
        <v>101.97463</v>
      </c>
      <c r="S135" s="4">
        <v>250.00399999999999</v>
      </c>
      <c r="T135" s="1">
        <v>64.5</v>
      </c>
      <c r="U135" s="3">
        <v>98.779610000000005</v>
      </c>
      <c r="V135" s="3">
        <f t="shared" ref="V135:V198" si="19">100-($U$6-U135)</f>
        <v>102.1033</v>
      </c>
      <c r="Y135" s="4">
        <v>250.01388</v>
      </c>
      <c r="Z135" s="1">
        <v>64.5</v>
      </c>
      <c r="AA135" s="3">
        <v>104.34345</v>
      </c>
      <c r="AB135" s="3">
        <f t="shared" ref="AB135:AB198" si="20">100-($AA$6-AA135)</f>
        <v>102.73443</v>
      </c>
      <c r="AF135" s="11">
        <v>428.14335</v>
      </c>
      <c r="AG135" s="1">
        <v>64.5</v>
      </c>
      <c r="AH135" s="13">
        <v>70.385729999999995</v>
      </c>
      <c r="AI135" s="3">
        <f t="shared" ref="AI135:AI198" si="21">100-($AH$6-AH135)</f>
        <v>72.265169999999998</v>
      </c>
      <c r="AJ135" s="1">
        <f t="shared" si="17"/>
        <v>0.29153475771772414</v>
      </c>
      <c r="AK135" s="11">
        <v>428.11917999999997</v>
      </c>
      <c r="AL135" s="1">
        <v>64.5</v>
      </c>
      <c r="AM135" s="13">
        <v>69.922430000000006</v>
      </c>
      <c r="AN135" s="3">
        <f t="shared" ref="AN135:AN198" si="22">100-($AM$6-AM135)</f>
        <v>71.888040000000004</v>
      </c>
      <c r="AO135" s="1">
        <f t="shared" si="16"/>
        <v>0.29477160214556525</v>
      </c>
      <c r="AP135" s="18">
        <v>298.73521</v>
      </c>
      <c r="AQ135" s="1">
        <v>64.5</v>
      </c>
      <c r="AR135" s="13">
        <v>101.22786000000001</v>
      </c>
      <c r="AS135" s="3">
        <f t="shared" ref="AS135:AS198" si="23">100-($AR$6-AR135)</f>
        <v>101.78167000000001</v>
      </c>
    </row>
    <row r="136" spans="1:45" ht="16" x14ac:dyDescent="0.2">
      <c r="A136" s="2">
        <v>200.01195000000001</v>
      </c>
      <c r="B136" s="1">
        <v>65</v>
      </c>
      <c r="C136" s="3">
        <v>101.79226</v>
      </c>
      <c r="D136" s="3">
        <f t="shared" ref="D136:D199" si="24">100-($C$6-C136)</f>
        <v>101.66880999999999</v>
      </c>
      <c r="G136" s="4">
        <v>225.00503</v>
      </c>
      <c r="H136" s="1">
        <v>65</v>
      </c>
      <c r="I136" s="3">
        <v>99.792450000000002</v>
      </c>
      <c r="J136" s="3">
        <f t="shared" ref="J136:J199" si="25">100-($I$6-I136)</f>
        <v>101.38284</v>
      </c>
      <c r="K136" s="1">
        <f t="shared" si="18"/>
        <v>6.4287154805080118E-4</v>
      </c>
      <c r="M136" s="4">
        <v>225.02072999999999</v>
      </c>
      <c r="N136" s="1">
        <v>65</v>
      </c>
      <c r="O136" s="3">
        <v>102.72978999999999</v>
      </c>
      <c r="P136" s="3">
        <f t="shared" ref="P136:P199" si="26">100-($O$6-O136)</f>
        <v>101.9374</v>
      </c>
      <c r="S136" s="4">
        <v>250.00706</v>
      </c>
      <c r="T136" s="1">
        <v>65</v>
      </c>
      <c r="U136" s="5">
        <v>98.775270000000006</v>
      </c>
      <c r="V136" s="3">
        <f t="shared" si="19"/>
        <v>102.09896000000001</v>
      </c>
      <c r="Y136" s="4">
        <v>250.01535000000001</v>
      </c>
      <c r="Z136" s="1">
        <v>65</v>
      </c>
      <c r="AA136" s="5">
        <v>104.46688</v>
      </c>
      <c r="AB136" s="3">
        <f t="shared" si="20"/>
        <v>102.85786</v>
      </c>
      <c r="AF136" s="11">
        <v>430.65550999999999</v>
      </c>
      <c r="AG136" s="1">
        <v>65</v>
      </c>
      <c r="AH136" s="12">
        <v>68.387879999999996</v>
      </c>
      <c r="AI136" s="3">
        <f t="shared" si="21"/>
        <v>70.267319999999998</v>
      </c>
      <c r="AJ136" s="1">
        <f t="shared" si="17"/>
        <v>0.31144163956982918</v>
      </c>
      <c r="AK136" s="11">
        <v>430.62677000000002</v>
      </c>
      <c r="AL136" s="1">
        <v>65</v>
      </c>
      <c r="AM136" s="12">
        <v>67.698999999999998</v>
      </c>
      <c r="AN136" s="3">
        <f t="shared" si="22"/>
        <v>69.664609999999996</v>
      </c>
      <c r="AO136" s="1">
        <f t="shared" si="16"/>
        <v>0.316942309569409</v>
      </c>
      <c r="AP136" s="18">
        <v>300.23268000000002</v>
      </c>
      <c r="AQ136" s="1">
        <v>65</v>
      </c>
      <c r="AR136" s="12">
        <v>101.27009</v>
      </c>
      <c r="AS136" s="3">
        <f t="shared" si="23"/>
        <v>101.82389999999999</v>
      </c>
    </row>
    <row r="137" spans="1:45" ht="16" x14ac:dyDescent="0.2">
      <c r="A137" s="2">
        <v>200.01062999999999</v>
      </c>
      <c r="B137" s="1">
        <v>65.5</v>
      </c>
      <c r="C137" s="5">
        <v>101.86356000000001</v>
      </c>
      <c r="D137" s="3">
        <f t="shared" si="24"/>
        <v>101.74011</v>
      </c>
      <c r="G137" s="4">
        <v>225.00785999999999</v>
      </c>
      <c r="H137" s="1">
        <v>65.5</v>
      </c>
      <c r="I137" s="5">
        <v>99.791139999999999</v>
      </c>
      <c r="J137" s="3">
        <f t="shared" si="25"/>
        <v>101.38153</v>
      </c>
      <c r="K137" s="1">
        <f t="shared" si="18"/>
        <v>6.5593439476941339E-4</v>
      </c>
      <c r="M137" s="4">
        <v>225.02010000000001</v>
      </c>
      <c r="N137" s="1">
        <v>65.5</v>
      </c>
      <c r="O137" s="5">
        <v>102.65541</v>
      </c>
      <c r="P137" s="3">
        <f t="shared" si="26"/>
        <v>101.86302000000001</v>
      </c>
      <c r="S137" s="4">
        <v>250.00300999999999</v>
      </c>
      <c r="T137" s="1">
        <v>65.5</v>
      </c>
      <c r="U137" s="3">
        <v>98.775490000000005</v>
      </c>
      <c r="V137" s="3">
        <f t="shared" si="19"/>
        <v>102.09918</v>
      </c>
      <c r="Y137" s="4">
        <v>250.01768999999999</v>
      </c>
      <c r="Z137" s="1">
        <v>65.5</v>
      </c>
      <c r="AA137" s="3">
        <v>104.46024</v>
      </c>
      <c r="AB137" s="3">
        <f t="shared" si="20"/>
        <v>102.85122</v>
      </c>
      <c r="AF137" s="11">
        <v>433.16665999999998</v>
      </c>
      <c r="AG137" s="1">
        <v>65.5</v>
      </c>
      <c r="AH137" s="13">
        <v>66.307079999999999</v>
      </c>
      <c r="AI137" s="3">
        <f t="shared" si="21"/>
        <v>68.186520000000002</v>
      </c>
      <c r="AJ137" s="1">
        <f t="shared" si="17"/>
        <v>0.33217504786267399</v>
      </c>
      <c r="AK137" s="11">
        <v>433.13814000000002</v>
      </c>
      <c r="AL137" s="1">
        <v>65.5</v>
      </c>
      <c r="AM137" s="13">
        <v>65.683909999999997</v>
      </c>
      <c r="AN137" s="3">
        <f t="shared" si="22"/>
        <v>67.649519999999995</v>
      </c>
      <c r="AO137" s="1">
        <f t="shared" si="16"/>
        <v>0.33703557574946108</v>
      </c>
      <c r="AP137" s="18">
        <v>301.72703999999999</v>
      </c>
      <c r="AQ137" s="1">
        <v>65.5</v>
      </c>
      <c r="AR137" s="13">
        <v>101.23088</v>
      </c>
      <c r="AS137" s="3">
        <f t="shared" si="23"/>
        <v>101.78469</v>
      </c>
    </row>
    <row r="138" spans="1:45" ht="16" x14ac:dyDescent="0.2">
      <c r="A138" s="2">
        <v>200.00993</v>
      </c>
      <c r="B138" s="1">
        <v>66</v>
      </c>
      <c r="C138" s="3">
        <v>101.81734</v>
      </c>
      <c r="D138" s="3">
        <f t="shared" si="24"/>
        <v>101.69389</v>
      </c>
      <c r="G138" s="4">
        <v>225.00707</v>
      </c>
      <c r="H138" s="1">
        <v>66</v>
      </c>
      <c r="I138" s="3">
        <v>99.745919999999998</v>
      </c>
      <c r="J138" s="3">
        <f t="shared" si="25"/>
        <v>101.33631</v>
      </c>
      <c r="K138" s="1">
        <f t="shared" si="18"/>
        <v>1.1068518975281775E-3</v>
      </c>
      <c r="M138" s="4">
        <v>225.01812000000001</v>
      </c>
      <c r="N138" s="1">
        <v>66</v>
      </c>
      <c r="O138" s="3">
        <v>102.78415</v>
      </c>
      <c r="P138" s="3">
        <f t="shared" si="26"/>
        <v>101.99176</v>
      </c>
      <c r="S138" s="4">
        <v>250.00307000000001</v>
      </c>
      <c r="T138" s="1">
        <v>66</v>
      </c>
      <c r="U138" s="5">
        <v>98.773840000000007</v>
      </c>
      <c r="V138" s="3">
        <f t="shared" si="19"/>
        <v>102.09753000000001</v>
      </c>
      <c r="Y138" s="4">
        <v>250.01871</v>
      </c>
      <c r="Z138" s="1">
        <v>66</v>
      </c>
      <c r="AA138" s="5">
        <v>104.38798</v>
      </c>
      <c r="AB138" s="3">
        <f t="shared" si="20"/>
        <v>102.77896</v>
      </c>
      <c r="AF138" s="11">
        <v>435.68349999999998</v>
      </c>
      <c r="AG138" s="1">
        <v>66</v>
      </c>
      <c r="AH138" s="12">
        <v>64.032700000000006</v>
      </c>
      <c r="AI138" s="3">
        <f t="shared" si="21"/>
        <v>65.912140000000008</v>
      </c>
      <c r="AJ138" s="1">
        <f t="shared" si="17"/>
        <v>0.35483731677515012</v>
      </c>
      <c r="AK138" s="11">
        <v>435.65913</v>
      </c>
      <c r="AL138" s="1">
        <v>66</v>
      </c>
      <c r="AM138" s="12">
        <v>63.42812</v>
      </c>
      <c r="AN138" s="3">
        <f t="shared" si="22"/>
        <v>65.393730000000005</v>
      </c>
      <c r="AO138" s="1">
        <f t="shared" si="16"/>
        <v>0.35952895764123738</v>
      </c>
      <c r="AP138" s="18">
        <v>303.23264</v>
      </c>
      <c r="AQ138" s="1">
        <v>66</v>
      </c>
      <c r="AR138" s="12">
        <v>101.28693</v>
      </c>
      <c r="AS138" s="3">
        <f t="shared" si="23"/>
        <v>101.84074</v>
      </c>
    </row>
    <row r="139" spans="1:45" ht="16" x14ac:dyDescent="0.2">
      <c r="A139" s="2">
        <v>200.01195999999999</v>
      </c>
      <c r="B139" s="1">
        <v>66.5</v>
      </c>
      <c r="C139" s="5">
        <v>101.54282000000001</v>
      </c>
      <c r="D139" s="3">
        <f t="shared" si="24"/>
        <v>101.41937</v>
      </c>
      <c r="G139" s="4">
        <v>225.01202000000001</v>
      </c>
      <c r="H139" s="1">
        <v>66.5</v>
      </c>
      <c r="I139" s="5">
        <v>99.774879999999996</v>
      </c>
      <c r="J139" s="3">
        <f t="shared" si="25"/>
        <v>101.36527</v>
      </c>
      <c r="K139" s="1">
        <f t="shared" si="18"/>
        <v>8.1807324029923645E-4</v>
      </c>
      <c r="M139" s="4">
        <v>225.01805999999999</v>
      </c>
      <c r="N139" s="1">
        <v>66.5</v>
      </c>
      <c r="O139" s="5">
        <v>102.80021000000001</v>
      </c>
      <c r="P139" s="3">
        <f t="shared" si="26"/>
        <v>102.00782000000001</v>
      </c>
      <c r="S139" s="4">
        <v>250.00505000000001</v>
      </c>
      <c r="T139" s="1">
        <v>66.5</v>
      </c>
      <c r="U139" s="3">
        <v>98.777469999999994</v>
      </c>
      <c r="V139" s="3">
        <f t="shared" si="19"/>
        <v>102.10115999999999</v>
      </c>
      <c r="Y139" s="4">
        <v>250.01886999999999</v>
      </c>
      <c r="Z139" s="1">
        <v>66.5</v>
      </c>
      <c r="AA139" s="3">
        <v>104.4057</v>
      </c>
      <c r="AB139" s="3">
        <f t="shared" si="20"/>
        <v>102.79667999999999</v>
      </c>
      <c r="AF139" s="11">
        <v>438.19925999999998</v>
      </c>
      <c r="AG139" s="1">
        <v>66.5</v>
      </c>
      <c r="AH139" s="13">
        <v>61.482689999999998</v>
      </c>
      <c r="AI139" s="3">
        <f t="shared" si="21"/>
        <v>63.362130000000001</v>
      </c>
      <c r="AJ139" s="1">
        <f t="shared" si="17"/>
        <v>0.38024600501084671</v>
      </c>
      <c r="AK139" s="11">
        <v>438.16953000000001</v>
      </c>
      <c r="AL139" s="1">
        <v>66.5</v>
      </c>
      <c r="AM139" s="13">
        <v>60.88091</v>
      </c>
      <c r="AN139" s="3">
        <f t="shared" si="22"/>
        <v>62.846519999999998</v>
      </c>
      <c r="AO139" s="1">
        <f t="shared" si="16"/>
        <v>0.38492820459620741</v>
      </c>
      <c r="AP139" s="18">
        <v>304.73388999999997</v>
      </c>
      <c r="AQ139" s="1">
        <v>66.5</v>
      </c>
      <c r="AR139" s="13">
        <v>101.16773999999999</v>
      </c>
      <c r="AS139" s="3">
        <f t="shared" si="23"/>
        <v>101.72154999999999</v>
      </c>
    </row>
    <row r="140" spans="1:45" ht="16" x14ac:dyDescent="0.2">
      <c r="A140" s="2">
        <v>200.01375999999999</v>
      </c>
      <c r="B140" s="1">
        <v>67</v>
      </c>
      <c r="C140" s="3">
        <v>101.77983</v>
      </c>
      <c r="D140" s="3">
        <f t="shared" si="24"/>
        <v>101.65638</v>
      </c>
      <c r="G140" s="4">
        <v>225.01109</v>
      </c>
      <c r="H140" s="1">
        <v>67</v>
      </c>
      <c r="I140" s="3">
        <v>99.769400000000005</v>
      </c>
      <c r="J140" s="3">
        <f t="shared" si="25"/>
        <v>101.35979</v>
      </c>
      <c r="K140" s="1">
        <f t="shared" si="18"/>
        <v>8.7271782046540554E-4</v>
      </c>
      <c r="M140" s="4">
        <v>225.01822000000001</v>
      </c>
      <c r="N140" s="1">
        <v>67</v>
      </c>
      <c r="O140" s="3">
        <v>102.79076999999999</v>
      </c>
      <c r="P140" s="3">
        <f t="shared" si="26"/>
        <v>101.99838</v>
      </c>
      <c r="S140" s="4">
        <v>250.01300000000001</v>
      </c>
      <c r="T140" s="1">
        <v>67</v>
      </c>
      <c r="U140" s="5">
        <v>98.779560000000004</v>
      </c>
      <c r="V140" s="3">
        <f t="shared" si="19"/>
        <v>102.10325</v>
      </c>
      <c r="Y140" s="4">
        <v>250.01909000000001</v>
      </c>
      <c r="Z140" s="1">
        <v>67</v>
      </c>
      <c r="AA140" s="5">
        <v>104.42243999999999</v>
      </c>
      <c r="AB140" s="3">
        <f t="shared" si="20"/>
        <v>102.81341999999999</v>
      </c>
      <c r="AF140" s="11">
        <v>440.71600999999998</v>
      </c>
      <c r="AG140" s="1">
        <v>67</v>
      </c>
      <c r="AH140" s="12">
        <v>58.933680000000003</v>
      </c>
      <c r="AI140" s="3">
        <f t="shared" si="21"/>
        <v>60.813120000000005</v>
      </c>
      <c r="AJ140" s="1">
        <f t="shared" si="17"/>
        <v>0.40564472909415333</v>
      </c>
      <c r="AK140" s="11">
        <v>440.68851999999998</v>
      </c>
      <c r="AL140" s="1">
        <v>67</v>
      </c>
      <c r="AM140" s="12">
        <v>58.45194</v>
      </c>
      <c r="AN140" s="3">
        <f t="shared" si="22"/>
        <v>60.417549999999999</v>
      </c>
      <c r="AO140" s="1">
        <f t="shared" si="16"/>
        <v>0.40914843334696349</v>
      </c>
      <c r="AP140" s="18">
        <v>306.24126999999999</v>
      </c>
      <c r="AQ140" s="1">
        <v>67</v>
      </c>
      <c r="AR140" s="12">
        <v>101.25729</v>
      </c>
      <c r="AS140" s="3">
        <f t="shared" si="23"/>
        <v>101.8111</v>
      </c>
    </row>
    <row r="141" spans="1:45" ht="16" x14ac:dyDescent="0.2">
      <c r="A141" s="2">
        <v>200.01501999999999</v>
      </c>
      <c r="B141" s="1">
        <v>67.5</v>
      </c>
      <c r="C141" s="5">
        <v>101.75867</v>
      </c>
      <c r="D141" s="3">
        <f t="shared" si="24"/>
        <v>101.63521999999999</v>
      </c>
      <c r="G141" s="4">
        <v>225.00595000000001</v>
      </c>
      <c r="H141" s="1">
        <v>67.5</v>
      </c>
      <c r="I141" s="5">
        <v>99.749539999999996</v>
      </c>
      <c r="J141" s="3">
        <f t="shared" si="25"/>
        <v>101.33993</v>
      </c>
      <c r="K141" s="1">
        <f t="shared" si="18"/>
        <v>1.0707545653745776E-3</v>
      </c>
      <c r="M141" s="4">
        <v>225.01282</v>
      </c>
      <c r="N141" s="1">
        <v>67.5</v>
      </c>
      <c r="O141" s="5">
        <v>102.78713</v>
      </c>
      <c r="P141" s="3">
        <f t="shared" si="26"/>
        <v>101.99474000000001</v>
      </c>
      <c r="S141" s="4">
        <v>250.00305</v>
      </c>
      <c r="T141" s="1">
        <v>67.5</v>
      </c>
      <c r="U141" s="3">
        <v>98.764949999999999</v>
      </c>
      <c r="V141" s="3">
        <f t="shared" si="19"/>
        <v>102.08864</v>
      </c>
      <c r="Y141" s="4">
        <v>250.01759000000001</v>
      </c>
      <c r="Z141" s="1">
        <v>67.5</v>
      </c>
      <c r="AA141" s="3">
        <v>104.48560000000001</v>
      </c>
      <c r="AB141" s="3">
        <f t="shared" si="20"/>
        <v>102.87658</v>
      </c>
      <c r="AF141" s="11">
        <v>443.23075999999998</v>
      </c>
      <c r="AG141" s="1">
        <v>67.5</v>
      </c>
      <c r="AH141" s="13">
        <v>56.3748</v>
      </c>
      <c r="AI141" s="3">
        <f t="shared" si="21"/>
        <v>58.254240000000003</v>
      </c>
      <c r="AJ141" s="1">
        <f t="shared" si="17"/>
        <v>0.43114179936154801</v>
      </c>
      <c r="AK141" s="11">
        <v>443.20740000000001</v>
      </c>
      <c r="AL141" s="1">
        <v>67.5</v>
      </c>
      <c r="AM141" s="13">
        <v>55.701009999999997</v>
      </c>
      <c r="AN141" s="3">
        <f t="shared" si="22"/>
        <v>57.666619999999995</v>
      </c>
      <c r="AO141" s="1">
        <f t="shared" si="16"/>
        <v>0.43657905368287442</v>
      </c>
      <c r="AP141" s="18">
        <v>307.74052999999998</v>
      </c>
      <c r="AQ141" s="1">
        <v>67.5</v>
      </c>
      <c r="AR141" s="13">
        <v>101.25418000000001</v>
      </c>
      <c r="AS141" s="3">
        <f t="shared" si="23"/>
        <v>101.80799</v>
      </c>
    </row>
    <row r="142" spans="1:45" ht="16" x14ac:dyDescent="0.2">
      <c r="A142" s="2">
        <v>200.01263</v>
      </c>
      <c r="B142" s="1">
        <v>68</v>
      </c>
      <c r="C142" s="3">
        <v>101.84148999999999</v>
      </c>
      <c r="D142" s="3">
        <f t="shared" si="24"/>
        <v>101.71803999999999</v>
      </c>
      <c r="G142" s="4">
        <v>225.0068</v>
      </c>
      <c r="H142" s="1">
        <v>68</v>
      </c>
      <c r="I142" s="3">
        <v>99.758560000000003</v>
      </c>
      <c r="J142" s="3">
        <f t="shared" si="25"/>
        <v>101.34895</v>
      </c>
      <c r="K142" s="1">
        <f t="shared" si="18"/>
        <v>9.8081038415195432E-4</v>
      </c>
      <c r="M142" s="4">
        <v>225.01218</v>
      </c>
      <c r="N142" s="1">
        <v>68</v>
      </c>
      <c r="O142" s="3">
        <v>102.79264999999999</v>
      </c>
      <c r="P142" s="3">
        <f t="shared" si="26"/>
        <v>102.00026</v>
      </c>
      <c r="S142" s="4">
        <v>250.00305</v>
      </c>
      <c r="T142" s="1">
        <v>68</v>
      </c>
      <c r="U142" s="5">
        <v>98.767240000000001</v>
      </c>
      <c r="V142" s="3">
        <f t="shared" si="19"/>
        <v>102.09093</v>
      </c>
      <c r="Y142" s="4">
        <v>250.01542000000001</v>
      </c>
      <c r="Z142" s="1">
        <v>68</v>
      </c>
      <c r="AA142" s="5">
        <v>104.45465</v>
      </c>
      <c r="AB142" s="3">
        <f t="shared" si="20"/>
        <v>102.84563</v>
      </c>
      <c r="AF142" s="11">
        <v>445.76017999999999</v>
      </c>
      <c r="AG142" s="1">
        <v>68</v>
      </c>
      <c r="AH142" s="12">
        <v>53.664389999999997</v>
      </c>
      <c r="AI142" s="3">
        <f t="shared" si="21"/>
        <v>55.54383</v>
      </c>
      <c r="AJ142" s="1">
        <f t="shared" si="17"/>
        <v>0.45814873764057995</v>
      </c>
      <c r="AK142" s="11">
        <v>445.73669999999998</v>
      </c>
      <c r="AL142" s="1">
        <v>68</v>
      </c>
      <c r="AM142" s="12">
        <v>52.892609999999998</v>
      </c>
      <c r="AN142" s="3">
        <f t="shared" si="22"/>
        <v>54.858219999999996</v>
      </c>
      <c r="AO142" s="1">
        <f t="shared" si="16"/>
        <v>0.46458273031273128</v>
      </c>
      <c r="AP142" s="18">
        <v>309.24023</v>
      </c>
      <c r="AQ142" s="1">
        <v>68</v>
      </c>
      <c r="AR142" s="12">
        <v>101.31650999999999</v>
      </c>
      <c r="AS142" s="3">
        <f t="shared" si="23"/>
        <v>101.87031999999999</v>
      </c>
    </row>
    <row r="143" spans="1:45" ht="16" x14ac:dyDescent="0.2">
      <c r="A143" s="2">
        <v>200.00710000000001</v>
      </c>
      <c r="B143" s="1">
        <v>68.5</v>
      </c>
      <c r="C143" s="5">
        <v>101.84059999999999</v>
      </c>
      <c r="D143" s="3">
        <f t="shared" si="24"/>
        <v>101.71714999999999</v>
      </c>
      <c r="G143" s="4">
        <v>225.00897000000001</v>
      </c>
      <c r="H143" s="1">
        <v>68.5</v>
      </c>
      <c r="I143" s="5">
        <v>99.764840000000007</v>
      </c>
      <c r="J143" s="3">
        <f t="shared" si="25"/>
        <v>101.35523000000001</v>
      </c>
      <c r="K143" s="1">
        <f t="shared" si="18"/>
        <v>9.1818849301248642E-4</v>
      </c>
      <c r="M143" s="4">
        <v>225.01705000000001</v>
      </c>
      <c r="N143" s="1">
        <v>68.5</v>
      </c>
      <c r="O143" s="5">
        <v>102.79485</v>
      </c>
      <c r="P143" s="3">
        <f t="shared" si="26"/>
        <v>102.00246</v>
      </c>
      <c r="S143" s="4">
        <v>250.005</v>
      </c>
      <c r="T143" s="1">
        <v>68.5</v>
      </c>
      <c r="U143" s="3">
        <v>98.765240000000006</v>
      </c>
      <c r="V143" s="3">
        <f t="shared" si="19"/>
        <v>102.08893</v>
      </c>
      <c r="Y143" s="4">
        <v>250.01557</v>
      </c>
      <c r="Z143" s="1">
        <v>68.5</v>
      </c>
      <c r="AA143" s="3">
        <v>104.53843000000001</v>
      </c>
      <c r="AB143" s="3">
        <f t="shared" si="20"/>
        <v>102.92941</v>
      </c>
      <c r="AF143" s="11">
        <v>448.28145999999998</v>
      </c>
      <c r="AG143" s="1">
        <v>68.5</v>
      </c>
      <c r="AH143" s="13">
        <v>50.474620000000002</v>
      </c>
      <c r="AI143" s="3">
        <f t="shared" si="21"/>
        <v>52.354060000000004</v>
      </c>
      <c r="AJ143" s="1">
        <f t="shared" si="17"/>
        <v>0.48993209200922072</v>
      </c>
      <c r="AK143" s="11">
        <v>448.26416</v>
      </c>
      <c r="AL143" s="1">
        <v>68.5</v>
      </c>
      <c r="AM143" s="13">
        <v>49.535290000000003</v>
      </c>
      <c r="AN143" s="3">
        <f t="shared" si="22"/>
        <v>51.500900000000001</v>
      </c>
      <c r="AO143" s="1">
        <f t="shared" si="16"/>
        <v>0.49805990721878129</v>
      </c>
      <c r="AP143" s="18">
        <v>310.74477000000002</v>
      </c>
      <c r="AQ143" s="1">
        <v>68.5</v>
      </c>
      <c r="AR143" s="13">
        <v>101.36689</v>
      </c>
      <c r="AS143" s="3">
        <f t="shared" si="23"/>
        <v>101.9207</v>
      </c>
    </row>
    <row r="144" spans="1:45" ht="16" x14ac:dyDescent="0.2">
      <c r="A144" s="2">
        <v>200.00651999999999</v>
      </c>
      <c r="B144" s="1">
        <v>69</v>
      </c>
      <c r="C144" s="3">
        <v>101.71817</v>
      </c>
      <c r="D144" s="3">
        <f t="shared" si="24"/>
        <v>101.59472</v>
      </c>
      <c r="G144" s="4">
        <v>225.00583</v>
      </c>
      <c r="H144" s="1">
        <v>69</v>
      </c>
      <c r="I144" s="3">
        <v>99.749629999999996</v>
      </c>
      <c r="J144" s="3">
        <f t="shared" si="25"/>
        <v>101.34002</v>
      </c>
      <c r="K144" s="1">
        <f t="shared" si="18"/>
        <v>1.069857117890094E-3</v>
      </c>
      <c r="M144" s="4">
        <v>225.02260999999999</v>
      </c>
      <c r="N144" s="1">
        <v>69</v>
      </c>
      <c r="O144" s="3">
        <v>102.78313</v>
      </c>
      <c r="P144" s="3">
        <f t="shared" si="26"/>
        <v>101.99074</v>
      </c>
      <c r="S144" s="4">
        <v>250.00009</v>
      </c>
      <c r="T144" s="1">
        <v>69</v>
      </c>
      <c r="U144" s="5">
        <v>98.801900000000003</v>
      </c>
      <c r="V144" s="3">
        <f t="shared" si="19"/>
        <v>102.12559</v>
      </c>
      <c r="Y144" s="4">
        <v>250.01647</v>
      </c>
      <c r="Z144" s="1">
        <v>69</v>
      </c>
      <c r="AA144" s="5">
        <v>104.53859</v>
      </c>
      <c r="AB144" s="3">
        <f t="shared" si="20"/>
        <v>102.92957</v>
      </c>
      <c r="AF144" s="11">
        <v>450.81963000000002</v>
      </c>
      <c r="AG144" s="1">
        <v>69</v>
      </c>
      <c r="AH144" s="12">
        <v>47.166640000000001</v>
      </c>
      <c r="AI144" s="3">
        <f t="shared" si="21"/>
        <v>49.046080000000003</v>
      </c>
      <c r="AJ144" s="1">
        <f t="shared" si="17"/>
        <v>0.52289330883186824</v>
      </c>
      <c r="AK144" s="11">
        <v>450.80248999999998</v>
      </c>
      <c r="AL144" s="1">
        <v>69</v>
      </c>
      <c r="AM144" s="12">
        <v>46.367400000000004</v>
      </c>
      <c r="AN144" s="3">
        <f t="shared" si="22"/>
        <v>48.333010000000002</v>
      </c>
      <c r="AO144" s="1">
        <f t="shared" si="16"/>
        <v>0.52964820203396334</v>
      </c>
      <c r="AP144" s="18">
        <v>312.24306000000001</v>
      </c>
      <c r="AQ144" s="1">
        <v>69</v>
      </c>
      <c r="AR144" s="12">
        <v>101.30979000000001</v>
      </c>
      <c r="AS144" s="3">
        <f t="shared" si="23"/>
        <v>101.86360000000001</v>
      </c>
    </row>
    <row r="145" spans="1:45" ht="16" x14ac:dyDescent="0.2">
      <c r="A145" s="2">
        <v>200.00527</v>
      </c>
      <c r="B145" s="1">
        <v>69.5</v>
      </c>
      <c r="C145" s="5">
        <v>101.74829</v>
      </c>
      <c r="D145" s="3">
        <f t="shared" si="24"/>
        <v>101.62483999999999</v>
      </c>
      <c r="G145" s="4">
        <v>225.00903</v>
      </c>
      <c r="H145" s="1">
        <v>69.5</v>
      </c>
      <c r="I145" s="5">
        <v>99.749650000000003</v>
      </c>
      <c r="J145" s="3">
        <f t="shared" si="25"/>
        <v>101.34004</v>
      </c>
      <c r="K145" s="1">
        <f t="shared" si="18"/>
        <v>1.0696576851157013E-3</v>
      </c>
      <c r="M145" s="4">
        <v>225.02540999999999</v>
      </c>
      <c r="N145" s="1">
        <v>69.5</v>
      </c>
      <c r="O145" s="5">
        <v>102.79996</v>
      </c>
      <c r="P145" s="3">
        <f t="shared" si="26"/>
        <v>102.00757</v>
      </c>
      <c r="S145" s="4">
        <v>250.005</v>
      </c>
      <c r="T145" s="1">
        <v>69.5</v>
      </c>
      <c r="U145" s="3">
        <v>98.779759999999996</v>
      </c>
      <c r="V145" s="3">
        <f t="shared" si="19"/>
        <v>102.10345</v>
      </c>
      <c r="Y145" s="4">
        <v>250.01867999999999</v>
      </c>
      <c r="Z145" s="1">
        <v>69.5</v>
      </c>
      <c r="AA145" s="3">
        <v>104.55247</v>
      </c>
      <c r="AB145" s="3">
        <f t="shared" si="20"/>
        <v>102.94345</v>
      </c>
      <c r="AF145" s="11">
        <v>453.36541</v>
      </c>
      <c r="AG145" s="1">
        <v>69.5</v>
      </c>
      <c r="AH145" s="13">
        <v>43.738050000000001</v>
      </c>
      <c r="AI145" s="3">
        <f t="shared" si="21"/>
        <v>45.617490000000004</v>
      </c>
      <c r="AJ145" s="1">
        <f t="shared" si="17"/>
        <v>0.55705630207425816</v>
      </c>
      <c r="AK145" s="11">
        <v>453.34820000000002</v>
      </c>
      <c r="AL145" s="1">
        <v>69.5</v>
      </c>
      <c r="AM145" s="13">
        <v>42.927509999999998</v>
      </c>
      <c r="AN145" s="3">
        <f t="shared" si="22"/>
        <v>44.893119999999996</v>
      </c>
      <c r="AO145" s="1">
        <f t="shared" si="16"/>
        <v>0.56394871734598384</v>
      </c>
      <c r="AP145" s="18">
        <v>313.74767000000003</v>
      </c>
      <c r="AQ145" s="1">
        <v>69.5</v>
      </c>
      <c r="AR145" s="13">
        <v>101.27569</v>
      </c>
      <c r="AS145" s="3">
        <f t="shared" si="23"/>
        <v>101.8295</v>
      </c>
    </row>
    <row r="146" spans="1:45" ht="16" x14ac:dyDescent="0.2">
      <c r="A146" s="2">
        <v>200.00919999999999</v>
      </c>
      <c r="B146" s="1">
        <v>70</v>
      </c>
      <c r="C146" s="3">
        <v>101.85209999999999</v>
      </c>
      <c r="D146" s="3">
        <f t="shared" si="24"/>
        <v>101.72864999999999</v>
      </c>
      <c r="G146" s="4">
        <v>225.00288</v>
      </c>
      <c r="H146" s="1">
        <v>70</v>
      </c>
      <c r="I146" s="3">
        <v>99.734549999999999</v>
      </c>
      <c r="J146" s="3">
        <f t="shared" si="25"/>
        <v>101.32494</v>
      </c>
      <c r="K146" s="1">
        <f t="shared" si="18"/>
        <v>1.2202294297344323E-3</v>
      </c>
      <c r="M146" s="4">
        <v>225.02632</v>
      </c>
      <c r="N146" s="1">
        <v>70</v>
      </c>
      <c r="O146" s="3">
        <v>102.70117999999999</v>
      </c>
      <c r="P146" s="3">
        <f t="shared" si="26"/>
        <v>101.90879</v>
      </c>
      <c r="S146" s="4">
        <v>250.00602000000001</v>
      </c>
      <c r="T146" s="1">
        <v>70</v>
      </c>
      <c r="U146" s="5">
        <v>98.759129999999999</v>
      </c>
      <c r="V146" s="3">
        <f t="shared" si="19"/>
        <v>102.08282</v>
      </c>
      <c r="Y146" s="4">
        <v>250.01584</v>
      </c>
      <c r="Z146" s="1">
        <v>70</v>
      </c>
      <c r="AA146" s="5">
        <v>104.53823</v>
      </c>
      <c r="AB146" s="3">
        <f t="shared" si="20"/>
        <v>102.92921</v>
      </c>
      <c r="AF146" s="11">
        <v>455.91975000000002</v>
      </c>
      <c r="AG146" s="1">
        <v>70</v>
      </c>
      <c r="AH146" s="12">
        <v>39.906120000000001</v>
      </c>
      <c r="AI146" s="3">
        <f t="shared" si="21"/>
        <v>41.785560000000004</v>
      </c>
      <c r="AJ146" s="17">
        <f t="shared" si="17"/>
        <v>0.59523823654157881</v>
      </c>
      <c r="AK146" s="11">
        <v>455.90805999999998</v>
      </c>
      <c r="AL146" s="1">
        <v>70</v>
      </c>
      <c r="AM146" s="12">
        <v>39.185040000000001</v>
      </c>
      <c r="AN146" s="3">
        <f t="shared" si="22"/>
        <v>41.150649999999999</v>
      </c>
      <c r="AO146" s="17">
        <f t="shared" si="16"/>
        <v>0.60126637853275933</v>
      </c>
      <c r="AP146" s="18">
        <v>315.25391000000002</v>
      </c>
      <c r="AQ146" s="1">
        <v>70</v>
      </c>
      <c r="AR146" s="12">
        <v>101.28925</v>
      </c>
      <c r="AS146" s="3">
        <f t="shared" si="23"/>
        <v>101.84305999999999</v>
      </c>
    </row>
    <row r="147" spans="1:45" ht="16" x14ac:dyDescent="0.2">
      <c r="A147" s="2">
        <v>200.01237</v>
      </c>
      <c r="B147" s="1">
        <v>70.5</v>
      </c>
      <c r="C147" s="5">
        <v>101.88055</v>
      </c>
      <c r="D147" s="3">
        <f t="shared" si="24"/>
        <v>101.75709999999999</v>
      </c>
      <c r="G147" s="4">
        <v>225.00409999999999</v>
      </c>
      <c r="H147" s="1">
        <v>70.5</v>
      </c>
      <c r="I147" s="5">
        <v>99.727760000000004</v>
      </c>
      <c r="J147" s="3">
        <f t="shared" si="25"/>
        <v>101.31815</v>
      </c>
      <c r="K147" s="1">
        <f t="shared" si="18"/>
        <v>1.2879368566192134E-3</v>
      </c>
      <c r="M147" s="4">
        <v>225.02858000000001</v>
      </c>
      <c r="N147" s="1">
        <v>70.5</v>
      </c>
      <c r="O147" s="5">
        <v>102.75408</v>
      </c>
      <c r="P147" s="3">
        <f t="shared" si="26"/>
        <v>101.96169</v>
      </c>
      <c r="S147" s="4">
        <v>250.01194000000001</v>
      </c>
      <c r="T147" s="1">
        <v>70.5</v>
      </c>
      <c r="U147" s="3">
        <v>98.779730000000001</v>
      </c>
      <c r="V147" s="3">
        <f t="shared" si="19"/>
        <v>102.10342</v>
      </c>
      <c r="Y147" s="4">
        <v>250.01255</v>
      </c>
      <c r="Z147" s="1">
        <v>70.5</v>
      </c>
      <c r="AA147" s="3">
        <v>104.60132</v>
      </c>
      <c r="AB147" s="3">
        <f t="shared" si="20"/>
        <v>102.9923</v>
      </c>
      <c r="AF147" s="11">
        <v>458.49794000000003</v>
      </c>
      <c r="AG147" s="1">
        <v>70.5</v>
      </c>
      <c r="AH147" s="13">
        <v>35.921610000000001</v>
      </c>
      <c r="AI147" s="3">
        <f t="shared" si="21"/>
        <v>37.801050000000004</v>
      </c>
      <c r="AJ147" s="1">
        <f t="shared" si="17"/>
        <v>0.63494050138054625</v>
      </c>
      <c r="AK147" s="11">
        <v>458.48626999999999</v>
      </c>
      <c r="AL147" s="1">
        <v>70.5</v>
      </c>
      <c r="AM147" s="13">
        <v>34.819400000000002</v>
      </c>
      <c r="AN147" s="3">
        <f t="shared" si="22"/>
        <v>36.78501</v>
      </c>
      <c r="AO147" s="1">
        <f t="shared" si="16"/>
        <v>0.64479791636297168</v>
      </c>
      <c r="AP147" s="18">
        <v>316.75241999999997</v>
      </c>
      <c r="AQ147" s="1">
        <v>70.5</v>
      </c>
      <c r="AR147" s="13">
        <v>101.29036000000001</v>
      </c>
      <c r="AS147" s="3">
        <f t="shared" si="23"/>
        <v>101.84417000000001</v>
      </c>
    </row>
    <row r="148" spans="1:45" ht="16" x14ac:dyDescent="0.2">
      <c r="A148" s="2">
        <v>200.01176000000001</v>
      </c>
      <c r="B148" s="1">
        <v>71</v>
      </c>
      <c r="C148" s="3">
        <v>101.71362000000001</v>
      </c>
      <c r="D148" s="3">
        <f t="shared" si="24"/>
        <v>101.59017</v>
      </c>
      <c r="G148" s="4">
        <v>225.00801999999999</v>
      </c>
      <c r="H148" s="1">
        <v>71</v>
      </c>
      <c r="I148" s="3">
        <v>99.733890000000002</v>
      </c>
      <c r="J148" s="3">
        <f t="shared" si="25"/>
        <v>101.32428</v>
      </c>
      <c r="K148" s="1">
        <f t="shared" si="18"/>
        <v>1.2268107112872657E-3</v>
      </c>
      <c r="M148" s="4">
        <v>225.02667</v>
      </c>
      <c r="N148" s="1">
        <v>71</v>
      </c>
      <c r="O148" s="3">
        <v>102.80627</v>
      </c>
      <c r="P148" s="3">
        <f t="shared" si="26"/>
        <v>102.01388</v>
      </c>
      <c r="S148" s="4">
        <v>250.00393</v>
      </c>
      <c r="T148" s="1">
        <v>71</v>
      </c>
      <c r="U148" s="5">
        <v>98.750349999999997</v>
      </c>
      <c r="V148" s="3">
        <f t="shared" si="19"/>
        <v>102.07404</v>
      </c>
      <c r="Y148" s="4">
        <v>250.01428000000001</v>
      </c>
      <c r="Z148" s="1">
        <v>71</v>
      </c>
      <c r="AA148" s="5">
        <v>104.50323</v>
      </c>
      <c r="AB148" s="3">
        <f t="shared" si="20"/>
        <v>102.89421</v>
      </c>
      <c r="AF148" s="11">
        <v>461.05991</v>
      </c>
      <c r="AG148" s="1">
        <v>71</v>
      </c>
      <c r="AH148" s="12">
        <v>31.594390000000001</v>
      </c>
      <c r="AI148" s="3">
        <f t="shared" si="21"/>
        <v>33.473830000000007</v>
      </c>
      <c r="AJ148" s="1">
        <f t="shared" si="17"/>
        <v>0.67805758088504642</v>
      </c>
      <c r="AK148" s="11">
        <v>461.09530000000001</v>
      </c>
      <c r="AL148" s="1">
        <v>71</v>
      </c>
      <c r="AM148" s="12">
        <v>30.282920000000001</v>
      </c>
      <c r="AN148" s="3">
        <f t="shared" si="22"/>
        <v>32.248530000000002</v>
      </c>
      <c r="AO148" s="1">
        <f t="shared" si="16"/>
        <v>0.69003296797877178</v>
      </c>
      <c r="AP148" s="18">
        <v>318.25407999999999</v>
      </c>
      <c r="AQ148" s="1">
        <v>71</v>
      </c>
      <c r="AR148" s="12">
        <v>101.20983</v>
      </c>
      <c r="AS148" s="3">
        <f t="shared" si="23"/>
        <v>101.76364</v>
      </c>
    </row>
    <row r="149" spans="1:45" ht="16" x14ac:dyDescent="0.2">
      <c r="A149" s="2">
        <v>200.01492999999999</v>
      </c>
      <c r="B149" s="1">
        <v>71.5</v>
      </c>
      <c r="C149" s="5">
        <v>101.81908</v>
      </c>
      <c r="D149" s="3">
        <f t="shared" si="24"/>
        <v>101.69562999999999</v>
      </c>
      <c r="G149" s="4">
        <v>225.00819999999999</v>
      </c>
      <c r="H149" s="1">
        <v>71.5</v>
      </c>
      <c r="I149" s="5">
        <v>99.734530000000007</v>
      </c>
      <c r="J149" s="3">
        <f t="shared" si="25"/>
        <v>101.32492000000001</v>
      </c>
      <c r="K149" s="1">
        <f t="shared" si="18"/>
        <v>1.2204288625086834E-3</v>
      </c>
      <c r="M149" s="4">
        <v>225.02077</v>
      </c>
      <c r="N149" s="1">
        <v>71.5</v>
      </c>
      <c r="O149" s="5">
        <v>102.66916000000001</v>
      </c>
      <c r="P149" s="3">
        <f t="shared" si="26"/>
        <v>101.87677000000001</v>
      </c>
      <c r="S149" s="4">
        <v>250.00299000000001</v>
      </c>
      <c r="T149" s="1">
        <v>71.5</v>
      </c>
      <c r="U149" s="3">
        <v>98.781610000000001</v>
      </c>
      <c r="V149" s="3">
        <f t="shared" si="19"/>
        <v>102.1053</v>
      </c>
      <c r="Y149" s="4">
        <v>250.01722000000001</v>
      </c>
      <c r="Z149" s="1">
        <v>71.5</v>
      </c>
      <c r="AA149" s="3">
        <v>104.53743</v>
      </c>
      <c r="AB149" s="3">
        <f t="shared" si="20"/>
        <v>102.92841</v>
      </c>
      <c r="AF149" s="11">
        <v>463.62049999999999</v>
      </c>
      <c r="AG149" s="1">
        <v>71.5</v>
      </c>
      <c r="AH149" s="13">
        <v>26.987880000000001</v>
      </c>
      <c r="AI149" s="3">
        <f t="shared" si="21"/>
        <v>28.867320000000007</v>
      </c>
      <c r="AJ149" s="1">
        <f t="shared" si="17"/>
        <v>0.72395754851051397</v>
      </c>
      <c r="AK149" s="11">
        <v>463.73525000000001</v>
      </c>
      <c r="AL149" s="1">
        <v>71.5</v>
      </c>
      <c r="AM149" s="13">
        <v>25.393560000000001</v>
      </c>
      <c r="AN149" s="3">
        <f t="shared" si="22"/>
        <v>27.359170000000006</v>
      </c>
      <c r="AO149" s="1">
        <f t="shared" si="16"/>
        <v>0.7387867268332643</v>
      </c>
      <c r="AP149" s="18">
        <v>319.75106</v>
      </c>
      <c r="AQ149" s="1">
        <v>71.5</v>
      </c>
      <c r="AR149" s="13">
        <v>101.16314</v>
      </c>
      <c r="AS149" s="3">
        <f t="shared" si="23"/>
        <v>101.71695</v>
      </c>
    </row>
    <row r="150" spans="1:45" ht="16" x14ac:dyDescent="0.2">
      <c r="A150" s="2">
        <v>200.01768000000001</v>
      </c>
      <c r="B150" s="1">
        <v>72</v>
      </c>
      <c r="C150" s="3">
        <v>101.82322000000001</v>
      </c>
      <c r="D150" s="3">
        <f t="shared" si="24"/>
        <v>101.69977</v>
      </c>
      <c r="G150" s="4">
        <v>225.00572</v>
      </c>
      <c r="H150" s="1">
        <v>72</v>
      </c>
      <c r="I150" s="3">
        <v>99.703209999999999</v>
      </c>
      <c r="J150" s="3">
        <f t="shared" si="25"/>
        <v>101.2936</v>
      </c>
      <c r="K150" s="1">
        <f t="shared" si="18"/>
        <v>1.5327405871085938E-3</v>
      </c>
      <c r="M150" s="4">
        <v>225.01437000000001</v>
      </c>
      <c r="N150" s="1">
        <v>72</v>
      </c>
      <c r="O150" s="3">
        <v>102.79498</v>
      </c>
      <c r="P150" s="3">
        <f t="shared" si="26"/>
        <v>102.00259</v>
      </c>
      <c r="S150" s="4">
        <v>250.00404</v>
      </c>
      <c r="T150" s="1">
        <v>72</v>
      </c>
      <c r="U150" s="5">
        <v>98.761250000000004</v>
      </c>
      <c r="V150" s="3">
        <f t="shared" si="19"/>
        <v>102.08494</v>
      </c>
      <c r="Y150" s="4">
        <v>250.01739000000001</v>
      </c>
      <c r="Z150" s="1">
        <v>72</v>
      </c>
      <c r="AA150" s="5">
        <v>104.46535</v>
      </c>
      <c r="AB150" s="3">
        <f t="shared" si="20"/>
        <v>102.85633</v>
      </c>
      <c r="AF150" s="11">
        <v>466.18430000000001</v>
      </c>
      <c r="AG150" s="1">
        <v>72</v>
      </c>
      <c r="AH150" s="12">
        <v>22.010819999999999</v>
      </c>
      <c r="AI150" s="3">
        <f t="shared" si="21"/>
        <v>23.890259999999998</v>
      </c>
      <c r="AJ150" s="1">
        <f t="shared" si="17"/>
        <v>0.77354973280404837</v>
      </c>
      <c r="AK150" s="11">
        <v>466.35428999999999</v>
      </c>
      <c r="AL150" s="1">
        <v>72</v>
      </c>
      <c r="AM150" s="12">
        <v>19.993749999999999</v>
      </c>
      <c r="AN150" s="3">
        <f t="shared" si="22"/>
        <v>21.959360000000004</v>
      </c>
      <c r="AO150" s="1">
        <f t="shared" si="16"/>
        <v>0.79263038624882731</v>
      </c>
      <c r="AP150" s="18">
        <v>321.25295999999997</v>
      </c>
      <c r="AQ150" s="1">
        <v>72</v>
      </c>
      <c r="AR150" s="12">
        <v>101.14864</v>
      </c>
      <c r="AS150" s="3">
        <f t="shared" si="23"/>
        <v>101.70245</v>
      </c>
    </row>
    <row r="151" spans="1:45" ht="16" x14ac:dyDescent="0.2">
      <c r="A151" s="2">
        <v>200.02226999999999</v>
      </c>
      <c r="B151" s="1">
        <v>72.5</v>
      </c>
      <c r="C151" s="5">
        <v>101.82786</v>
      </c>
      <c r="D151" s="3">
        <f t="shared" si="24"/>
        <v>101.70441</v>
      </c>
      <c r="G151" s="4">
        <v>224.99494999999999</v>
      </c>
      <c r="H151" s="1">
        <v>72.5</v>
      </c>
      <c r="I151" s="5">
        <v>99.671350000000004</v>
      </c>
      <c r="J151" s="3">
        <f t="shared" si="25"/>
        <v>101.26174</v>
      </c>
      <c r="K151" s="1">
        <f t="shared" si="18"/>
        <v>1.8504369966152649E-3</v>
      </c>
      <c r="M151" s="4">
        <v>225.01085</v>
      </c>
      <c r="N151" s="1">
        <v>72.5</v>
      </c>
      <c r="O151" s="5">
        <v>102.87940999999999</v>
      </c>
      <c r="P151" s="3">
        <f t="shared" si="26"/>
        <v>102.08702</v>
      </c>
      <c r="S151" s="4">
        <v>250.00397000000001</v>
      </c>
      <c r="T151" s="1">
        <v>72.5</v>
      </c>
      <c r="U151" s="3">
        <v>98.77534</v>
      </c>
      <c r="V151" s="3">
        <f t="shared" si="19"/>
        <v>102.09903</v>
      </c>
      <c r="Y151" s="4">
        <v>250.01994999999999</v>
      </c>
      <c r="Z151" s="1">
        <v>72.5</v>
      </c>
      <c r="AA151" s="3">
        <v>104.40105</v>
      </c>
      <c r="AB151" s="3">
        <f t="shared" si="20"/>
        <v>102.79203</v>
      </c>
      <c r="AF151" s="11">
        <v>468.64706000000001</v>
      </c>
      <c r="AG151" s="1">
        <v>72.5</v>
      </c>
      <c r="AH151" s="13">
        <v>16.77562</v>
      </c>
      <c r="AI151" s="3">
        <f t="shared" si="21"/>
        <v>18.655060000000006</v>
      </c>
      <c r="AJ151" s="1">
        <f t="shared" si="17"/>
        <v>0.82571406339550424</v>
      </c>
      <c r="AK151" s="11">
        <v>468.73631999999998</v>
      </c>
      <c r="AL151" s="1">
        <v>72.5</v>
      </c>
      <c r="AM151" s="13">
        <v>14.41314</v>
      </c>
      <c r="AN151" s="3">
        <f t="shared" si="22"/>
        <v>16.378749999999997</v>
      </c>
      <c r="AO151" s="1">
        <f t="shared" si="16"/>
        <v>0.84827687458287726</v>
      </c>
      <c r="AP151" s="18">
        <v>322.75038000000001</v>
      </c>
      <c r="AQ151" s="1">
        <v>72.5</v>
      </c>
      <c r="AR151" s="13">
        <v>101.08163</v>
      </c>
      <c r="AS151" s="3">
        <f t="shared" si="23"/>
        <v>101.63544</v>
      </c>
    </row>
    <row r="152" spans="1:45" ht="16" x14ac:dyDescent="0.2">
      <c r="A152" s="2">
        <v>200.02354</v>
      </c>
      <c r="B152" s="1">
        <v>73</v>
      </c>
      <c r="C152" s="3">
        <v>101.86684</v>
      </c>
      <c r="D152" s="3">
        <f t="shared" si="24"/>
        <v>101.74338999999999</v>
      </c>
      <c r="G152" s="4">
        <v>225.00801999999999</v>
      </c>
      <c r="H152" s="1">
        <v>73</v>
      </c>
      <c r="I152" s="3">
        <v>99.747919999999993</v>
      </c>
      <c r="J152" s="3">
        <f t="shared" si="25"/>
        <v>101.33830999999999</v>
      </c>
      <c r="K152" s="1">
        <f t="shared" si="18"/>
        <v>1.0869086200952847E-3</v>
      </c>
      <c r="M152" s="4">
        <v>225.01241999999999</v>
      </c>
      <c r="N152" s="1">
        <v>73</v>
      </c>
      <c r="O152" s="3">
        <v>102.85311</v>
      </c>
      <c r="P152" s="3">
        <f t="shared" si="26"/>
        <v>102.06072</v>
      </c>
      <c r="S152" s="4">
        <v>250.00393</v>
      </c>
      <c r="T152" s="1">
        <v>73</v>
      </c>
      <c r="U152" s="5">
        <v>98.773290000000003</v>
      </c>
      <c r="V152" s="3">
        <f t="shared" si="19"/>
        <v>102.09698</v>
      </c>
      <c r="Y152" s="4">
        <v>250.01888</v>
      </c>
      <c r="Z152" s="1">
        <v>73</v>
      </c>
      <c r="AA152" s="5">
        <v>104.60545</v>
      </c>
      <c r="AB152" s="3">
        <f t="shared" si="20"/>
        <v>102.99643</v>
      </c>
      <c r="AF152" s="11">
        <v>470.88067999999998</v>
      </c>
      <c r="AG152" s="1">
        <v>73</v>
      </c>
      <c r="AH152" s="12">
        <v>11.803240000000001</v>
      </c>
      <c r="AI152" s="3">
        <f t="shared" si="21"/>
        <v>13.682680000000005</v>
      </c>
      <c r="AJ152" s="1">
        <f t="shared" si="17"/>
        <v>0.87525961545585407</v>
      </c>
      <c r="AK152" s="11">
        <v>470.81545999999997</v>
      </c>
      <c r="AL152" s="1">
        <v>73</v>
      </c>
      <c r="AM152" s="12">
        <v>9.2082200000000007</v>
      </c>
      <c r="AN152" s="3">
        <f t="shared" si="22"/>
        <v>11.173829999999995</v>
      </c>
      <c r="AO152" s="1">
        <f t="shared" si="16"/>
        <v>0.90017720806965784</v>
      </c>
      <c r="AP152" s="18">
        <v>324.24986000000001</v>
      </c>
      <c r="AQ152" s="1">
        <v>73</v>
      </c>
      <c r="AR152" s="12">
        <v>100.98166000000001</v>
      </c>
      <c r="AS152" s="3">
        <f t="shared" si="23"/>
        <v>101.53547</v>
      </c>
    </row>
    <row r="153" spans="1:45" ht="16" x14ac:dyDescent="0.2">
      <c r="A153" s="2">
        <v>200.02239</v>
      </c>
      <c r="B153" s="1">
        <v>73.5</v>
      </c>
      <c r="C153" s="5">
        <v>102.00653</v>
      </c>
      <c r="D153" s="3">
        <f t="shared" si="24"/>
        <v>101.88307999999999</v>
      </c>
      <c r="G153" s="4">
        <v>225.00542999999999</v>
      </c>
      <c r="H153" s="1">
        <v>73.5</v>
      </c>
      <c r="I153" s="5">
        <v>99.698750000000004</v>
      </c>
      <c r="J153" s="3">
        <f t="shared" si="25"/>
        <v>101.28914</v>
      </c>
      <c r="K153" s="1">
        <f t="shared" si="18"/>
        <v>1.5772140957839946E-3</v>
      </c>
      <c r="M153" s="4">
        <v>225.01217</v>
      </c>
      <c r="N153" s="1">
        <v>73.5</v>
      </c>
      <c r="O153" s="5">
        <v>103.00879</v>
      </c>
      <c r="P153" s="3">
        <f t="shared" si="26"/>
        <v>102.21640000000001</v>
      </c>
      <c r="S153" s="4">
        <v>250.00389999999999</v>
      </c>
      <c r="T153" s="1">
        <v>73.5</v>
      </c>
      <c r="U153" s="3">
        <v>98.784450000000007</v>
      </c>
      <c r="V153" s="3">
        <f t="shared" si="19"/>
        <v>102.10814000000001</v>
      </c>
      <c r="Y153" s="4">
        <v>250.01714000000001</v>
      </c>
      <c r="Z153" s="1">
        <v>73.5</v>
      </c>
      <c r="AA153" s="3">
        <v>104.56828</v>
      </c>
      <c r="AB153" s="3">
        <f t="shared" si="20"/>
        <v>102.95926</v>
      </c>
      <c r="AF153" s="11">
        <v>473.06695999999999</v>
      </c>
      <c r="AG153" s="1">
        <v>73.5</v>
      </c>
      <c r="AH153" s="13">
        <v>6.9825499999999998</v>
      </c>
      <c r="AI153" s="3">
        <f t="shared" si="21"/>
        <v>8.8619900000000058</v>
      </c>
      <c r="AJ153" s="1">
        <f t="shared" si="17"/>
        <v>0.92329370524018428</v>
      </c>
      <c r="AK153" s="11">
        <v>472.69087000000002</v>
      </c>
      <c r="AL153" s="1">
        <v>73.5</v>
      </c>
      <c r="AM153" s="13">
        <v>4.6558200000000003</v>
      </c>
      <c r="AN153" s="3">
        <f t="shared" si="22"/>
        <v>6.6214300000000037</v>
      </c>
      <c r="AO153" s="1">
        <f t="shared" si="16"/>
        <v>0.94557100435571395</v>
      </c>
      <c r="AP153" s="18">
        <v>325.75664999999998</v>
      </c>
      <c r="AQ153" s="1">
        <v>73.5</v>
      </c>
      <c r="AR153" s="13">
        <v>101.02521</v>
      </c>
      <c r="AS153" s="3">
        <f t="shared" si="23"/>
        <v>101.57902</v>
      </c>
    </row>
    <row r="154" spans="1:45" ht="16" x14ac:dyDescent="0.2">
      <c r="A154" s="2">
        <v>200.01981000000001</v>
      </c>
      <c r="B154" s="1">
        <v>74</v>
      </c>
      <c r="C154" s="3">
        <v>101.87949</v>
      </c>
      <c r="D154" s="3">
        <f t="shared" si="24"/>
        <v>101.75604</v>
      </c>
      <c r="G154" s="4">
        <v>225.00596999999999</v>
      </c>
      <c r="H154" s="1">
        <v>74</v>
      </c>
      <c r="I154" s="3">
        <v>99.702190000000002</v>
      </c>
      <c r="J154" s="3">
        <f t="shared" si="25"/>
        <v>101.29258</v>
      </c>
      <c r="K154" s="1">
        <f t="shared" si="18"/>
        <v>1.542911658599362E-3</v>
      </c>
      <c r="M154" s="4">
        <v>225.01513</v>
      </c>
      <c r="N154" s="1">
        <v>74</v>
      </c>
      <c r="O154" s="3">
        <v>102.75521000000001</v>
      </c>
      <c r="P154" s="3">
        <f t="shared" si="26"/>
        <v>101.96282000000001</v>
      </c>
      <c r="S154" s="4">
        <v>249.99800999999999</v>
      </c>
      <c r="T154" s="1">
        <v>74</v>
      </c>
      <c r="U154" s="5">
        <v>98.78022</v>
      </c>
      <c r="V154" s="3">
        <f t="shared" si="19"/>
        <v>102.10391</v>
      </c>
      <c r="Y154" s="4">
        <v>250.01472000000001</v>
      </c>
      <c r="Z154" s="1">
        <v>74</v>
      </c>
      <c r="AA154" s="5">
        <v>104.53264</v>
      </c>
      <c r="AB154" s="3">
        <f t="shared" si="20"/>
        <v>102.92362</v>
      </c>
      <c r="AF154" s="11">
        <v>474.72579999999999</v>
      </c>
      <c r="AG154" s="1">
        <v>74</v>
      </c>
      <c r="AH154" s="12">
        <v>3.4176099999999998</v>
      </c>
      <c r="AI154" s="3">
        <f t="shared" si="21"/>
        <v>5.2970499999999987</v>
      </c>
      <c r="AJ154" s="1">
        <f t="shared" si="17"/>
        <v>0.95881531066093317</v>
      </c>
      <c r="AK154" s="11">
        <v>474.39244000000002</v>
      </c>
      <c r="AL154" s="1">
        <v>74</v>
      </c>
      <c r="AM154" s="12">
        <v>1.38117</v>
      </c>
      <c r="AN154" s="3">
        <f t="shared" si="22"/>
        <v>3.3467799999999954</v>
      </c>
      <c r="AO154" s="1">
        <f t="shared" si="16"/>
        <v>0.97822384571590515</v>
      </c>
      <c r="AP154" s="18">
        <v>327.25231000000002</v>
      </c>
      <c r="AQ154" s="1">
        <v>74</v>
      </c>
      <c r="AR154" s="12">
        <v>100.93114</v>
      </c>
      <c r="AS154" s="3">
        <f t="shared" si="23"/>
        <v>101.48495</v>
      </c>
    </row>
    <row r="155" spans="1:45" ht="16" x14ac:dyDescent="0.2">
      <c r="A155" s="2">
        <v>200.01966999999999</v>
      </c>
      <c r="B155" s="1">
        <v>74.5</v>
      </c>
      <c r="C155" s="5">
        <v>101.86083000000001</v>
      </c>
      <c r="D155" s="3">
        <f t="shared" si="24"/>
        <v>101.73738</v>
      </c>
      <c r="G155" s="4">
        <v>225.0061</v>
      </c>
      <c r="H155" s="1">
        <v>74.5</v>
      </c>
      <c r="I155" s="5">
        <v>99.714039999999997</v>
      </c>
      <c r="J155" s="3">
        <f t="shared" si="25"/>
        <v>101.30443</v>
      </c>
      <c r="K155" s="1">
        <f t="shared" si="18"/>
        <v>1.4247477398092415E-3</v>
      </c>
      <c r="M155" s="4">
        <v>225.01647</v>
      </c>
      <c r="N155" s="1">
        <v>74.5</v>
      </c>
      <c r="O155" s="5">
        <v>102.7701</v>
      </c>
      <c r="P155" s="3">
        <f t="shared" si="26"/>
        <v>101.97771</v>
      </c>
      <c r="S155" s="4">
        <v>250.00103999999999</v>
      </c>
      <c r="T155" s="1">
        <v>74.5</v>
      </c>
      <c r="U155" s="3">
        <v>98.773849999999996</v>
      </c>
      <c r="V155" s="3">
        <f t="shared" si="19"/>
        <v>102.09754</v>
      </c>
      <c r="Y155" s="4">
        <v>250.01279</v>
      </c>
      <c r="Z155" s="1">
        <v>74.5</v>
      </c>
      <c r="AA155" s="3">
        <v>104.60562</v>
      </c>
      <c r="AB155" s="3">
        <f t="shared" si="20"/>
        <v>102.9966</v>
      </c>
      <c r="AF155" s="11">
        <v>476.52649000000002</v>
      </c>
      <c r="AG155" s="1">
        <v>74.5</v>
      </c>
      <c r="AH155" s="13">
        <v>0.75939999999999996</v>
      </c>
      <c r="AI155" s="3">
        <f t="shared" si="21"/>
        <v>2.6388400000000019</v>
      </c>
      <c r="AJ155" s="1">
        <f t="shared" si="17"/>
        <v>0.98530212018521379</v>
      </c>
      <c r="AK155" s="14">
        <v>476.27490999999998</v>
      </c>
      <c r="AL155" s="15">
        <v>74.5</v>
      </c>
      <c r="AM155" s="14">
        <v>-1.0221499999999999</v>
      </c>
      <c r="AN155" s="16">
        <f t="shared" si="22"/>
        <v>0.94346000000000174</v>
      </c>
      <c r="AO155" s="15">
        <f t="shared" si="16"/>
        <v>1.0021883080852498</v>
      </c>
      <c r="AP155" s="18">
        <v>328.74892</v>
      </c>
      <c r="AQ155" s="1">
        <v>74.5</v>
      </c>
      <c r="AR155" s="13">
        <v>100.80349</v>
      </c>
      <c r="AS155" s="3">
        <f t="shared" si="23"/>
        <v>101.3573</v>
      </c>
    </row>
    <row r="156" spans="1:45" ht="16" x14ac:dyDescent="0.2">
      <c r="A156" s="2">
        <v>200.02063000000001</v>
      </c>
      <c r="B156" s="1">
        <v>75</v>
      </c>
      <c r="C156" s="3">
        <v>101.91349</v>
      </c>
      <c r="D156" s="3">
        <f t="shared" si="24"/>
        <v>101.79003999999999</v>
      </c>
      <c r="G156" s="4">
        <v>225.00799000000001</v>
      </c>
      <c r="H156" s="1">
        <v>75</v>
      </c>
      <c r="I156" s="3">
        <v>99.70035</v>
      </c>
      <c r="J156" s="3">
        <f t="shared" si="25"/>
        <v>101.29074</v>
      </c>
      <c r="K156" s="1">
        <f t="shared" si="18"/>
        <v>1.5612594738376802E-3</v>
      </c>
      <c r="M156" s="4">
        <v>225.01669000000001</v>
      </c>
      <c r="N156" s="1">
        <v>75</v>
      </c>
      <c r="O156" s="3">
        <v>102.98542</v>
      </c>
      <c r="P156" s="3">
        <f t="shared" si="26"/>
        <v>102.19303000000001</v>
      </c>
      <c r="S156" s="4">
        <v>249.99807000000001</v>
      </c>
      <c r="T156" s="1">
        <v>75</v>
      </c>
      <c r="U156" s="5">
        <v>98.777320000000003</v>
      </c>
      <c r="V156" s="3">
        <f t="shared" si="19"/>
        <v>102.10101</v>
      </c>
      <c r="Y156" s="4">
        <v>250.01429999999999</v>
      </c>
      <c r="Z156" s="1">
        <v>75</v>
      </c>
      <c r="AA156" s="5">
        <v>104.5428</v>
      </c>
      <c r="AB156" s="3">
        <f t="shared" si="20"/>
        <v>102.93378</v>
      </c>
      <c r="AF156" s="14">
        <v>478.49518999999998</v>
      </c>
      <c r="AG156" s="15">
        <v>75</v>
      </c>
      <c r="AH156" s="14">
        <v>-1.10436</v>
      </c>
      <c r="AI156" s="16">
        <f t="shared" si="21"/>
        <v>0.77508000000000266</v>
      </c>
      <c r="AJ156" s="15">
        <f t="shared" si="17"/>
        <v>1.0038729088433609</v>
      </c>
      <c r="AK156" s="11">
        <v>478.41010999999997</v>
      </c>
      <c r="AL156" s="1">
        <v>75</v>
      </c>
      <c r="AM156" s="12">
        <v>-2.5485099999999998</v>
      </c>
      <c r="AN156" s="3">
        <f t="shared" si="22"/>
        <v>-0.58289999999999509</v>
      </c>
      <c r="AO156" s="1">
        <f t="shared" ref="AO156:AO219" si="27">($AN$91-AN156)/($AN$91*(1-$H$1))</f>
        <v>1.017408252488023</v>
      </c>
      <c r="AP156" s="18">
        <v>330.25412999999998</v>
      </c>
      <c r="AQ156" s="1">
        <v>75</v>
      </c>
      <c r="AR156" s="12">
        <v>100.7123</v>
      </c>
      <c r="AS156" s="3">
        <f t="shared" si="23"/>
        <v>101.26611</v>
      </c>
    </row>
    <row r="157" spans="1:45" ht="16" x14ac:dyDescent="0.2">
      <c r="A157" s="2">
        <v>200.02273</v>
      </c>
      <c r="B157" s="1">
        <v>75.5</v>
      </c>
      <c r="C157" s="5">
        <v>101.76006</v>
      </c>
      <c r="D157" s="3">
        <f t="shared" si="24"/>
        <v>101.63660999999999</v>
      </c>
      <c r="G157" s="4">
        <v>225.00429</v>
      </c>
      <c r="H157" s="1">
        <v>75.5</v>
      </c>
      <c r="I157" s="5">
        <v>99.625129999999999</v>
      </c>
      <c r="J157" s="3">
        <f t="shared" si="25"/>
        <v>101.21552</v>
      </c>
      <c r="K157" s="1">
        <f t="shared" si="18"/>
        <v>2.3113261380905466E-3</v>
      </c>
      <c r="M157" s="4">
        <v>225.01455000000001</v>
      </c>
      <c r="N157" s="1">
        <v>75.5</v>
      </c>
      <c r="O157" s="5">
        <v>102.8074</v>
      </c>
      <c r="P157" s="3">
        <f t="shared" si="26"/>
        <v>102.01501</v>
      </c>
      <c r="S157" s="4">
        <v>249.99999</v>
      </c>
      <c r="T157" s="1">
        <v>75.5</v>
      </c>
      <c r="U157" s="3">
        <v>98.757149999999996</v>
      </c>
      <c r="V157" s="3">
        <f t="shared" si="19"/>
        <v>102.08083999999999</v>
      </c>
      <c r="Y157" s="4">
        <v>250.01571999999999</v>
      </c>
      <c r="Z157" s="1">
        <v>75.5</v>
      </c>
      <c r="AA157" s="3">
        <v>104.53251</v>
      </c>
      <c r="AB157" s="3">
        <f t="shared" si="20"/>
        <v>102.92349</v>
      </c>
      <c r="AF157" s="11">
        <v>480.71706999999998</v>
      </c>
      <c r="AG157" s="1">
        <v>75.5</v>
      </c>
      <c r="AH157" s="13">
        <v>-2.0939700000000001</v>
      </c>
      <c r="AI157" s="3">
        <f t="shared" si="21"/>
        <v>-0.21452999999999633</v>
      </c>
      <c r="AJ157" s="1">
        <f t="shared" ref="AJ157:AJ220" si="28">($AI$92-AI157)/($AI$92*(1-$H$1))</f>
        <v>1.0137335336899018</v>
      </c>
      <c r="AK157" s="11">
        <v>480.80439999999999</v>
      </c>
      <c r="AL157" s="1">
        <v>75.5</v>
      </c>
      <c r="AM157" s="13">
        <v>-3.2714300000000001</v>
      </c>
      <c r="AN157" s="3">
        <f t="shared" si="22"/>
        <v>-1.3058199999999971</v>
      </c>
      <c r="AO157" s="1">
        <f t="shared" si="27"/>
        <v>1.024616776170282</v>
      </c>
      <c r="AP157" s="18">
        <v>331.7561</v>
      </c>
      <c r="AQ157" s="1">
        <v>75.5</v>
      </c>
      <c r="AR157" s="13">
        <v>100.71151999999999</v>
      </c>
      <c r="AS157" s="3">
        <f t="shared" si="23"/>
        <v>101.26532999999999</v>
      </c>
    </row>
    <row r="158" spans="1:45" ht="16" x14ac:dyDescent="0.2">
      <c r="A158" s="2">
        <v>200.02195</v>
      </c>
      <c r="B158" s="1">
        <v>76</v>
      </c>
      <c r="C158" s="3">
        <v>101.93046</v>
      </c>
      <c r="D158" s="3">
        <f t="shared" si="24"/>
        <v>101.80700999999999</v>
      </c>
      <c r="G158" s="4">
        <v>225.01089999999999</v>
      </c>
      <c r="H158" s="1">
        <v>76</v>
      </c>
      <c r="I158" s="3">
        <v>99.733609999999999</v>
      </c>
      <c r="J158" s="3">
        <f t="shared" si="25"/>
        <v>101.324</v>
      </c>
      <c r="K158" s="1">
        <f t="shared" si="18"/>
        <v>1.2296027701279133E-3</v>
      </c>
      <c r="M158" s="4">
        <v>225.01196999999999</v>
      </c>
      <c r="N158" s="1">
        <v>76</v>
      </c>
      <c r="O158" s="3">
        <v>102.9465</v>
      </c>
      <c r="P158" s="3">
        <f t="shared" si="26"/>
        <v>102.15411</v>
      </c>
      <c r="S158" s="4">
        <v>250.00002000000001</v>
      </c>
      <c r="T158" s="1">
        <v>76</v>
      </c>
      <c r="U158" s="5">
        <v>98.796099999999996</v>
      </c>
      <c r="V158" s="3">
        <f t="shared" si="19"/>
        <v>102.11978999999999</v>
      </c>
      <c r="Y158" s="4">
        <v>250.01754</v>
      </c>
      <c r="Z158" s="1">
        <v>76</v>
      </c>
      <c r="AA158" s="5">
        <v>104.59851</v>
      </c>
      <c r="AB158" s="3">
        <f t="shared" si="20"/>
        <v>102.98949</v>
      </c>
      <c r="AF158" s="11">
        <v>483.31670000000003</v>
      </c>
      <c r="AG158" s="1">
        <v>76</v>
      </c>
      <c r="AH158" s="12">
        <v>-2.6112000000000002</v>
      </c>
      <c r="AI158" s="3">
        <f t="shared" si="21"/>
        <v>-0.73175999999999419</v>
      </c>
      <c r="AJ158" s="1">
        <f t="shared" si="28"/>
        <v>1.018887292230515</v>
      </c>
      <c r="AK158" s="11">
        <v>483.54480999999998</v>
      </c>
      <c r="AL158" s="1">
        <v>76</v>
      </c>
      <c r="AM158" s="12">
        <v>-3.63625</v>
      </c>
      <c r="AN158" s="3">
        <f t="shared" si="22"/>
        <v>-1.6706400000000059</v>
      </c>
      <c r="AO158" s="1">
        <f t="shared" si="27"/>
        <v>1.0282545419116667</v>
      </c>
      <c r="AP158" s="18">
        <v>333.24725000000001</v>
      </c>
      <c r="AQ158" s="1">
        <v>76</v>
      </c>
      <c r="AR158" s="12">
        <v>100.51721999999999</v>
      </c>
      <c r="AS158" s="3">
        <f t="shared" si="23"/>
        <v>101.07102999999999</v>
      </c>
    </row>
    <row r="159" spans="1:45" ht="16" x14ac:dyDescent="0.2">
      <c r="A159" s="2">
        <v>200.02126000000001</v>
      </c>
      <c r="B159" s="1">
        <v>76.5</v>
      </c>
      <c r="C159" s="5">
        <v>101.84357</v>
      </c>
      <c r="D159" s="3">
        <f t="shared" si="24"/>
        <v>101.72011999999999</v>
      </c>
      <c r="G159" s="4">
        <v>225.00824</v>
      </c>
      <c r="H159" s="1">
        <v>76.5</v>
      </c>
      <c r="I159" s="5">
        <v>99.722980000000007</v>
      </c>
      <c r="J159" s="3">
        <f t="shared" si="25"/>
        <v>101.31337000000001</v>
      </c>
      <c r="K159" s="1">
        <f t="shared" si="18"/>
        <v>1.3356012896839054E-3</v>
      </c>
      <c r="M159" s="4">
        <v>225.01830000000001</v>
      </c>
      <c r="N159" s="1">
        <v>76.5</v>
      </c>
      <c r="O159" s="5">
        <v>102.86493</v>
      </c>
      <c r="P159" s="3">
        <f t="shared" si="26"/>
        <v>102.07254</v>
      </c>
      <c r="S159" s="4">
        <v>250.00498999999999</v>
      </c>
      <c r="T159" s="1">
        <v>76.5</v>
      </c>
      <c r="U159" s="3">
        <v>98.770840000000007</v>
      </c>
      <c r="V159" s="3">
        <f t="shared" si="19"/>
        <v>102.09453000000001</v>
      </c>
      <c r="Y159" s="4">
        <v>250.01711</v>
      </c>
      <c r="Z159" s="1">
        <v>76.5</v>
      </c>
      <c r="AA159" s="3">
        <v>104.61109999999999</v>
      </c>
      <c r="AB159" s="3">
        <f t="shared" si="20"/>
        <v>103.00207999999999</v>
      </c>
      <c r="AF159" s="11">
        <v>486.14668</v>
      </c>
      <c r="AG159" s="1">
        <v>76.5</v>
      </c>
      <c r="AH159" s="13">
        <v>-2.7702900000000001</v>
      </c>
      <c r="AI159" s="3">
        <f t="shared" si="21"/>
        <v>-0.89085000000000036</v>
      </c>
      <c r="AJ159" s="1">
        <f t="shared" si="28"/>
        <v>1.0204724892342198</v>
      </c>
      <c r="AK159" s="11">
        <v>486.44711000000001</v>
      </c>
      <c r="AL159" s="1">
        <v>76.5</v>
      </c>
      <c r="AM159" s="13">
        <v>-3.7284600000000001</v>
      </c>
      <c r="AN159" s="3">
        <f t="shared" si="22"/>
        <v>-1.7628500000000003</v>
      </c>
      <c r="AO159" s="1">
        <f t="shared" si="27"/>
        <v>1.0291740046028925</v>
      </c>
      <c r="AP159" s="18">
        <v>334.74824999999998</v>
      </c>
      <c r="AQ159" s="1">
        <v>76.5</v>
      </c>
      <c r="AR159" s="13">
        <v>100.35808</v>
      </c>
      <c r="AS159" s="3">
        <f t="shared" si="23"/>
        <v>100.91189</v>
      </c>
    </row>
    <row r="160" spans="1:45" ht="16" x14ac:dyDescent="0.2">
      <c r="A160" s="2">
        <v>200.02411000000001</v>
      </c>
      <c r="B160" s="1">
        <v>77</v>
      </c>
      <c r="C160" s="3">
        <v>101.87587000000001</v>
      </c>
      <c r="D160" s="3">
        <f t="shared" si="24"/>
        <v>101.75242</v>
      </c>
      <c r="G160" s="4">
        <v>225.01181</v>
      </c>
      <c r="H160" s="1">
        <v>77</v>
      </c>
      <c r="I160" s="3">
        <v>99.757739999999998</v>
      </c>
      <c r="J160" s="3">
        <f t="shared" si="25"/>
        <v>101.34813</v>
      </c>
      <c r="K160" s="1">
        <f t="shared" si="18"/>
        <v>9.8898712789950412E-4</v>
      </c>
      <c r="M160" s="4">
        <v>225.02211</v>
      </c>
      <c r="N160" s="1">
        <v>77</v>
      </c>
      <c r="O160" s="3">
        <v>102.64928999999999</v>
      </c>
      <c r="P160" s="3">
        <f t="shared" si="26"/>
        <v>101.8569</v>
      </c>
      <c r="S160" s="4">
        <v>250.005</v>
      </c>
      <c r="T160" s="1">
        <v>77</v>
      </c>
      <c r="U160" s="5">
        <v>98.771050000000002</v>
      </c>
      <c r="V160" s="3">
        <f t="shared" si="19"/>
        <v>102.09474</v>
      </c>
      <c r="Y160" s="4">
        <v>250.01553999999999</v>
      </c>
      <c r="Z160" s="1">
        <v>77</v>
      </c>
      <c r="AA160" s="5">
        <v>104.64435</v>
      </c>
      <c r="AB160" s="3">
        <f t="shared" si="20"/>
        <v>103.03533</v>
      </c>
      <c r="AF160" s="11">
        <v>489.09248000000002</v>
      </c>
      <c r="AG160" s="1">
        <v>77</v>
      </c>
      <c r="AH160" s="12">
        <v>-2.8834</v>
      </c>
      <c r="AI160" s="3">
        <f t="shared" si="21"/>
        <v>-1.0039599999999922</v>
      </c>
      <c r="AJ160" s="1">
        <f t="shared" si="28"/>
        <v>1.021599534511038</v>
      </c>
      <c r="AK160" s="11">
        <v>489.35658000000001</v>
      </c>
      <c r="AL160" s="1">
        <v>77</v>
      </c>
      <c r="AM160" s="12">
        <v>-3.7938200000000002</v>
      </c>
      <c r="AN160" s="3">
        <f t="shared" si="22"/>
        <v>-1.8282099999999986</v>
      </c>
      <c r="AO160" s="1">
        <f t="shared" si="27"/>
        <v>1.0298257352340445</v>
      </c>
      <c r="AP160" s="18">
        <v>336.25914</v>
      </c>
      <c r="AQ160" s="1">
        <v>77</v>
      </c>
      <c r="AR160" s="12">
        <v>100.32352</v>
      </c>
      <c r="AS160" s="3">
        <f t="shared" si="23"/>
        <v>100.87733</v>
      </c>
    </row>
    <row r="161" spans="1:45" ht="16" x14ac:dyDescent="0.2">
      <c r="A161" s="2">
        <v>200.02393000000001</v>
      </c>
      <c r="B161" s="1">
        <v>77.5</v>
      </c>
      <c r="C161" s="5">
        <v>101.73782</v>
      </c>
      <c r="D161" s="3">
        <f t="shared" si="24"/>
        <v>101.61436999999999</v>
      </c>
      <c r="G161" s="4">
        <v>225.00890000000001</v>
      </c>
      <c r="H161" s="1">
        <v>77.5</v>
      </c>
      <c r="I161" s="5">
        <v>99.689260000000004</v>
      </c>
      <c r="J161" s="3">
        <f t="shared" si="25"/>
        <v>101.27965</v>
      </c>
      <c r="K161" s="1">
        <f t="shared" si="18"/>
        <v>1.6718449472032874E-3</v>
      </c>
      <c r="M161" s="4">
        <v>225.01813000000001</v>
      </c>
      <c r="N161" s="1">
        <v>77.5</v>
      </c>
      <c r="O161" s="5">
        <v>102.77199</v>
      </c>
      <c r="P161" s="3">
        <f t="shared" si="26"/>
        <v>101.9796</v>
      </c>
      <c r="S161" s="4">
        <v>250.00110000000001</v>
      </c>
      <c r="T161" s="1">
        <v>77.5</v>
      </c>
      <c r="U161" s="3">
        <v>98.767870000000002</v>
      </c>
      <c r="V161" s="3">
        <f t="shared" si="19"/>
        <v>102.09156</v>
      </c>
      <c r="Y161" s="4">
        <v>250.01223999999999</v>
      </c>
      <c r="Z161" s="1">
        <v>77.5</v>
      </c>
      <c r="AA161" s="3">
        <v>104.57965</v>
      </c>
      <c r="AB161" s="3">
        <f t="shared" si="20"/>
        <v>102.97063</v>
      </c>
      <c r="AF161" s="11">
        <v>492.01661000000001</v>
      </c>
      <c r="AG161" s="1">
        <v>77.5</v>
      </c>
      <c r="AH161" s="13">
        <v>-2.9439099999999998</v>
      </c>
      <c r="AI161" s="3">
        <f t="shared" si="21"/>
        <v>-1.06447</v>
      </c>
      <c r="AJ161" s="1">
        <f t="shared" si="28"/>
        <v>1.0222024653721493</v>
      </c>
      <c r="AK161" s="11">
        <v>492.22194000000002</v>
      </c>
      <c r="AL161" s="1">
        <v>77.5</v>
      </c>
      <c r="AM161" s="13">
        <v>-3.8300900000000002</v>
      </c>
      <c r="AN161" s="3">
        <f t="shared" si="22"/>
        <v>-1.8644800000000004</v>
      </c>
      <c r="AO161" s="1">
        <f t="shared" si="27"/>
        <v>1.0301873978716194</v>
      </c>
      <c r="AP161" s="18">
        <v>337.74729000000002</v>
      </c>
      <c r="AQ161" s="1">
        <v>77.5</v>
      </c>
      <c r="AR161" s="13">
        <v>100.13383</v>
      </c>
      <c r="AS161" s="3">
        <f t="shared" si="23"/>
        <v>100.68764</v>
      </c>
    </row>
    <row r="162" spans="1:45" ht="16" x14ac:dyDescent="0.2">
      <c r="A162" s="2">
        <v>200.02377999999999</v>
      </c>
      <c r="B162" s="1">
        <v>78</v>
      </c>
      <c r="C162" s="3">
        <v>101.91036</v>
      </c>
      <c r="D162" s="3">
        <f t="shared" si="24"/>
        <v>101.78690999999999</v>
      </c>
      <c r="G162" s="4">
        <v>225.00877</v>
      </c>
      <c r="H162" s="1">
        <v>78</v>
      </c>
      <c r="I162" s="3">
        <v>99.682569999999998</v>
      </c>
      <c r="J162" s="3">
        <f t="shared" si="25"/>
        <v>101.27296</v>
      </c>
      <c r="K162" s="1">
        <f t="shared" si="18"/>
        <v>1.7385552102165303E-3</v>
      </c>
      <c r="M162" s="4">
        <v>225.01405</v>
      </c>
      <c r="N162" s="1">
        <v>78</v>
      </c>
      <c r="O162" s="3">
        <v>102.88797</v>
      </c>
      <c r="P162" s="3">
        <f t="shared" si="26"/>
        <v>102.09558</v>
      </c>
      <c r="S162" s="4">
        <v>250.00787</v>
      </c>
      <c r="T162" s="1">
        <v>78</v>
      </c>
      <c r="U162" s="5">
        <v>98.785749999999993</v>
      </c>
      <c r="V162" s="3">
        <f t="shared" si="19"/>
        <v>102.10943999999999</v>
      </c>
      <c r="Y162" s="4">
        <v>250.01170999999999</v>
      </c>
      <c r="Z162" s="1">
        <v>78</v>
      </c>
      <c r="AA162" s="5">
        <v>104.693</v>
      </c>
      <c r="AB162" s="3">
        <f t="shared" si="20"/>
        <v>103.08398</v>
      </c>
      <c r="AF162" s="11">
        <v>494.85955000000001</v>
      </c>
      <c r="AG162" s="1">
        <v>78</v>
      </c>
      <c r="AH162" s="12">
        <v>-2.9243299999999999</v>
      </c>
      <c r="AI162" s="3">
        <f t="shared" si="21"/>
        <v>-1.0448899999999952</v>
      </c>
      <c r="AJ162" s="1">
        <f t="shared" si="28"/>
        <v>1.0220073672683556</v>
      </c>
      <c r="AK162" s="11">
        <v>494.99421999999998</v>
      </c>
      <c r="AL162" s="1">
        <v>78</v>
      </c>
      <c r="AM162" s="12">
        <v>-3.8620700000000001</v>
      </c>
      <c r="AN162" s="3">
        <f t="shared" si="22"/>
        <v>-1.8964600000000047</v>
      </c>
      <c r="AO162" s="1">
        <f t="shared" si="27"/>
        <v>1.0305062832079757</v>
      </c>
      <c r="AP162" s="18">
        <v>339.24801000000002</v>
      </c>
      <c r="AQ162" s="1">
        <v>78</v>
      </c>
      <c r="AR162" s="12">
        <v>99.885639999999995</v>
      </c>
      <c r="AS162" s="3">
        <f t="shared" si="23"/>
        <v>100.43944999999999</v>
      </c>
    </row>
    <row r="163" spans="1:45" ht="16" x14ac:dyDescent="0.2">
      <c r="A163" s="2">
        <v>200.02347</v>
      </c>
      <c r="B163" s="1">
        <v>78.5</v>
      </c>
      <c r="C163" s="5">
        <v>101.85045</v>
      </c>
      <c r="D163" s="3">
        <f t="shared" si="24"/>
        <v>101.72699999999999</v>
      </c>
      <c r="G163" s="4">
        <v>225.00993</v>
      </c>
      <c r="H163" s="1">
        <v>78.5</v>
      </c>
      <c r="I163" s="5">
        <v>99.723849999999999</v>
      </c>
      <c r="J163" s="3">
        <f t="shared" si="25"/>
        <v>101.31424</v>
      </c>
      <c r="K163" s="1">
        <f t="shared" si="18"/>
        <v>1.3269259640006574E-3</v>
      </c>
      <c r="M163" s="4">
        <v>225.01577</v>
      </c>
      <c r="N163" s="1">
        <v>78.5</v>
      </c>
      <c r="O163" s="5">
        <v>102.87873</v>
      </c>
      <c r="P163" s="3">
        <f t="shared" si="26"/>
        <v>102.08634000000001</v>
      </c>
      <c r="S163" s="4">
        <v>250.00801999999999</v>
      </c>
      <c r="T163" s="1">
        <v>78.5</v>
      </c>
      <c r="U163" s="3">
        <v>98.769409999999993</v>
      </c>
      <c r="V163" s="3">
        <f t="shared" si="19"/>
        <v>102.09309999999999</v>
      </c>
      <c r="Y163" s="4">
        <v>250.01641000000001</v>
      </c>
      <c r="Z163" s="1">
        <v>78.5</v>
      </c>
      <c r="AA163" s="3">
        <v>104.56482</v>
      </c>
      <c r="AB163" s="3">
        <f t="shared" si="20"/>
        <v>102.9558</v>
      </c>
      <c r="AF163" s="11">
        <v>497.60187999999999</v>
      </c>
      <c r="AG163" s="1">
        <v>78.5</v>
      </c>
      <c r="AH163" s="13">
        <v>-2.9632999999999998</v>
      </c>
      <c r="AI163" s="3">
        <f t="shared" si="21"/>
        <v>-1.0838600000000014</v>
      </c>
      <c r="AJ163" s="1">
        <f t="shared" si="28"/>
        <v>1.022395670286989</v>
      </c>
      <c r="AK163" s="11">
        <v>497.69513999999998</v>
      </c>
      <c r="AL163" s="1">
        <v>78.5</v>
      </c>
      <c r="AM163" s="13">
        <v>-3.8525800000000001</v>
      </c>
      <c r="AN163" s="3">
        <f t="shared" si="22"/>
        <v>-1.8869700000000051</v>
      </c>
      <c r="AO163" s="1">
        <f t="shared" si="27"/>
        <v>1.0304116546325528</v>
      </c>
      <c r="AP163" s="18">
        <v>340.75623000000002</v>
      </c>
      <c r="AQ163" s="1">
        <v>78.5</v>
      </c>
      <c r="AR163" s="13">
        <v>99.87706</v>
      </c>
      <c r="AS163" s="3">
        <f t="shared" si="23"/>
        <v>100.43087</v>
      </c>
    </row>
    <row r="164" spans="1:45" ht="16" x14ac:dyDescent="0.2">
      <c r="A164" s="2">
        <v>200.02125000000001</v>
      </c>
      <c r="B164" s="1">
        <v>79</v>
      </c>
      <c r="C164" s="3">
        <v>101.85344000000001</v>
      </c>
      <c r="D164" s="3">
        <f t="shared" si="24"/>
        <v>101.72999</v>
      </c>
      <c r="G164" s="4">
        <v>225.00604999999999</v>
      </c>
      <c r="H164" s="1">
        <v>79</v>
      </c>
      <c r="I164" s="3">
        <v>99.697249999999997</v>
      </c>
      <c r="J164" s="3">
        <f t="shared" si="25"/>
        <v>101.28764</v>
      </c>
      <c r="K164" s="1">
        <f t="shared" si="18"/>
        <v>1.5921715538587706E-3</v>
      </c>
      <c r="M164" s="4">
        <v>225.01539</v>
      </c>
      <c r="N164" s="1">
        <v>79</v>
      </c>
      <c r="O164" s="3">
        <v>102.92793</v>
      </c>
      <c r="P164" s="3">
        <f t="shared" si="26"/>
        <v>102.13554000000001</v>
      </c>
      <c r="S164" s="4">
        <v>250.00901999999999</v>
      </c>
      <c r="T164" s="1">
        <v>79</v>
      </c>
      <c r="U164" s="5">
        <v>98.796430000000001</v>
      </c>
      <c r="V164" s="3">
        <f t="shared" si="19"/>
        <v>102.12012</v>
      </c>
      <c r="Y164" s="4">
        <v>250.01732999999999</v>
      </c>
      <c r="Z164" s="1">
        <v>79</v>
      </c>
      <c r="AA164" s="5">
        <v>104.59678</v>
      </c>
      <c r="AB164" s="3">
        <f t="shared" si="20"/>
        <v>102.98775999999999</v>
      </c>
      <c r="AF164" s="11">
        <v>500.26650000000001</v>
      </c>
      <c r="AG164" s="1">
        <v>79</v>
      </c>
      <c r="AH164" s="12">
        <v>-2.9699399999999998</v>
      </c>
      <c r="AI164" s="3">
        <f t="shared" si="21"/>
        <v>-1.0904999999999916</v>
      </c>
      <c r="AJ164" s="1">
        <f t="shared" si="28"/>
        <v>1.0224618322588575</v>
      </c>
      <c r="AK164" s="11">
        <v>500.32004999999998</v>
      </c>
      <c r="AL164" s="1">
        <v>79</v>
      </c>
      <c r="AM164" s="12">
        <v>-3.8534999999999999</v>
      </c>
      <c r="AN164" s="3">
        <f t="shared" si="22"/>
        <v>-1.8878899999999987</v>
      </c>
      <c r="AO164" s="1">
        <f t="shared" si="27"/>
        <v>1.0304208283195273</v>
      </c>
      <c r="AP164" s="18">
        <v>342.26314000000002</v>
      </c>
      <c r="AQ164" s="1">
        <v>79</v>
      </c>
      <c r="AR164" s="12">
        <v>99.718190000000007</v>
      </c>
      <c r="AS164" s="3">
        <f t="shared" si="23"/>
        <v>100.27200000000001</v>
      </c>
    </row>
    <row r="165" spans="1:45" ht="16" x14ac:dyDescent="0.2">
      <c r="A165" s="2">
        <v>200.01683</v>
      </c>
      <c r="B165" s="1">
        <v>79.5</v>
      </c>
      <c r="C165" s="5">
        <v>101.93764</v>
      </c>
      <c r="D165" s="3">
        <f t="shared" si="24"/>
        <v>101.81419</v>
      </c>
      <c r="G165" s="4">
        <v>225.00695999999999</v>
      </c>
      <c r="H165" s="1">
        <v>79.5</v>
      </c>
      <c r="I165" s="5">
        <v>99.691999999999993</v>
      </c>
      <c r="J165" s="3">
        <f t="shared" si="25"/>
        <v>101.28238999999999</v>
      </c>
      <c r="K165" s="1">
        <f t="shared" si="18"/>
        <v>1.6445226571202738E-3</v>
      </c>
      <c r="M165" s="4">
        <v>225.01730000000001</v>
      </c>
      <c r="N165" s="1">
        <v>79.5</v>
      </c>
      <c r="O165" s="5">
        <v>102.82323</v>
      </c>
      <c r="P165" s="3">
        <f t="shared" si="26"/>
        <v>102.03084</v>
      </c>
      <c r="S165" s="4">
        <v>250.00497999999999</v>
      </c>
      <c r="T165" s="1">
        <v>79.5</v>
      </c>
      <c r="U165" s="3">
        <v>98.767510000000001</v>
      </c>
      <c r="V165" s="3">
        <f t="shared" si="19"/>
        <v>102.0912</v>
      </c>
      <c r="Y165" s="4">
        <v>250.01604</v>
      </c>
      <c r="Z165" s="1">
        <v>79.5</v>
      </c>
      <c r="AA165" s="3">
        <v>104.63709</v>
      </c>
      <c r="AB165" s="3">
        <f t="shared" si="20"/>
        <v>103.02807</v>
      </c>
      <c r="AF165" s="11">
        <v>502.87182999999999</v>
      </c>
      <c r="AG165" s="1">
        <v>79.5</v>
      </c>
      <c r="AH165" s="13">
        <v>-2.99207</v>
      </c>
      <c r="AI165" s="3">
        <f t="shared" si="21"/>
        <v>-1.1126299999999958</v>
      </c>
      <c r="AJ165" s="1">
        <f t="shared" si="28"/>
        <v>1.0226823389512454</v>
      </c>
      <c r="AK165" s="11">
        <v>502.90469000000002</v>
      </c>
      <c r="AL165" s="1">
        <v>79.5</v>
      </c>
      <c r="AM165" s="13">
        <v>-3.8961600000000001</v>
      </c>
      <c r="AN165" s="3">
        <f t="shared" si="22"/>
        <v>-1.9305499999999967</v>
      </c>
      <c r="AO165" s="1">
        <f t="shared" si="27"/>
        <v>1.0308462081959799</v>
      </c>
      <c r="AP165" s="18">
        <v>343.75047000000001</v>
      </c>
      <c r="AQ165" s="1">
        <v>79.5</v>
      </c>
      <c r="AR165" s="13">
        <v>99.542010000000005</v>
      </c>
      <c r="AS165" s="3">
        <f t="shared" si="23"/>
        <v>100.09582</v>
      </c>
    </row>
    <row r="166" spans="1:45" ht="16" x14ac:dyDescent="0.2">
      <c r="A166" s="2">
        <v>200.01286999999999</v>
      </c>
      <c r="B166" s="1">
        <v>80</v>
      </c>
      <c r="C166" s="3">
        <v>101.78028999999999</v>
      </c>
      <c r="D166" s="3">
        <f t="shared" si="24"/>
        <v>101.65683999999999</v>
      </c>
      <c r="G166" s="4">
        <v>225.00604000000001</v>
      </c>
      <c r="H166" s="1">
        <v>80</v>
      </c>
      <c r="I166" s="3">
        <v>99.666210000000007</v>
      </c>
      <c r="J166" s="3">
        <f t="shared" si="25"/>
        <v>101.25660000000001</v>
      </c>
      <c r="K166" s="1">
        <f t="shared" si="18"/>
        <v>1.9016912196178919E-3</v>
      </c>
      <c r="M166" s="4">
        <v>225.01881</v>
      </c>
      <c r="N166" s="1">
        <v>80</v>
      </c>
      <c r="O166" s="3">
        <v>102.78994</v>
      </c>
      <c r="P166" s="3">
        <f t="shared" si="26"/>
        <v>101.99755</v>
      </c>
      <c r="S166" s="4">
        <v>249.99798000000001</v>
      </c>
      <c r="T166" s="1">
        <v>80</v>
      </c>
      <c r="U166" s="5">
        <v>98.780159999999995</v>
      </c>
      <c r="V166" s="3">
        <f t="shared" si="19"/>
        <v>102.10384999999999</v>
      </c>
      <c r="Y166" s="4">
        <v>250.01338999999999</v>
      </c>
      <c r="Z166" s="1">
        <v>80</v>
      </c>
      <c r="AA166" s="5">
        <v>104.67478</v>
      </c>
      <c r="AB166" s="3">
        <f t="shared" si="20"/>
        <v>103.06576</v>
      </c>
      <c r="AF166" s="11">
        <v>505.43786</v>
      </c>
      <c r="AG166" s="1">
        <v>80</v>
      </c>
      <c r="AH166" s="12">
        <v>-2.9679099999999998</v>
      </c>
      <c r="AI166" s="3">
        <f t="shared" si="21"/>
        <v>-1.0884700000000009</v>
      </c>
      <c r="AJ166" s="1">
        <f t="shared" si="28"/>
        <v>1.0224416050295062</v>
      </c>
      <c r="AK166" s="11">
        <v>505.45553000000001</v>
      </c>
      <c r="AL166" s="1">
        <v>80</v>
      </c>
      <c r="AM166" s="12">
        <v>-3.8722599999999998</v>
      </c>
      <c r="AN166" s="3">
        <f t="shared" si="22"/>
        <v>-1.9066499999999991</v>
      </c>
      <c r="AO166" s="1">
        <f t="shared" si="27"/>
        <v>1.0306078917626182</v>
      </c>
      <c r="AP166" s="18">
        <v>345.26294999999999</v>
      </c>
      <c r="AQ166" s="1">
        <v>80</v>
      </c>
      <c r="AR166" s="12">
        <v>99.354680000000002</v>
      </c>
      <c r="AS166" s="3">
        <f t="shared" si="23"/>
        <v>99.90849</v>
      </c>
    </row>
    <row r="167" spans="1:45" ht="16" x14ac:dyDescent="0.2">
      <c r="A167" s="2">
        <v>200.01071999999999</v>
      </c>
      <c r="B167" s="1">
        <v>80.5</v>
      </c>
      <c r="C167" s="5">
        <v>101.87647</v>
      </c>
      <c r="D167" s="3">
        <f t="shared" si="24"/>
        <v>101.75301999999999</v>
      </c>
      <c r="G167" s="4">
        <v>225.00504000000001</v>
      </c>
      <c r="H167" s="1">
        <v>80.5</v>
      </c>
      <c r="I167" s="5">
        <v>99.655779999999993</v>
      </c>
      <c r="J167" s="3">
        <f t="shared" si="25"/>
        <v>101.24616999999999</v>
      </c>
      <c r="K167" s="1">
        <f t="shared" si="18"/>
        <v>2.0056954114308074E-3</v>
      </c>
      <c r="M167" s="4">
        <v>225.01988</v>
      </c>
      <c r="N167" s="1">
        <v>80.5</v>
      </c>
      <c r="O167" s="5">
        <v>102.72693</v>
      </c>
      <c r="P167" s="3">
        <f t="shared" si="26"/>
        <v>101.93454</v>
      </c>
      <c r="S167" s="4">
        <v>250.00391999999999</v>
      </c>
      <c r="T167" s="1">
        <v>80.5</v>
      </c>
      <c r="U167" s="3">
        <v>98.761259999999993</v>
      </c>
      <c r="V167" s="3">
        <f t="shared" si="19"/>
        <v>102.08494999999999</v>
      </c>
      <c r="Y167" s="4">
        <v>250.01199</v>
      </c>
      <c r="Z167" s="1">
        <v>80.5</v>
      </c>
      <c r="AA167" s="3">
        <v>104.66969</v>
      </c>
      <c r="AB167" s="3">
        <f t="shared" si="20"/>
        <v>103.06067</v>
      </c>
      <c r="AF167" s="11">
        <v>507.97115000000002</v>
      </c>
      <c r="AG167" s="1">
        <v>80.5</v>
      </c>
      <c r="AH167" s="13">
        <v>-3.0025900000000001</v>
      </c>
      <c r="AI167" s="3">
        <f t="shared" si="21"/>
        <v>-1.1231499999999954</v>
      </c>
      <c r="AJ167" s="1">
        <f t="shared" si="28"/>
        <v>1.0227871618343869</v>
      </c>
      <c r="AK167" s="11">
        <v>507.98295999999999</v>
      </c>
      <c r="AL167" s="1">
        <v>80.5</v>
      </c>
      <c r="AM167" s="13">
        <v>-3.9275600000000002</v>
      </c>
      <c r="AN167" s="3">
        <f t="shared" si="22"/>
        <v>-1.9619500000000016</v>
      </c>
      <c r="AO167" s="1">
        <f t="shared" si="27"/>
        <v>1.0311593101209828</v>
      </c>
      <c r="AP167" s="18">
        <v>346.76197999999999</v>
      </c>
      <c r="AQ167" s="1">
        <v>80.5</v>
      </c>
      <c r="AR167" s="13">
        <v>99.155410000000003</v>
      </c>
      <c r="AS167" s="3">
        <f t="shared" si="23"/>
        <v>99.709220000000002</v>
      </c>
    </row>
    <row r="168" spans="1:45" ht="16" x14ac:dyDescent="0.2">
      <c r="A168" s="2">
        <v>200.01155</v>
      </c>
      <c r="B168" s="1">
        <v>81</v>
      </c>
      <c r="C168" s="3">
        <v>101.89681</v>
      </c>
      <c r="D168" s="3">
        <f t="shared" si="24"/>
        <v>101.77336</v>
      </c>
      <c r="G168" s="4">
        <v>225.00783000000001</v>
      </c>
      <c r="H168" s="1">
        <v>81</v>
      </c>
      <c r="I168" s="3">
        <v>99.68271</v>
      </c>
      <c r="J168" s="3">
        <f t="shared" si="25"/>
        <v>101.2731</v>
      </c>
      <c r="K168" s="1">
        <f t="shared" si="18"/>
        <v>1.7371591807962066E-3</v>
      </c>
      <c r="M168" s="4">
        <v>225.01791</v>
      </c>
      <c r="N168" s="1">
        <v>81</v>
      </c>
      <c r="O168" s="3">
        <v>102.94269</v>
      </c>
      <c r="P168" s="3">
        <f t="shared" si="26"/>
        <v>102.1503</v>
      </c>
      <c r="S168" s="4">
        <v>250.00002000000001</v>
      </c>
      <c r="T168" s="1">
        <v>81</v>
      </c>
      <c r="U168" s="5">
        <v>98.767060000000001</v>
      </c>
      <c r="V168" s="3">
        <f t="shared" si="19"/>
        <v>102.09075</v>
      </c>
      <c r="Y168" s="4">
        <v>250.01103000000001</v>
      </c>
      <c r="Z168" s="1">
        <v>81</v>
      </c>
      <c r="AA168" s="5">
        <v>104.60292</v>
      </c>
      <c r="AB168" s="3">
        <f t="shared" si="20"/>
        <v>102.9939</v>
      </c>
      <c r="AF168" s="11">
        <v>510.49660999999998</v>
      </c>
      <c r="AG168" s="1">
        <v>81</v>
      </c>
      <c r="AH168" s="12">
        <v>-3.0488900000000001</v>
      </c>
      <c r="AI168" s="3">
        <f t="shared" si="21"/>
        <v>-1.1694499999999977</v>
      </c>
      <c r="AJ168" s="1">
        <f t="shared" si="28"/>
        <v>1.0232485020900379</v>
      </c>
      <c r="AK168" s="11">
        <v>510.49869000000001</v>
      </c>
      <c r="AL168" s="1">
        <v>81</v>
      </c>
      <c r="AM168" s="12">
        <v>-3.9502700000000002</v>
      </c>
      <c r="AN168" s="3">
        <f t="shared" si="22"/>
        <v>-1.9846600000000052</v>
      </c>
      <c r="AO168" s="1">
        <f t="shared" si="27"/>
        <v>1.031385760589671</v>
      </c>
      <c r="AP168" s="18">
        <v>348.26098999999999</v>
      </c>
      <c r="AQ168" s="1">
        <v>81</v>
      </c>
      <c r="AR168" s="12">
        <v>98.924149999999997</v>
      </c>
      <c r="AS168" s="3">
        <f t="shared" si="23"/>
        <v>99.477959999999996</v>
      </c>
    </row>
    <row r="169" spans="1:45" ht="16" x14ac:dyDescent="0.2">
      <c r="A169" s="2">
        <v>200.01579000000001</v>
      </c>
      <c r="B169" s="1">
        <v>81.5</v>
      </c>
      <c r="C169" s="5">
        <v>101.88418</v>
      </c>
      <c r="D169" s="3">
        <f t="shared" si="24"/>
        <v>101.76073</v>
      </c>
      <c r="G169" s="4">
        <v>225.00707</v>
      </c>
      <c r="H169" s="1">
        <v>81.5</v>
      </c>
      <c r="I169" s="5">
        <v>99.665390000000002</v>
      </c>
      <c r="J169" s="3">
        <f t="shared" si="25"/>
        <v>101.25578</v>
      </c>
      <c r="K169" s="1">
        <f t="shared" si="18"/>
        <v>1.9098679633654417E-3</v>
      </c>
      <c r="M169" s="4">
        <v>225.01813000000001</v>
      </c>
      <c r="N169" s="1">
        <v>81.5</v>
      </c>
      <c r="O169" s="5">
        <v>102.92335</v>
      </c>
      <c r="P169" s="3">
        <f t="shared" si="26"/>
        <v>102.13096</v>
      </c>
      <c r="S169" s="4">
        <v>250.00199000000001</v>
      </c>
      <c r="T169" s="1">
        <v>81.5</v>
      </c>
      <c r="U169" s="3">
        <v>98.777979999999999</v>
      </c>
      <c r="V169" s="3">
        <f t="shared" si="19"/>
        <v>102.10167</v>
      </c>
      <c r="Y169" s="4">
        <v>250.01624000000001</v>
      </c>
      <c r="Z169" s="1">
        <v>81.5</v>
      </c>
      <c r="AA169" s="3">
        <v>104.53803000000001</v>
      </c>
      <c r="AB169" s="3">
        <f t="shared" si="20"/>
        <v>102.92901000000001</v>
      </c>
      <c r="AF169" s="11">
        <v>513.00787000000003</v>
      </c>
      <c r="AG169" s="1">
        <v>81.5</v>
      </c>
      <c r="AH169" s="13">
        <v>-3.0567700000000002</v>
      </c>
      <c r="AI169" s="3">
        <f t="shared" si="21"/>
        <v>-1.1773299999999978</v>
      </c>
      <c r="AJ169" s="1">
        <f t="shared" si="28"/>
        <v>1.0233270196108701</v>
      </c>
      <c r="AK169" s="11">
        <v>513.00783000000001</v>
      </c>
      <c r="AL169" s="1">
        <v>81.5</v>
      </c>
      <c r="AM169" s="13">
        <v>-3.9785699999999999</v>
      </c>
      <c r="AN169" s="3">
        <f t="shared" si="22"/>
        <v>-2.0129600000000067</v>
      </c>
      <c r="AO169" s="1">
        <f t="shared" si="27"/>
        <v>1.0316679511781288</v>
      </c>
      <c r="AP169" s="18">
        <v>349.76492999999999</v>
      </c>
      <c r="AQ169" s="1">
        <v>81.5</v>
      </c>
      <c r="AR169" s="13">
        <v>98.807919999999996</v>
      </c>
      <c r="AS169" s="3">
        <f t="shared" si="23"/>
        <v>99.361729999999994</v>
      </c>
    </row>
    <row r="170" spans="1:45" ht="16" x14ac:dyDescent="0.2">
      <c r="A170" s="2">
        <v>200.01873000000001</v>
      </c>
      <c r="B170" s="1">
        <v>82</v>
      </c>
      <c r="C170" s="3">
        <v>102.00413</v>
      </c>
      <c r="D170" s="3">
        <f t="shared" si="24"/>
        <v>101.88068</v>
      </c>
      <c r="G170" s="4">
        <v>225.00501</v>
      </c>
      <c r="H170" s="1">
        <v>82</v>
      </c>
      <c r="I170" s="3">
        <v>99.649649999999994</v>
      </c>
      <c r="J170" s="3">
        <f t="shared" si="25"/>
        <v>101.24003999999999</v>
      </c>
      <c r="K170" s="1">
        <f t="shared" si="18"/>
        <v>2.0668215567627552E-3</v>
      </c>
      <c r="M170" s="4">
        <v>225.01929999999999</v>
      </c>
      <c r="N170" s="1">
        <v>82</v>
      </c>
      <c r="O170" s="3">
        <v>102.90693</v>
      </c>
      <c r="P170" s="3">
        <f t="shared" si="26"/>
        <v>102.11454000000001</v>
      </c>
      <c r="S170" s="4">
        <v>250.00109</v>
      </c>
      <c r="T170" s="1">
        <v>82</v>
      </c>
      <c r="U170" s="5">
        <v>98.773219999999995</v>
      </c>
      <c r="V170" s="3">
        <f t="shared" si="19"/>
        <v>102.09690999999999</v>
      </c>
      <c r="Y170" s="4">
        <v>250.02019999999999</v>
      </c>
      <c r="Z170" s="1">
        <v>82</v>
      </c>
      <c r="AA170" s="5">
        <v>104.69098</v>
      </c>
      <c r="AB170" s="3">
        <f t="shared" si="20"/>
        <v>103.08196</v>
      </c>
      <c r="AF170" s="11">
        <v>515.5213</v>
      </c>
      <c r="AG170" s="1">
        <v>82</v>
      </c>
      <c r="AH170" s="12">
        <v>-3.0522800000000001</v>
      </c>
      <c r="AI170" s="3">
        <f t="shared" si="21"/>
        <v>-1.1728399999999937</v>
      </c>
      <c r="AJ170" s="1">
        <f t="shared" si="28"/>
        <v>1.0232822805666395</v>
      </c>
      <c r="AK170" s="11">
        <v>515.51581999999996</v>
      </c>
      <c r="AL170" s="1">
        <v>82</v>
      </c>
      <c r="AM170" s="12">
        <v>-4.0120800000000001</v>
      </c>
      <c r="AN170" s="3">
        <f t="shared" si="22"/>
        <v>-2.0464699999999993</v>
      </c>
      <c r="AO170" s="1">
        <f t="shared" si="27"/>
        <v>1.0320020927547797</v>
      </c>
      <c r="AP170" s="18">
        <v>351.26217000000003</v>
      </c>
      <c r="AQ170" s="1">
        <v>82</v>
      </c>
      <c r="AR170" s="12">
        <v>98.458460000000002</v>
      </c>
      <c r="AS170" s="3">
        <f t="shared" si="23"/>
        <v>99.012270000000001</v>
      </c>
    </row>
    <row r="171" spans="1:45" ht="16" x14ac:dyDescent="0.2">
      <c r="A171" s="2">
        <v>200.02018000000001</v>
      </c>
      <c r="B171" s="1">
        <v>82.5</v>
      </c>
      <c r="C171" s="5">
        <v>101.90134999999999</v>
      </c>
      <c r="D171" s="3">
        <f t="shared" si="24"/>
        <v>101.77789999999999</v>
      </c>
      <c r="G171" s="4">
        <v>225.00771</v>
      </c>
      <c r="H171" s="1">
        <v>82.5</v>
      </c>
      <c r="I171" s="5">
        <v>99.648979999999995</v>
      </c>
      <c r="J171" s="3">
        <f t="shared" si="25"/>
        <v>101.23936999999999</v>
      </c>
      <c r="K171" s="1">
        <f t="shared" si="18"/>
        <v>2.0735025547027851E-3</v>
      </c>
      <c r="M171" s="4">
        <v>225.01871</v>
      </c>
      <c r="N171" s="1">
        <v>82.5</v>
      </c>
      <c r="O171" s="5">
        <v>102.94535</v>
      </c>
      <c r="P171" s="3">
        <f t="shared" si="26"/>
        <v>102.15296000000001</v>
      </c>
      <c r="S171" s="4">
        <v>250.00198</v>
      </c>
      <c r="T171" s="1">
        <v>82.5</v>
      </c>
      <c r="U171" s="3">
        <v>98.764889999999994</v>
      </c>
      <c r="V171" s="3">
        <f t="shared" si="19"/>
        <v>102.08857999999999</v>
      </c>
      <c r="Y171" s="4">
        <v>250.01813999999999</v>
      </c>
      <c r="Z171" s="1">
        <v>82.5</v>
      </c>
      <c r="AA171" s="3">
        <v>104.67435999999999</v>
      </c>
      <c r="AB171" s="3">
        <f t="shared" si="20"/>
        <v>103.06533999999999</v>
      </c>
      <c r="AF171" s="11">
        <v>518.02450999999996</v>
      </c>
      <c r="AG171" s="1">
        <v>82.5</v>
      </c>
      <c r="AH171" s="13">
        <v>-3.1359599999999999</v>
      </c>
      <c r="AI171" s="3">
        <f t="shared" si="21"/>
        <v>-1.2565199999999948</v>
      </c>
      <c r="AJ171" s="1">
        <f t="shared" si="28"/>
        <v>1.024116080838624</v>
      </c>
      <c r="AK171" s="11">
        <v>518.01792999999998</v>
      </c>
      <c r="AL171" s="1">
        <v>82.5</v>
      </c>
      <c r="AM171" s="13">
        <v>-4.0676100000000002</v>
      </c>
      <c r="AN171" s="3">
        <f t="shared" si="22"/>
        <v>-2.1020000000000039</v>
      </c>
      <c r="AO171" s="1">
        <f t="shared" si="27"/>
        <v>1.0325558045348879</v>
      </c>
      <c r="AP171" s="18">
        <v>352.76307000000003</v>
      </c>
      <c r="AQ171" s="1">
        <v>82.5</v>
      </c>
      <c r="AR171" s="13">
        <v>98.269850000000005</v>
      </c>
      <c r="AS171" s="3">
        <f t="shared" si="23"/>
        <v>98.823660000000004</v>
      </c>
    </row>
    <row r="172" spans="1:45" ht="16" x14ac:dyDescent="0.2">
      <c r="A172" s="2">
        <v>200.02269000000001</v>
      </c>
      <c r="B172" s="1">
        <v>83</v>
      </c>
      <c r="C172" s="3">
        <v>101.89427999999999</v>
      </c>
      <c r="D172" s="3">
        <f t="shared" si="24"/>
        <v>101.77082999999999</v>
      </c>
      <c r="G172" s="4">
        <v>225.00793999999999</v>
      </c>
      <c r="H172" s="1">
        <v>83</v>
      </c>
      <c r="I172" s="3">
        <v>99.658699999999996</v>
      </c>
      <c r="J172" s="3">
        <f t="shared" si="25"/>
        <v>101.24909</v>
      </c>
      <c r="K172" s="1">
        <f t="shared" si="18"/>
        <v>1.9765782263786846E-3</v>
      </c>
      <c r="M172" s="4">
        <v>225.02098000000001</v>
      </c>
      <c r="N172" s="1">
        <v>83</v>
      </c>
      <c r="O172" s="3">
        <v>102.96482</v>
      </c>
      <c r="P172" s="3">
        <f t="shared" si="26"/>
        <v>102.17243000000001</v>
      </c>
      <c r="S172" s="4">
        <v>250.00799000000001</v>
      </c>
      <c r="T172" s="1">
        <v>83</v>
      </c>
      <c r="U172" s="5">
        <v>98.756749999999997</v>
      </c>
      <c r="V172" s="3">
        <f t="shared" si="19"/>
        <v>102.08044</v>
      </c>
      <c r="Y172" s="4">
        <v>250.02166</v>
      </c>
      <c r="Z172" s="1">
        <v>83</v>
      </c>
      <c r="AA172" s="5">
        <v>104.63925999999999</v>
      </c>
      <c r="AB172" s="3">
        <f t="shared" si="20"/>
        <v>103.03023999999999</v>
      </c>
      <c r="AF172" s="11">
        <v>520.53071999999997</v>
      </c>
      <c r="AG172" s="1">
        <v>83</v>
      </c>
      <c r="AH172" s="12">
        <v>-3.0972</v>
      </c>
      <c r="AI172" s="3">
        <f t="shared" si="21"/>
        <v>-1.2177599999999984</v>
      </c>
      <c r="AJ172" s="1">
        <f t="shared" si="28"/>
        <v>1.0237298702919926</v>
      </c>
      <c r="AK172" s="11">
        <v>520.51613999999995</v>
      </c>
      <c r="AL172" s="1">
        <v>83</v>
      </c>
      <c r="AM172" s="12">
        <v>-4.1006799999999997</v>
      </c>
      <c r="AN172" s="3">
        <f t="shared" si="22"/>
        <v>-2.1350699999999989</v>
      </c>
      <c r="AO172" s="1">
        <f t="shared" si="27"/>
        <v>1.0328855586960293</v>
      </c>
      <c r="AP172" s="18">
        <v>354.26314000000002</v>
      </c>
      <c r="AQ172" s="1">
        <v>83</v>
      </c>
      <c r="AR172" s="12">
        <v>97.987750000000005</v>
      </c>
      <c r="AS172" s="3">
        <f t="shared" si="23"/>
        <v>98.541560000000004</v>
      </c>
    </row>
    <row r="173" spans="1:45" ht="16" x14ac:dyDescent="0.2">
      <c r="A173" s="2">
        <v>200.02394000000001</v>
      </c>
      <c r="B173" s="1">
        <v>83.5</v>
      </c>
      <c r="C173" s="5">
        <v>102.02673</v>
      </c>
      <c r="D173" s="3">
        <f t="shared" si="24"/>
        <v>101.90328</v>
      </c>
      <c r="G173" s="4">
        <v>225.00294</v>
      </c>
      <c r="H173" s="1">
        <v>83.5</v>
      </c>
      <c r="I173" s="5">
        <v>99.63391</v>
      </c>
      <c r="J173" s="3">
        <f t="shared" si="25"/>
        <v>101.2243</v>
      </c>
      <c r="K173" s="1">
        <f t="shared" si="18"/>
        <v>2.2237751501599269E-3</v>
      </c>
      <c r="M173" s="4">
        <v>225.02386000000001</v>
      </c>
      <c r="N173" s="1">
        <v>83.5</v>
      </c>
      <c r="O173" s="5">
        <v>102.94307000000001</v>
      </c>
      <c r="P173" s="3">
        <f t="shared" si="26"/>
        <v>102.15068000000001</v>
      </c>
      <c r="S173" s="4">
        <v>250.00291000000001</v>
      </c>
      <c r="T173" s="1">
        <v>83.5</v>
      </c>
      <c r="U173" s="3">
        <v>98.777150000000006</v>
      </c>
      <c r="V173" s="3">
        <f t="shared" si="19"/>
        <v>102.10084000000001</v>
      </c>
      <c r="Y173" s="4">
        <v>250.02332000000001</v>
      </c>
      <c r="Z173" s="1">
        <v>83.5</v>
      </c>
      <c r="AA173" s="3">
        <v>104.62378</v>
      </c>
      <c r="AB173" s="3">
        <f t="shared" si="20"/>
        <v>103.01476</v>
      </c>
      <c r="AF173" s="11">
        <v>523.02545999999995</v>
      </c>
      <c r="AG173" s="1">
        <v>83.5</v>
      </c>
      <c r="AH173" s="13">
        <v>-3.1598899999999999</v>
      </c>
      <c r="AI173" s="3">
        <f t="shared" si="21"/>
        <v>-1.2804500000000019</v>
      </c>
      <c r="AJ173" s="1">
        <f t="shared" si="28"/>
        <v>1.0243545230053137</v>
      </c>
      <c r="AK173" s="11">
        <v>523.02426000000003</v>
      </c>
      <c r="AL173" s="1">
        <v>83.5</v>
      </c>
      <c r="AM173" s="13">
        <v>-4.0795199999999996</v>
      </c>
      <c r="AN173" s="3">
        <f t="shared" si="22"/>
        <v>-2.1139100000000042</v>
      </c>
      <c r="AO173" s="1">
        <f t="shared" si="27"/>
        <v>1.0326745638956136</v>
      </c>
      <c r="AP173" s="18">
        <v>355.76389999999998</v>
      </c>
      <c r="AQ173" s="1">
        <v>83.5</v>
      </c>
      <c r="AR173" s="13">
        <v>97.823520000000002</v>
      </c>
      <c r="AS173" s="3">
        <f t="shared" si="23"/>
        <v>98.377330000000001</v>
      </c>
    </row>
    <row r="174" spans="1:45" ht="16" x14ac:dyDescent="0.2">
      <c r="A174" s="2">
        <v>200.02229</v>
      </c>
      <c r="B174" s="1">
        <v>84</v>
      </c>
      <c r="C174" s="3">
        <v>101.83526999999999</v>
      </c>
      <c r="D174" s="3">
        <f t="shared" si="24"/>
        <v>101.71181999999999</v>
      </c>
      <c r="G174" s="4">
        <v>225.00688</v>
      </c>
      <c r="H174" s="1">
        <v>84</v>
      </c>
      <c r="I174" s="3">
        <v>99.630170000000007</v>
      </c>
      <c r="J174" s="3">
        <f t="shared" si="25"/>
        <v>101.22056000000001</v>
      </c>
      <c r="K174" s="1">
        <f t="shared" si="18"/>
        <v>2.261069078959458E-3</v>
      </c>
      <c r="M174" s="4">
        <v>225.02231</v>
      </c>
      <c r="N174" s="1">
        <v>84</v>
      </c>
      <c r="O174" s="3">
        <v>102.95625</v>
      </c>
      <c r="P174" s="3">
        <f t="shared" si="26"/>
        <v>102.16386</v>
      </c>
      <c r="S174" s="4">
        <v>250.00592</v>
      </c>
      <c r="T174" s="1">
        <v>84</v>
      </c>
      <c r="U174" s="5">
        <v>98.788510000000002</v>
      </c>
      <c r="V174" s="3">
        <f t="shared" si="19"/>
        <v>102.1122</v>
      </c>
      <c r="Y174" s="4">
        <v>250.02038999999999</v>
      </c>
      <c r="Z174" s="1">
        <v>84</v>
      </c>
      <c r="AA174" s="5">
        <v>104.73358</v>
      </c>
      <c r="AB174" s="3">
        <f t="shared" si="20"/>
        <v>103.12456</v>
      </c>
      <c r="AF174" s="11">
        <v>525.52999</v>
      </c>
      <c r="AG174" s="1">
        <v>84</v>
      </c>
      <c r="AH174" s="12">
        <v>-3.1541100000000002</v>
      </c>
      <c r="AI174" s="3">
        <f t="shared" si="21"/>
        <v>-1.2746700000000004</v>
      </c>
      <c r="AJ174" s="1">
        <f t="shared" si="28"/>
        <v>1.0242969302045002</v>
      </c>
      <c r="AK174" s="11">
        <v>525.52701000000002</v>
      </c>
      <c r="AL174" s="1">
        <v>84</v>
      </c>
      <c r="AM174" s="12">
        <v>-4.0954100000000002</v>
      </c>
      <c r="AN174" s="3">
        <f t="shared" si="22"/>
        <v>-2.129800000000003</v>
      </c>
      <c r="AO174" s="1">
        <f t="shared" si="27"/>
        <v>1.0328330094239031</v>
      </c>
      <c r="AP174" s="18">
        <v>357.26209</v>
      </c>
      <c r="AQ174" s="1">
        <v>84</v>
      </c>
      <c r="AR174" s="12">
        <v>97.520200000000003</v>
      </c>
      <c r="AS174" s="3">
        <f t="shared" si="23"/>
        <v>98.074010000000001</v>
      </c>
    </row>
    <row r="175" spans="1:45" ht="16" x14ac:dyDescent="0.2">
      <c r="A175" s="2">
        <v>200.01879</v>
      </c>
      <c r="B175" s="1">
        <v>84.5</v>
      </c>
      <c r="C175" s="5">
        <v>101.96996</v>
      </c>
      <c r="D175" s="3">
        <f t="shared" si="24"/>
        <v>101.84650999999999</v>
      </c>
      <c r="G175" s="4">
        <v>225.00796</v>
      </c>
      <c r="H175" s="1">
        <v>84.5</v>
      </c>
      <c r="I175" s="5">
        <v>99.673360000000002</v>
      </c>
      <c r="J175" s="3">
        <f t="shared" si="25"/>
        <v>101.26375</v>
      </c>
      <c r="K175" s="1">
        <f t="shared" si="18"/>
        <v>1.8303940027951757E-3</v>
      </c>
      <c r="M175" s="4">
        <v>225.01962</v>
      </c>
      <c r="N175" s="1">
        <v>84.5</v>
      </c>
      <c r="O175" s="5">
        <v>102.84399000000001</v>
      </c>
      <c r="P175" s="3">
        <f t="shared" si="26"/>
        <v>102.05160000000001</v>
      </c>
      <c r="S175" s="4">
        <v>250.00903</v>
      </c>
      <c r="T175" s="1">
        <v>84.5</v>
      </c>
      <c r="U175" s="3">
        <v>98.787880000000001</v>
      </c>
      <c r="V175" s="3">
        <f t="shared" si="19"/>
        <v>102.11157</v>
      </c>
      <c r="Y175" s="4">
        <v>250.02052</v>
      </c>
      <c r="Z175" s="1">
        <v>84.5</v>
      </c>
      <c r="AA175" s="3">
        <v>104.71097</v>
      </c>
      <c r="AB175" s="3">
        <f t="shared" si="20"/>
        <v>103.10195</v>
      </c>
      <c r="AF175" s="11">
        <v>528.03066000000001</v>
      </c>
      <c r="AG175" s="1">
        <v>84.5</v>
      </c>
      <c r="AH175" s="13">
        <v>-3.1894</v>
      </c>
      <c r="AI175" s="3">
        <f t="shared" si="21"/>
        <v>-1.3099600000000038</v>
      </c>
      <c r="AJ175" s="1">
        <f t="shared" si="28"/>
        <v>1.0246485651423389</v>
      </c>
      <c r="AK175" s="11">
        <v>528.03036999999995</v>
      </c>
      <c r="AL175" s="1">
        <v>84.5</v>
      </c>
      <c r="AM175" s="13">
        <v>-4.0574000000000003</v>
      </c>
      <c r="AN175" s="3">
        <f t="shared" si="22"/>
        <v>-2.0917900000000031</v>
      </c>
      <c r="AO175" s="1">
        <f t="shared" si="27"/>
        <v>1.0324539965522677</v>
      </c>
      <c r="AP175" s="18">
        <v>358.76458000000002</v>
      </c>
      <c r="AQ175" s="1">
        <v>84.5</v>
      </c>
      <c r="AR175" s="13">
        <v>97.229370000000003</v>
      </c>
      <c r="AS175" s="3">
        <f t="shared" si="23"/>
        <v>97.783180000000002</v>
      </c>
    </row>
    <row r="176" spans="1:45" ht="16" x14ac:dyDescent="0.2">
      <c r="A176" s="2">
        <v>200.01598000000001</v>
      </c>
      <c r="B176" s="1">
        <v>85</v>
      </c>
      <c r="C176" s="3">
        <v>101.85584</v>
      </c>
      <c r="D176" s="3">
        <f t="shared" si="24"/>
        <v>101.73239</v>
      </c>
      <c r="G176" s="4">
        <v>225.00684999999999</v>
      </c>
      <c r="H176" s="1">
        <v>85</v>
      </c>
      <c r="I176" s="3">
        <v>99.652069999999995</v>
      </c>
      <c r="J176" s="3">
        <f t="shared" si="25"/>
        <v>101.24245999999999</v>
      </c>
      <c r="K176" s="1">
        <f t="shared" si="18"/>
        <v>2.042690191068891E-3</v>
      </c>
      <c r="M176" s="4">
        <v>225.01768000000001</v>
      </c>
      <c r="N176" s="1">
        <v>85</v>
      </c>
      <c r="O176" s="3">
        <v>102.99030999999999</v>
      </c>
      <c r="P176" s="3">
        <f t="shared" si="26"/>
        <v>102.19792</v>
      </c>
      <c r="S176" s="4">
        <v>250.00790000000001</v>
      </c>
      <c r="T176" s="1">
        <v>85</v>
      </c>
      <c r="U176" s="5">
        <v>98.781809999999993</v>
      </c>
      <c r="V176" s="3">
        <f t="shared" si="19"/>
        <v>102.10549999999999</v>
      </c>
      <c r="Y176" s="4">
        <v>250.01998</v>
      </c>
      <c r="Z176" s="1">
        <v>85</v>
      </c>
      <c r="AA176" s="5">
        <v>104.71125000000001</v>
      </c>
      <c r="AB176" s="3">
        <f t="shared" si="20"/>
        <v>103.10223000000001</v>
      </c>
      <c r="AF176" s="11">
        <v>530.52846</v>
      </c>
      <c r="AG176" s="1">
        <v>85</v>
      </c>
      <c r="AH176" s="12">
        <v>-3.23149</v>
      </c>
      <c r="AI176" s="3">
        <f t="shared" si="21"/>
        <v>-1.3520499999999913</v>
      </c>
      <c r="AJ176" s="1">
        <f t="shared" si="28"/>
        <v>1.0250679563164284</v>
      </c>
      <c r="AK176" s="11">
        <v>530.52913999999998</v>
      </c>
      <c r="AL176" s="1">
        <v>85</v>
      </c>
      <c r="AM176" s="12">
        <v>-4.1668200000000004</v>
      </c>
      <c r="AN176" s="3">
        <f t="shared" si="22"/>
        <v>-2.2012100000000032</v>
      </c>
      <c r="AO176" s="1">
        <f t="shared" si="27"/>
        <v>1.0335450670183119</v>
      </c>
      <c r="AP176" s="18">
        <v>360.25949000000003</v>
      </c>
      <c r="AQ176" s="1">
        <v>85</v>
      </c>
      <c r="AR176" s="12">
        <v>96.817930000000004</v>
      </c>
      <c r="AS176" s="3">
        <f t="shared" si="23"/>
        <v>97.371740000000003</v>
      </c>
    </row>
    <row r="177" spans="1:45" ht="16" x14ac:dyDescent="0.2">
      <c r="A177" s="2">
        <v>200.017</v>
      </c>
      <c r="B177" s="1">
        <v>85.5</v>
      </c>
      <c r="C177" s="5">
        <v>101.8891</v>
      </c>
      <c r="D177" s="3">
        <f t="shared" si="24"/>
        <v>101.76564999999999</v>
      </c>
      <c r="G177" s="4">
        <v>225.00710000000001</v>
      </c>
      <c r="H177" s="1">
        <v>85.5</v>
      </c>
      <c r="I177" s="5">
        <v>99.677580000000006</v>
      </c>
      <c r="J177" s="3">
        <f t="shared" si="25"/>
        <v>101.26797000000001</v>
      </c>
      <c r="K177" s="1">
        <f t="shared" si="18"/>
        <v>1.7883136874116371E-3</v>
      </c>
      <c r="M177" s="4">
        <v>225.01724999999999</v>
      </c>
      <c r="N177" s="1">
        <v>85.5</v>
      </c>
      <c r="O177" s="5">
        <v>102.93298</v>
      </c>
      <c r="P177" s="3">
        <f t="shared" si="26"/>
        <v>102.14059</v>
      </c>
      <c r="S177" s="4">
        <v>250.00998000000001</v>
      </c>
      <c r="T177" s="1">
        <v>85.5</v>
      </c>
      <c r="U177" s="3">
        <v>98.798180000000002</v>
      </c>
      <c r="V177" s="3">
        <f t="shared" si="19"/>
        <v>102.12187</v>
      </c>
      <c r="Y177" s="4">
        <v>250.01567</v>
      </c>
      <c r="Z177" s="1">
        <v>85.5</v>
      </c>
      <c r="AA177" s="3">
        <v>104.70439</v>
      </c>
      <c r="AB177" s="3">
        <f t="shared" si="20"/>
        <v>103.09537</v>
      </c>
      <c r="AF177" s="11">
        <v>533.03011000000004</v>
      </c>
      <c r="AG177" s="1">
        <v>85.5</v>
      </c>
      <c r="AH177" s="13">
        <v>-3.20397</v>
      </c>
      <c r="AI177" s="3">
        <f t="shared" si="21"/>
        <v>-1.3245299999999958</v>
      </c>
      <c r="AJ177" s="1">
        <f t="shared" si="28"/>
        <v>1.0247937428426592</v>
      </c>
      <c r="AK177" s="11">
        <v>533.03243999999995</v>
      </c>
      <c r="AL177" s="1">
        <v>85.5</v>
      </c>
      <c r="AM177" s="13">
        <v>-4.1324699999999996</v>
      </c>
      <c r="AN177" s="3">
        <f t="shared" si="22"/>
        <v>-2.1668599999999998</v>
      </c>
      <c r="AO177" s="1">
        <f t="shared" si="27"/>
        <v>1.0332025494665973</v>
      </c>
      <c r="AP177" s="18">
        <v>361.7654</v>
      </c>
      <c r="AQ177" s="1">
        <v>85.5</v>
      </c>
      <c r="AR177" s="13">
        <v>96.475120000000004</v>
      </c>
      <c r="AS177" s="3">
        <f t="shared" si="23"/>
        <v>97.028930000000003</v>
      </c>
    </row>
    <row r="178" spans="1:45" ht="16" x14ac:dyDescent="0.2">
      <c r="A178" s="2">
        <v>200.01786000000001</v>
      </c>
      <c r="B178" s="1">
        <v>86</v>
      </c>
      <c r="C178" s="3">
        <v>101.93196</v>
      </c>
      <c r="D178" s="3">
        <f t="shared" si="24"/>
        <v>101.80851</v>
      </c>
      <c r="G178" s="4">
        <v>225.00685999999999</v>
      </c>
      <c r="H178" s="1">
        <v>86</v>
      </c>
      <c r="I178" s="3">
        <v>99.637500000000003</v>
      </c>
      <c r="J178" s="3">
        <f t="shared" si="25"/>
        <v>101.22789</v>
      </c>
      <c r="K178" s="1">
        <f t="shared" si="18"/>
        <v>2.1879769671677746E-3</v>
      </c>
      <c r="M178" s="4">
        <v>225.01803000000001</v>
      </c>
      <c r="N178" s="1">
        <v>86</v>
      </c>
      <c r="O178" s="3">
        <v>102.82477</v>
      </c>
      <c r="P178" s="3">
        <f t="shared" si="26"/>
        <v>102.03238</v>
      </c>
      <c r="S178" s="4">
        <v>250.00505999999999</v>
      </c>
      <c r="T178" s="1">
        <v>86</v>
      </c>
      <c r="U178" s="5">
        <v>98.787239999999997</v>
      </c>
      <c r="V178" s="3">
        <f t="shared" si="19"/>
        <v>102.11093</v>
      </c>
      <c r="Y178" s="4">
        <v>250.01214999999999</v>
      </c>
      <c r="Z178" s="1">
        <v>86</v>
      </c>
      <c r="AA178" s="5">
        <v>104.71566</v>
      </c>
      <c r="AB178" s="3">
        <f t="shared" si="20"/>
        <v>103.10664</v>
      </c>
      <c r="AF178" s="11">
        <v>535.53601000000003</v>
      </c>
      <c r="AG178" s="1">
        <v>86</v>
      </c>
      <c r="AH178" s="12">
        <v>-3.2031700000000001</v>
      </c>
      <c r="AI178" s="3">
        <f t="shared" si="21"/>
        <v>-1.3237299999999976</v>
      </c>
      <c r="AJ178" s="1">
        <f t="shared" si="28"/>
        <v>1.0247857715207473</v>
      </c>
      <c r="AK178" s="11">
        <v>535.53621999999996</v>
      </c>
      <c r="AL178" s="1">
        <v>86</v>
      </c>
      <c r="AM178" s="12">
        <v>-4.1461499999999996</v>
      </c>
      <c r="AN178" s="3">
        <f t="shared" si="22"/>
        <v>-2.1805400000000077</v>
      </c>
      <c r="AO178" s="1">
        <f t="shared" si="27"/>
        <v>1.0333389582033501</v>
      </c>
      <c r="AP178" s="18">
        <v>363.26377000000002</v>
      </c>
      <c r="AQ178" s="1">
        <v>86</v>
      </c>
      <c r="AR178" s="12">
        <v>96.227549999999994</v>
      </c>
      <c r="AS178" s="3">
        <f t="shared" si="23"/>
        <v>96.781359999999992</v>
      </c>
    </row>
    <row r="179" spans="1:45" ht="16" x14ac:dyDescent="0.2">
      <c r="A179" s="2">
        <v>200.01187999999999</v>
      </c>
      <c r="B179" s="1">
        <v>86.5</v>
      </c>
      <c r="C179" s="5">
        <v>101.87284</v>
      </c>
      <c r="D179" s="3">
        <f t="shared" si="24"/>
        <v>101.74938999999999</v>
      </c>
      <c r="G179" s="4">
        <v>225.00698</v>
      </c>
      <c r="H179" s="1">
        <v>86.5</v>
      </c>
      <c r="I179" s="5">
        <v>99.649529999999999</v>
      </c>
      <c r="J179" s="3">
        <f t="shared" si="25"/>
        <v>101.23992</v>
      </c>
      <c r="K179" s="1">
        <f t="shared" si="18"/>
        <v>2.0680181534086864E-3</v>
      </c>
      <c r="M179" s="4">
        <v>225.01894999999999</v>
      </c>
      <c r="N179" s="1">
        <v>86.5</v>
      </c>
      <c r="O179" s="5">
        <v>103.00432000000001</v>
      </c>
      <c r="P179" s="3">
        <f t="shared" si="26"/>
        <v>102.21193000000001</v>
      </c>
      <c r="S179" s="4">
        <v>250.01097999999999</v>
      </c>
      <c r="T179" s="1">
        <v>86.5</v>
      </c>
      <c r="U179" s="3">
        <v>98.792270000000002</v>
      </c>
      <c r="V179" s="3">
        <f t="shared" si="19"/>
        <v>102.11596</v>
      </c>
      <c r="Y179" s="4">
        <v>250.01193000000001</v>
      </c>
      <c r="Z179" s="1">
        <v>86.5</v>
      </c>
      <c r="AA179" s="3">
        <v>104.78901999999999</v>
      </c>
      <c r="AB179" s="3">
        <f t="shared" si="20"/>
        <v>103.17999999999999</v>
      </c>
      <c r="AF179" s="11">
        <v>538.04034000000001</v>
      </c>
      <c r="AG179" s="1">
        <v>86.5</v>
      </c>
      <c r="AH179" s="13">
        <v>-3.2383899999999999</v>
      </c>
      <c r="AI179" s="3">
        <f t="shared" si="21"/>
        <v>-1.358949999999993</v>
      </c>
      <c r="AJ179" s="1">
        <f t="shared" si="28"/>
        <v>1.0251367089679186</v>
      </c>
      <c r="AK179" s="11">
        <v>538.03653999999995</v>
      </c>
      <c r="AL179" s="1">
        <v>86.5</v>
      </c>
      <c r="AM179" s="13">
        <v>-4.1976300000000002</v>
      </c>
      <c r="AN179" s="3">
        <f t="shared" si="22"/>
        <v>-2.2320200000000057</v>
      </c>
      <c r="AO179" s="1">
        <f t="shared" si="27"/>
        <v>1.0338522858179724</v>
      </c>
      <c r="AP179" s="18">
        <v>364.76422000000002</v>
      </c>
      <c r="AQ179" s="1">
        <v>86.5</v>
      </c>
      <c r="AR179" s="13">
        <v>95.802850000000007</v>
      </c>
      <c r="AS179" s="3">
        <f t="shared" si="23"/>
        <v>96.356660000000005</v>
      </c>
    </row>
    <row r="180" spans="1:45" ht="16" x14ac:dyDescent="0.2">
      <c r="A180" s="2">
        <v>200.01420999999999</v>
      </c>
      <c r="B180" s="1">
        <v>87</v>
      </c>
      <c r="C180" s="3">
        <v>102.02932</v>
      </c>
      <c r="D180" s="3">
        <f t="shared" si="24"/>
        <v>101.90586999999999</v>
      </c>
      <c r="G180" s="4">
        <v>225.00827000000001</v>
      </c>
      <c r="H180" s="1">
        <v>87</v>
      </c>
      <c r="I180" s="3">
        <v>99.661640000000006</v>
      </c>
      <c r="J180" s="3">
        <f t="shared" si="25"/>
        <v>101.25203</v>
      </c>
      <c r="K180" s="1">
        <f t="shared" si="18"/>
        <v>1.947261608552169E-3</v>
      </c>
      <c r="M180" s="4">
        <v>225.01336000000001</v>
      </c>
      <c r="N180" s="1">
        <v>87</v>
      </c>
      <c r="O180" s="3">
        <v>102.91064</v>
      </c>
      <c r="P180" s="3">
        <f t="shared" si="26"/>
        <v>102.11825</v>
      </c>
      <c r="S180" s="4">
        <v>250.01186999999999</v>
      </c>
      <c r="T180" s="1">
        <v>87</v>
      </c>
      <c r="U180" s="5">
        <v>98.769319999999993</v>
      </c>
      <c r="V180" s="3">
        <f t="shared" si="19"/>
        <v>102.09300999999999</v>
      </c>
      <c r="Y180" s="4">
        <v>250.01867999999999</v>
      </c>
      <c r="Z180" s="1">
        <v>87</v>
      </c>
      <c r="AA180" s="5">
        <v>104.78167999999999</v>
      </c>
      <c r="AB180" s="3">
        <f t="shared" si="20"/>
        <v>103.17265999999999</v>
      </c>
      <c r="AF180" s="11">
        <v>540.53944000000001</v>
      </c>
      <c r="AG180" s="1">
        <v>87</v>
      </c>
      <c r="AH180" s="12">
        <v>-3.2637700000000001</v>
      </c>
      <c r="AI180" s="3">
        <f t="shared" si="21"/>
        <v>-1.3843299999999914</v>
      </c>
      <c r="AJ180" s="1">
        <f t="shared" si="28"/>
        <v>1.0253895991555735</v>
      </c>
      <c r="AK180" s="11">
        <v>540.54070999999999</v>
      </c>
      <c r="AL180" s="1">
        <v>87</v>
      </c>
      <c r="AM180" s="12">
        <v>-4.2111700000000001</v>
      </c>
      <c r="AN180" s="3">
        <f t="shared" si="22"/>
        <v>-2.2455599999999976</v>
      </c>
      <c r="AO180" s="1">
        <f t="shared" si="27"/>
        <v>1.0339872985588812</v>
      </c>
      <c r="AP180" s="18">
        <v>366.26262000000003</v>
      </c>
      <c r="AQ180" s="1">
        <v>87</v>
      </c>
      <c r="AR180" s="12">
        <v>95.381870000000006</v>
      </c>
      <c r="AS180" s="3">
        <f t="shared" si="23"/>
        <v>95.935680000000005</v>
      </c>
    </row>
    <row r="181" spans="1:45" ht="16" x14ac:dyDescent="0.2">
      <c r="A181" s="2">
        <v>200.01838000000001</v>
      </c>
      <c r="B181" s="1">
        <v>87.5</v>
      </c>
      <c r="C181" s="5">
        <v>101.93953999999999</v>
      </c>
      <c r="D181" s="3">
        <f t="shared" si="24"/>
        <v>101.81608999999999</v>
      </c>
      <c r="G181" s="4">
        <v>225.00595000000001</v>
      </c>
      <c r="H181" s="1">
        <v>87.5</v>
      </c>
      <c r="I181" s="5">
        <v>99.607820000000004</v>
      </c>
      <c r="J181" s="3">
        <f t="shared" si="25"/>
        <v>101.19821</v>
      </c>
      <c r="K181" s="1">
        <f t="shared" si="18"/>
        <v>2.4839352042725854E-3</v>
      </c>
      <c r="M181" s="4">
        <v>225.01313999999999</v>
      </c>
      <c r="N181" s="1">
        <v>87.5</v>
      </c>
      <c r="O181" s="5">
        <v>102.96165999999999</v>
      </c>
      <c r="P181" s="3">
        <f t="shared" si="26"/>
        <v>102.16927</v>
      </c>
      <c r="S181" s="4">
        <v>250.00694999999999</v>
      </c>
      <c r="T181" s="1">
        <v>87.5</v>
      </c>
      <c r="U181" s="3">
        <v>98.779769999999999</v>
      </c>
      <c r="V181" s="3">
        <f t="shared" si="19"/>
        <v>102.10346</v>
      </c>
      <c r="Y181" s="4">
        <v>250.01947999999999</v>
      </c>
      <c r="Z181" s="1">
        <v>87.5</v>
      </c>
      <c r="AA181" s="3">
        <v>104.78937000000001</v>
      </c>
      <c r="AB181" s="3">
        <f t="shared" si="20"/>
        <v>103.18035</v>
      </c>
      <c r="AF181" s="11">
        <v>543.03701000000001</v>
      </c>
      <c r="AG181" s="1">
        <v>87.5</v>
      </c>
      <c r="AH181" s="13">
        <v>-3.2749299999999999</v>
      </c>
      <c r="AI181" s="3">
        <f t="shared" si="21"/>
        <v>-1.3954899999999952</v>
      </c>
      <c r="AJ181" s="1">
        <f t="shared" si="28"/>
        <v>1.0255007990962446</v>
      </c>
      <c r="AK181" s="11">
        <v>543.04224999999997</v>
      </c>
      <c r="AL181" s="1">
        <v>87.5</v>
      </c>
      <c r="AM181" s="13">
        <v>-4.20608</v>
      </c>
      <c r="AN181" s="3">
        <f t="shared" si="22"/>
        <v>-2.240470000000002</v>
      </c>
      <c r="AO181" s="1">
        <f t="shared" si="27"/>
        <v>1.0339365441385542</v>
      </c>
      <c r="AP181" s="18">
        <v>367.76580000000001</v>
      </c>
      <c r="AQ181" s="1">
        <v>87.5</v>
      </c>
      <c r="AR181" s="13">
        <v>95.084119999999999</v>
      </c>
      <c r="AS181" s="3">
        <f t="shared" si="23"/>
        <v>95.637929999999997</v>
      </c>
    </row>
    <row r="182" spans="1:45" ht="16" x14ac:dyDescent="0.2">
      <c r="A182" s="2">
        <v>200.02024</v>
      </c>
      <c r="B182" s="1">
        <v>88</v>
      </c>
      <c r="C182" s="3">
        <v>101.93882000000001</v>
      </c>
      <c r="D182" s="3">
        <f t="shared" si="24"/>
        <v>101.81537</v>
      </c>
      <c r="G182" s="4">
        <v>225.01095000000001</v>
      </c>
      <c r="H182" s="1">
        <v>88</v>
      </c>
      <c r="I182" s="3">
        <v>99.646339999999995</v>
      </c>
      <c r="J182" s="3">
        <f t="shared" si="25"/>
        <v>101.23672999999999</v>
      </c>
      <c r="K182" s="1">
        <f t="shared" si="18"/>
        <v>2.0998276809142602E-3</v>
      </c>
      <c r="M182" s="4">
        <v>225.01591999999999</v>
      </c>
      <c r="N182" s="1">
        <v>88</v>
      </c>
      <c r="O182" s="3">
        <v>102.85119</v>
      </c>
      <c r="P182" s="3">
        <f t="shared" si="26"/>
        <v>102.05880000000001</v>
      </c>
      <c r="S182" s="4">
        <v>250.0001</v>
      </c>
      <c r="T182" s="1">
        <v>88</v>
      </c>
      <c r="U182" s="5">
        <v>98.776020000000003</v>
      </c>
      <c r="V182" s="3">
        <f t="shared" si="19"/>
        <v>102.09971</v>
      </c>
      <c r="Y182" s="4">
        <v>250.01486</v>
      </c>
      <c r="Z182" s="1">
        <v>88</v>
      </c>
      <c r="AA182" s="5">
        <v>104.80773000000001</v>
      </c>
      <c r="AB182" s="3">
        <f t="shared" si="20"/>
        <v>103.19871000000001</v>
      </c>
      <c r="AF182" s="11">
        <v>545.54187000000002</v>
      </c>
      <c r="AG182" s="1">
        <v>88</v>
      </c>
      <c r="AH182" s="12">
        <v>-3.3452099999999998</v>
      </c>
      <c r="AI182" s="3">
        <f t="shared" si="21"/>
        <v>-1.465769999999992</v>
      </c>
      <c r="AJ182" s="1">
        <f t="shared" si="28"/>
        <v>1.0262010797262047</v>
      </c>
      <c r="AK182" s="11">
        <v>545.54498000000001</v>
      </c>
      <c r="AL182" s="1">
        <v>88</v>
      </c>
      <c r="AM182" s="12">
        <v>-4.2693399999999997</v>
      </c>
      <c r="AN182" s="3">
        <f t="shared" si="22"/>
        <v>-2.3037300000000016</v>
      </c>
      <c r="AO182" s="1">
        <f t="shared" si="27"/>
        <v>1.0345673348320468</v>
      </c>
      <c r="AP182" s="18">
        <v>369.26037000000002</v>
      </c>
      <c r="AQ182" s="1">
        <v>88</v>
      </c>
      <c r="AR182" s="12">
        <v>94.734340000000003</v>
      </c>
      <c r="AS182" s="3">
        <f t="shared" si="23"/>
        <v>95.288150000000002</v>
      </c>
    </row>
    <row r="183" spans="1:45" ht="16" x14ac:dyDescent="0.2">
      <c r="A183" s="2">
        <v>200.02172999999999</v>
      </c>
      <c r="B183" s="1">
        <v>88.5</v>
      </c>
      <c r="C183" s="5">
        <v>101.98702</v>
      </c>
      <c r="D183" s="3">
        <f t="shared" si="24"/>
        <v>101.86357</v>
      </c>
      <c r="G183" s="4">
        <v>225.01104000000001</v>
      </c>
      <c r="H183" s="1">
        <v>88.5</v>
      </c>
      <c r="I183" s="5">
        <v>99.638339999999999</v>
      </c>
      <c r="J183" s="3">
        <f t="shared" si="25"/>
        <v>101.22873</v>
      </c>
      <c r="K183" s="1">
        <f t="shared" ref="K183:K246" si="29">($J$118-J183)/($J$118*(1-$H$1))</f>
        <v>2.1796007906459735E-3</v>
      </c>
      <c r="M183" s="4">
        <v>225.01307</v>
      </c>
      <c r="N183" s="1">
        <v>88.5</v>
      </c>
      <c r="O183" s="5">
        <v>103.00169</v>
      </c>
      <c r="P183" s="3">
        <f t="shared" si="26"/>
        <v>102.2093</v>
      </c>
      <c r="S183" s="4">
        <v>250.00400999999999</v>
      </c>
      <c r="T183" s="1">
        <v>88.5</v>
      </c>
      <c r="U183" s="3">
        <v>98.7881</v>
      </c>
      <c r="V183" s="3">
        <f t="shared" si="19"/>
        <v>102.11179</v>
      </c>
      <c r="Y183" s="4">
        <v>250.01150000000001</v>
      </c>
      <c r="Z183" s="1">
        <v>88.5</v>
      </c>
      <c r="AA183" s="3">
        <v>104.82095</v>
      </c>
      <c r="AB183" s="3">
        <f t="shared" si="20"/>
        <v>103.21193</v>
      </c>
      <c r="AF183" s="11">
        <v>548.05595000000005</v>
      </c>
      <c r="AG183" s="1">
        <v>88.5</v>
      </c>
      <c r="AH183" s="13">
        <v>-3.3620899999999998</v>
      </c>
      <c r="AI183" s="3">
        <f t="shared" si="21"/>
        <v>-1.4826499999999925</v>
      </c>
      <c r="AJ183" s="1">
        <f t="shared" si="28"/>
        <v>1.0263692746185458</v>
      </c>
      <c r="AK183" s="11">
        <v>548.04651999999999</v>
      </c>
      <c r="AL183" s="1">
        <v>88.5</v>
      </c>
      <c r="AM183" s="13">
        <v>-4.3406900000000004</v>
      </c>
      <c r="AN183" s="3">
        <f t="shared" si="22"/>
        <v>-2.375079999999997</v>
      </c>
      <c r="AO183" s="1">
        <f t="shared" si="27"/>
        <v>1.0352787941425226</v>
      </c>
      <c r="AP183" s="18">
        <v>370.75958000000003</v>
      </c>
      <c r="AQ183" s="1">
        <v>88.5</v>
      </c>
      <c r="AR183" s="13">
        <v>94.261750000000006</v>
      </c>
      <c r="AS183" s="3">
        <f t="shared" si="23"/>
        <v>94.815560000000005</v>
      </c>
    </row>
    <row r="184" spans="1:45" ht="16" x14ac:dyDescent="0.2">
      <c r="A184" s="2">
        <v>200.02179000000001</v>
      </c>
      <c r="B184" s="1">
        <v>89</v>
      </c>
      <c r="C184" s="3">
        <v>102.00098</v>
      </c>
      <c r="D184" s="3">
        <f t="shared" si="24"/>
        <v>101.87752999999999</v>
      </c>
      <c r="G184" s="4">
        <v>225.00413</v>
      </c>
      <c r="H184" s="1">
        <v>89</v>
      </c>
      <c r="I184" s="3">
        <v>99.627920000000003</v>
      </c>
      <c r="J184" s="3">
        <f t="shared" si="25"/>
        <v>101.21831</v>
      </c>
      <c r="K184" s="1">
        <f t="shared" si="29"/>
        <v>2.283505266071551E-3</v>
      </c>
      <c r="M184" s="4">
        <v>225.0155</v>
      </c>
      <c r="N184" s="1">
        <v>89</v>
      </c>
      <c r="O184" s="3">
        <v>102.94533</v>
      </c>
      <c r="P184" s="3">
        <f t="shared" si="26"/>
        <v>102.15294</v>
      </c>
      <c r="S184" s="4">
        <v>250.00792999999999</v>
      </c>
      <c r="T184" s="1">
        <v>89</v>
      </c>
      <c r="U184" s="5">
        <v>98.781620000000004</v>
      </c>
      <c r="V184" s="3">
        <f t="shared" si="19"/>
        <v>102.10531</v>
      </c>
      <c r="Y184" s="4">
        <v>250.01555999999999</v>
      </c>
      <c r="Z184" s="1">
        <v>89</v>
      </c>
      <c r="AA184" s="5">
        <v>104.85945</v>
      </c>
      <c r="AB184" s="3">
        <f t="shared" si="20"/>
        <v>103.25042999999999</v>
      </c>
      <c r="AF184" s="11">
        <v>550.55285000000003</v>
      </c>
      <c r="AG184" s="1">
        <v>89</v>
      </c>
      <c r="AH184" s="12">
        <v>-3.35711</v>
      </c>
      <c r="AI184" s="3">
        <f t="shared" si="21"/>
        <v>-1.4776700000000034</v>
      </c>
      <c r="AJ184" s="1">
        <f t="shared" si="28"/>
        <v>1.0263196531396444</v>
      </c>
      <c r="AK184" s="11">
        <v>550.54546000000005</v>
      </c>
      <c r="AL184" s="1">
        <v>89</v>
      </c>
      <c r="AM184" s="12">
        <v>-4.2998099999999999</v>
      </c>
      <c r="AN184" s="3">
        <f t="shared" si="22"/>
        <v>-2.3341999999999956</v>
      </c>
      <c r="AO184" s="1">
        <f t="shared" si="27"/>
        <v>1.0348711633560861</v>
      </c>
      <c r="AP184" s="18">
        <v>372.26262000000003</v>
      </c>
      <c r="AQ184" s="1">
        <v>89</v>
      </c>
      <c r="AR184" s="12">
        <v>93.811199999999999</v>
      </c>
      <c r="AS184" s="3">
        <f t="shared" si="23"/>
        <v>94.365009999999998</v>
      </c>
    </row>
    <row r="185" spans="1:45" ht="16" x14ac:dyDescent="0.2">
      <c r="A185" s="2">
        <v>200.01776000000001</v>
      </c>
      <c r="B185" s="1">
        <v>89.5</v>
      </c>
      <c r="C185" s="5">
        <v>101.94240000000001</v>
      </c>
      <c r="D185" s="3">
        <f t="shared" si="24"/>
        <v>101.81895</v>
      </c>
      <c r="G185" s="4">
        <v>225.00488999999999</v>
      </c>
      <c r="H185" s="1">
        <v>89.5</v>
      </c>
      <c r="I185" s="5">
        <v>99.637180000000001</v>
      </c>
      <c r="J185" s="3">
        <f t="shared" si="25"/>
        <v>101.22757</v>
      </c>
      <c r="K185" s="1">
        <f t="shared" si="29"/>
        <v>2.1911678915570655E-3</v>
      </c>
      <c r="M185" s="4">
        <v>225.01772</v>
      </c>
      <c r="N185" s="1">
        <v>89.5</v>
      </c>
      <c r="O185" s="5">
        <v>102.95066</v>
      </c>
      <c r="P185" s="3">
        <f t="shared" si="26"/>
        <v>102.15827</v>
      </c>
      <c r="S185" s="4">
        <v>250.00796</v>
      </c>
      <c r="T185" s="1">
        <v>89.5</v>
      </c>
      <c r="U185" s="3">
        <v>98.8065</v>
      </c>
      <c r="V185" s="3">
        <f t="shared" si="19"/>
        <v>102.13019</v>
      </c>
      <c r="Y185" s="4">
        <v>250.01747</v>
      </c>
      <c r="Z185" s="1">
        <v>89.5</v>
      </c>
      <c r="AA185" s="3">
        <v>104.76597</v>
      </c>
      <c r="AB185" s="3">
        <f t="shared" si="20"/>
        <v>103.15694999999999</v>
      </c>
      <c r="AF185" s="11">
        <v>553.05174</v>
      </c>
      <c r="AG185" s="1">
        <v>89.5</v>
      </c>
      <c r="AH185" s="13">
        <v>-3.3654600000000001</v>
      </c>
      <c r="AI185" s="3">
        <f t="shared" si="21"/>
        <v>-1.4860199999999963</v>
      </c>
      <c r="AJ185" s="1">
        <f t="shared" si="28"/>
        <v>1.0264028538120997</v>
      </c>
      <c r="AK185" s="11">
        <v>553.04476</v>
      </c>
      <c r="AL185" s="1">
        <v>89.5</v>
      </c>
      <c r="AM185" s="13">
        <v>-4.3153699999999997</v>
      </c>
      <c r="AN185" s="3">
        <f t="shared" si="22"/>
        <v>-2.3497600000000034</v>
      </c>
      <c r="AO185" s="1">
        <f t="shared" si="27"/>
        <v>1.0350263183227435</v>
      </c>
      <c r="AP185" s="18">
        <v>373.76812000000001</v>
      </c>
      <c r="AQ185" s="1">
        <v>89.5</v>
      </c>
      <c r="AR185" s="13">
        <v>93.442700000000002</v>
      </c>
      <c r="AS185" s="3">
        <f t="shared" si="23"/>
        <v>93.996510000000001</v>
      </c>
    </row>
    <row r="186" spans="1:45" ht="16" x14ac:dyDescent="0.2">
      <c r="A186" s="2">
        <v>200.0153</v>
      </c>
      <c r="B186" s="1">
        <v>90</v>
      </c>
      <c r="C186" s="3">
        <v>102.02952000000001</v>
      </c>
      <c r="D186" s="3">
        <f t="shared" si="24"/>
        <v>101.90607</v>
      </c>
      <c r="G186" s="4">
        <v>225.00502</v>
      </c>
      <c r="H186" s="1">
        <v>90</v>
      </c>
      <c r="I186" s="3">
        <v>99.641249999999999</v>
      </c>
      <c r="J186" s="3">
        <f t="shared" si="25"/>
        <v>101.23164</v>
      </c>
      <c r="K186" s="1">
        <f t="shared" si="29"/>
        <v>2.150583321981047E-3</v>
      </c>
      <c r="M186" s="4">
        <v>225.01535999999999</v>
      </c>
      <c r="N186" s="1">
        <v>90</v>
      </c>
      <c r="O186" s="3">
        <v>102.96738000000001</v>
      </c>
      <c r="P186" s="3">
        <f t="shared" si="26"/>
        <v>102.17499000000001</v>
      </c>
      <c r="S186" s="4">
        <v>250.00498999999999</v>
      </c>
      <c r="T186" s="1">
        <v>90</v>
      </c>
      <c r="U186" s="5">
        <v>98.783860000000004</v>
      </c>
      <c r="V186" s="3">
        <f t="shared" si="19"/>
        <v>102.10755</v>
      </c>
      <c r="Y186" s="4">
        <v>250.01580000000001</v>
      </c>
      <c r="Z186" s="1">
        <v>90</v>
      </c>
      <c r="AA186" s="5">
        <v>104.83964</v>
      </c>
      <c r="AB186" s="3">
        <f t="shared" si="20"/>
        <v>103.23062</v>
      </c>
      <c r="AF186" s="11">
        <v>555.55753000000004</v>
      </c>
      <c r="AG186" s="1">
        <v>90</v>
      </c>
      <c r="AH186" s="12">
        <v>-3.3507600000000002</v>
      </c>
      <c r="AI186" s="3">
        <f t="shared" si="21"/>
        <v>-1.4713199999999915</v>
      </c>
      <c r="AJ186" s="1">
        <f t="shared" si="28"/>
        <v>1.0262563807719685</v>
      </c>
      <c r="AK186" s="11">
        <v>555.54732000000001</v>
      </c>
      <c r="AL186" s="1">
        <v>90</v>
      </c>
      <c r="AM186" s="12">
        <v>-4.3585799999999999</v>
      </c>
      <c r="AN186" s="3">
        <f t="shared" si="22"/>
        <v>-2.3929700000000054</v>
      </c>
      <c r="AO186" s="1">
        <f t="shared" si="27"/>
        <v>1.0354571824685832</v>
      </c>
      <c r="AP186" s="18">
        <v>375.27314000000001</v>
      </c>
      <c r="AQ186" s="1">
        <v>90</v>
      </c>
      <c r="AR186" s="12">
        <v>92.9221</v>
      </c>
      <c r="AS186" s="3">
        <f t="shared" si="23"/>
        <v>93.475909999999999</v>
      </c>
    </row>
    <row r="187" spans="1:45" ht="16" x14ac:dyDescent="0.2">
      <c r="A187" s="2">
        <v>200.01750000000001</v>
      </c>
      <c r="B187" s="1">
        <v>90.5</v>
      </c>
      <c r="C187" s="5">
        <v>101.96984999999999</v>
      </c>
      <c r="D187" s="3">
        <f t="shared" si="24"/>
        <v>101.84639999999999</v>
      </c>
      <c r="G187" s="4">
        <v>225.00307000000001</v>
      </c>
      <c r="H187" s="1">
        <v>90.5</v>
      </c>
      <c r="I187" s="5">
        <v>99.597560000000001</v>
      </c>
      <c r="J187" s="3">
        <f t="shared" si="25"/>
        <v>101.18795</v>
      </c>
      <c r="K187" s="1">
        <f t="shared" si="29"/>
        <v>2.5862442175035882E-3</v>
      </c>
      <c r="M187" s="4">
        <v>225.01087999999999</v>
      </c>
      <c r="N187" s="1">
        <v>90.5</v>
      </c>
      <c r="O187" s="5">
        <v>102.95153999999999</v>
      </c>
      <c r="P187" s="3">
        <f t="shared" si="26"/>
        <v>102.15915</v>
      </c>
      <c r="S187" s="4">
        <v>249.99901</v>
      </c>
      <c r="T187" s="1">
        <v>90.5</v>
      </c>
      <c r="U187" s="3">
        <v>98.791910000000001</v>
      </c>
      <c r="V187" s="3">
        <f t="shared" si="19"/>
        <v>102.1156</v>
      </c>
      <c r="Y187" s="4">
        <v>250.01580000000001</v>
      </c>
      <c r="Z187" s="1">
        <v>90.5</v>
      </c>
      <c r="AA187" s="3">
        <v>104.86919</v>
      </c>
      <c r="AB187" s="3">
        <f t="shared" si="20"/>
        <v>103.26017</v>
      </c>
      <c r="AF187" s="11">
        <v>558.06277</v>
      </c>
      <c r="AG187" s="1">
        <v>90.5</v>
      </c>
      <c r="AH187" s="13">
        <v>-3.38483</v>
      </c>
      <c r="AI187" s="3">
        <f t="shared" si="21"/>
        <v>-1.5053899999999913</v>
      </c>
      <c r="AJ187" s="1">
        <f t="shared" si="28"/>
        <v>1.0265958594438913</v>
      </c>
      <c r="AK187" s="11">
        <v>558.05346999999995</v>
      </c>
      <c r="AL187" s="1">
        <v>90.5</v>
      </c>
      <c r="AM187" s="13">
        <v>-4.3704400000000003</v>
      </c>
      <c r="AN187" s="3">
        <f t="shared" si="22"/>
        <v>-2.404830000000004</v>
      </c>
      <c r="AO187" s="1">
        <f t="shared" si="27"/>
        <v>1.0355754432593645</v>
      </c>
      <c r="AP187" s="18">
        <v>376.77240999999998</v>
      </c>
      <c r="AQ187" s="1">
        <v>90.5</v>
      </c>
      <c r="AR187" s="13">
        <v>92.438659999999999</v>
      </c>
      <c r="AS187" s="3">
        <f t="shared" si="23"/>
        <v>92.992469999999997</v>
      </c>
    </row>
    <row r="188" spans="1:45" ht="16" x14ac:dyDescent="0.2">
      <c r="A188" s="2">
        <v>200.0198</v>
      </c>
      <c r="B188" s="1">
        <v>91</v>
      </c>
      <c r="C188" s="3">
        <v>101.99160000000001</v>
      </c>
      <c r="D188" s="3">
        <f t="shared" si="24"/>
        <v>101.86815</v>
      </c>
      <c r="G188" s="4">
        <v>225.00230999999999</v>
      </c>
      <c r="H188" s="1">
        <v>91</v>
      </c>
      <c r="I188" s="3">
        <v>99.530439999999999</v>
      </c>
      <c r="J188" s="3">
        <f t="shared" si="25"/>
        <v>101.12083</v>
      </c>
      <c r="K188" s="1">
        <f t="shared" si="29"/>
        <v>3.2555406081530608E-3</v>
      </c>
      <c r="M188" s="4">
        <v>225.01255</v>
      </c>
      <c r="N188" s="1">
        <v>91</v>
      </c>
      <c r="O188" s="3">
        <v>102.92907</v>
      </c>
      <c r="P188" s="3">
        <f t="shared" si="26"/>
        <v>102.13668</v>
      </c>
      <c r="S188" s="4">
        <v>250.00193999999999</v>
      </c>
      <c r="T188" s="1">
        <v>91</v>
      </c>
      <c r="U188" s="5">
        <v>98.791830000000004</v>
      </c>
      <c r="V188" s="3">
        <f t="shared" si="19"/>
        <v>102.11552</v>
      </c>
      <c r="Y188" s="4">
        <v>250.01704000000001</v>
      </c>
      <c r="Z188" s="1">
        <v>91</v>
      </c>
      <c r="AA188" s="5">
        <v>104.88276</v>
      </c>
      <c r="AB188" s="3">
        <f t="shared" si="20"/>
        <v>103.27374</v>
      </c>
      <c r="AF188" s="11">
        <v>560.56281999999999</v>
      </c>
      <c r="AG188" s="1">
        <v>91</v>
      </c>
      <c r="AH188" s="12">
        <v>-3.4281799999999998</v>
      </c>
      <c r="AI188" s="3">
        <f t="shared" si="21"/>
        <v>-1.5487399999999951</v>
      </c>
      <c r="AJ188" s="1">
        <f t="shared" si="28"/>
        <v>1.0270278054499924</v>
      </c>
      <c r="AK188" s="11">
        <v>560.55200000000002</v>
      </c>
      <c r="AL188" s="1">
        <v>91</v>
      </c>
      <c r="AM188" s="12">
        <v>-4.4013600000000004</v>
      </c>
      <c r="AN188" s="3">
        <f t="shared" si="22"/>
        <v>-2.4357499999999987</v>
      </c>
      <c r="AO188" s="1">
        <f t="shared" si="27"/>
        <v>1.035883758912902</v>
      </c>
      <c r="AP188" s="18">
        <v>378.28131999999999</v>
      </c>
      <c r="AQ188" s="1">
        <v>91</v>
      </c>
      <c r="AR188" s="12">
        <v>91.952160000000006</v>
      </c>
      <c r="AS188" s="3">
        <f t="shared" si="23"/>
        <v>92.505970000000005</v>
      </c>
    </row>
    <row r="189" spans="1:45" ht="16" x14ac:dyDescent="0.2">
      <c r="A189" s="2">
        <v>200.01783</v>
      </c>
      <c r="B189" s="1">
        <v>91.5</v>
      </c>
      <c r="C189" s="5">
        <v>102.07868999999999</v>
      </c>
      <c r="D189" s="3">
        <f t="shared" si="24"/>
        <v>101.95523999999999</v>
      </c>
      <c r="G189" s="4">
        <v>225.00498999999999</v>
      </c>
      <c r="H189" s="1">
        <v>91.5</v>
      </c>
      <c r="I189" s="5">
        <v>99.61309</v>
      </c>
      <c r="J189" s="3">
        <f t="shared" si="25"/>
        <v>101.20348</v>
      </c>
      <c r="K189" s="1">
        <f t="shared" si="29"/>
        <v>2.4313846682368309E-3</v>
      </c>
      <c r="M189" s="4">
        <v>225.01222999999999</v>
      </c>
      <c r="N189" s="1">
        <v>91.5</v>
      </c>
      <c r="O189" s="5">
        <v>103.03921</v>
      </c>
      <c r="P189" s="3">
        <f t="shared" si="26"/>
        <v>102.24682</v>
      </c>
      <c r="S189" s="4">
        <v>250</v>
      </c>
      <c r="T189" s="1">
        <v>91.5</v>
      </c>
      <c r="U189" s="3">
        <v>98.792090000000002</v>
      </c>
      <c r="V189" s="3">
        <f t="shared" si="19"/>
        <v>102.11578</v>
      </c>
      <c r="Y189" s="4">
        <v>250.01741000000001</v>
      </c>
      <c r="Z189" s="1">
        <v>91.5</v>
      </c>
      <c r="AA189" s="3">
        <v>104.85023</v>
      </c>
      <c r="AB189" s="3">
        <f t="shared" si="20"/>
        <v>103.24121</v>
      </c>
      <c r="AF189" s="11">
        <v>563.06728999999996</v>
      </c>
      <c r="AG189" s="1">
        <v>91.5</v>
      </c>
      <c r="AH189" s="13">
        <v>-3.3989500000000001</v>
      </c>
      <c r="AI189" s="3">
        <f t="shared" si="21"/>
        <v>-1.5195099999999968</v>
      </c>
      <c r="AJ189" s="1">
        <f t="shared" si="28"/>
        <v>1.0267365532756365</v>
      </c>
      <c r="AK189" s="11">
        <v>563.05485999999996</v>
      </c>
      <c r="AL189" s="1">
        <v>91.5</v>
      </c>
      <c r="AM189" s="13">
        <v>-4.3647</v>
      </c>
      <c r="AN189" s="3">
        <f t="shared" si="22"/>
        <v>-2.3990900000000011</v>
      </c>
      <c r="AO189" s="1">
        <f t="shared" si="27"/>
        <v>1.035518207429762</v>
      </c>
      <c r="AP189" s="18">
        <v>379.78010999999998</v>
      </c>
      <c r="AQ189" s="1">
        <v>91.5</v>
      </c>
      <c r="AR189" s="13">
        <v>91.350660000000005</v>
      </c>
      <c r="AS189" s="3">
        <f t="shared" si="23"/>
        <v>91.904470000000003</v>
      </c>
    </row>
    <row r="190" spans="1:45" ht="16" x14ac:dyDescent="0.2">
      <c r="A190" s="2">
        <v>200.01554999999999</v>
      </c>
      <c r="B190" s="1">
        <v>92</v>
      </c>
      <c r="C190" s="3">
        <v>102.0102</v>
      </c>
      <c r="D190" s="3">
        <f t="shared" si="24"/>
        <v>101.88674999999999</v>
      </c>
      <c r="G190" s="4">
        <v>225.00527</v>
      </c>
      <c r="H190" s="1">
        <v>92</v>
      </c>
      <c r="I190" s="3">
        <v>99.597560000000001</v>
      </c>
      <c r="J190" s="3">
        <f t="shared" si="25"/>
        <v>101.18795</v>
      </c>
      <c r="K190" s="1">
        <f t="shared" si="29"/>
        <v>2.5862442175035882E-3</v>
      </c>
      <c r="M190" s="4">
        <v>225.01223999999999</v>
      </c>
      <c r="N190" s="1">
        <v>92</v>
      </c>
      <c r="O190" s="3">
        <v>103.17417</v>
      </c>
      <c r="P190" s="3">
        <f t="shared" si="26"/>
        <v>102.38178000000001</v>
      </c>
      <c r="S190" s="4">
        <v>250.00792000000001</v>
      </c>
      <c r="T190" s="1">
        <v>92</v>
      </c>
      <c r="U190" s="5">
        <v>98.79616</v>
      </c>
      <c r="V190" s="3">
        <f t="shared" si="19"/>
        <v>102.11985</v>
      </c>
      <c r="Y190" s="4">
        <v>250.01618999999999</v>
      </c>
      <c r="Z190" s="1">
        <v>92</v>
      </c>
      <c r="AA190" s="5">
        <v>104.73193000000001</v>
      </c>
      <c r="AB190" s="3">
        <f t="shared" si="20"/>
        <v>103.12291</v>
      </c>
      <c r="AF190" s="11">
        <v>565.56682000000001</v>
      </c>
      <c r="AG190" s="1">
        <v>92</v>
      </c>
      <c r="AH190" s="12">
        <v>-3.4289499999999999</v>
      </c>
      <c r="AI190" s="3">
        <f t="shared" si="21"/>
        <v>-1.5495099999999979</v>
      </c>
      <c r="AJ190" s="1">
        <f t="shared" si="28"/>
        <v>1.0270354778473325</v>
      </c>
      <c r="AK190" s="11">
        <v>565.55542000000003</v>
      </c>
      <c r="AL190" s="1">
        <v>92</v>
      </c>
      <c r="AM190" s="12">
        <v>-4.4029800000000003</v>
      </c>
      <c r="AN190" s="3">
        <f t="shared" si="22"/>
        <v>-2.4373700000000014</v>
      </c>
      <c r="AO190" s="1">
        <f t="shared" si="27"/>
        <v>1.0358999125790964</v>
      </c>
      <c r="AP190" s="18">
        <v>381.28467000000001</v>
      </c>
      <c r="AQ190" s="1">
        <v>92</v>
      </c>
      <c r="AR190" s="12">
        <v>90.88476</v>
      </c>
      <c r="AS190" s="3">
        <f t="shared" si="23"/>
        <v>91.438569999999999</v>
      </c>
    </row>
    <row r="191" spans="1:45" ht="16" x14ac:dyDescent="0.2">
      <c r="A191" s="2">
        <v>200.01725999999999</v>
      </c>
      <c r="B191" s="1">
        <v>92.5</v>
      </c>
      <c r="C191" s="5">
        <v>101.98415</v>
      </c>
      <c r="D191" s="3">
        <f t="shared" si="24"/>
        <v>101.86069999999999</v>
      </c>
      <c r="G191" s="4">
        <v>225.01315</v>
      </c>
      <c r="H191" s="1">
        <v>92.5</v>
      </c>
      <c r="I191" s="5">
        <v>99.627330000000001</v>
      </c>
      <c r="J191" s="3">
        <f t="shared" si="25"/>
        <v>101.21772</v>
      </c>
      <c r="K191" s="1">
        <f t="shared" si="29"/>
        <v>2.2893885329142933E-3</v>
      </c>
      <c r="M191" s="4">
        <v>225.01193000000001</v>
      </c>
      <c r="N191" s="1">
        <v>92.5</v>
      </c>
      <c r="O191" s="5">
        <v>103.02572000000001</v>
      </c>
      <c r="P191" s="3">
        <f t="shared" si="26"/>
        <v>102.23333000000001</v>
      </c>
      <c r="S191" s="4">
        <v>250.00605999999999</v>
      </c>
      <c r="T191" s="1">
        <v>92.5</v>
      </c>
      <c r="U191" s="3">
        <v>98.792100000000005</v>
      </c>
      <c r="V191" s="3">
        <f t="shared" si="19"/>
        <v>102.11579</v>
      </c>
      <c r="Y191" s="4">
        <v>250.01624000000001</v>
      </c>
      <c r="Z191" s="1">
        <v>92.5</v>
      </c>
      <c r="AA191" s="3">
        <v>104.86312</v>
      </c>
      <c r="AB191" s="3">
        <f t="shared" si="20"/>
        <v>103.25409999999999</v>
      </c>
      <c r="AF191" s="11">
        <v>568.06151</v>
      </c>
      <c r="AG191" s="1">
        <v>92.5</v>
      </c>
      <c r="AH191" s="13">
        <v>-3.4405299999999999</v>
      </c>
      <c r="AI191" s="3">
        <f t="shared" si="21"/>
        <v>-1.561089999999993</v>
      </c>
      <c r="AJ191" s="1">
        <f t="shared" si="28"/>
        <v>1.0271508627320072</v>
      </c>
      <c r="AK191" s="11">
        <v>568.05631000000005</v>
      </c>
      <c r="AL191" s="1">
        <v>92.5</v>
      </c>
      <c r="AM191" s="13">
        <v>-4.44048</v>
      </c>
      <c r="AN191" s="3">
        <f t="shared" si="22"/>
        <v>-2.4748699999999957</v>
      </c>
      <c r="AO191" s="1">
        <f t="shared" si="27"/>
        <v>1.0362738400373002</v>
      </c>
      <c r="AP191" s="18">
        <v>382.78250000000003</v>
      </c>
      <c r="AQ191" s="1">
        <v>92.5</v>
      </c>
      <c r="AR191" s="13">
        <v>90.359290000000001</v>
      </c>
      <c r="AS191" s="3">
        <f t="shared" si="23"/>
        <v>90.9131</v>
      </c>
    </row>
    <row r="192" spans="1:45" ht="16" x14ac:dyDescent="0.2">
      <c r="A192" s="2">
        <v>200.02054000000001</v>
      </c>
      <c r="B192" s="1">
        <v>93</v>
      </c>
      <c r="C192" s="3">
        <v>101.99249</v>
      </c>
      <c r="D192" s="3">
        <f t="shared" si="24"/>
        <v>101.86904</v>
      </c>
      <c r="G192" s="4">
        <v>225.01203000000001</v>
      </c>
      <c r="H192" s="1">
        <v>93</v>
      </c>
      <c r="I192" s="3">
        <v>99.589979999999997</v>
      </c>
      <c r="J192" s="3">
        <f t="shared" si="25"/>
        <v>101.18037</v>
      </c>
      <c r="K192" s="1">
        <f t="shared" si="29"/>
        <v>2.6618292389744718E-3</v>
      </c>
      <c r="M192" s="4">
        <v>225.01238000000001</v>
      </c>
      <c r="N192" s="1">
        <v>93</v>
      </c>
      <c r="O192" s="3">
        <v>103.15125999999999</v>
      </c>
      <c r="P192" s="3">
        <f t="shared" si="26"/>
        <v>102.35887</v>
      </c>
      <c r="S192" s="4">
        <v>250.00393</v>
      </c>
      <c r="T192" s="1">
        <v>93</v>
      </c>
      <c r="U192" s="5">
        <v>98.794150000000002</v>
      </c>
      <c r="V192" s="3">
        <f t="shared" si="19"/>
        <v>102.11784</v>
      </c>
      <c r="Y192" s="4">
        <v>250.01965999999999</v>
      </c>
      <c r="Z192" s="1">
        <v>93</v>
      </c>
      <c r="AA192" s="5">
        <v>104.80352000000001</v>
      </c>
      <c r="AB192" s="3">
        <f t="shared" si="20"/>
        <v>103.19450000000001</v>
      </c>
      <c r="AF192" s="11">
        <v>570.56578000000002</v>
      </c>
      <c r="AG192" s="1">
        <v>93</v>
      </c>
      <c r="AH192" s="12">
        <v>-3.4319500000000001</v>
      </c>
      <c r="AI192" s="3">
        <f t="shared" si="21"/>
        <v>-1.5525099999999981</v>
      </c>
      <c r="AJ192" s="1">
        <f t="shared" si="28"/>
        <v>1.0270653703045023</v>
      </c>
      <c r="AK192" s="11">
        <v>570.56264999999996</v>
      </c>
      <c r="AL192" s="1">
        <v>93</v>
      </c>
      <c r="AM192" s="12">
        <v>-4.4216600000000001</v>
      </c>
      <c r="AN192" s="3">
        <f t="shared" si="22"/>
        <v>-2.4560500000000047</v>
      </c>
      <c r="AO192" s="1">
        <f t="shared" si="27"/>
        <v>1.0360861783102764</v>
      </c>
      <c r="AP192" s="18">
        <v>384.27830999999998</v>
      </c>
      <c r="AQ192" s="1">
        <v>93</v>
      </c>
      <c r="AR192" s="12">
        <v>89.723420000000004</v>
      </c>
      <c r="AS192" s="3">
        <f t="shared" si="23"/>
        <v>90.277230000000003</v>
      </c>
    </row>
    <row r="193" spans="1:45" ht="16" x14ac:dyDescent="0.2">
      <c r="A193" s="2">
        <v>200.02005</v>
      </c>
      <c r="B193" s="1">
        <v>93.5</v>
      </c>
      <c r="C193" s="5">
        <v>102.01863</v>
      </c>
      <c r="D193" s="3">
        <f t="shared" si="24"/>
        <v>101.89518</v>
      </c>
      <c r="G193" s="4">
        <v>225.00797</v>
      </c>
      <c r="H193" s="1">
        <v>93.5</v>
      </c>
      <c r="I193" s="5">
        <v>99.625550000000004</v>
      </c>
      <c r="J193" s="3">
        <f t="shared" si="25"/>
        <v>101.21594</v>
      </c>
      <c r="K193" s="1">
        <f t="shared" si="29"/>
        <v>2.3071380498295752E-3</v>
      </c>
      <c r="M193" s="4">
        <v>225.01468</v>
      </c>
      <c r="N193" s="1">
        <v>93.5</v>
      </c>
      <c r="O193" s="5">
        <v>103.15831</v>
      </c>
      <c r="P193" s="3">
        <f t="shared" si="26"/>
        <v>102.36592</v>
      </c>
      <c r="S193" s="4">
        <v>249.99894</v>
      </c>
      <c r="T193" s="1">
        <v>93.5</v>
      </c>
      <c r="U193" s="3">
        <v>98.773420000000002</v>
      </c>
      <c r="V193" s="3">
        <f t="shared" si="19"/>
        <v>102.09711</v>
      </c>
      <c r="Y193" s="4">
        <v>250.01889</v>
      </c>
      <c r="Z193" s="1">
        <v>93.5</v>
      </c>
      <c r="AA193" s="3">
        <v>104.82926999999999</v>
      </c>
      <c r="AB193" s="3">
        <f t="shared" si="20"/>
        <v>103.22024999999999</v>
      </c>
      <c r="AF193" s="11">
        <v>573.06962999999996</v>
      </c>
      <c r="AG193" s="1">
        <v>93.5</v>
      </c>
      <c r="AH193" s="13">
        <v>-3.4585499999999998</v>
      </c>
      <c r="AI193" s="3">
        <f t="shared" si="21"/>
        <v>-1.57911</v>
      </c>
      <c r="AJ193" s="1">
        <f t="shared" si="28"/>
        <v>1.0273304167580728</v>
      </c>
      <c r="AK193" s="11">
        <v>573.05993999999998</v>
      </c>
      <c r="AL193" s="1">
        <v>93.5</v>
      </c>
      <c r="AM193" s="13">
        <v>-4.4538200000000003</v>
      </c>
      <c r="AN193" s="3">
        <f t="shared" si="22"/>
        <v>-2.4882100000000094</v>
      </c>
      <c r="AO193" s="1">
        <f t="shared" si="27"/>
        <v>1.0364068584984321</v>
      </c>
      <c r="AP193" s="18">
        <v>385.77631000000002</v>
      </c>
      <c r="AQ193" s="1">
        <v>93.5</v>
      </c>
      <c r="AR193" s="13">
        <v>89.038899999999998</v>
      </c>
      <c r="AS193" s="3">
        <f t="shared" si="23"/>
        <v>89.592709999999997</v>
      </c>
    </row>
    <row r="194" spans="1:45" ht="16" x14ac:dyDescent="0.2">
      <c r="A194" s="2">
        <v>200.02088000000001</v>
      </c>
      <c r="B194" s="1">
        <v>94</v>
      </c>
      <c r="C194" s="3">
        <v>101.92469</v>
      </c>
      <c r="D194" s="3">
        <f t="shared" si="24"/>
        <v>101.80123999999999</v>
      </c>
      <c r="G194" s="4">
        <v>225.00969000000001</v>
      </c>
      <c r="H194" s="1">
        <v>94</v>
      </c>
      <c r="I194" s="3">
        <v>99.668459999999996</v>
      </c>
      <c r="J194" s="3">
        <f t="shared" si="25"/>
        <v>101.25885</v>
      </c>
      <c r="K194" s="1">
        <f t="shared" si="29"/>
        <v>1.8792550325059405E-3</v>
      </c>
      <c r="M194" s="4">
        <v>225.01256000000001</v>
      </c>
      <c r="N194" s="1">
        <v>94</v>
      </c>
      <c r="O194" s="3">
        <v>103.14449</v>
      </c>
      <c r="P194" s="3">
        <f t="shared" si="26"/>
        <v>102.35210000000001</v>
      </c>
      <c r="S194" s="4">
        <v>250.00316000000001</v>
      </c>
      <c r="T194" s="1">
        <v>94</v>
      </c>
      <c r="U194" s="5">
        <v>98.779600000000002</v>
      </c>
      <c r="V194" s="3">
        <f t="shared" si="19"/>
        <v>102.10329</v>
      </c>
      <c r="Y194" s="4">
        <v>250.01915</v>
      </c>
      <c r="Z194" s="1">
        <v>94</v>
      </c>
      <c r="AA194" s="5">
        <v>104.82435</v>
      </c>
      <c r="AB194" s="3">
        <f t="shared" si="20"/>
        <v>103.21532999999999</v>
      </c>
      <c r="AF194" s="11">
        <v>575.56655000000001</v>
      </c>
      <c r="AG194" s="1">
        <v>94</v>
      </c>
      <c r="AH194" s="12">
        <v>-3.5124900000000001</v>
      </c>
      <c r="AI194" s="3">
        <f t="shared" si="21"/>
        <v>-1.6330499999999972</v>
      </c>
      <c r="AJ194" s="1">
        <f t="shared" si="28"/>
        <v>1.0278678831379824</v>
      </c>
      <c r="AK194" s="11">
        <v>575.56868999999995</v>
      </c>
      <c r="AL194" s="1">
        <v>94</v>
      </c>
      <c r="AM194" s="12">
        <v>-4.4689699999999997</v>
      </c>
      <c r="AN194" s="3">
        <f t="shared" si="22"/>
        <v>-2.5033600000000007</v>
      </c>
      <c r="AO194" s="1">
        <f t="shared" si="27"/>
        <v>1.0365579251915464</v>
      </c>
      <c r="AP194" s="18">
        <v>387.28348</v>
      </c>
      <c r="AQ194" s="1">
        <v>94</v>
      </c>
      <c r="AR194" s="12">
        <v>88.608779999999996</v>
      </c>
      <c r="AS194" s="3">
        <f t="shared" si="23"/>
        <v>89.162589999999994</v>
      </c>
    </row>
    <row r="195" spans="1:45" ht="16" x14ac:dyDescent="0.2">
      <c r="A195" s="2">
        <v>200.02028999999999</v>
      </c>
      <c r="B195" s="1">
        <v>94.5</v>
      </c>
      <c r="C195" s="5">
        <v>101.98761</v>
      </c>
      <c r="D195" s="3">
        <f t="shared" si="24"/>
        <v>101.86416</v>
      </c>
      <c r="G195" s="4">
        <v>225.01080999999999</v>
      </c>
      <c r="H195" s="1">
        <v>94.5</v>
      </c>
      <c r="I195" s="5">
        <v>99.607919999999993</v>
      </c>
      <c r="J195" s="3">
        <f t="shared" si="25"/>
        <v>101.19830999999999</v>
      </c>
      <c r="K195" s="1">
        <f t="shared" si="29"/>
        <v>2.4829380404010467E-3</v>
      </c>
      <c r="M195" s="4">
        <v>225.01112000000001</v>
      </c>
      <c r="N195" s="1">
        <v>94.5</v>
      </c>
      <c r="O195" s="5">
        <v>103.10131</v>
      </c>
      <c r="P195" s="3">
        <f t="shared" si="26"/>
        <v>102.30892</v>
      </c>
      <c r="S195" s="4">
        <v>250.00603000000001</v>
      </c>
      <c r="T195" s="1">
        <v>94.5</v>
      </c>
      <c r="U195" s="3">
        <v>98.788020000000003</v>
      </c>
      <c r="V195" s="3">
        <f t="shared" si="19"/>
        <v>102.11171</v>
      </c>
      <c r="Y195" s="4">
        <v>250.01813999999999</v>
      </c>
      <c r="Z195" s="1">
        <v>94.5</v>
      </c>
      <c r="AA195" s="3">
        <v>104.9063</v>
      </c>
      <c r="AB195" s="3">
        <f t="shared" si="20"/>
        <v>103.29728</v>
      </c>
      <c r="AF195" s="11">
        <v>578.06669999999997</v>
      </c>
      <c r="AG195" s="1">
        <v>94.5</v>
      </c>
      <c r="AH195" s="13">
        <v>-3.50467</v>
      </c>
      <c r="AI195" s="3">
        <f t="shared" si="21"/>
        <v>-1.625230000000002</v>
      </c>
      <c r="AJ195" s="1">
        <f t="shared" si="28"/>
        <v>1.0277899634662937</v>
      </c>
      <c r="AK195" s="11">
        <v>578.06751999999994</v>
      </c>
      <c r="AL195" s="1">
        <v>94.5</v>
      </c>
      <c r="AM195" s="13">
        <v>-4.4628199999999998</v>
      </c>
      <c r="AN195" s="3">
        <f t="shared" si="22"/>
        <v>-2.4972099999999955</v>
      </c>
      <c r="AO195" s="1">
        <f t="shared" si="27"/>
        <v>1.0364966010884009</v>
      </c>
      <c r="AP195" s="18">
        <v>388.78190000000001</v>
      </c>
      <c r="AQ195" s="1">
        <v>94.5</v>
      </c>
      <c r="AR195" s="13">
        <v>87.888120000000001</v>
      </c>
      <c r="AS195" s="3">
        <f t="shared" si="23"/>
        <v>88.441929999999999</v>
      </c>
    </row>
    <row r="196" spans="1:45" ht="16" x14ac:dyDescent="0.2">
      <c r="A196" s="2">
        <v>200.02135000000001</v>
      </c>
      <c r="B196" s="1">
        <v>95</v>
      </c>
      <c r="C196" s="3">
        <v>101.94167</v>
      </c>
      <c r="D196" s="3">
        <f t="shared" si="24"/>
        <v>101.81822</v>
      </c>
      <c r="G196" s="4">
        <v>225.00885</v>
      </c>
      <c r="H196" s="1">
        <v>95</v>
      </c>
      <c r="I196" s="3">
        <v>99.618539999999996</v>
      </c>
      <c r="J196" s="3">
        <f t="shared" si="25"/>
        <v>101.20893</v>
      </c>
      <c r="K196" s="1">
        <f t="shared" si="29"/>
        <v>2.3770392372321095E-3</v>
      </c>
      <c r="M196" s="4">
        <v>225.01320000000001</v>
      </c>
      <c r="N196" s="1">
        <v>95</v>
      </c>
      <c r="O196" s="3">
        <v>103.0072</v>
      </c>
      <c r="P196" s="3">
        <f t="shared" si="26"/>
        <v>102.21481</v>
      </c>
      <c r="S196" s="4">
        <v>250.01197999999999</v>
      </c>
      <c r="T196" s="1">
        <v>95</v>
      </c>
      <c r="U196" s="5">
        <v>98.785889999999995</v>
      </c>
      <c r="V196" s="3">
        <f t="shared" si="19"/>
        <v>102.10957999999999</v>
      </c>
      <c r="Y196" s="4">
        <v>250.01684</v>
      </c>
      <c r="Z196" s="1">
        <v>95</v>
      </c>
      <c r="AA196" s="5">
        <v>104.86868</v>
      </c>
      <c r="AB196" s="3">
        <f t="shared" si="20"/>
        <v>103.25966</v>
      </c>
      <c r="AF196" s="11">
        <v>580.57678999999996</v>
      </c>
      <c r="AG196" s="1">
        <v>95</v>
      </c>
      <c r="AH196" s="12">
        <v>-3.5202800000000001</v>
      </c>
      <c r="AI196" s="3">
        <f t="shared" si="21"/>
        <v>-1.6408399999999972</v>
      </c>
      <c r="AJ196" s="1">
        <f t="shared" si="28"/>
        <v>1.0279455038850995</v>
      </c>
      <c r="AK196" s="11">
        <v>580.56476999999995</v>
      </c>
      <c r="AL196" s="1">
        <v>95</v>
      </c>
      <c r="AM196" s="12">
        <v>-4.5146899999999999</v>
      </c>
      <c r="AN196" s="3">
        <f t="shared" si="22"/>
        <v>-2.5490800000000036</v>
      </c>
      <c r="AO196" s="1">
        <f t="shared" si="27"/>
        <v>1.0370138175485886</v>
      </c>
      <c r="AP196" s="18">
        <v>390.28433000000001</v>
      </c>
      <c r="AQ196" s="1">
        <v>95</v>
      </c>
      <c r="AR196" s="12">
        <v>87.219189999999998</v>
      </c>
      <c r="AS196" s="3">
        <f t="shared" si="23"/>
        <v>87.772999999999996</v>
      </c>
    </row>
    <row r="197" spans="1:45" ht="16" x14ac:dyDescent="0.2">
      <c r="A197" s="2">
        <v>200.02403000000001</v>
      </c>
      <c r="B197" s="1">
        <v>95.5</v>
      </c>
      <c r="C197" s="5">
        <v>102.05634999999999</v>
      </c>
      <c r="D197" s="3">
        <f t="shared" si="24"/>
        <v>101.93289999999999</v>
      </c>
      <c r="G197" s="4">
        <v>225.00700000000001</v>
      </c>
      <c r="H197" s="1">
        <v>95.5</v>
      </c>
      <c r="I197" s="5">
        <v>99.602770000000007</v>
      </c>
      <c r="J197" s="3">
        <f t="shared" si="25"/>
        <v>101.19316000000001</v>
      </c>
      <c r="K197" s="1">
        <f t="shared" si="29"/>
        <v>2.5342919797907283E-3</v>
      </c>
      <c r="M197" s="4">
        <v>225.01333</v>
      </c>
      <c r="N197" s="1">
        <v>95.5</v>
      </c>
      <c r="O197" s="5">
        <v>102.98475999999999</v>
      </c>
      <c r="P197" s="3">
        <f t="shared" si="26"/>
        <v>102.19237</v>
      </c>
      <c r="S197" s="4">
        <v>250.00599</v>
      </c>
      <c r="T197" s="1">
        <v>95.5</v>
      </c>
      <c r="U197" s="3">
        <v>98.781760000000006</v>
      </c>
      <c r="V197" s="3">
        <f t="shared" si="19"/>
        <v>102.10545</v>
      </c>
      <c r="Y197" s="4">
        <v>250.01481999999999</v>
      </c>
      <c r="Z197" s="1">
        <v>95.5</v>
      </c>
      <c r="AA197" s="3">
        <v>104.84237</v>
      </c>
      <c r="AB197" s="3">
        <f t="shared" si="20"/>
        <v>103.23335</v>
      </c>
      <c r="AF197" s="11">
        <v>583.07584999999995</v>
      </c>
      <c r="AG197" s="1">
        <v>95.5</v>
      </c>
      <c r="AH197" s="13">
        <v>-3.4885100000000002</v>
      </c>
      <c r="AI197" s="3">
        <f t="shared" si="21"/>
        <v>-1.6090700000000027</v>
      </c>
      <c r="AJ197" s="1">
        <f t="shared" si="28"/>
        <v>1.0276289427636733</v>
      </c>
      <c r="AK197" s="11">
        <v>583.06347000000005</v>
      </c>
      <c r="AL197" s="1">
        <v>95.5</v>
      </c>
      <c r="AM197" s="13">
        <v>-4.51248</v>
      </c>
      <c r="AN197" s="3">
        <f t="shared" si="22"/>
        <v>-2.5468699999999984</v>
      </c>
      <c r="AO197" s="1">
        <f t="shared" si="27"/>
        <v>1.0369917807570517</v>
      </c>
      <c r="AP197" s="18">
        <v>391.78692999999998</v>
      </c>
      <c r="AQ197" s="1">
        <v>95.5</v>
      </c>
      <c r="AR197" s="13">
        <v>86.49991</v>
      </c>
      <c r="AS197" s="3">
        <f t="shared" si="23"/>
        <v>87.053719999999998</v>
      </c>
    </row>
    <row r="198" spans="1:45" ht="16" x14ac:dyDescent="0.2">
      <c r="A198" s="2">
        <v>200.01974000000001</v>
      </c>
      <c r="B198" s="1">
        <v>96</v>
      </c>
      <c r="C198" s="3">
        <v>102.07459</v>
      </c>
      <c r="D198" s="3">
        <f t="shared" si="24"/>
        <v>101.95114</v>
      </c>
      <c r="G198" s="4">
        <v>225.00492</v>
      </c>
      <c r="H198" s="1">
        <v>96</v>
      </c>
      <c r="I198" s="3">
        <v>99.600020000000001</v>
      </c>
      <c r="J198" s="3">
        <f t="shared" si="25"/>
        <v>101.19041</v>
      </c>
      <c r="K198" s="1">
        <f t="shared" si="29"/>
        <v>2.5617139862610799E-3</v>
      </c>
      <c r="M198" s="4">
        <v>225.01446999999999</v>
      </c>
      <c r="N198" s="1">
        <v>96</v>
      </c>
      <c r="O198" s="3">
        <v>103.08110000000001</v>
      </c>
      <c r="P198" s="3">
        <f t="shared" si="26"/>
        <v>102.28871000000001</v>
      </c>
      <c r="S198" s="4">
        <v>250.00303</v>
      </c>
      <c r="T198" s="1">
        <v>96</v>
      </c>
      <c r="U198" s="5">
        <v>98.788399999999996</v>
      </c>
      <c r="V198" s="3">
        <f t="shared" si="19"/>
        <v>102.11208999999999</v>
      </c>
      <c r="Y198" s="4">
        <v>250.01168000000001</v>
      </c>
      <c r="Z198" s="1">
        <v>96</v>
      </c>
      <c r="AA198" s="5">
        <v>104.84605000000001</v>
      </c>
      <c r="AB198" s="3">
        <f t="shared" si="20"/>
        <v>103.23703</v>
      </c>
      <c r="AF198" s="11">
        <v>585.57236999999998</v>
      </c>
      <c r="AG198" s="1">
        <v>96</v>
      </c>
      <c r="AH198" s="12">
        <v>-3.5224099999999998</v>
      </c>
      <c r="AI198" s="3">
        <f t="shared" si="21"/>
        <v>-1.6429699999999912</v>
      </c>
      <c r="AJ198" s="1">
        <f t="shared" si="28"/>
        <v>1.02796672752969</v>
      </c>
      <c r="AK198" s="11">
        <v>585.57530999999994</v>
      </c>
      <c r="AL198" s="1">
        <v>96</v>
      </c>
      <c r="AM198" s="12">
        <v>-4.5188800000000002</v>
      </c>
      <c r="AN198" s="3">
        <f t="shared" si="22"/>
        <v>-2.5532699999999977</v>
      </c>
      <c r="AO198" s="1">
        <f t="shared" si="27"/>
        <v>1.0370555977099183</v>
      </c>
      <c r="AP198" s="18">
        <v>393.28982999999999</v>
      </c>
      <c r="AQ198" s="1">
        <v>96</v>
      </c>
      <c r="AR198" s="12">
        <v>85.957380000000001</v>
      </c>
      <c r="AS198" s="3">
        <f t="shared" si="23"/>
        <v>86.511189999999999</v>
      </c>
    </row>
    <row r="199" spans="1:45" ht="16" x14ac:dyDescent="0.2">
      <c r="A199" s="2">
        <v>200.01542000000001</v>
      </c>
      <c r="B199" s="1">
        <v>96.5</v>
      </c>
      <c r="C199" s="5">
        <v>102.03919999999999</v>
      </c>
      <c r="D199" s="3">
        <f t="shared" si="24"/>
        <v>101.91574999999999</v>
      </c>
      <c r="G199" s="4">
        <v>225.00604000000001</v>
      </c>
      <c r="H199" s="1">
        <v>96.5</v>
      </c>
      <c r="I199" s="5">
        <v>99.623390000000001</v>
      </c>
      <c r="J199" s="3">
        <f t="shared" si="25"/>
        <v>101.21378</v>
      </c>
      <c r="K199" s="1">
        <f t="shared" si="29"/>
        <v>2.3286767894571845E-3</v>
      </c>
      <c r="M199" s="4">
        <v>225.01481999999999</v>
      </c>
      <c r="N199" s="1">
        <v>96.5</v>
      </c>
      <c r="O199" s="5">
        <v>103.13253</v>
      </c>
      <c r="P199" s="3">
        <f t="shared" si="26"/>
        <v>102.34014000000001</v>
      </c>
      <c r="S199" s="4">
        <v>250.00102999999999</v>
      </c>
      <c r="T199" s="1">
        <v>96.5</v>
      </c>
      <c r="U199" s="3">
        <v>98.812719999999999</v>
      </c>
      <c r="V199" s="7">
        <f t="shared" ref="V199:V262" si="30">100-($U$6-U199)</f>
        <v>102.13641</v>
      </c>
      <c r="W199" s="1">
        <f>($V$199-V199)/($V$199*(1-$H$1))</f>
        <v>0</v>
      </c>
      <c r="Y199" s="4">
        <v>250.01079999999999</v>
      </c>
      <c r="Z199" s="1">
        <v>96.5</v>
      </c>
      <c r="AA199" s="3">
        <v>104.88477</v>
      </c>
      <c r="AB199" s="3">
        <f t="shared" ref="AB199:AB262" si="31">100-($AA$6-AA199)</f>
        <v>103.27575</v>
      </c>
      <c r="AF199" s="11">
        <v>588.07637</v>
      </c>
      <c r="AG199" s="1">
        <v>96.5</v>
      </c>
      <c r="AH199" s="13">
        <v>-3.5112299999999999</v>
      </c>
      <c r="AI199" s="3">
        <f t="shared" ref="AI199:AI262" si="32">100-($AH$6-AH199)</f>
        <v>-1.6317899999999952</v>
      </c>
      <c r="AJ199" s="1">
        <f t="shared" si="28"/>
        <v>1.0278553283059713</v>
      </c>
      <c r="AK199" s="11">
        <v>588.06966</v>
      </c>
      <c r="AL199" s="1">
        <v>96.5</v>
      </c>
      <c r="AM199" s="13">
        <v>-4.5288599999999999</v>
      </c>
      <c r="AN199" s="3">
        <f t="shared" ref="AN199:AN262" si="33">100-($AM$6-AM199)</f>
        <v>-2.5632499999999965</v>
      </c>
      <c r="AO199" s="1">
        <f t="shared" si="27"/>
        <v>1.0371551122707949</v>
      </c>
      <c r="AP199" s="18">
        <v>394.79363999999998</v>
      </c>
      <c r="AQ199" s="1">
        <v>96.5</v>
      </c>
      <c r="AR199" s="13">
        <v>85.229810000000001</v>
      </c>
      <c r="AS199" s="3">
        <f t="shared" ref="AS199:AS262" si="34">100-($AR$6-AR199)</f>
        <v>85.783619999999999</v>
      </c>
    </row>
    <row r="200" spans="1:45" ht="16" x14ac:dyDescent="0.2">
      <c r="A200" s="2">
        <v>200.01902000000001</v>
      </c>
      <c r="B200" s="1">
        <v>97</v>
      </c>
      <c r="C200" s="3">
        <v>102.15869000000001</v>
      </c>
      <c r="D200" s="3">
        <f t="shared" ref="D200:D263" si="35">100-($C$6-C200)</f>
        <v>102.03524</v>
      </c>
      <c r="G200" s="4">
        <v>225.00899999999999</v>
      </c>
      <c r="H200" s="1">
        <v>97</v>
      </c>
      <c r="I200" s="3">
        <v>99.620819999999995</v>
      </c>
      <c r="J200" s="3">
        <f t="shared" ref="J200:J263" si="36">100-($I$6-I200)</f>
        <v>101.21120999999999</v>
      </c>
      <c r="K200" s="1">
        <f t="shared" si="29"/>
        <v>2.3543039009585689E-3</v>
      </c>
      <c r="M200" s="4">
        <v>225.01293999999999</v>
      </c>
      <c r="N200" s="1">
        <v>97</v>
      </c>
      <c r="O200" s="3">
        <v>102.89443</v>
      </c>
      <c r="P200" s="3">
        <f t="shared" ref="P200:P263" si="37">100-($O$6-O200)</f>
        <v>102.10204</v>
      </c>
      <c r="S200" s="4">
        <v>250.00299999999999</v>
      </c>
      <c r="T200" s="1">
        <v>97</v>
      </c>
      <c r="U200" s="5">
        <v>98.802170000000004</v>
      </c>
      <c r="V200" s="3">
        <f t="shared" si="30"/>
        <v>102.12586</v>
      </c>
      <c r="W200" s="1">
        <f t="shared" ref="W200:W263" si="38">($V$199-V200)/($V$199*(1-$H$1))</f>
        <v>1.0449101352803233E-4</v>
      </c>
      <c r="Y200" s="4">
        <v>250.01078000000001</v>
      </c>
      <c r="Z200" s="1">
        <v>97</v>
      </c>
      <c r="AA200" s="5">
        <v>104.88273</v>
      </c>
      <c r="AB200" s="3">
        <f t="shared" si="31"/>
        <v>103.27370999999999</v>
      </c>
      <c r="AF200" s="11">
        <v>590.57844999999998</v>
      </c>
      <c r="AG200" s="1">
        <v>97</v>
      </c>
      <c r="AH200" s="12">
        <v>-3.5208400000000002</v>
      </c>
      <c r="AI200" s="3">
        <f t="shared" si="32"/>
        <v>-1.6414000000000044</v>
      </c>
      <c r="AJ200" s="1">
        <f t="shared" si="28"/>
        <v>1.027951083810438</v>
      </c>
      <c r="AK200" s="11">
        <v>590.56462999999997</v>
      </c>
      <c r="AL200" s="1">
        <v>97</v>
      </c>
      <c r="AM200" s="12">
        <v>-4.5168200000000001</v>
      </c>
      <c r="AN200" s="3">
        <f t="shared" si="33"/>
        <v>-2.5512099999999975</v>
      </c>
      <c r="AO200" s="1">
        <f t="shared" si="27"/>
        <v>1.0370350566282145</v>
      </c>
      <c r="AP200" s="18">
        <v>396.29574000000002</v>
      </c>
      <c r="AQ200" s="1">
        <v>97</v>
      </c>
      <c r="AR200" s="12">
        <v>84.441559999999996</v>
      </c>
      <c r="AS200" s="3">
        <f t="shared" si="34"/>
        <v>84.995369999999994</v>
      </c>
    </row>
    <row r="201" spans="1:45" ht="16" x14ac:dyDescent="0.2">
      <c r="A201" s="2">
        <v>200.01401999999999</v>
      </c>
      <c r="B201" s="1">
        <v>97.5</v>
      </c>
      <c r="C201" s="5">
        <v>101.98352</v>
      </c>
      <c r="D201" s="3">
        <f t="shared" si="35"/>
        <v>101.86006999999999</v>
      </c>
      <c r="G201" s="4">
        <v>225.00515999999999</v>
      </c>
      <c r="H201" s="1">
        <v>97.5</v>
      </c>
      <c r="I201" s="5">
        <v>99.584019999999995</v>
      </c>
      <c r="J201" s="3">
        <f t="shared" si="36"/>
        <v>101.17440999999999</v>
      </c>
      <c r="K201" s="1">
        <f t="shared" si="29"/>
        <v>2.7212602057246483E-3</v>
      </c>
      <c r="M201" s="4">
        <v>225.0136</v>
      </c>
      <c r="N201" s="1">
        <v>97.5</v>
      </c>
      <c r="O201" s="5">
        <v>103.11562000000001</v>
      </c>
      <c r="P201" s="3">
        <f t="shared" si="37"/>
        <v>102.32323000000001</v>
      </c>
      <c r="S201" s="4">
        <v>250.00395</v>
      </c>
      <c r="T201" s="1">
        <v>97.5</v>
      </c>
      <c r="U201" s="3">
        <v>98.798230000000004</v>
      </c>
      <c r="V201" s="3">
        <f t="shared" si="30"/>
        <v>102.12192</v>
      </c>
      <c r="W201" s="1">
        <f t="shared" si="38"/>
        <v>1.4351419772714609E-4</v>
      </c>
      <c r="Y201" s="4">
        <v>250.01464000000001</v>
      </c>
      <c r="Z201" s="1">
        <v>97.5</v>
      </c>
      <c r="AA201" s="3">
        <v>104.84318</v>
      </c>
      <c r="AB201" s="3">
        <f t="shared" si="31"/>
        <v>103.23416</v>
      </c>
      <c r="AF201" s="11">
        <v>593.07541000000003</v>
      </c>
      <c r="AG201" s="1">
        <v>97.5</v>
      </c>
      <c r="AH201" s="13">
        <v>-3.5224000000000002</v>
      </c>
      <c r="AI201" s="3">
        <f t="shared" si="32"/>
        <v>-1.6429600000000022</v>
      </c>
      <c r="AJ201" s="1">
        <f t="shared" si="28"/>
        <v>1.0279666278881661</v>
      </c>
      <c r="AK201" s="11">
        <v>593.07135000000005</v>
      </c>
      <c r="AL201" s="1">
        <v>97.5</v>
      </c>
      <c r="AM201" s="13">
        <v>-4.5083500000000001</v>
      </c>
      <c r="AN201" s="3">
        <f t="shared" si="33"/>
        <v>-2.5427400000000091</v>
      </c>
      <c r="AO201" s="1">
        <f t="shared" si="27"/>
        <v>1.0369505988796548</v>
      </c>
      <c r="AP201" s="18">
        <v>397.79879</v>
      </c>
      <c r="AQ201" s="1">
        <v>97.5</v>
      </c>
      <c r="AR201" s="13">
        <v>83.586219999999997</v>
      </c>
      <c r="AS201" s="3">
        <f t="shared" si="34"/>
        <v>84.140029999999996</v>
      </c>
    </row>
    <row r="202" spans="1:45" ht="16" x14ac:dyDescent="0.2">
      <c r="A202" s="2">
        <v>200.01531</v>
      </c>
      <c r="B202" s="1">
        <v>98</v>
      </c>
      <c r="C202" s="3">
        <v>102.10942</v>
      </c>
      <c r="D202" s="3">
        <f t="shared" si="35"/>
        <v>101.98596999999999</v>
      </c>
      <c r="G202" s="4">
        <v>225.00398000000001</v>
      </c>
      <c r="H202" s="1">
        <v>98</v>
      </c>
      <c r="I202" s="3">
        <v>99.598079999999996</v>
      </c>
      <c r="J202" s="3">
        <f t="shared" si="36"/>
        <v>101.18847</v>
      </c>
      <c r="K202" s="1">
        <f t="shared" si="29"/>
        <v>2.5810589653710784E-3</v>
      </c>
      <c r="M202" s="4">
        <v>225.01275999999999</v>
      </c>
      <c r="N202" s="1">
        <v>98</v>
      </c>
      <c r="O202" s="3">
        <v>103.12293</v>
      </c>
      <c r="P202" s="3">
        <f t="shared" si="37"/>
        <v>102.33054</v>
      </c>
      <c r="S202" s="4">
        <v>250.00102999999999</v>
      </c>
      <c r="T202" s="1">
        <v>98</v>
      </c>
      <c r="U202" s="5">
        <v>98.798410000000004</v>
      </c>
      <c r="V202" s="3">
        <f t="shared" si="30"/>
        <v>102.1221</v>
      </c>
      <c r="W202" s="1">
        <f t="shared" si="38"/>
        <v>1.4173141266220909E-4</v>
      </c>
      <c r="Y202" s="4">
        <v>250.01338000000001</v>
      </c>
      <c r="Z202" s="1">
        <v>98</v>
      </c>
      <c r="AA202" s="5">
        <v>104.87503</v>
      </c>
      <c r="AB202" s="3">
        <f t="shared" si="31"/>
        <v>103.26600999999999</v>
      </c>
      <c r="AF202" s="11">
        <v>595.58284000000003</v>
      </c>
      <c r="AG202" s="1">
        <v>98</v>
      </c>
      <c r="AH202" s="12">
        <v>-3.5431900000000001</v>
      </c>
      <c r="AI202" s="3">
        <f t="shared" si="32"/>
        <v>-1.6637499999999932</v>
      </c>
      <c r="AJ202" s="1">
        <f t="shared" si="28"/>
        <v>1.0281737826163515</v>
      </c>
      <c r="AK202" s="11">
        <v>595.57268999999997</v>
      </c>
      <c r="AL202" s="1">
        <v>98</v>
      </c>
      <c r="AM202" s="12">
        <v>-4.5870100000000003</v>
      </c>
      <c r="AN202" s="3">
        <f t="shared" si="33"/>
        <v>-2.6214000000000084</v>
      </c>
      <c r="AO202" s="1">
        <f t="shared" si="27"/>
        <v>1.0377349491159833</v>
      </c>
      <c r="AP202" s="18">
        <v>399.28606000000002</v>
      </c>
      <c r="AQ202" s="1">
        <v>98</v>
      </c>
      <c r="AR202" s="12">
        <v>82.547120000000007</v>
      </c>
      <c r="AS202" s="3">
        <f t="shared" si="34"/>
        <v>83.100930000000005</v>
      </c>
    </row>
    <row r="203" spans="1:45" ht="16" x14ac:dyDescent="0.2">
      <c r="A203" s="2">
        <v>200.0172</v>
      </c>
      <c r="B203" s="1">
        <v>98.5</v>
      </c>
      <c r="C203" s="5">
        <v>102.09307</v>
      </c>
      <c r="D203" s="3">
        <f t="shared" si="35"/>
        <v>101.96961999999999</v>
      </c>
      <c r="G203" s="4">
        <v>225.00486000000001</v>
      </c>
      <c r="H203" s="1">
        <v>98.5</v>
      </c>
      <c r="I203" s="5">
        <v>99.60248</v>
      </c>
      <c r="J203" s="3">
        <f t="shared" si="36"/>
        <v>101.19287</v>
      </c>
      <c r="K203" s="1">
        <f t="shared" si="29"/>
        <v>2.5371837550185721E-3</v>
      </c>
      <c r="M203" s="4">
        <v>225.01080999999999</v>
      </c>
      <c r="N203" s="1">
        <v>98.5</v>
      </c>
      <c r="O203" s="5">
        <v>103.00888999999999</v>
      </c>
      <c r="P203" s="3">
        <f t="shared" si="37"/>
        <v>102.2165</v>
      </c>
      <c r="S203" s="4">
        <v>250.00403</v>
      </c>
      <c r="T203" s="1">
        <v>98.5</v>
      </c>
      <c r="U203" s="3">
        <v>98.794120000000007</v>
      </c>
      <c r="V203" s="3">
        <f t="shared" si="30"/>
        <v>102.11781000000001</v>
      </c>
      <c r="W203" s="1">
        <f t="shared" si="38"/>
        <v>1.8422112337644682E-4</v>
      </c>
      <c r="Y203" s="4">
        <v>250.01119</v>
      </c>
      <c r="Z203" s="1">
        <v>98.5</v>
      </c>
      <c r="AA203" s="3">
        <v>104.84249</v>
      </c>
      <c r="AB203" s="3">
        <f t="shared" si="31"/>
        <v>103.23347</v>
      </c>
      <c r="AF203" s="11">
        <v>598.07845999999995</v>
      </c>
      <c r="AG203" s="1">
        <v>98.5</v>
      </c>
      <c r="AH203" s="13">
        <v>-3.5686399999999998</v>
      </c>
      <c r="AI203" s="3">
        <f t="shared" si="32"/>
        <v>-1.6891999999999996</v>
      </c>
      <c r="AJ203" s="1">
        <f t="shared" si="28"/>
        <v>1.0284273702946738</v>
      </c>
      <c r="AK203" s="11">
        <v>598.07146</v>
      </c>
      <c r="AL203" s="1">
        <v>98.5</v>
      </c>
      <c r="AM203" s="13">
        <v>-4.53986</v>
      </c>
      <c r="AN203" s="3">
        <f t="shared" si="33"/>
        <v>-2.5742500000000064</v>
      </c>
      <c r="AO203" s="1">
        <f t="shared" si="27"/>
        <v>1.037264797658535</v>
      </c>
      <c r="AP203" s="18">
        <v>400.79969999999997</v>
      </c>
      <c r="AQ203" s="1">
        <v>98.5</v>
      </c>
      <c r="AR203" s="13">
        <v>82.096100000000007</v>
      </c>
      <c r="AS203" s="3">
        <f t="shared" si="34"/>
        <v>82.649910000000006</v>
      </c>
    </row>
    <row r="204" spans="1:45" ht="16" x14ac:dyDescent="0.2">
      <c r="A204" s="2">
        <v>200.01876999999999</v>
      </c>
      <c r="B204" s="1">
        <v>99</v>
      </c>
      <c r="C204" s="3">
        <v>101.96832000000001</v>
      </c>
      <c r="D204" s="3">
        <f t="shared" si="35"/>
        <v>101.84487</v>
      </c>
      <c r="G204" s="4">
        <v>225.00406000000001</v>
      </c>
      <c r="H204" s="1">
        <v>99</v>
      </c>
      <c r="I204" s="3">
        <v>99.585220000000007</v>
      </c>
      <c r="J204" s="3">
        <f t="shared" si="36"/>
        <v>101.17561000000001</v>
      </c>
      <c r="K204" s="1">
        <f t="shared" si="29"/>
        <v>2.7092942392647709E-3</v>
      </c>
      <c r="M204" s="4">
        <v>225.01214999999999</v>
      </c>
      <c r="N204" s="1">
        <v>99</v>
      </c>
      <c r="O204" s="3">
        <v>103.0949</v>
      </c>
      <c r="P204" s="3">
        <f t="shared" si="37"/>
        <v>102.30251</v>
      </c>
      <c r="S204" s="4">
        <v>250.00505000000001</v>
      </c>
      <c r="T204" s="1">
        <v>99</v>
      </c>
      <c r="U204" s="5">
        <v>98.796490000000006</v>
      </c>
      <c r="V204" s="3">
        <f t="shared" si="30"/>
        <v>102.12018</v>
      </c>
      <c r="W204" s="1">
        <f t="shared" si="38"/>
        <v>1.6074778668815671E-4</v>
      </c>
      <c r="Y204" s="4">
        <v>250.01169999999999</v>
      </c>
      <c r="Z204" s="1">
        <v>99</v>
      </c>
      <c r="AA204" s="5">
        <v>104.93028</v>
      </c>
      <c r="AB204" s="3">
        <f t="shared" si="31"/>
        <v>103.32126</v>
      </c>
      <c r="AF204" s="11">
        <v>600.57915000000003</v>
      </c>
      <c r="AG204" s="1">
        <v>99</v>
      </c>
      <c r="AH204" s="12">
        <v>-3.5979000000000001</v>
      </c>
      <c r="AI204" s="3">
        <f t="shared" si="32"/>
        <v>-1.7184599999999932</v>
      </c>
      <c r="AJ204" s="1">
        <f t="shared" si="28"/>
        <v>1.0287189213936014</v>
      </c>
      <c r="AK204" s="11">
        <v>600.57937000000004</v>
      </c>
      <c r="AL204" s="1">
        <v>99</v>
      </c>
      <c r="AM204" s="12">
        <v>-4.6042100000000001</v>
      </c>
      <c r="AN204" s="3">
        <f t="shared" si="33"/>
        <v>-2.6385999999999967</v>
      </c>
      <c r="AO204" s="1">
        <f t="shared" si="27"/>
        <v>1.0379064571768126</v>
      </c>
      <c r="AP204" s="18">
        <v>402.29196999999999</v>
      </c>
      <c r="AQ204" s="1">
        <v>99</v>
      </c>
      <c r="AR204" s="12">
        <v>81.10763</v>
      </c>
      <c r="AS204" s="3">
        <f t="shared" si="34"/>
        <v>81.661439999999999</v>
      </c>
    </row>
    <row r="205" spans="1:45" ht="16" x14ac:dyDescent="0.2">
      <c r="A205" s="2">
        <v>200.02198000000001</v>
      </c>
      <c r="B205" s="1">
        <v>99.5</v>
      </c>
      <c r="C205" s="5">
        <v>102.06185000000001</v>
      </c>
      <c r="D205" s="3">
        <f t="shared" si="35"/>
        <v>101.9384</v>
      </c>
      <c r="G205" s="4">
        <v>225.00702000000001</v>
      </c>
      <c r="H205" s="1">
        <v>99.5</v>
      </c>
      <c r="I205" s="5">
        <v>99.598410000000001</v>
      </c>
      <c r="J205" s="3">
        <f t="shared" si="36"/>
        <v>101.1888</v>
      </c>
      <c r="K205" s="1">
        <f t="shared" si="29"/>
        <v>2.5777683245945906E-3</v>
      </c>
      <c r="M205" s="4">
        <v>225.01651000000001</v>
      </c>
      <c r="N205" s="1">
        <v>99.5</v>
      </c>
      <c r="O205" s="5">
        <v>103.02182000000001</v>
      </c>
      <c r="P205" s="3">
        <f t="shared" si="37"/>
        <v>102.22943000000001</v>
      </c>
      <c r="S205" s="4">
        <v>250.00597999999999</v>
      </c>
      <c r="T205" s="1">
        <v>99.5</v>
      </c>
      <c r="U205" s="3">
        <v>98.802329999999998</v>
      </c>
      <c r="V205" s="3">
        <f t="shared" si="30"/>
        <v>102.12602</v>
      </c>
      <c r="W205" s="1">
        <f t="shared" si="38"/>
        <v>1.0290631569259534E-4</v>
      </c>
      <c r="Y205" s="4">
        <v>250.01533000000001</v>
      </c>
      <c r="Z205" s="1">
        <v>99.5</v>
      </c>
      <c r="AA205" s="3">
        <v>104.90279</v>
      </c>
      <c r="AB205" s="3">
        <f t="shared" si="31"/>
        <v>103.29376999999999</v>
      </c>
      <c r="AF205" s="11">
        <v>603.08392000000003</v>
      </c>
      <c r="AG205" s="1">
        <v>99.5</v>
      </c>
      <c r="AH205" s="13">
        <v>-3.58189</v>
      </c>
      <c r="AI205" s="3">
        <f t="shared" si="32"/>
        <v>-1.7024499999999989</v>
      </c>
      <c r="AJ205" s="1">
        <f t="shared" si="28"/>
        <v>1.0285593953138397</v>
      </c>
      <c r="AK205" s="11">
        <v>603.08601999999996</v>
      </c>
      <c r="AL205" s="1">
        <v>99.5</v>
      </c>
      <c r="AM205" s="13">
        <v>-4.5673899999999996</v>
      </c>
      <c r="AN205" s="3">
        <f t="shared" si="33"/>
        <v>-2.6017800000000051</v>
      </c>
      <c r="AO205" s="1">
        <f t="shared" si="27"/>
        <v>1.0375393102698509</v>
      </c>
      <c r="AP205" s="18">
        <v>403.79118</v>
      </c>
      <c r="AQ205" s="1">
        <v>99.5</v>
      </c>
      <c r="AR205" s="13">
        <v>80.105149999999995</v>
      </c>
      <c r="AS205" s="3">
        <f t="shared" si="34"/>
        <v>80.658959999999993</v>
      </c>
    </row>
    <row r="206" spans="1:45" ht="16" x14ac:dyDescent="0.2">
      <c r="A206" s="2">
        <v>200.02288999999999</v>
      </c>
      <c r="B206" s="1">
        <v>100</v>
      </c>
      <c r="C206" s="3">
        <v>101.91176</v>
      </c>
      <c r="D206" s="3">
        <f t="shared" si="35"/>
        <v>101.78831</v>
      </c>
      <c r="G206" s="4">
        <v>225.00806</v>
      </c>
      <c r="H206" s="1">
        <v>100</v>
      </c>
      <c r="I206" s="3">
        <v>99.589290000000005</v>
      </c>
      <c r="J206" s="3">
        <f t="shared" si="36"/>
        <v>101.17968</v>
      </c>
      <c r="K206" s="1">
        <f t="shared" si="29"/>
        <v>2.6687096696887524E-3</v>
      </c>
      <c r="M206" s="4">
        <v>225.01902999999999</v>
      </c>
      <c r="N206" s="1">
        <v>100</v>
      </c>
      <c r="O206" s="3">
        <v>103.03273</v>
      </c>
      <c r="P206" s="3">
        <f t="shared" si="37"/>
        <v>102.24034</v>
      </c>
      <c r="S206" s="4">
        <v>250.00606999999999</v>
      </c>
      <c r="T206" s="1">
        <v>100</v>
      </c>
      <c r="U206" s="5">
        <v>98.773579999999995</v>
      </c>
      <c r="V206" s="3">
        <f t="shared" si="30"/>
        <v>102.09726999999999</v>
      </c>
      <c r="W206" s="1">
        <f t="shared" si="38"/>
        <v>3.8765670800848203E-4</v>
      </c>
      <c r="Y206" s="4">
        <v>250.01832999999999</v>
      </c>
      <c r="Z206" s="1">
        <v>100</v>
      </c>
      <c r="AA206" s="5">
        <v>104.78125</v>
      </c>
      <c r="AB206" s="3">
        <f t="shared" si="31"/>
        <v>103.17223</v>
      </c>
      <c r="AF206" s="11">
        <v>605.58596999999997</v>
      </c>
      <c r="AG206" s="1">
        <v>100</v>
      </c>
      <c r="AH206" s="12">
        <v>-3.6008100000000001</v>
      </c>
      <c r="AI206" s="3">
        <f t="shared" si="32"/>
        <v>-1.7213699999999932</v>
      </c>
      <c r="AJ206" s="1">
        <f t="shared" si="28"/>
        <v>1.0287479170770559</v>
      </c>
      <c r="AK206" s="11">
        <v>605.58528999999999</v>
      </c>
      <c r="AL206" s="1">
        <v>100</v>
      </c>
      <c r="AM206" s="12">
        <v>-4.6219200000000003</v>
      </c>
      <c r="AN206" s="3">
        <f t="shared" si="33"/>
        <v>-2.6563100000000048</v>
      </c>
      <c r="AO206" s="1">
        <f t="shared" si="27"/>
        <v>1.0380830506510736</v>
      </c>
      <c r="AP206" s="18">
        <v>405.30300999999997</v>
      </c>
      <c r="AQ206" s="1">
        <v>100</v>
      </c>
      <c r="AR206" s="12">
        <v>79.326149999999998</v>
      </c>
      <c r="AS206" s="3">
        <f t="shared" si="34"/>
        <v>79.879959999999997</v>
      </c>
    </row>
    <row r="207" spans="1:45" ht="16" x14ac:dyDescent="0.2">
      <c r="A207" s="2">
        <v>200.02342999999999</v>
      </c>
      <c r="B207" s="1">
        <v>100.5</v>
      </c>
      <c r="C207" s="5">
        <v>102.04131</v>
      </c>
      <c r="D207" s="3">
        <f t="shared" si="35"/>
        <v>101.91785999999999</v>
      </c>
      <c r="G207" s="4">
        <v>225.00778</v>
      </c>
      <c r="H207" s="1">
        <v>100.5</v>
      </c>
      <c r="I207" s="5">
        <v>99.626339999999999</v>
      </c>
      <c r="J207" s="3">
        <f t="shared" si="36"/>
        <v>101.21673</v>
      </c>
      <c r="K207" s="1">
        <f t="shared" si="29"/>
        <v>2.2992604552436145E-3</v>
      </c>
      <c r="M207" s="4">
        <v>225.02494999999999</v>
      </c>
      <c r="N207" s="1">
        <v>100.5</v>
      </c>
      <c r="O207" s="5">
        <v>103.04728</v>
      </c>
      <c r="P207" s="3">
        <f t="shared" si="37"/>
        <v>102.25489</v>
      </c>
      <c r="S207" s="4">
        <v>250.00693999999999</v>
      </c>
      <c r="T207" s="1">
        <v>100.5</v>
      </c>
      <c r="U207" s="3">
        <v>98.784049999999993</v>
      </c>
      <c r="V207" s="3">
        <f t="shared" si="30"/>
        <v>102.10773999999999</v>
      </c>
      <c r="W207" s="1">
        <f t="shared" si="38"/>
        <v>2.839580433981682E-4</v>
      </c>
      <c r="Y207" s="4">
        <v>250.02275</v>
      </c>
      <c r="Z207" s="1">
        <v>100.5</v>
      </c>
      <c r="AA207" s="3">
        <v>104.96322000000001</v>
      </c>
      <c r="AB207" s="3">
        <f t="shared" si="31"/>
        <v>103.35420000000001</v>
      </c>
      <c r="AF207" s="11">
        <v>608.09160999999995</v>
      </c>
      <c r="AG207" s="1">
        <v>100.5</v>
      </c>
      <c r="AH207" s="13">
        <v>-3.6203799999999999</v>
      </c>
      <c r="AI207" s="3">
        <f t="shared" si="32"/>
        <v>-1.7409399999999948</v>
      </c>
      <c r="AJ207" s="1">
        <f t="shared" si="28"/>
        <v>1.0289429155393257</v>
      </c>
      <c r="AK207" s="11">
        <v>608.09232999999995</v>
      </c>
      <c r="AL207" s="1">
        <v>100.5</v>
      </c>
      <c r="AM207" s="13">
        <v>-4.6200200000000002</v>
      </c>
      <c r="AN207" s="3">
        <f t="shared" si="33"/>
        <v>-2.6544099999999986</v>
      </c>
      <c r="AO207" s="1">
        <f t="shared" si="27"/>
        <v>1.0380641049931913</v>
      </c>
      <c r="AP207" s="18">
        <v>406.79694000000001</v>
      </c>
      <c r="AQ207" s="1">
        <v>100.5</v>
      </c>
      <c r="AR207" s="13">
        <v>78.236609999999999</v>
      </c>
      <c r="AS207" s="3">
        <f t="shared" si="34"/>
        <v>78.790419999999997</v>
      </c>
    </row>
    <row r="208" spans="1:45" ht="16" x14ac:dyDescent="0.2">
      <c r="A208" s="2">
        <v>200.02269999999999</v>
      </c>
      <c r="B208" s="1">
        <v>101</v>
      </c>
      <c r="C208" s="3">
        <v>101.98969</v>
      </c>
      <c r="D208" s="3">
        <f t="shared" si="35"/>
        <v>101.86623999999999</v>
      </c>
      <c r="G208" s="4">
        <v>225.00900999999999</v>
      </c>
      <c r="H208" s="1">
        <v>101</v>
      </c>
      <c r="I208" s="3">
        <v>99.595200000000006</v>
      </c>
      <c r="J208" s="3">
        <f t="shared" si="36"/>
        <v>101.18559</v>
      </c>
      <c r="K208" s="1">
        <f t="shared" si="29"/>
        <v>2.6097772848744159E-3</v>
      </c>
      <c r="M208" s="4">
        <v>225.02805000000001</v>
      </c>
      <c r="N208" s="1">
        <v>101</v>
      </c>
      <c r="O208" s="3">
        <v>103.11835000000001</v>
      </c>
      <c r="P208" s="3">
        <f t="shared" si="37"/>
        <v>102.32596000000001</v>
      </c>
      <c r="S208" s="4">
        <v>250.00297</v>
      </c>
      <c r="T208" s="1">
        <v>101</v>
      </c>
      <c r="U208" s="5">
        <v>98.77525</v>
      </c>
      <c r="V208" s="3">
        <f t="shared" si="30"/>
        <v>102.09894</v>
      </c>
      <c r="W208" s="1">
        <f t="shared" si="38"/>
        <v>3.7111642435043988E-4</v>
      </c>
      <c r="Y208" s="4">
        <v>250.02424999999999</v>
      </c>
      <c r="Z208" s="1">
        <v>101</v>
      </c>
      <c r="AA208" s="5">
        <v>104.84395000000001</v>
      </c>
      <c r="AB208" s="3">
        <f t="shared" si="31"/>
        <v>103.23493000000001</v>
      </c>
      <c r="AF208" s="11">
        <v>610.59475999999995</v>
      </c>
      <c r="AG208" s="1">
        <v>101</v>
      </c>
      <c r="AH208" s="12">
        <v>-3.64818</v>
      </c>
      <c r="AI208" s="3">
        <f t="shared" si="32"/>
        <v>-1.768739999999994</v>
      </c>
      <c r="AJ208" s="1">
        <f t="shared" si="28"/>
        <v>1.029219918975764</v>
      </c>
      <c r="AK208" s="11">
        <v>610.58947000000001</v>
      </c>
      <c r="AL208" s="1">
        <v>101</v>
      </c>
      <c r="AM208" s="12">
        <v>-4.6842300000000003</v>
      </c>
      <c r="AN208" s="3">
        <f t="shared" si="33"/>
        <v>-2.7186200000000014</v>
      </c>
      <c r="AO208" s="1">
        <f t="shared" si="27"/>
        <v>1.0387043685156252</v>
      </c>
      <c r="AP208" s="18">
        <v>408.30669</v>
      </c>
      <c r="AQ208" s="1">
        <v>101</v>
      </c>
      <c r="AR208" s="12">
        <v>77.410870000000003</v>
      </c>
      <c r="AS208" s="3">
        <f t="shared" si="34"/>
        <v>77.964680000000001</v>
      </c>
    </row>
    <row r="209" spans="1:45" ht="16" x14ac:dyDescent="0.2">
      <c r="A209" s="2">
        <v>200.02418</v>
      </c>
      <c r="B209" s="1">
        <v>101.5</v>
      </c>
      <c r="C209" s="5">
        <v>101.94517999999999</v>
      </c>
      <c r="D209" s="3">
        <f t="shared" si="35"/>
        <v>101.82172999999999</v>
      </c>
      <c r="G209" s="4">
        <v>225.01101</v>
      </c>
      <c r="H209" s="1">
        <v>101.5</v>
      </c>
      <c r="I209" s="5">
        <v>99.59308</v>
      </c>
      <c r="J209" s="3">
        <f t="shared" si="36"/>
        <v>101.18347</v>
      </c>
      <c r="K209" s="1">
        <f t="shared" si="29"/>
        <v>2.6309171589533813E-3</v>
      </c>
      <c r="M209" s="4">
        <v>225.02690999999999</v>
      </c>
      <c r="N209" s="1">
        <v>101.5</v>
      </c>
      <c r="O209" s="5">
        <v>103.08351999999999</v>
      </c>
      <c r="P209" s="3">
        <f t="shared" si="37"/>
        <v>102.29113</v>
      </c>
      <c r="S209" s="4">
        <v>250.00190000000001</v>
      </c>
      <c r="T209" s="1">
        <v>101.5</v>
      </c>
      <c r="U209" s="3">
        <v>98.777709999999999</v>
      </c>
      <c r="V209" s="3">
        <f t="shared" si="30"/>
        <v>102.1014</v>
      </c>
      <c r="W209" s="1">
        <f t="shared" si="38"/>
        <v>3.4675169512968126E-4</v>
      </c>
      <c r="Y209" s="4">
        <v>250.02585999999999</v>
      </c>
      <c r="Z209" s="1">
        <v>101.5</v>
      </c>
      <c r="AA209" s="3">
        <v>104.88037</v>
      </c>
      <c r="AB209" s="3">
        <f t="shared" si="31"/>
        <v>103.27135</v>
      </c>
      <c r="AF209" s="11">
        <v>613.10191999999995</v>
      </c>
      <c r="AG209" s="1">
        <v>101.5</v>
      </c>
      <c r="AH209" s="13">
        <v>-3.70404</v>
      </c>
      <c r="AI209" s="3">
        <f t="shared" si="32"/>
        <v>-1.8246000000000038</v>
      </c>
      <c r="AJ209" s="1">
        <f t="shared" si="28"/>
        <v>1.0297765165282624</v>
      </c>
      <c r="AK209" s="11">
        <v>613.09221000000002</v>
      </c>
      <c r="AL209" s="1">
        <v>101.5</v>
      </c>
      <c r="AM209" s="13">
        <v>-4.66221</v>
      </c>
      <c r="AN209" s="3">
        <f t="shared" si="33"/>
        <v>-2.6966000000000037</v>
      </c>
      <c r="AO209" s="1">
        <f t="shared" si="27"/>
        <v>1.0384847983121679</v>
      </c>
      <c r="AP209" s="18">
        <v>409.80966999999998</v>
      </c>
      <c r="AQ209" s="1">
        <v>101.5</v>
      </c>
      <c r="AR209" s="13">
        <v>76.377570000000006</v>
      </c>
      <c r="AS209" s="3">
        <f t="shared" si="34"/>
        <v>76.931380000000004</v>
      </c>
    </row>
    <row r="210" spans="1:45" ht="16" x14ac:dyDescent="0.2">
      <c r="A210" s="2">
        <v>200.02540999999999</v>
      </c>
      <c r="B210" s="1">
        <v>102</v>
      </c>
      <c r="C210" s="3">
        <v>102.13296</v>
      </c>
      <c r="D210" s="3">
        <f t="shared" si="35"/>
        <v>102.00950999999999</v>
      </c>
      <c r="G210" s="4">
        <v>225.00995</v>
      </c>
      <c r="H210" s="1">
        <v>102</v>
      </c>
      <c r="I210" s="3">
        <v>99.585359999999994</v>
      </c>
      <c r="J210" s="3">
        <f t="shared" si="36"/>
        <v>101.17574999999999</v>
      </c>
      <c r="K210" s="1">
        <f t="shared" si="29"/>
        <v>2.707898209844589E-3</v>
      </c>
      <c r="M210" s="4">
        <v>225.02676</v>
      </c>
      <c r="N210" s="1">
        <v>102</v>
      </c>
      <c r="O210" s="3">
        <v>103.14565</v>
      </c>
      <c r="P210" s="3">
        <f t="shared" si="37"/>
        <v>102.35326000000001</v>
      </c>
      <c r="S210" s="4">
        <v>250.00310999999999</v>
      </c>
      <c r="T210" s="1">
        <v>102</v>
      </c>
      <c r="U210" s="5">
        <v>98.785939999999997</v>
      </c>
      <c r="V210" s="3">
        <f t="shared" si="30"/>
        <v>102.10963</v>
      </c>
      <c r="W210" s="1">
        <f t="shared" si="38"/>
        <v>2.6523880021632983E-4</v>
      </c>
      <c r="Y210" s="4">
        <v>250.02321000000001</v>
      </c>
      <c r="Z210" s="1">
        <v>102</v>
      </c>
      <c r="AA210" s="5">
        <v>104.95738</v>
      </c>
      <c r="AB210" s="3">
        <f t="shared" si="31"/>
        <v>103.34836</v>
      </c>
      <c r="AF210" s="11">
        <v>615.60020999999995</v>
      </c>
      <c r="AG210" s="1">
        <v>102</v>
      </c>
      <c r="AH210" s="12">
        <v>-3.6581800000000002</v>
      </c>
      <c r="AI210" s="3">
        <f t="shared" si="32"/>
        <v>-1.7787399999999991</v>
      </c>
      <c r="AJ210" s="1">
        <f t="shared" si="28"/>
        <v>1.0293195604996628</v>
      </c>
      <c r="AK210" s="11">
        <v>615.60095999999999</v>
      </c>
      <c r="AL210" s="1">
        <v>102</v>
      </c>
      <c r="AM210" s="12">
        <v>-4.6837900000000001</v>
      </c>
      <c r="AN210" s="3">
        <f t="shared" si="33"/>
        <v>-2.7181800000000038</v>
      </c>
      <c r="AO210" s="1">
        <f t="shared" si="27"/>
        <v>1.0386999811001156</v>
      </c>
      <c r="AP210" s="18">
        <v>411.30694</v>
      </c>
      <c r="AQ210" s="1">
        <v>102</v>
      </c>
      <c r="AR210" s="12">
        <v>75.238560000000007</v>
      </c>
      <c r="AS210" s="3">
        <f t="shared" si="34"/>
        <v>75.792370000000005</v>
      </c>
    </row>
    <row r="211" spans="1:45" ht="16" x14ac:dyDescent="0.2">
      <c r="A211" s="2">
        <v>200.02784</v>
      </c>
      <c r="B211" s="1">
        <v>102.5</v>
      </c>
      <c r="C211" s="5">
        <v>102.07029</v>
      </c>
      <c r="D211" s="3">
        <f t="shared" si="35"/>
        <v>101.94683999999999</v>
      </c>
      <c r="G211" s="4">
        <v>225.01093</v>
      </c>
      <c r="H211" s="1">
        <v>102.5</v>
      </c>
      <c r="I211" s="5">
        <v>99.599100000000007</v>
      </c>
      <c r="J211" s="3">
        <f t="shared" si="36"/>
        <v>101.18949000000001</v>
      </c>
      <c r="K211" s="1">
        <f t="shared" si="29"/>
        <v>2.5708878938801682E-3</v>
      </c>
      <c r="M211" s="4">
        <v>225.02777</v>
      </c>
      <c r="N211" s="1">
        <v>102.5</v>
      </c>
      <c r="O211" s="5">
        <v>103.13988999999999</v>
      </c>
      <c r="P211" s="3">
        <f t="shared" si="37"/>
        <v>102.3475</v>
      </c>
      <c r="S211" s="4">
        <v>250.00692000000001</v>
      </c>
      <c r="T211" s="1">
        <v>102.5</v>
      </c>
      <c r="U211" s="3">
        <v>98.773430000000005</v>
      </c>
      <c r="V211" s="3">
        <f t="shared" si="30"/>
        <v>102.09712</v>
      </c>
      <c r="W211" s="1">
        <f t="shared" si="38"/>
        <v>3.89142362229169E-4</v>
      </c>
      <c r="Y211" s="4">
        <v>250.02690000000001</v>
      </c>
      <c r="Z211" s="1">
        <v>102.5</v>
      </c>
      <c r="AA211" s="3">
        <v>104.94556</v>
      </c>
      <c r="AB211" s="3">
        <f t="shared" si="31"/>
        <v>103.33654</v>
      </c>
      <c r="AF211" s="11">
        <v>618.10005000000001</v>
      </c>
      <c r="AG211" s="1">
        <v>102.5</v>
      </c>
      <c r="AH211" s="13">
        <v>-3.6158199999999998</v>
      </c>
      <c r="AI211" s="3">
        <f t="shared" si="32"/>
        <v>-1.7363799999999969</v>
      </c>
      <c r="AJ211" s="1">
        <f t="shared" si="28"/>
        <v>1.0288974790044279</v>
      </c>
      <c r="AK211" s="11">
        <v>618.10555999999997</v>
      </c>
      <c r="AL211" s="1">
        <v>102.5</v>
      </c>
      <c r="AM211" s="13">
        <v>-4.6390500000000001</v>
      </c>
      <c r="AN211" s="3">
        <f t="shared" si="33"/>
        <v>-2.6734399999999994</v>
      </c>
      <c r="AO211" s="1">
        <f t="shared" si="27"/>
        <v>1.0382538607139813</v>
      </c>
      <c r="AP211" s="18">
        <v>412.81187</v>
      </c>
      <c r="AQ211" s="1">
        <v>102.5</v>
      </c>
      <c r="AR211" s="13">
        <v>74.209370000000007</v>
      </c>
      <c r="AS211" s="3">
        <f t="shared" si="34"/>
        <v>74.763180000000006</v>
      </c>
    </row>
    <row r="212" spans="1:45" ht="16" x14ac:dyDescent="0.2">
      <c r="A212" s="2">
        <v>200.02695</v>
      </c>
      <c r="B212" s="1">
        <v>103</v>
      </c>
      <c r="C212" s="3">
        <v>102.26964</v>
      </c>
      <c r="D212" s="3">
        <f t="shared" si="35"/>
        <v>102.14618999999999</v>
      </c>
      <c r="G212" s="4">
        <v>225.01091</v>
      </c>
      <c r="H212" s="1">
        <v>103</v>
      </c>
      <c r="I212" s="3">
        <v>99.583380000000005</v>
      </c>
      <c r="J212" s="3">
        <f t="shared" si="36"/>
        <v>101.17377</v>
      </c>
      <c r="K212" s="1">
        <f t="shared" si="29"/>
        <v>2.7276420545030893E-3</v>
      </c>
      <c r="M212" s="4">
        <v>225.02493000000001</v>
      </c>
      <c r="N212" s="1">
        <v>103</v>
      </c>
      <c r="O212" s="3">
        <v>103.14251</v>
      </c>
      <c r="P212" s="3">
        <f t="shared" si="37"/>
        <v>102.35012</v>
      </c>
      <c r="S212" s="4">
        <v>250.00792999999999</v>
      </c>
      <c r="T212" s="1">
        <v>103</v>
      </c>
      <c r="U212" s="5">
        <v>98.777389999999997</v>
      </c>
      <c r="V212" s="3">
        <f t="shared" si="30"/>
        <v>102.10108</v>
      </c>
      <c r="W212" s="1">
        <f t="shared" si="38"/>
        <v>3.4992109080069601E-4</v>
      </c>
      <c r="Y212" s="4">
        <v>250.02422000000001</v>
      </c>
      <c r="Z212" s="1">
        <v>103</v>
      </c>
      <c r="AA212" s="5">
        <v>104.9588</v>
      </c>
      <c r="AB212" s="3">
        <f t="shared" si="31"/>
        <v>103.34978</v>
      </c>
      <c r="AF212" s="11">
        <v>620.59815000000003</v>
      </c>
      <c r="AG212" s="1">
        <v>103</v>
      </c>
      <c r="AH212" s="12">
        <v>-3.6682700000000001</v>
      </c>
      <c r="AI212" s="3">
        <f t="shared" si="32"/>
        <v>-1.7888300000000044</v>
      </c>
      <c r="AJ212" s="1">
        <f t="shared" si="28"/>
        <v>1.0294200987972768</v>
      </c>
      <c r="AK212" s="11">
        <v>620.60200999999995</v>
      </c>
      <c r="AL212" s="1">
        <v>103</v>
      </c>
      <c r="AM212" s="12">
        <v>-4.70329</v>
      </c>
      <c r="AN212" s="3">
        <f t="shared" si="33"/>
        <v>-2.7376799999999974</v>
      </c>
      <c r="AO212" s="1">
        <f t="shared" si="27"/>
        <v>1.0388944233783814</v>
      </c>
      <c r="AP212" s="18">
        <v>414.30930999999998</v>
      </c>
      <c r="AQ212" s="1">
        <v>103</v>
      </c>
      <c r="AR212" s="12">
        <v>72.983379999999997</v>
      </c>
      <c r="AS212" s="3">
        <f t="shared" si="34"/>
        <v>73.537189999999995</v>
      </c>
    </row>
    <row r="213" spans="1:45" ht="16" x14ac:dyDescent="0.2">
      <c r="A213" s="2">
        <v>200.02831</v>
      </c>
      <c r="B213" s="1">
        <v>103.5</v>
      </c>
      <c r="C213" s="5">
        <v>101.92364999999999</v>
      </c>
      <c r="D213" s="3">
        <f t="shared" si="35"/>
        <v>101.80019999999999</v>
      </c>
      <c r="G213" s="4">
        <v>225.01007000000001</v>
      </c>
      <c r="H213" s="1">
        <v>103.5</v>
      </c>
      <c r="I213" s="5">
        <v>99.595510000000004</v>
      </c>
      <c r="J213" s="3">
        <f t="shared" si="36"/>
        <v>101.1859</v>
      </c>
      <c r="K213" s="1">
        <f t="shared" si="29"/>
        <v>2.606686076872321E-3</v>
      </c>
      <c r="M213" s="4">
        <v>225.01939999999999</v>
      </c>
      <c r="N213" s="1">
        <v>103.5</v>
      </c>
      <c r="O213" s="5">
        <v>103.19269</v>
      </c>
      <c r="P213" s="3">
        <f t="shared" si="37"/>
        <v>102.4003</v>
      </c>
      <c r="S213" s="4">
        <v>250.00304</v>
      </c>
      <c r="T213" s="1">
        <v>103.5</v>
      </c>
      <c r="U213" s="3">
        <v>98.781880000000001</v>
      </c>
      <c r="V213" s="3">
        <f t="shared" si="30"/>
        <v>102.10557</v>
      </c>
      <c r="W213" s="1">
        <f t="shared" si="38"/>
        <v>3.0545050779202129E-4</v>
      </c>
      <c r="Y213" s="4">
        <v>250.02079000000001</v>
      </c>
      <c r="Z213" s="1">
        <v>103.5</v>
      </c>
      <c r="AA213" s="3">
        <v>104.99563999999999</v>
      </c>
      <c r="AB213" s="3">
        <f t="shared" si="31"/>
        <v>103.38661999999999</v>
      </c>
      <c r="AF213" s="11">
        <v>623.10329000000002</v>
      </c>
      <c r="AG213" s="1">
        <v>103.5</v>
      </c>
      <c r="AH213" s="13">
        <v>-3.6729599999999998</v>
      </c>
      <c r="AI213" s="3">
        <f t="shared" si="32"/>
        <v>-1.7935200000000009</v>
      </c>
      <c r="AJ213" s="1">
        <f t="shared" si="28"/>
        <v>1.0294668306719852</v>
      </c>
      <c r="AK213" s="11">
        <v>623.10014000000001</v>
      </c>
      <c r="AL213" s="1">
        <v>103.5</v>
      </c>
      <c r="AM213" s="13">
        <v>-4.6906400000000001</v>
      </c>
      <c r="AN213" s="3">
        <f t="shared" si="33"/>
        <v>-2.7250300000000038</v>
      </c>
      <c r="AO213" s="1">
        <f t="shared" si="27"/>
        <v>1.0387682851824809</v>
      </c>
      <c r="AP213" s="18">
        <v>415.81963999999999</v>
      </c>
      <c r="AQ213" s="1">
        <v>103.5</v>
      </c>
      <c r="AR213" s="13">
        <v>71.957499999999996</v>
      </c>
      <c r="AS213" s="3">
        <f t="shared" si="34"/>
        <v>72.511309999999995</v>
      </c>
    </row>
    <row r="214" spans="1:45" ht="16" x14ac:dyDescent="0.2">
      <c r="A214" s="2">
        <v>200.02517</v>
      </c>
      <c r="B214" s="1">
        <v>104</v>
      </c>
      <c r="C214" s="3">
        <v>102.03313</v>
      </c>
      <c r="D214" s="3">
        <f t="shared" si="35"/>
        <v>101.90967999999999</v>
      </c>
      <c r="G214" s="4">
        <v>225.00720000000001</v>
      </c>
      <c r="H214" s="1">
        <v>104</v>
      </c>
      <c r="I214" s="3">
        <v>99.588570000000004</v>
      </c>
      <c r="J214" s="3">
        <f t="shared" si="36"/>
        <v>101.17896</v>
      </c>
      <c r="K214" s="1">
        <f t="shared" si="29"/>
        <v>2.6758892495646223E-3</v>
      </c>
      <c r="M214" s="4">
        <v>225.01365000000001</v>
      </c>
      <c r="N214" s="1">
        <v>104</v>
      </c>
      <c r="O214" s="3">
        <v>103.21127</v>
      </c>
      <c r="P214" s="3">
        <f t="shared" si="37"/>
        <v>102.41888</v>
      </c>
      <c r="S214" s="4">
        <v>250.00001</v>
      </c>
      <c r="T214" s="1">
        <v>104</v>
      </c>
      <c r="U214" s="5">
        <v>98.777860000000004</v>
      </c>
      <c r="V214" s="3">
        <f t="shared" si="30"/>
        <v>102.10155</v>
      </c>
      <c r="W214" s="1">
        <f t="shared" si="38"/>
        <v>3.4526604090885356E-4</v>
      </c>
      <c r="Y214" s="4">
        <v>250.01813000000001</v>
      </c>
      <c r="Z214" s="1">
        <v>104</v>
      </c>
      <c r="AA214" s="5">
        <v>104.98408999999999</v>
      </c>
      <c r="AB214" s="3">
        <f t="shared" si="31"/>
        <v>103.37506999999999</v>
      </c>
      <c r="AF214" s="11">
        <v>625.60675000000003</v>
      </c>
      <c r="AG214" s="1">
        <v>104</v>
      </c>
      <c r="AH214" s="12">
        <v>-3.70764</v>
      </c>
      <c r="AI214" s="3">
        <f t="shared" si="32"/>
        <v>-1.8281999999999954</v>
      </c>
      <c r="AJ214" s="1">
        <f t="shared" si="28"/>
        <v>1.0298123874768659</v>
      </c>
      <c r="AK214" s="11">
        <v>625.60153000000003</v>
      </c>
      <c r="AL214" s="1">
        <v>104</v>
      </c>
      <c r="AM214" s="12">
        <v>-4.7239800000000001</v>
      </c>
      <c r="AN214" s="3">
        <f t="shared" si="33"/>
        <v>-2.7583699999999993</v>
      </c>
      <c r="AO214" s="1">
        <f t="shared" si="27"/>
        <v>1.0391007316213212</v>
      </c>
      <c r="AP214" s="18">
        <v>417.32799</v>
      </c>
      <c r="AQ214" s="1">
        <v>104</v>
      </c>
      <c r="AR214" s="12">
        <v>70.793559999999999</v>
      </c>
      <c r="AS214" s="3">
        <f t="shared" si="34"/>
        <v>71.347369999999998</v>
      </c>
    </row>
    <row r="215" spans="1:45" ht="16" x14ac:dyDescent="0.2">
      <c r="A215" s="2">
        <v>200.02128999999999</v>
      </c>
      <c r="B215" s="1">
        <v>104.5</v>
      </c>
      <c r="C215" s="5">
        <v>102.21832000000001</v>
      </c>
      <c r="D215" s="3">
        <f t="shared" si="35"/>
        <v>102.09487</v>
      </c>
      <c r="G215" s="4">
        <v>225.00887</v>
      </c>
      <c r="H215" s="1">
        <v>104.5</v>
      </c>
      <c r="I215" s="5">
        <v>99.579499999999996</v>
      </c>
      <c r="J215" s="3">
        <f t="shared" si="36"/>
        <v>101.16989</v>
      </c>
      <c r="K215" s="1">
        <f t="shared" si="29"/>
        <v>2.7663320127230854E-3</v>
      </c>
      <c r="M215" s="4">
        <v>225.01201</v>
      </c>
      <c r="N215" s="1">
        <v>104.5</v>
      </c>
      <c r="O215" s="5">
        <v>103.14256</v>
      </c>
      <c r="P215" s="3">
        <f t="shared" si="37"/>
        <v>102.35017000000001</v>
      </c>
      <c r="S215" s="4">
        <v>250.00710000000001</v>
      </c>
      <c r="T215" s="1">
        <v>104.5</v>
      </c>
      <c r="U215" s="3">
        <v>98.789879999999997</v>
      </c>
      <c r="V215" s="3">
        <f t="shared" si="30"/>
        <v>102.11357</v>
      </c>
      <c r="W215" s="1">
        <f t="shared" si="38"/>
        <v>2.2621561601721607E-4</v>
      </c>
      <c r="Y215" s="4">
        <v>250.01256000000001</v>
      </c>
      <c r="Z215" s="1">
        <v>104.5</v>
      </c>
      <c r="AA215" s="3">
        <v>104.92402</v>
      </c>
      <c r="AB215" s="3">
        <f t="shared" si="31"/>
        <v>103.315</v>
      </c>
      <c r="AF215" s="11">
        <v>628.11591999999996</v>
      </c>
      <c r="AG215" s="1">
        <v>104.5</v>
      </c>
      <c r="AH215" s="13">
        <v>-3.6399400000000002</v>
      </c>
      <c r="AI215" s="3">
        <f t="shared" si="32"/>
        <v>-1.7604999999999933</v>
      </c>
      <c r="AJ215" s="1">
        <f t="shared" si="28"/>
        <v>1.0291378143600716</v>
      </c>
      <c r="AK215" s="11">
        <v>628.11153000000002</v>
      </c>
      <c r="AL215" s="1">
        <v>104.5</v>
      </c>
      <c r="AM215" s="13">
        <v>-4.6833</v>
      </c>
      <c r="AN215" s="3">
        <f t="shared" si="33"/>
        <v>-2.7176900000000046</v>
      </c>
      <c r="AO215" s="1">
        <f t="shared" si="27"/>
        <v>1.0386950951146618</v>
      </c>
      <c r="AP215" s="18">
        <v>418.83305000000001</v>
      </c>
      <c r="AQ215" s="1">
        <v>104.5</v>
      </c>
      <c r="AR215" s="13">
        <v>69.436890000000005</v>
      </c>
      <c r="AS215" s="3">
        <f t="shared" si="34"/>
        <v>69.990700000000004</v>
      </c>
    </row>
    <row r="216" spans="1:45" ht="16" x14ac:dyDescent="0.2">
      <c r="A216" s="2">
        <v>200.02198999999999</v>
      </c>
      <c r="B216" s="1">
        <v>105</v>
      </c>
      <c r="C216" s="3">
        <v>102.08364</v>
      </c>
      <c r="D216" s="3">
        <f t="shared" si="35"/>
        <v>101.96019</v>
      </c>
      <c r="G216" s="4">
        <v>225.00767999999999</v>
      </c>
      <c r="H216" s="1">
        <v>105</v>
      </c>
      <c r="I216" s="3">
        <v>99.568830000000005</v>
      </c>
      <c r="J216" s="3">
        <f t="shared" si="36"/>
        <v>101.15922</v>
      </c>
      <c r="K216" s="1">
        <f t="shared" si="29"/>
        <v>2.8727293978277214E-3</v>
      </c>
      <c r="M216" s="4">
        <v>225.01246</v>
      </c>
      <c r="N216" s="1">
        <v>105</v>
      </c>
      <c r="O216" s="3">
        <v>103.12841</v>
      </c>
      <c r="P216" s="3">
        <f t="shared" si="37"/>
        <v>102.33602</v>
      </c>
      <c r="S216" s="4">
        <v>250.00803999999999</v>
      </c>
      <c r="T216" s="1">
        <v>105</v>
      </c>
      <c r="U216" s="5">
        <v>98.767229999999998</v>
      </c>
      <c r="V216" s="3">
        <f t="shared" si="30"/>
        <v>102.09092</v>
      </c>
      <c r="W216" s="1">
        <f t="shared" si="38"/>
        <v>4.5054940335474512E-4</v>
      </c>
      <c r="Y216" s="4">
        <v>250.00944999999999</v>
      </c>
      <c r="Z216" s="1">
        <v>105</v>
      </c>
      <c r="AA216" s="5">
        <v>104.96835</v>
      </c>
      <c r="AB216" s="3">
        <f t="shared" si="31"/>
        <v>103.35933</v>
      </c>
      <c r="AF216" s="11">
        <v>630.61067000000003</v>
      </c>
      <c r="AG216" s="1">
        <v>105</v>
      </c>
      <c r="AH216" s="12">
        <v>-3.70939</v>
      </c>
      <c r="AI216" s="3">
        <f t="shared" si="32"/>
        <v>-1.8299499999999966</v>
      </c>
      <c r="AJ216" s="1">
        <f t="shared" si="28"/>
        <v>1.0298298247435482</v>
      </c>
      <c r="AK216" s="11">
        <v>630.60551999999996</v>
      </c>
      <c r="AL216" s="1">
        <v>105</v>
      </c>
      <c r="AM216" s="12">
        <v>-4.7251099999999999</v>
      </c>
      <c r="AN216" s="3">
        <f t="shared" si="33"/>
        <v>-2.7595000000000027</v>
      </c>
      <c r="AO216" s="1">
        <f t="shared" si="27"/>
        <v>1.0391119993020619</v>
      </c>
      <c r="AP216" s="18">
        <v>420.3383</v>
      </c>
      <c r="AQ216" s="1">
        <v>105</v>
      </c>
      <c r="AR216" s="12">
        <v>68.18065</v>
      </c>
      <c r="AS216" s="3">
        <f t="shared" si="34"/>
        <v>68.734459999999999</v>
      </c>
    </row>
    <row r="217" spans="1:45" ht="16" x14ac:dyDescent="0.2">
      <c r="A217" s="2">
        <v>200.01804999999999</v>
      </c>
      <c r="B217" s="1">
        <v>105.5</v>
      </c>
      <c r="C217" s="5">
        <v>102.03172000000001</v>
      </c>
      <c r="D217" s="3">
        <f t="shared" si="35"/>
        <v>101.90827</v>
      </c>
      <c r="G217" s="4">
        <v>225.00710000000001</v>
      </c>
      <c r="H217" s="1">
        <v>105.5</v>
      </c>
      <c r="I217" s="5">
        <v>99.577309999999997</v>
      </c>
      <c r="J217" s="3">
        <f t="shared" si="36"/>
        <v>101.1677</v>
      </c>
      <c r="K217" s="1">
        <f t="shared" si="29"/>
        <v>2.7881699015121423E-3</v>
      </c>
      <c r="M217" s="4">
        <v>225.01531</v>
      </c>
      <c r="N217" s="1">
        <v>105.5</v>
      </c>
      <c r="O217" s="5">
        <v>103.23326</v>
      </c>
      <c r="P217" s="3">
        <f t="shared" si="37"/>
        <v>102.44087</v>
      </c>
      <c r="S217" s="4">
        <v>250.00697</v>
      </c>
      <c r="T217" s="1">
        <v>105.5</v>
      </c>
      <c r="U217" s="3">
        <v>98.773529999999994</v>
      </c>
      <c r="V217" s="3">
        <f t="shared" si="30"/>
        <v>102.09721999999999</v>
      </c>
      <c r="W217" s="1">
        <f t="shared" si="38"/>
        <v>3.8815192608209127E-4</v>
      </c>
      <c r="Y217" s="4">
        <v>250.00577999999999</v>
      </c>
      <c r="Z217" s="1">
        <v>105.5</v>
      </c>
      <c r="AA217" s="3">
        <v>104.98519</v>
      </c>
      <c r="AB217" s="3">
        <f t="shared" si="31"/>
        <v>103.37617</v>
      </c>
      <c r="AF217" s="11">
        <v>633.11424</v>
      </c>
      <c r="AG217" s="1">
        <v>105.5</v>
      </c>
      <c r="AH217" s="13">
        <v>-3.67781</v>
      </c>
      <c r="AI217" s="3">
        <f t="shared" si="32"/>
        <v>-1.7983699999999914</v>
      </c>
      <c r="AJ217" s="1">
        <f t="shared" si="28"/>
        <v>1.0295151568110759</v>
      </c>
      <c r="AK217" s="11">
        <v>633.10887000000002</v>
      </c>
      <c r="AL217" s="1">
        <v>105.5</v>
      </c>
      <c r="AM217" s="13">
        <v>-4.7493400000000001</v>
      </c>
      <c r="AN217" s="3">
        <f t="shared" si="33"/>
        <v>-2.7837300000000056</v>
      </c>
      <c r="AO217" s="1">
        <f t="shared" si="27"/>
        <v>1.0393536062970559</v>
      </c>
      <c r="AP217" s="18">
        <v>421.83242999999999</v>
      </c>
      <c r="AQ217" s="1">
        <v>105.5</v>
      </c>
      <c r="AR217" s="13">
        <v>66.750529999999998</v>
      </c>
      <c r="AS217" s="3">
        <f t="shared" si="34"/>
        <v>67.304339999999996</v>
      </c>
    </row>
    <row r="218" spans="1:45" ht="16" x14ac:dyDescent="0.2">
      <c r="A218" s="2">
        <v>200.01235</v>
      </c>
      <c r="B218" s="1">
        <v>106</v>
      </c>
      <c r="C218" s="3">
        <v>102.03519</v>
      </c>
      <c r="D218" s="3">
        <f t="shared" si="35"/>
        <v>101.91173999999999</v>
      </c>
      <c r="G218" s="4">
        <v>225.00917000000001</v>
      </c>
      <c r="H218" s="1">
        <v>106</v>
      </c>
      <c r="I218" s="3">
        <v>99.561170000000004</v>
      </c>
      <c r="J218" s="3">
        <f t="shared" si="36"/>
        <v>101.15156</v>
      </c>
      <c r="K218" s="1">
        <f t="shared" si="29"/>
        <v>2.9491121503958926E-3</v>
      </c>
      <c r="M218" s="4">
        <v>225.01473999999999</v>
      </c>
      <c r="N218" s="1">
        <v>106</v>
      </c>
      <c r="O218" s="3">
        <v>103.39689</v>
      </c>
      <c r="P218" s="3">
        <f t="shared" si="37"/>
        <v>102.6045</v>
      </c>
      <c r="S218" s="4">
        <v>250.00009</v>
      </c>
      <c r="T218" s="1">
        <v>106</v>
      </c>
      <c r="U218" s="5">
        <v>98.771479999999997</v>
      </c>
      <c r="V218" s="3">
        <f t="shared" si="30"/>
        <v>102.09517</v>
      </c>
      <c r="W218" s="1">
        <f t="shared" si="38"/>
        <v>4.0845586709936665E-4</v>
      </c>
      <c r="Y218" s="4">
        <v>250.00708</v>
      </c>
      <c r="Z218" s="1">
        <v>106</v>
      </c>
      <c r="AA218" s="5">
        <v>105.04143000000001</v>
      </c>
      <c r="AB218" s="3">
        <f t="shared" si="31"/>
        <v>103.43241</v>
      </c>
      <c r="AF218" s="11">
        <v>635.60258999999996</v>
      </c>
      <c r="AG218" s="1">
        <v>106</v>
      </c>
      <c r="AH218" s="12">
        <v>-3.7113299999999998</v>
      </c>
      <c r="AI218" s="3">
        <f t="shared" si="32"/>
        <v>-1.8318900000000014</v>
      </c>
      <c r="AJ218" s="1">
        <f t="shared" si="28"/>
        <v>1.0298491551991846</v>
      </c>
      <c r="AK218" s="11">
        <v>635.59544000000005</v>
      </c>
      <c r="AL218" s="1">
        <v>106</v>
      </c>
      <c r="AM218" s="12">
        <v>-4.7382999999999997</v>
      </c>
      <c r="AN218" s="3">
        <f t="shared" si="33"/>
        <v>-2.7726899999999972</v>
      </c>
      <c r="AO218" s="1">
        <f t="shared" si="27"/>
        <v>1.0392435220533607</v>
      </c>
      <c r="AP218" s="18">
        <v>423.33627999999999</v>
      </c>
      <c r="AQ218" s="1">
        <v>106</v>
      </c>
      <c r="AR218" s="12">
        <v>65.273539999999997</v>
      </c>
      <c r="AS218" s="3">
        <f t="shared" si="34"/>
        <v>65.827349999999996</v>
      </c>
    </row>
    <row r="219" spans="1:45" ht="16" x14ac:dyDescent="0.2">
      <c r="A219" s="2">
        <v>200.01266000000001</v>
      </c>
      <c r="B219" s="1">
        <v>106.5</v>
      </c>
      <c r="C219" s="5">
        <v>102.08372</v>
      </c>
      <c r="D219" s="3">
        <f t="shared" si="35"/>
        <v>101.96026999999999</v>
      </c>
      <c r="G219" s="4">
        <v>225.00498999999999</v>
      </c>
      <c r="H219" s="1">
        <v>106.5</v>
      </c>
      <c r="I219" s="5">
        <v>99.556820000000002</v>
      </c>
      <c r="J219" s="3">
        <f t="shared" si="36"/>
        <v>101.14721</v>
      </c>
      <c r="K219" s="1">
        <f t="shared" si="29"/>
        <v>2.9924887788125589E-3</v>
      </c>
      <c r="M219" s="4">
        <v>225.01541</v>
      </c>
      <c r="N219" s="1">
        <v>106.5</v>
      </c>
      <c r="O219" s="5">
        <v>103.04294</v>
      </c>
      <c r="P219" s="3">
        <f t="shared" si="37"/>
        <v>102.25055</v>
      </c>
      <c r="S219" s="4">
        <v>250.00798</v>
      </c>
      <c r="T219" s="1">
        <v>106.5</v>
      </c>
      <c r="U219" s="3">
        <v>98.79589</v>
      </c>
      <c r="V219" s="3">
        <f t="shared" si="30"/>
        <v>102.11958</v>
      </c>
      <c r="W219" s="1">
        <f t="shared" si="38"/>
        <v>1.6669040357132693E-4</v>
      </c>
      <c r="Y219" s="4">
        <v>250.00934000000001</v>
      </c>
      <c r="Z219" s="1">
        <v>106.5</v>
      </c>
      <c r="AA219" s="3">
        <v>104.97178</v>
      </c>
      <c r="AB219" s="3">
        <f t="shared" si="31"/>
        <v>103.36275999999999</v>
      </c>
      <c r="AF219" s="11">
        <v>638.10096999999996</v>
      </c>
      <c r="AG219" s="1">
        <v>106.5</v>
      </c>
      <c r="AH219" s="13">
        <v>-3.7295199999999999</v>
      </c>
      <c r="AI219" s="3">
        <f t="shared" si="32"/>
        <v>-1.8500799999999913</v>
      </c>
      <c r="AJ219" s="1">
        <f t="shared" si="28"/>
        <v>1.0300304031311562</v>
      </c>
      <c r="AK219" s="11">
        <v>638.09433999999999</v>
      </c>
      <c r="AL219" s="1">
        <v>106.5</v>
      </c>
      <c r="AM219" s="13">
        <v>-4.8284799999999999</v>
      </c>
      <c r="AN219" s="3">
        <f t="shared" si="33"/>
        <v>-2.8628700000000009</v>
      </c>
      <c r="AO219" s="1">
        <f t="shared" si="27"/>
        <v>1.0401427428048493</v>
      </c>
      <c r="AP219" s="18">
        <v>424.83801999999997</v>
      </c>
      <c r="AQ219" s="1">
        <v>106.5</v>
      </c>
      <c r="AR219" s="13">
        <v>63.876809999999999</v>
      </c>
      <c r="AS219" s="3">
        <f t="shared" si="34"/>
        <v>64.430620000000005</v>
      </c>
    </row>
    <row r="220" spans="1:45" ht="16" x14ac:dyDescent="0.2">
      <c r="A220" s="2">
        <v>200.01965000000001</v>
      </c>
      <c r="B220" s="1">
        <v>107</v>
      </c>
      <c r="C220" s="3">
        <v>102.17148</v>
      </c>
      <c r="D220" s="3">
        <f t="shared" si="35"/>
        <v>102.04803</v>
      </c>
      <c r="G220" s="4">
        <v>225.00792000000001</v>
      </c>
      <c r="H220" s="1">
        <v>107</v>
      </c>
      <c r="I220" s="3">
        <v>99.540319999999994</v>
      </c>
      <c r="J220" s="3">
        <f t="shared" si="36"/>
        <v>101.13070999999999</v>
      </c>
      <c r="K220" s="1">
        <f t="shared" si="29"/>
        <v>3.1570208176343855E-3</v>
      </c>
      <c r="M220" s="4">
        <v>225.01984999999999</v>
      </c>
      <c r="N220" s="1">
        <v>107</v>
      </c>
      <c r="O220" s="3">
        <v>103.15306</v>
      </c>
      <c r="P220" s="3">
        <f t="shared" si="37"/>
        <v>102.36067</v>
      </c>
      <c r="S220" s="4">
        <v>250.00593000000001</v>
      </c>
      <c r="T220" s="1">
        <v>107</v>
      </c>
      <c r="U220" s="5">
        <v>98.781899999999993</v>
      </c>
      <c r="V220" s="3">
        <f t="shared" si="30"/>
        <v>102.10558999999999</v>
      </c>
      <c r="W220" s="1">
        <f t="shared" si="38"/>
        <v>3.0525242056266206E-4</v>
      </c>
      <c r="Y220" s="4">
        <v>250.01381000000001</v>
      </c>
      <c r="Z220" s="1">
        <v>107</v>
      </c>
      <c r="AA220" s="5">
        <v>104.99375000000001</v>
      </c>
      <c r="AB220" s="3">
        <f t="shared" si="31"/>
        <v>103.38473</v>
      </c>
      <c r="AF220" s="11">
        <v>640.60762999999997</v>
      </c>
      <c r="AG220" s="1">
        <v>107</v>
      </c>
      <c r="AH220" s="12">
        <v>-3.7222300000000001</v>
      </c>
      <c r="AI220" s="3">
        <f t="shared" si="32"/>
        <v>-1.8427899999999937</v>
      </c>
      <c r="AJ220" s="1">
        <f t="shared" si="28"/>
        <v>1.029957764460234</v>
      </c>
      <c r="AK220" s="11">
        <v>640.60253999999998</v>
      </c>
      <c r="AL220" s="1">
        <v>107</v>
      </c>
      <c r="AM220" s="12">
        <v>-4.82294</v>
      </c>
      <c r="AN220" s="3">
        <f t="shared" si="33"/>
        <v>-2.8573300000000046</v>
      </c>
      <c r="AO220" s="1">
        <f t="shared" ref="AO220:AO283" si="39">($AN$91-AN220)/($AN$91*(1-$H$1))</f>
        <v>1.0400875012550239</v>
      </c>
      <c r="AP220" s="18">
        <v>426.35012</v>
      </c>
      <c r="AQ220" s="1">
        <v>107</v>
      </c>
      <c r="AR220" s="12">
        <v>62.454099999999997</v>
      </c>
      <c r="AS220" s="3">
        <f t="shared" si="34"/>
        <v>63.007909999999995</v>
      </c>
    </row>
    <row r="221" spans="1:45" ht="16" x14ac:dyDescent="0.2">
      <c r="A221" s="2">
        <v>200.02424999999999</v>
      </c>
      <c r="B221" s="1">
        <v>107.5</v>
      </c>
      <c r="C221" s="5">
        <v>102.15915</v>
      </c>
      <c r="D221" s="3">
        <f t="shared" si="35"/>
        <v>102.03569999999999</v>
      </c>
      <c r="G221" s="4">
        <v>225.00605999999999</v>
      </c>
      <c r="H221" s="1">
        <v>107.5</v>
      </c>
      <c r="I221" s="5">
        <v>99.520600000000002</v>
      </c>
      <c r="J221" s="3">
        <f t="shared" si="36"/>
        <v>101.11099</v>
      </c>
      <c r="K221" s="1">
        <f t="shared" si="29"/>
        <v>3.3536615331230921E-3</v>
      </c>
      <c r="M221" s="4">
        <v>225.02131</v>
      </c>
      <c r="N221" s="1">
        <v>107.5</v>
      </c>
      <c r="O221" s="5">
        <v>103.03082000000001</v>
      </c>
      <c r="P221" s="3">
        <f t="shared" si="37"/>
        <v>102.23843000000001</v>
      </c>
      <c r="S221" s="4">
        <v>250.00493</v>
      </c>
      <c r="T221" s="1">
        <v>107.5</v>
      </c>
      <c r="U221" s="3">
        <v>98.777559999999994</v>
      </c>
      <c r="V221" s="3">
        <f t="shared" si="30"/>
        <v>102.10124999999999</v>
      </c>
      <c r="W221" s="1">
        <f t="shared" si="38"/>
        <v>3.4823734935050902E-4</v>
      </c>
      <c r="Y221" s="4">
        <v>250.01178999999999</v>
      </c>
      <c r="Z221" s="1">
        <v>107.5</v>
      </c>
      <c r="AA221" s="3">
        <v>104.90797000000001</v>
      </c>
      <c r="AB221" s="3">
        <f t="shared" si="31"/>
        <v>103.29895</v>
      </c>
      <c r="AF221" s="11">
        <v>643.10891000000004</v>
      </c>
      <c r="AG221" s="1">
        <v>107.5</v>
      </c>
      <c r="AH221" s="13">
        <v>-3.7620300000000002</v>
      </c>
      <c r="AI221" s="3">
        <f t="shared" si="32"/>
        <v>-1.8825899999999933</v>
      </c>
      <c r="AJ221" s="1">
        <f t="shared" ref="AJ221:AJ283" si="40">($AI$92-AI221)/($AI$92*(1-$H$1))</f>
        <v>1.030354337725351</v>
      </c>
      <c r="AK221" s="11">
        <v>643.11312999999996</v>
      </c>
      <c r="AL221" s="1">
        <v>107.5</v>
      </c>
      <c r="AM221" s="13">
        <v>-4.8305600000000002</v>
      </c>
      <c r="AN221" s="3">
        <f t="shared" si="33"/>
        <v>-2.8649500000000074</v>
      </c>
      <c r="AO221" s="1">
        <f t="shared" si="39"/>
        <v>1.040163483314531</v>
      </c>
      <c r="AP221" s="18">
        <v>427.85700000000003</v>
      </c>
      <c r="AQ221" s="1">
        <v>107.5</v>
      </c>
      <c r="AR221" s="13">
        <v>60.843380000000003</v>
      </c>
      <c r="AS221" s="3">
        <f t="shared" si="34"/>
        <v>61.397190000000002</v>
      </c>
    </row>
    <row r="222" spans="1:45" ht="16" x14ac:dyDescent="0.2">
      <c r="A222" s="2">
        <v>200.01918000000001</v>
      </c>
      <c r="B222" s="1">
        <v>108</v>
      </c>
      <c r="C222" s="3">
        <v>102.12161</v>
      </c>
      <c r="D222" s="3">
        <f t="shared" si="35"/>
        <v>101.99816</v>
      </c>
      <c r="G222" s="4">
        <v>225.00223</v>
      </c>
      <c r="H222" s="1">
        <v>108</v>
      </c>
      <c r="I222" s="3">
        <v>99.491389999999996</v>
      </c>
      <c r="J222" s="3">
        <f t="shared" si="36"/>
        <v>101.08177999999999</v>
      </c>
      <c r="K222" s="1">
        <f t="shared" si="29"/>
        <v>3.6449331000312337E-3</v>
      </c>
      <c r="M222" s="4">
        <v>225.01956999999999</v>
      </c>
      <c r="N222" s="1">
        <v>108</v>
      </c>
      <c r="O222" s="3">
        <v>103.10926000000001</v>
      </c>
      <c r="P222" s="3">
        <f t="shared" si="37"/>
        <v>102.31687000000001</v>
      </c>
      <c r="S222" s="4">
        <v>250.00202999999999</v>
      </c>
      <c r="T222" s="1">
        <v>108</v>
      </c>
      <c r="U222" s="5">
        <v>98.794060000000002</v>
      </c>
      <c r="V222" s="3">
        <f t="shared" si="30"/>
        <v>102.11775</v>
      </c>
      <c r="W222" s="1">
        <f t="shared" si="38"/>
        <v>1.8481538506480606E-4</v>
      </c>
      <c r="Y222" s="4">
        <v>250.00989000000001</v>
      </c>
      <c r="Z222" s="1">
        <v>108</v>
      </c>
      <c r="AA222" s="5">
        <v>104.92833</v>
      </c>
      <c r="AB222" s="3">
        <f t="shared" si="31"/>
        <v>103.31931</v>
      </c>
      <c r="AF222" s="11">
        <v>645.61760000000004</v>
      </c>
      <c r="AG222" s="1">
        <v>108</v>
      </c>
      <c r="AH222" s="12">
        <v>-3.7399200000000001</v>
      </c>
      <c r="AI222" s="3">
        <f t="shared" si="32"/>
        <v>-1.8604799999999955</v>
      </c>
      <c r="AJ222" s="1">
        <f t="shared" si="40"/>
        <v>1.0301340303160109</v>
      </c>
      <c r="AK222" s="11">
        <v>645.59258999999997</v>
      </c>
      <c r="AL222" s="1">
        <v>108</v>
      </c>
      <c r="AM222" s="12">
        <v>-4.8184699999999996</v>
      </c>
      <c r="AN222" s="3">
        <f t="shared" si="33"/>
        <v>-2.8528600000000068</v>
      </c>
      <c r="AO222" s="1">
        <f t="shared" si="39"/>
        <v>1.0400429291020061</v>
      </c>
      <c r="AP222" s="18">
        <v>429.36259999999999</v>
      </c>
      <c r="AQ222" s="1">
        <v>108</v>
      </c>
      <c r="AR222" s="12">
        <v>59.171860000000002</v>
      </c>
      <c r="AS222" s="3">
        <f t="shared" si="34"/>
        <v>59.725670000000001</v>
      </c>
    </row>
    <row r="223" spans="1:45" ht="16" x14ac:dyDescent="0.2">
      <c r="A223" s="2">
        <v>200.02069</v>
      </c>
      <c r="B223" s="1">
        <v>108.5</v>
      </c>
      <c r="C223" s="5">
        <v>102.18092</v>
      </c>
      <c r="D223" s="3">
        <f t="shared" si="35"/>
        <v>102.05747</v>
      </c>
      <c r="G223" s="4">
        <v>225.00084000000001</v>
      </c>
      <c r="H223" s="1">
        <v>108.5</v>
      </c>
      <c r="I223" s="5">
        <v>99.553550000000001</v>
      </c>
      <c r="J223" s="3">
        <f t="shared" si="36"/>
        <v>101.14394</v>
      </c>
      <c r="K223" s="1">
        <f t="shared" si="29"/>
        <v>3.0250960374154203E-3</v>
      </c>
      <c r="M223" s="4">
        <v>225.01774</v>
      </c>
      <c r="N223" s="1">
        <v>108.5</v>
      </c>
      <c r="O223" s="5">
        <v>103.22011999999999</v>
      </c>
      <c r="P223" s="3">
        <f t="shared" si="37"/>
        <v>102.42773</v>
      </c>
      <c r="S223" s="4">
        <v>250.00708</v>
      </c>
      <c r="T223" s="1">
        <v>108.5</v>
      </c>
      <c r="U223" s="3">
        <v>98.777619999999999</v>
      </c>
      <c r="V223" s="3">
        <f t="shared" si="30"/>
        <v>102.10131</v>
      </c>
      <c r="W223" s="1">
        <f t="shared" si="38"/>
        <v>3.476430876621498E-4</v>
      </c>
      <c r="Y223" s="4">
        <v>250.01211000000001</v>
      </c>
      <c r="Z223" s="1">
        <v>108.5</v>
      </c>
      <c r="AA223" s="3">
        <v>104.96905</v>
      </c>
      <c r="AB223" s="3">
        <f t="shared" si="31"/>
        <v>103.36002999999999</v>
      </c>
      <c r="AF223" s="11">
        <v>648.11654999999996</v>
      </c>
      <c r="AG223" s="1">
        <v>108.5</v>
      </c>
      <c r="AH223" s="13">
        <v>-3.80078</v>
      </c>
      <c r="AI223" s="3">
        <f t="shared" si="32"/>
        <v>-1.9213400000000007</v>
      </c>
      <c r="AJ223" s="1">
        <f t="shared" si="40"/>
        <v>1.0307404486304586</v>
      </c>
      <c r="AK223" s="11">
        <v>648.10662000000002</v>
      </c>
      <c r="AL223" s="1">
        <v>108.5</v>
      </c>
      <c r="AM223" s="13">
        <v>-4.8858300000000003</v>
      </c>
      <c r="AN223" s="3">
        <f t="shared" si="33"/>
        <v>-2.9202200000000005</v>
      </c>
      <c r="AO223" s="1">
        <f t="shared" si="39"/>
        <v>1.0407146025309288</v>
      </c>
      <c r="AP223" s="18">
        <v>430.86536000000001</v>
      </c>
      <c r="AQ223" s="1">
        <v>108.5</v>
      </c>
      <c r="AR223" s="13">
        <v>57.442320000000002</v>
      </c>
      <c r="AS223" s="3">
        <f t="shared" si="34"/>
        <v>57.996130000000001</v>
      </c>
    </row>
    <row r="224" spans="1:45" ht="16" x14ac:dyDescent="0.2">
      <c r="A224" s="2">
        <v>200.02368999999999</v>
      </c>
      <c r="B224" s="1">
        <v>109</v>
      </c>
      <c r="C224" s="3">
        <v>102.09886</v>
      </c>
      <c r="D224" s="3">
        <f t="shared" si="35"/>
        <v>101.97541</v>
      </c>
      <c r="G224" s="4">
        <v>225.00689</v>
      </c>
      <c r="H224" s="1">
        <v>109</v>
      </c>
      <c r="I224" s="3">
        <v>99.553460000000001</v>
      </c>
      <c r="J224" s="3">
        <f t="shared" si="36"/>
        <v>101.14385</v>
      </c>
      <c r="K224" s="1">
        <f t="shared" si="29"/>
        <v>3.0259934848999039E-3</v>
      </c>
      <c r="M224" s="4">
        <v>225.01669999999999</v>
      </c>
      <c r="N224" s="1">
        <v>109</v>
      </c>
      <c r="O224" s="3">
        <v>103.13218999999999</v>
      </c>
      <c r="P224" s="3">
        <f t="shared" si="37"/>
        <v>102.3398</v>
      </c>
      <c r="S224" s="4">
        <v>250.00602000000001</v>
      </c>
      <c r="T224" s="1">
        <v>109</v>
      </c>
      <c r="U224" s="5">
        <v>98.780190000000005</v>
      </c>
      <c r="V224" s="3">
        <f t="shared" si="30"/>
        <v>102.10388</v>
      </c>
      <c r="W224" s="1">
        <f t="shared" si="38"/>
        <v>3.2218887867942268E-4</v>
      </c>
      <c r="Y224" s="4">
        <v>250.01536999999999</v>
      </c>
      <c r="Z224" s="1">
        <v>109</v>
      </c>
      <c r="AA224" s="5">
        <v>104.92049</v>
      </c>
      <c r="AB224" s="3">
        <f t="shared" si="31"/>
        <v>103.31147</v>
      </c>
      <c r="AF224" s="11">
        <v>650.59770000000003</v>
      </c>
      <c r="AG224" s="1">
        <v>109</v>
      </c>
      <c r="AH224" s="12">
        <v>-3.7746400000000002</v>
      </c>
      <c r="AI224" s="3">
        <f t="shared" si="32"/>
        <v>-1.8952000000000027</v>
      </c>
      <c r="AJ224" s="1">
        <f t="shared" si="40"/>
        <v>1.0304799856869873</v>
      </c>
      <c r="AK224" s="11">
        <v>650.60718999999995</v>
      </c>
      <c r="AL224" s="1">
        <v>109</v>
      </c>
      <c r="AM224" s="12">
        <v>-4.8517099999999997</v>
      </c>
      <c r="AN224" s="3">
        <f t="shared" si="33"/>
        <v>-2.886099999999999</v>
      </c>
      <c r="AO224" s="1">
        <f t="shared" si="39"/>
        <v>1.0403743784009578</v>
      </c>
      <c r="AP224" s="18">
        <v>432.37668000000002</v>
      </c>
      <c r="AQ224" s="1">
        <v>109</v>
      </c>
      <c r="AR224" s="12">
        <v>55.693800000000003</v>
      </c>
      <c r="AS224" s="3">
        <f t="shared" si="34"/>
        <v>56.247610000000002</v>
      </c>
    </row>
    <row r="225" spans="1:45" ht="16" x14ac:dyDescent="0.2">
      <c r="A225" s="2">
        <v>200.01994999999999</v>
      </c>
      <c r="B225" s="1">
        <v>109.5</v>
      </c>
      <c r="C225" s="5">
        <v>102.04977</v>
      </c>
      <c r="D225" s="3">
        <f t="shared" si="35"/>
        <v>101.92631999999999</v>
      </c>
      <c r="G225" s="4">
        <v>225.00954999999999</v>
      </c>
      <c r="H225" s="1">
        <v>109.5</v>
      </c>
      <c r="I225" s="5">
        <v>99.529060000000001</v>
      </c>
      <c r="J225" s="3">
        <f t="shared" si="36"/>
        <v>101.11945</v>
      </c>
      <c r="K225" s="1">
        <f t="shared" si="29"/>
        <v>3.2693014695817642E-3</v>
      </c>
      <c r="M225" s="4">
        <v>225.01760999999999</v>
      </c>
      <c r="N225" s="1">
        <v>109.5</v>
      </c>
      <c r="O225" s="5">
        <v>103.30318</v>
      </c>
      <c r="P225" s="3">
        <f t="shared" si="37"/>
        <v>102.51079</v>
      </c>
      <c r="S225" s="4">
        <v>250.00501</v>
      </c>
      <c r="T225" s="1">
        <v>109.5</v>
      </c>
      <c r="U225" s="3">
        <v>98.781540000000007</v>
      </c>
      <c r="V225" s="3">
        <f t="shared" si="30"/>
        <v>102.10523000000001</v>
      </c>
      <c r="W225" s="1">
        <f t="shared" si="38"/>
        <v>3.0881799069239527E-4</v>
      </c>
      <c r="Y225" s="4">
        <v>250.01668000000001</v>
      </c>
      <c r="Z225" s="1">
        <v>109.5</v>
      </c>
      <c r="AA225" s="3">
        <v>104.98602</v>
      </c>
      <c r="AB225" s="3">
        <f t="shared" si="31"/>
        <v>103.377</v>
      </c>
      <c r="AF225" s="11">
        <v>653.09812999999997</v>
      </c>
      <c r="AG225" s="1">
        <v>109.5</v>
      </c>
      <c r="AH225" s="13">
        <v>-3.7736999999999998</v>
      </c>
      <c r="AI225" s="3">
        <f t="shared" si="32"/>
        <v>-1.8942600000000027</v>
      </c>
      <c r="AJ225" s="1">
        <f t="shared" si="40"/>
        <v>1.030470619383741</v>
      </c>
      <c r="AK225" s="11">
        <v>653.08252000000005</v>
      </c>
      <c r="AL225" s="1">
        <v>109.5</v>
      </c>
      <c r="AM225" s="13">
        <v>-4.8597599999999996</v>
      </c>
      <c r="AN225" s="3">
        <f t="shared" si="33"/>
        <v>-2.8941499999999962</v>
      </c>
      <c r="AO225" s="1">
        <f t="shared" si="39"/>
        <v>1.0404546481619856</v>
      </c>
      <c r="AP225" s="18">
        <v>433.88792999999998</v>
      </c>
      <c r="AQ225" s="1">
        <v>109.5</v>
      </c>
      <c r="AR225" s="13">
        <v>53.890180000000001</v>
      </c>
      <c r="AS225" s="3">
        <f t="shared" si="34"/>
        <v>54.443989999999999</v>
      </c>
    </row>
    <row r="226" spans="1:45" ht="16" x14ac:dyDescent="0.2">
      <c r="A226" s="2">
        <v>200.01976999999999</v>
      </c>
      <c r="B226" s="1">
        <v>110</v>
      </c>
      <c r="C226" s="3">
        <v>102.21872</v>
      </c>
      <c r="D226" s="3">
        <f t="shared" si="35"/>
        <v>102.09527</v>
      </c>
      <c r="G226" s="4">
        <v>225.00583</v>
      </c>
      <c r="H226" s="1">
        <v>110</v>
      </c>
      <c r="I226" s="3">
        <v>99.518810000000002</v>
      </c>
      <c r="J226" s="3">
        <f t="shared" si="36"/>
        <v>101.1092</v>
      </c>
      <c r="K226" s="1">
        <f t="shared" si="29"/>
        <v>3.3715107664255704E-3</v>
      </c>
      <c r="M226" s="4">
        <v>225.01840000000001</v>
      </c>
      <c r="N226" s="1">
        <v>110</v>
      </c>
      <c r="O226" s="3">
        <v>103.2726</v>
      </c>
      <c r="P226" s="3">
        <f t="shared" si="37"/>
        <v>102.48021</v>
      </c>
      <c r="S226" s="4">
        <v>250.00595000000001</v>
      </c>
      <c r="T226" s="1">
        <v>110</v>
      </c>
      <c r="U226" s="5">
        <v>98.775310000000005</v>
      </c>
      <c r="V226" s="3">
        <f t="shared" si="30"/>
        <v>102.099</v>
      </c>
      <c r="W226" s="1">
        <f t="shared" si="38"/>
        <v>3.7052216266208061E-4</v>
      </c>
      <c r="Y226" s="4">
        <v>250.01505</v>
      </c>
      <c r="Z226" s="1">
        <v>110</v>
      </c>
      <c r="AA226" s="5">
        <v>104.94141</v>
      </c>
      <c r="AB226" s="3">
        <f t="shared" si="31"/>
        <v>103.33239</v>
      </c>
      <c r="AF226" s="11">
        <v>655.60676999999998</v>
      </c>
      <c r="AG226" s="1">
        <v>110</v>
      </c>
      <c r="AH226" s="12">
        <v>-3.7646999999999999</v>
      </c>
      <c r="AI226" s="3">
        <f t="shared" si="32"/>
        <v>-1.8852600000000024</v>
      </c>
      <c r="AJ226" s="1">
        <f t="shared" si="40"/>
        <v>1.0303809420122321</v>
      </c>
      <c r="AK226" s="11">
        <v>655.59160999999995</v>
      </c>
      <c r="AL226" s="1">
        <v>110</v>
      </c>
      <c r="AM226" s="12">
        <v>-4.8621999999999996</v>
      </c>
      <c r="AN226" s="3">
        <f t="shared" si="33"/>
        <v>-2.8965900000000033</v>
      </c>
      <c r="AO226" s="1">
        <f t="shared" si="39"/>
        <v>1.0404789783752662</v>
      </c>
      <c r="AP226" s="18">
        <v>435.39722</v>
      </c>
      <c r="AQ226" s="1">
        <v>110</v>
      </c>
      <c r="AR226" s="12">
        <v>51.910310000000003</v>
      </c>
      <c r="AS226" s="3">
        <f t="shared" si="34"/>
        <v>52.464120000000001</v>
      </c>
    </row>
    <row r="227" spans="1:45" ht="16" x14ac:dyDescent="0.2">
      <c r="A227" s="2">
        <v>200.01835</v>
      </c>
      <c r="B227" s="1">
        <v>110.5</v>
      </c>
      <c r="C227" s="5">
        <v>102.13985</v>
      </c>
      <c r="D227" s="3">
        <f t="shared" si="35"/>
        <v>102.01639999999999</v>
      </c>
      <c r="G227" s="4">
        <v>225.00894</v>
      </c>
      <c r="H227" s="1">
        <v>110.5</v>
      </c>
      <c r="I227" s="5">
        <v>99.554919999999996</v>
      </c>
      <c r="J227" s="3">
        <f t="shared" si="36"/>
        <v>101.14530999999999</v>
      </c>
      <c r="K227" s="1">
        <f t="shared" si="29"/>
        <v>3.0114348923739134E-3</v>
      </c>
      <c r="M227" s="4">
        <v>225.01598000000001</v>
      </c>
      <c r="N227" s="1">
        <v>110.5</v>
      </c>
      <c r="O227" s="5">
        <v>103.26864</v>
      </c>
      <c r="P227" s="3">
        <f t="shared" si="37"/>
        <v>102.47625000000001</v>
      </c>
      <c r="S227" s="4">
        <v>250.00991999999999</v>
      </c>
      <c r="T227" s="1">
        <v>110.5</v>
      </c>
      <c r="U227" s="3">
        <v>98.781570000000002</v>
      </c>
      <c r="V227" s="3">
        <f t="shared" si="30"/>
        <v>102.10526</v>
      </c>
      <c r="W227" s="1">
        <f t="shared" si="38"/>
        <v>3.08520859848286E-4</v>
      </c>
      <c r="Y227" s="4">
        <v>250.01940999999999</v>
      </c>
      <c r="Z227" s="1">
        <v>110.5</v>
      </c>
      <c r="AA227" s="3">
        <v>105.01499</v>
      </c>
      <c r="AB227" s="3">
        <f t="shared" si="31"/>
        <v>103.40597</v>
      </c>
      <c r="AF227" s="11">
        <v>658.14707999999996</v>
      </c>
      <c r="AG227" s="1">
        <v>110.5</v>
      </c>
      <c r="AH227" s="13">
        <v>-3.8014000000000001</v>
      </c>
      <c r="AI227" s="3">
        <f t="shared" si="32"/>
        <v>-1.9219599999999986</v>
      </c>
      <c r="AJ227" s="1">
        <f t="shared" si="40"/>
        <v>1.0307466264049403</v>
      </c>
      <c r="AK227" s="11">
        <v>658.14182000000005</v>
      </c>
      <c r="AL227" s="1">
        <v>110.5</v>
      </c>
      <c r="AM227" s="13">
        <v>-4.8734299999999999</v>
      </c>
      <c r="AN227" s="3">
        <f t="shared" si="33"/>
        <v>-2.907820000000001</v>
      </c>
      <c r="AO227" s="1">
        <f t="shared" si="39"/>
        <v>1.0405909571847496</v>
      </c>
      <c r="AP227" s="18">
        <v>436.89918999999998</v>
      </c>
      <c r="AQ227" s="1">
        <v>110.5</v>
      </c>
      <c r="AR227" s="13">
        <v>49.987580000000001</v>
      </c>
      <c r="AS227" s="3">
        <f t="shared" si="34"/>
        <v>50.54139</v>
      </c>
    </row>
    <row r="228" spans="1:45" ht="16" x14ac:dyDescent="0.2">
      <c r="A228" s="2">
        <v>200.01933</v>
      </c>
      <c r="B228" s="1">
        <v>111</v>
      </c>
      <c r="C228" s="3">
        <v>102.16655</v>
      </c>
      <c r="D228" s="3">
        <f t="shared" si="35"/>
        <v>102.0431</v>
      </c>
      <c r="G228" s="4">
        <v>225.00308000000001</v>
      </c>
      <c r="H228" s="1">
        <v>111</v>
      </c>
      <c r="I228" s="3">
        <v>99.545670000000001</v>
      </c>
      <c r="J228" s="3">
        <f t="shared" si="36"/>
        <v>101.13606</v>
      </c>
      <c r="K228" s="1">
        <f t="shared" si="29"/>
        <v>3.1036725505012024E-3</v>
      </c>
      <c r="M228" s="4">
        <v>225.01356000000001</v>
      </c>
      <c r="N228" s="1">
        <v>111</v>
      </c>
      <c r="O228" s="3">
        <v>103.25102</v>
      </c>
      <c r="P228" s="3">
        <f t="shared" si="37"/>
        <v>102.45863</v>
      </c>
      <c r="S228" s="4">
        <v>250.00998000000001</v>
      </c>
      <c r="T228" s="1">
        <v>111</v>
      </c>
      <c r="U228" s="5">
        <v>98.798109999999994</v>
      </c>
      <c r="V228" s="3">
        <f t="shared" si="30"/>
        <v>102.12179999999999</v>
      </c>
      <c r="W228" s="1">
        <f t="shared" si="38"/>
        <v>1.4470272110386458E-4</v>
      </c>
      <c r="Y228" s="4">
        <v>250.02479</v>
      </c>
      <c r="Z228" s="1">
        <v>111</v>
      </c>
      <c r="AA228" s="5">
        <v>104.99708</v>
      </c>
      <c r="AB228" s="3">
        <f t="shared" si="31"/>
        <v>103.38806</v>
      </c>
      <c r="AF228" s="11">
        <v>660.63881000000003</v>
      </c>
      <c r="AG228" s="1">
        <v>111</v>
      </c>
      <c r="AH228" s="12">
        <v>-3.8191099999999998</v>
      </c>
      <c r="AI228" s="3">
        <f t="shared" si="32"/>
        <v>-1.9396699999999925</v>
      </c>
      <c r="AJ228" s="1">
        <f t="shared" si="40"/>
        <v>1.0309230915437648</v>
      </c>
      <c r="AK228" s="11">
        <v>660.63324999999998</v>
      </c>
      <c r="AL228" s="1">
        <v>111</v>
      </c>
      <c r="AM228" s="12">
        <v>-4.8967499999999999</v>
      </c>
      <c r="AN228" s="3">
        <f t="shared" si="33"/>
        <v>-2.9311399999999992</v>
      </c>
      <c r="AO228" s="1">
        <f t="shared" si="39"/>
        <v>1.0408234902067579</v>
      </c>
      <c r="AP228" s="18">
        <v>438.40375999999998</v>
      </c>
      <c r="AQ228" s="1">
        <v>111</v>
      </c>
      <c r="AR228" s="12">
        <v>47.977359999999997</v>
      </c>
      <c r="AS228" s="3">
        <f t="shared" si="34"/>
        <v>48.531169999999996</v>
      </c>
    </row>
    <row r="229" spans="1:45" ht="16" x14ac:dyDescent="0.2">
      <c r="A229" s="2">
        <v>200.01778999999999</v>
      </c>
      <c r="B229" s="1">
        <v>111.5</v>
      </c>
      <c r="C229" s="5">
        <v>102.16239</v>
      </c>
      <c r="D229" s="3">
        <f t="shared" si="35"/>
        <v>102.03894</v>
      </c>
      <c r="G229" s="4">
        <v>225.00706</v>
      </c>
      <c r="H229" s="1">
        <v>111.5</v>
      </c>
      <c r="I229" s="5">
        <v>99.543559999999999</v>
      </c>
      <c r="J229" s="3">
        <f t="shared" si="36"/>
        <v>101.13395</v>
      </c>
      <c r="K229" s="1">
        <f t="shared" si="29"/>
        <v>3.1247127081929717E-3</v>
      </c>
      <c r="M229" s="4">
        <v>225.00966</v>
      </c>
      <c r="N229" s="1">
        <v>111.5</v>
      </c>
      <c r="O229" s="5">
        <v>103.06113000000001</v>
      </c>
      <c r="P229" s="3">
        <f t="shared" si="37"/>
        <v>102.26874000000001</v>
      </c>
      <c r="S229" s="4">
        <v>250.00300999999999</v>
      </c>
      <c r="T229" s="1">
        <v>111.5</v>
      </c>
      <c r="U229" s="3">
        <v>98.781639999999996</v>
      </c>
      <c r="V229" s="3">
        <f t="shared" si="30"/>
        <v>102.10533</v>
      </c>
      <c r="W229" s="1">
        <f t="shared" si="38"/>
        <v>3.0782755454531754E-4</v>
      </c>
      <c r="Y229" s="4">
        <v>250.02258</v>
      </c>
      <c r="Z229" s="1">
        <v>111.5</v>
      </c>
      <c r="AA229" s="3">
        <v>104.98196</v>
      </c>
      <c r="AB229" s="3">
        <f t="shared" si="31"/>
        <v>103.37294</v>
      </c>
      <c r="AF229" s="11">
        <v>663.14017000000001</v>
      </c>
      <c r="AG229" s="1">
        <v>111.5</v>
      </c>
      <c r="AH229" s="13">
        <v>-3.83243</v>
      </c>
      <c r="AI229" s="3">
        <f t="shared" si="32"/>
        <v>-1.9529899999999998</v>
      </c>
      <c r="AJ229" s="1">
        <f t="shared" si="40"/>
        <v>1.0310558140535979</v>
      </c>
      <c r="AK229" s="11">
        <v>663.13828000000001</v>
      </c>
      <c r="AL229" s="1">
        <v>111.5</v>
      </c>
      <c r="AM229" s="13">
        <v>-4.90083</v>
      </c>
      <c r="AN229" s="3">
        <f t="shared" si="33"/>
        <v>-2.9352200000000011</v>
      </c>
      <c r="AO229" s="1">
        <f t="shared" si="39"/>
        <v>1.0408641735142106</v>
      </c>
      <c r="AP229" s="18">
        <v>439.90575999999999</v>
      </c>
      <c r="AQ229" s="1">
        <v>111.5</v>
      </c>
      <c r="AR229" s="13">
        <v>45.806370000000001</v>
      </c>
      <c r="AS229" s="3">
        <f t="shared" si="34"/>
        <v>46.36018</v>
      </c>
    </row>
    <row r="230" spans="1:45" ht="16" x14ac:dyDescent="0.2">
      <c r="A230" s="2">
        <v>200.01561000000001</v>
      </c>
      <c r="B230" s="1">
        <v>112</v>
      </c>
      <c r="C230" s="3">
        <v>102.38925999999999</v>
      </c>
      <c r="D230" s="3">
        <f t="shared" si="35"/>
        <v>102.26580999999999</v>
      </c>
      <c r="G230" s="4">
        <v>225.0069</v>
      </c>
      <c r="H230" s="1">
        <v>112</v>
      </c>
      <c r="I230" s="3">
        <v>99.534840000000003</v>
      </c>
      <c r="J230" s="3">
        <f t="shared" si="36"/>
        <v>101.12523</v>
      </c>
      <c r="K230" s="1">
        <f t="shared" si="29"/>
        <v>3.2116653978005549E-3</v>
      </c>
      <c r="M230" s="4">
        <v>225.0052</v>
      </c>
      <c r="N230" s="1">
        <v>112</v>
      </c>
      <c r="O230" s="3">
        <v>103.24187999999999</v>
      </c>
      <c r="P230" s="3">
        <f t="shared" si="37"/>
        <v>102.44949</v>
      </c>
      <c r="S230" s="4">
        <v>250.00901999999999</v>
      </c>
      <c r="T230" s="1">
        <v>112</v>
      </c>
      <c r="U230" s="5">
        <v>98.767539999999997</v>
      </c>
      <c r="V230" s="3">
        <f t="shared" si="30"/>
        <v>102.09123</v>
      </c>
      <c r="W230" s="1">
        <f t="shared" si="38"/>
        <v>4.4747905129848041E-4</v>
      </c>
      <c r="Y230" s="4">
        <v>250.02064999999999</v>
      </c>
      <c r="Z230" s="1">
        <v>112</v>
      </c>
      <c r="AA230" s="5">
        <v>104.97547</v>
      </c>
      <c r="AB230" s="3">
        <f t="shared" si="31"/>
        <v>103.36645</v>
      </c>
      <c r="AF230" s="11">
        <v>665.63847999999996</v>
      </c>
      <c r="AG230" s="1">
        <v>112</v>
      </c>
      <c r="AH230" s="12">
        <v>-3.8283700000000001</v>
      </c>
      <c r="AI230" s="3">
        <f t="shared" si="32"/>
        <v>-1.9489300000000043</v>
      </c>
      <c r="AJ230" s="1">
        <f t="shared" si="40"/>
        <v>1.0310153595948952</v>
      </c>
      <c r="AK230" s="11">
        <v>665.63270999999997</v>
      </c>
      <c r="AL230" s="1">
        <v>112</v>
      </c>
      <c r="AM230" s="12">
        <v>-4.9211200000000002</v>
      </c>
      <c r="AN230" s="3">
        <f t="shared" si="33"/>
        <v>-2.9555100000000039</v>
      </c>
      <c r="AO230" s="1">
        <f t="shared" si="39"/>
        <v>1.0410664931975959</v>
      </c>
      <c r="AP230" s="18">
        <v>441.40996000000001</v>
      </c>
      <c r="AQ230" s="1">
        <v>112</v>
      </c>
      <c r="AR230" s="12">
        <v>43.655630000000002</v>
      </c>
      <c r="AS230" s="3">
        <f t="shared" si="34"/>
        <v>44.209440000000001</v>
      </c>
    </row>
    <row r="231" spans="1:45" ht="16" x14ac:dyDescent="0.2">
      <c r="A231" s="2">
        <v>200.01541</v>
      </c>
      <c r="B231" s="1">
        <v>112.5</v>
      </c>
      <c r="C231" s="5">
        <v>101.96543</v>
      </c>
      <c r="D231" s="3">
        <f t="shared" si="35"/>
        <v>101.84197999999999</v>
      </c>
      <c r="G231" s="4">
        <v>225.01106999999999</v>
      </c>
      <c r="H231" s="1">
        <v>112.5</v>
      </c>
      <c r="I231" s="5">
        <v>99.55247</v>
      </c>
      <c r="J231" s="3">
        <f t="shared" si="36"/>
        <v>101.14286</v>
      </c>
      <c r="K231" s="1">
        <f t="shared" si="29"/>
        <v>3.0358654072292247E-3</v>
      </c>
      <c r="M231" s="4">
        <v>225.00792999999999</v>
      </c>
      <c r="N231" s="1">
        <v>112.5</v>
      </c>
      <c r="O231" s="5">
        <v>103.23635</v>
      </c>
      <c r="P231" s="3">
        <f t="shared" si="37"/>
        <v>102.44396</v>
      </c>
      <c r="S231" s="4">
        <v>250.00897000000001</v>
      </c>
      <c r="T231" s="1">
        <v>112.5</v>
      </c>
      <c r="U231" s="3">
        <v>98.758780000000002</v>
      </c>
      <c r="V231" s="3">
        <f t="shared" si="30"/>
        <v>102.08247</v>
      </c>
      <c r="W231" s="1">
        <f t="shared" si="38"/>
        <v>5.3424125779189284E-4</v>
      </c>
      <c r="Y231" s="4">
        <v>250.02203</v>
      </c>
      <c r="Z231" s="1">
        <v>112.5</v>
      </c>
      <c r="AA231" s="3">
        <v>105.08105</v>
      </c>
      <c r="AB231" s="3">
        <f t="shared" si="31"/>
        <v>103.47203</v>
      </c>
      <c r="AF231" s="11">
        <v>668.12387999999999</v>
      </c>
      <c r="AG231" s="1">
        <v>112.5</v>
      </c>
      <c r="AH231" s="13">
        <v>-3.8304100000000001</v>
      </c>
      <c r="AI231" s="3">
        <f t="shared" si="32"/>
        <v>-1.9509699999999981</v>
      </c>
      <c r="AJ231" s="1">
        <f t="shared" si="40"/>
        <v>1.0310356864657704</v>
      </c>
      <c r="AK231" s="11">
        <v>668.12156000000004</v>
      </c>
      <c r="AL231" s="1">
        <v>112.5</v>
      </c>
      <c r="AM231" s="13">
        <v>-4.9358700000000004</v>
      </c>
      <c r="AN231" s="3">
        <f t="shared" si="33"/>
        <v>-2.9702599999999961</v>
      </c>
      <c r="AO231" s="1">
        <f t="shared" si="39"/>
        <v>1.0412135713311561</v>
      </c>
      <c r="AP231" s="18">
        <v>442.91460000000001</v>
      </c>
      <c r="AQ231" s="1">
        <v>112.5</v>
      </c>
      <c r="AR231" s="13">
        <v>41.279069999999997</v>
      </c>
      <c r="AS231" s="3">
        <f t="shared" si="34"/>
        <v>41.832879999999996</v>
      </c>
    </row>
    <row r="232" spans="1:45" ht="16" x14ac:dyDescent="0.2">
      <c r="A232" s="2">
        <v>200.02046000000001</v>
      </c>
      <c r="B232" s="1">
        <v>113</v>
      </c>
      <c r="C232" s="3">
        <v>102.10607</v>
      </c>
      <c r="D232" s="3">
        <f t="shared" si="35"/>
        <v>101.98262</v>
      </c>
      <c r="G232" s="4">
        <v>225.00906000000001</v>
      </c>
      <c r="H232" s="1">
        <v>113</v>
      </c>
      <c r="I232" s="3">
        <v>99.536760000000001</v>
      </c>
      <c r="J232" s="3">
        <f t="shared" si="36"/>
        <v>101.12715</v>
      </c>
      <c r="K232" s="1">
        <f t="shared" si="29"/>
        <v>3.1925198514649493E-3</v>
      </c>
      <c r="M232" s="4">
        <v>225.00728000000001</v>
      </c>
      <c r="N232" s="1">
        <v>113</v>
      </c>
      <c r="O232" s="3">
        <v>103.26532</v>
      </c>
      <c r="P232" s="3">
        <f t="shared" si="37"/>
        <v>102.47293000000001</v>
      </c>
      <c r="S232" s="4">
        <v>250.00898000000001</v>
      </c>
      <c r="T232" s="1">
        <v>113</v>
      </c>
      <c r="U232" s="5">
        <v>98.755219999999994</v>
      </c>
      <c r="V232" s="3">
        <f t="shared" si="30"/>
        <v>102.07890999999999</v>
      </c>
      <c r="W232" s="1">
        <f t="shared" si="38"/>
        <v>5.6950078463177331E-4</v>
      </c>
      <c r="Y232" s="4">
        <v>250.02436</v>
      </c>
      <c r="Z232" s="1">
        <v>113</v>
      </c>
      <c r="AA232" s="5">
        <v>104.99366999999999</v>
      </c>
      <c r="AB232" s="3">
        <f t="shared" si="31"/>
        <v>103.38464999999999</v>
      </c>
      <c r="AF232" s="11">
        <v>670.62212</v>
      </c>
      <c r="AG232" s="1">
        <v>113</v>
      </c>
      <c r="AH232" s="12">
        <v>-3.9062600000000001</v>
      </c>
      <c r="AI232" s="3">
        <f t="shared" si="32"/>
        <v>-2.0268200000000007</v>
      </c>
      <c r="AJ232" s="1">
        <f t="shared" si="40"/>
        <v>1.0317914674245423</v>
      </c>
      <c r="AK232" s="11">
        <v>670.60875999999996</v>
      </c>
      <c r="AL232" s="1">
        <v>113</v>
      </c>
      <c r="AM232" s="12">
        <v>-4.9223299999999997</v>
      </c>
      <c r="AN232" s="3">
        <f t="shared" si="33"/>
        <v>-2.9567200000000042</v>
      </c>
      <c r="AO232" s="1">
        <f t="shared" si="39"/>
        <v>1.0410785585902473</v>
      </c>
      <c r="AP232" s="18">
        <v>444.42901999999998</v>
      </c>
      <c r="AQ232" s="1">
        <v>113</v>
      </c>
      <c r="AR232" s="12">
        <v>38.710059999999999</v>
      </c>
      <c r="AS232" s="3">
        <f t="shared" si="34"/>
        <v>39.263869999999997</v>
      </c>
    </row>
    <row r="233" spans="1:45" ht="16" x14ac:dyDescent="0.2">
      <c r="A233" s="2">
        <v>200.0257</v>
      </c>
      <c r="B233" s="1">
        <v>113.5</v>
      </c>
      <c r="C233" s="5">
        <v>102.13663</v>
      </c>
      <c r="D233" s="3">
        <f t="shared" si="35"/>
        <v>102.01317999999999</v>
      </c>
      <c r="G233" s="4">
        <v>225.00890999999999</v>
      </c>
      <c r="H233" s="1">
        <v>113.5</v>
      </c>
      <c r="I233" s="5">
        <v>99.532110000000003</v>
      </c>
      <c r="J233" s="3">
        <f t="shared" si="36"/>
        <v>101.1225</v>
      </c>
      <c r="K233" s="1">
        <f t="shared" si="29"/>
        <v>3.2388879714965136E-3</v>
      </c>
      <c r="M233" s="4">
        <v>225.00781000000001</v>
      </c>
      <c r="N233" s="1">
        <v>113.5</v>
      </c>
      <c r="O233" s="5">
        <v>103.20614</v>
      </c>
      <c r="P233" s="3">
        <f t="shared" si="37"/>
        <v>102.41375000000001</v>
      </c>
      <c r="S233" s="4">
        <v>250.00205</v>
      </c>
      <c r="T233" s="1">
        <v>113.5</v>
      </c>
      <c r="U233" s="3">
        <v>98.769390000000001</v>
      </c>
      <c r="V233" s="3">
        <f t="shared" si="30"/>
        <v>102.09308</v>
      </c>
      <c r="W233" s="1">
        <f t="shared" si="38"/>
        <v>4.2915598257550123E-4</v>
      </c>
      <c r="Y233" s="4">
        <v>250.02144999999999</v>
      </c>
      <c r="Z233" s="1">
        <v>113.5</v>
      </c>
      <c r="AA233" s="3">
        <v>105.02179</v>
      </c>
      <c r="AB233" s="3">
        <f t="shared" si="31"/>
        <v>103.41276999999999</v>
      </c>
      <c r="AF233" s="11">
        <v>673.10815000000002</v>
      </c>
      <c r="AG233" s="1">
        <v>113.5</v>
      </c>
      <c r="AH233" s="13">
        <v>-3.9112200000000001</v>
      </c>
      <c r="AI233" s="3">
        <f t="shared" si="32"/>
        <v>-2.0317799999999977</v>
      </c>
      <c r="AJ233" s="1">
        <f t="shared" si="40"/>
        <v>1.0318408896203959</v>
      </c>
      <c r="AK233" s="11">
        <v>673.09789999999998</v>
      </c>
      <c r="AL233" s="1">
        <v>113.5</v>
      </c>
      <c r="AM233" s="13">
        <v>-4.9852999999999996</v>
      </c>
      <c r="AN233" s="3">
        <f t="shared" si="33"/>
        <v>-3.0196899999999971</v>
      </c>
      <c r="AO233" s="1">
        <f t="shared" si="39"/>
        <v>1.0417064575780632</v>
      </c>
      <c r="AP233" s="18">
        <v>445.93356</v>
      </c>
      <c r="AQ233" s="1">
        <v>113.5</v>
      </c>
      <c r="AR233" s="13">
        <v>36.375630000000001</v>
      </c>
      <c r="AS233" s="3">
        <f t="shared" si="34"/>
        <v>36.92944</v>
      </c>
    </row>
    <row r="234" spans="1:45" ht="16" x14ac:dyDescent="0.2">
      <c r="A234" s="2">
        <v>200.02348000000001</v>
      </c>
      <c r="B234" s="1">
        <v>114</v>
      </c>
      <c r="C234" s="3">
        <v>102.2606</v>
      </c>
      <c r="D234" s="3">
        <f t="shared" si="35"/>
        <v>102.13714999999999</v>
      </c>
      <c r="G234" s="4">
        <v>225.01105999999999</v>
      </c>
      <c r="H234" s="1">
        <v>114</v>
      </c>
      <c r="I234" s="3">
        <v>99.537850000000006</v>
      </c>
      <c r="J234" s="3">
        <f t="shared" si="36"/>
        <v>101.12824000000001</v>
      </c>
      <c r="K234" s="1">
        <f t="shared" si="29"/>
        <v>3.1816507652639484E-3</v>
      </c>
      <c r="M234" s="4">
        <v>225.01554999999999</v>
      </c>
      <c r="N234" s="1">
        <v>114</v>
      </c>
      <c r="O234" s="3">
        <v>103.22332</v>
      </c>
      <c r="P234" s="3">
        <f t="shared" si="37"/>
        <v>102.43093</v>
      </c>
      <c r="S234" s="4">
        <v>250.00506999999999</v>
      </c>
      <c r="T234" s="1">
        <v>114</v>
      </c>
      <c r="U234" s="5">
        <v>98.755009999999999</v>
      </c>
      <c r="V234" s="3">
        <f t="shared" si="30"/>
        <v>102.0787</v>
      </c>
      <c r="W234" s="1">
        <f t="shared" si="38"/>
        <v>5.7158070054081961E-4</v>
      </c>
      <c r="Y234" s="4">
        <v>250.02167</v>
      </c>
      <c r="Z234" s="1">
        <v>114</v>
      </c>
      <c r="AA234" s="5">
        <v>104.99852</v>
      </c>
      <c r="AB234" s="3">
        <f t="shared" si="31"/>
        <v>103.3895</v>
      </c>
      <c r="AF234" s="11">
        <v>675.62252000000001</v>
      </c>
      <c r="AG234" s="1">
        <v>114</v>
      </c>
      <c r="AH234" s="12">
        <v>-3.9043700000000001</v>
      </c>
      <c r="AI234" s="3">
        <f t="shared" si="32"/>
        <v>-2.0249299999999977</v>
      </c>
      <c r="AJ234" s="1">
        <f t="shared" si="40"/>
        <v>1.0317726351765253</v>
      </c>
      <c r="AK234" s="11">
        <v>675.60621000000003</v>
      </c>
      <c r="AL234" s="1">
        <v>114</v>
      </c>
      <c r="AM234" s="12">
        <v>-4.9443299999999999</v>
      </c>
      <c r="AN234" s="3">
        <f t="shared" si="33"/>
        <v>-2.9787199999999956</v>
      </c>
      <c r="AO234" s="1">
        <f t="shared" si="39"/>
        <v>1.041297929365727</v>
      </c>
      <c r="AP234" s="18">
        <v>447.44301000000002</v>
      </c>
      <c r="AQ234" s="1">
        <v>114</v>
      </c>
      <c r="AR234" s="12">
        <v>33.388449999999999</v>
      </c>
      <c r="AS234" s="3">
        <f t="shared" si="34"/>
        <v>33.942260000000005</v>
      </c>
    </row>
    <row r="235" spans="1:45" ht="16" x14ac:dyDescent="0.2">
      <c r="A235" s="2">
        <v>200.01999000000001</v>
      </c>
      <c r="B235" s="1">
        <v>114.5</v>
      </c>
      <c r="C235" s="5">
        <v>102.33454999999999</v>
      </c>
      <c r="D235" s="3">
        <f t="shared" si="35"/>
        <v>102.21109999999999</v>
      </c>
      <c r="G235" s="4">
        <v>225.01209</v>
      </c>
      <c r="H235" s="1">
        <v>114.5</v>
      </c>
      <c r="I235" s="5">
        <v>99.562349999999995</v>
      </c>
      <c r="J235" s="3">
        <f t="shared" si="36"/>
        <v>101.15273999999999</v>
      </c>
      <c r="K235" s="1">
        <f t="shared" si="29"/>
        <v>2.9373456167105494E-3</v>
      </c>
      <c r="M235" s="4">
        <v>225.01579000000001</v>
      </c>
      <c r="N235" s="1">
        <v>114.5</v>
      </c>
      <c r="O235" s="5">
        <v>103.17028999999999</v>
      </c>
      <c r="P235" s="3">
        <f t="shared" si="37"/>
        <v>102.3779</v>
      </c>
      <c r="S235" s="4">
        <v>250.01104000000001</v>
      </c>
      <c r="T235" s="1">
        <v>114.5</v>
      </c>
      <c r="U235" s="3">
        <v>98.758759999999995</v>
      </c>
      <c r="V235" s="3">
        <f t="shared" si="30"/>
        <v>102.08244999999999</v>
      </c>
      <c r="W235" s="1">
        <f t="shared" si="38"/>
        <v>5.344393450213928E-4</v>
      </c>
      <c r="Y235" s="4">
        <v>250.02297999999999</v>
      </c>
      <c r="Z235" s="1">
        <v>114.5</v>
      </c>
      <c r="AA235" s="3">
        <v>104.97467</v>
      </c>
      <c r="AB235" s="3">
        <f t="shared" si="31"/>
        <v>103.36565</v>
      </c>
      <c r="AF235" s="11">
        <v>678.13532999999995</v>
      </c>
      <c r="AG235" s="1">
        <v>114.5</v>
      </c>
      <c r="AH235" s="13">
        <v>-3.9052699999999998</v>
      </c>
      <c r="AI235" s="3">
        <f t="shared" si="32"/>
        <v>-2.0258299999999991</v>
      </c>
      <c r="AJ235" s="1">
        <f t="shared" si="40"/>
        <v>1.0317816029136762</v>
      </c>
      <c r="AK235" s="11">
        <v>678.12991</v>
      </c>
      <c r="AL235" s="1">
        <v>114.5</v>
      </c>
      <c r="AM235" s="13">
        <v>-5.0198700000000001</v>
      </c>
      <c r="AN235" s="3">
        <f t="shared" si="33"/>
        <v>-3.0542599999999993</v>
      </c>
      <c r="AO235" s="1">
        <f t="shared" si="39"/>
        <v>1.0420511688375327</v>
      </c>
      <c r="AP235" s="18">
        <v>448.96825000000001</v>
      </c>
      <c r="AQ235" s="1">
        <v>114.5</v>
      </c>
      <c r="AR235" s="13">
        <v>31.180289999999999</v>
      </c>
      <c r="AS235" s="3">
        <f t="shared" si="34"/>
        <v>31.734099999999998</v>
      </c>
    </row>
    <row r="236" spans="1:45" ht="16" x14ac:dyDescent="0.2">
      <c r="A236" s="2">
        <v>200.01632000000001</v>
      </c>
      <c r="B236" s="1">
        <v>115</v>
      </c>
      <c r="C236" s="3">
        <v>102.08110000000001</v>
      </c>
      <c r="D236" s="3">
        <f t="shared" si="35"/>
        <v>101.95765</v>
      </c>
      <c r="G236" s="4">
        <v>225.00982999999999</v>
      </c>
      <c r="H236" s="1">
        <v>115</v>
      </c>
      <c r="I236" s="3">
        <v>99.531750000000002</v>
      </c>
      <c r="J236" s="3">
        <f t="shared" si="36"/>
        <v>101.12214</v>
      </c>
      <c r="K236" s="1">
        <f t="shared" si="29"/>
        <v>3.2424777614344486E-3</v>
      </c>
      <c r="M236" s="4">
        <v>225.01674</v>
      </c>
      <c r="N236" s="1">
        <v>115</v>
      </c>
      <c r="O236" s="3">
        <v>103.12148999999999</v>
      </c>
      <c r="P236" s="3">
        <f t="shared" si="37"/>
        <v>102.3291</v>
      </c>
      <c r="S236" s="4">
        <v>250.00800000000001</v>
      </c>
      <c r="T236" s="1">
        <v>115</v>
      </c>
      <c r="U236" s="5">
        <v>98.777410000000003</v>
      </c>
      <c r="V236" s="3">
        <f t="shared" si="30"/>
        <v>102.1011</v>
      </c>
      <c r="W236" s="1">
        <f t="shared" si="38"/>
        <v>3.4972300357119599E-4</v>
      </c>
      <c r="Y236" s="4">
        <v>250.02131</v>
      </c>
      <c r="Z236" s="1">
        <v>115</v>
      </c>
      <c r="AA236" s="5">
        <v>105.02538</v>
      </c>
      <c r="AB236" s="3">
        <f t="shared" si="31"/>
        <v>103.41636</v>
      </c>
      <c r="AF236" s="11">
        <v>680.64026999999999</v>
      </c>
      <c r="AG236" s="1">
        <v>115</v>
      </c>
      <c r="AH236" s="12">
        <v>-3.9090799999999999</v>
      </c>
      <c r="AI236" s="3">
        <f t="shared" si="32"/>
        <v>-2.0296400000000006</v>
      </c>
      <c r="AJ236" s="1">
        <f t="shared" si="40"/>
        <v>1.0318195663342817</v>
      </c>
      <c r="AK236" s="11">
        <v>680.63625999999999</v>
      </c>
      <c r="AL236" s="1">
        <v>115</v>
      </c>
      <c r="AM236" s="12">
        <v>-5.0014900000000004</v>
      </c>
      <c r="AN236" s="3">
        <f t="shared" si="33"/>
        <v>-3.0358800000000059</v>
      </c>
      <c r="AO236" s="1">
        <f t="shared" si="39"/>
        <v>1.0418678945260185</v>
      </c>
      <c r="AP236" s="18">
        <v>450.48390999999998</v>
      </c>
      <c r="AQ236" s="1">
        <v>115</v>
      </c>
      <c r="AR236" s="12">
        <v>28.160609999999998</v>
      </c>
      <c r="AS236" s="3">
        <f t="shared" si="34"/>
        <v>28.71441999999999</v>
      </c>
    </row>
    <row r="237" spans="1:45" ht="16" x14ac:dyDescent="0.2">
      <c r="A237" s="2">
        <v>200.01397</v>
      </c>
      <c r="B237" s="1">
        <v>115.5</v>
      </c>
      <c r="C237" s="5">
        <v>102.12193000000001</v>
      </c>
      <c r="D237" s="3">
        <f t="shared" si="35"/>
        <v>101.99848</v>
      </c>
      <c r="G237" s="4">
        <v>225.00067999999999</v>
      </c>
      <c r="H237" s="1">
        <v>115.5</v>
      </c>
      <c r="I237" s="5">
        <v>99.486710000000002</v>
      </c>
      <c r="J237" s="3">
        <f t="shared" si="36"/>
        <v>101.0771</v>
      </c>
      <c r="K237" s="1">
        <f t="shared" si="29"/>
        <v>3.6916003692242455E-3</v>
      </c>
      <c r="M237" s="4">
        <v>225.01616000000001</v>
      </c>
      <c r="N237" s="1">
        <v>115.5</v>
      </c>
      <c r="O237" s="5">
        <v>103.26837</v>
      </c>
      <c r="P237" s="3">
        <f t="shared" si="37"/>
        <v>102.47598000000001</v>
      </c>
      <c r="S237" s="4">
        <v>250.00595999999999</v>
      </c>
      <c r="T237" s="1">
        <v>115.5</v>
      </c>
      <c r="U237" s="3">
        <v>98.752759999999995</v>
      </c>
      <c r="V237" s="3">
        <f t="shared" si="30"/>
        <v>102.07644999999999</v>
      </c>
      <c r="W237" s="1">
        <f t="shared" si="38"/>
        <v>5.9386551385253198E-4</v>
      </c>
      <c r="Y237" s="4">
        <v>250.02003999999999</v>
      </c>
      <c r="Z237" s="1">
        <v>115.5</v>
      </c>
      <c r="AA237" s="3">
        <v>105.02970000000001</v>
      </c>
      <c r="AB237" s="3">
        <f t="shared" si="31"/>
        <v>103.42068</v>
      </c>
      <c r="AF237" s="11">
        <v>683.14486999999997</v>
      </c>
      <c r="AG237" s="1">
        <v>115.5</v>
      </c>
      <c r="AH237" s="13">
        <v>-3.867</v>
      </c>
      <c r="AI237" s="3">
        <f t="shared" si="32"/>
        <v>-1.987560000000002</v>
      </c>
      <c r="AJ237" s="1">
        <f t="shared" si="40"/>
        <v>1.0314002748017159</v>
      </c>
      <c r="AK237" s="11">
        <v>683.13518999999997</v>
      </c>
      <c r="AL237" s="1">
        <v>115.5</v>
      </c>
      <c r="AM237" s="13">
        <v>-4.9831599999999998</v>
      </c>
      <c r="AN237" s="3">
        <f t="shared" si="33"/>
        <v>-3.01755</v>
      </c>
      <c r="AO237" s="1">
        <f t="shared" si="39"/>
        <v>1.0416851187844485</v>
      </c>
      <c r="AP237" s="18">
        <v>451.99776000000003</v>
      </c>
      <c r="AQ237" s="1">
        <v>115.5</v>
      </c>
      <c r="AR237" s="13">
        <v>25.096309999999999</v>
      </c>
      <c r="AS237" s="3">
        <f t="shared" si="34"/>
        <v>25.650120000000001</v>
      </c>
    </row>
    <row r="238" spans="1:45" ht="16" x14ac:dyDescent="0.2">
      <c r="A238" s="2">
        <v>200.01566</v>
      </c>
      <c r="B238" s="1">
        <v>116</v>
      </c>
      <c r="C238" s="3">
        <v>102.15585</v>
      </c>
      <c r="D238" s="3">
        <f t="shared" si="35"/>
        <v>102.0324</v>
      </c>
      <c r="G238" s="4">
        <v>225.00720000000001</v>
      </c>
      <c r="H238" s="1">
        <v>116</v>
      </c>
      <c r="I238" s="3">
        <v>99.528499999999994</v>
      </c>
      <c r="J238" s="3">
        <f t="shared" si="36"/>
        <v>101.11888999999999</v>
      </c>
      <c r="K238" s="1">
        <f t="shared" si="29"/>
        <v>3.2748855872630589E-3</v>
      </c>
      <c r="M238" s="4">
        <v>225.01775000000001</v>
      </c>
      <c r="N238" s="1">
        <v>116</v>
      </c>
      <c r="O238" s="3">
        <v>103.3099</v>
      </c>
      <c r="P238" s="3">
        <f t="shared" si="37"/>
        <v>102.51751</v>
      </c>
      <c r="S238" s="4">
        <v>249.99798999999999</v>
      </c>
      <c r="T238" s="1">
        <v>116</v>
      </c>
      <c r="U238" s="5">
        <v>98.767319999999998</v>
      </c>
      <c r="V238" s="3">
        <f t="shared" si="30"/>
        <v>102.09101</v>
      </c>
      <c r="W238" s="1">
        <f t="shared" si="38"/>
        <v>4.4965801082227664E-4</v>
      </c>
      <c r="Y238" s="4">
        <v>250.01956000000001</v>
      </c>
      <c r="Z238" s="1">
        <v>116</v>
      </c>
      <c r="AA238" s="5">
        <v>105.01772</v>
      </c>
      <c r="AB238" s="3">
        <f t="shared" si="31"/>
        <v>103.4087</v>
      </c>
      <c r="AF238" s="11">
        <v>685.63247999999999</v>
      </c>
      <c r="AG238" s="1">
        <v>116</v>
      </c>
      <c r="AH238" s="12">
        <v>-3.82904</v>
      </c>
      <c r="AI238" s="3">
        <f t="shared" si="32"/>
        <v>-1.9496000000000038</v>
      </c>
      <c r="AJ238" s="1">
        <f t="shared" si="40"/>
        <v>1.0310220355769963</v>
      </c>
      <c r="AK238" s="11">
        <v>685.6327</v>
      </c>
      <c r="AL238" s="1">
        <v>116</v>
      </c>
      <c r="AM238" s="12">
        <v>-4.9436099999999996</v>
      </c>
      <c r="AN238" s="3">
        <f t="shared" si="33"/>
        <v>-2.9780000000000086</v>
      </c>
      <c r="AO238" s="1">
        <f t="shared" si="39"/>
        <v>1.0412907499585295</v>
      </c>
      <c r="AP238" s="18">
        <v>453.50495000000001</v>
      </c>
      <c r="AQ238" s="1">
        <v>116</v>
      </c>
      <c r="AR238" s="12">
        <v>22.477679999999999</v>
      </c>
      <c r="AS238" s="3">
        <f t="shared" si="34"/>
        <v>23.031489999999991</v>
      </c>
    </row>
    <row r="239" spans="1:45" ht="16" x14ac:dyDescent="0.2">
      <c r="A239" s="2">
        <v>200.01261</v>
      </c>
      <c r="B239" s="1">
        <v>116.5</v>
      </c>
      <c r="C239" s="5">
        <v>102.22532</v>
      </c>
      <c r="D239" s="3">
        <f t="shared" si="35"/>
        <v>102.10186999999999</v>
      </c>
      <c r="G239" s="4">
        <v>224.99970999999999</v>
      </c>
      <c r="H239" s="1">
        <v>116.5</v>
      </c>
      <c r="I239" s="5">
        <v>99.486540000000005</v>
      </c>
      <c r="J239" s="3">
        <f t="shared" si="36"/>
        <v>101.07693</v>
      </c>
      <c r="K239" s="1">
        <f t="shared" si="29"/>
        <v>3.6932955478060163E-3</v>
      </c>
      <c r="M239" s="4">
        <v>225.02575999999999</v>
      </c>
      <c r="N239" s="1">
        <v>116.5</v>
      </c>
      <c r="O239" s="5">
        <v>103.40544</v>
      </c>
      <c r="P239" s="3">
        <f t="shared" si="37"/>
        <v>102.61305</v>
      </c>
      <c r="S239" s="4">
        <v>249.99901</v>
      </c>
      <c r="T239" s="1">
        <v>116.5</v>
      </c>
      <c r="U239" s="3">
        <v>98.738550000000004</v>
      </c>
      <c r="V239" s="3">
        <f t="shared" si="30"/>
        <v>102.06224</v>
      </c>
      <c r="W239" s="1">
        <f t="shared" si="38"/>
        <v>7.3460649036752258E-4</v>
      </c>
      <c r="Y239" s="4">
        <v>250.01909000000001</v>
      </c>
      <c r="Z239" s="1">
        <v>116.5</v>
      </c>
      <c r="AA239" s="3">
        <v>105.12002</v>
      </c>
      <c r="AB239" s="3">
        <f t="shared" si="31"/>
        <v>103.511</v>
      </c>
      <c r="AF239" s="11">
        <v>688.13827000000003</v>
      </c>
      <c r="AG239" s="1">
        <v>116.5</v>
      </c>
      <c r="AH239" s="13">
        <v>-3.8951699999999998</v>
      </c>
      <c r="AI239" s="3">
        <f t="shared" si="32"/>
        <v>-2.0157299999999907</v>
      </c>
      <c r="AJ239" s="1">
        <f t="shared" si="40"/>
        <v>1.0316809649745384</v>
      </c>
      <c r="AK239" s="11">
        <v>688.12863000000004</v>
      </c>
      <c r="AL239" s="1">
        <v>116.5</v>
      </c>
      <c r="AM239" s="13">
        <v>-5.0091099999999997</v>
      </c>
      <c r="AN239" s="3">
        <f t="shared" si="33"/>
        <v>-3.0434999999999945</v>
      </c>
      <c r="AO239" s="1">
        <f t="shared" si="39"/>
        <v>1.0419438765855253</v>
      </c>
      <c r="AP239" s="18">
        <v>454.96834000000001</v>
      </c>
      <c r="AQ239" s="1">
        <v>116.5</v>
      </c>
      <c r="AR239" s="13">
        <v>19.017340000000001</v>
      </c>
      <c r="AS239" s="3">
        <f t="shared" si="34"/>
        <v>19.571150000000003</v>
      </c>
    </row>
    <row r="240" spans="1:45" ht="16" x14ac:dyDescent="0.2">
      <c r="A240" s="2">
        <v>200.01140000000001</v>
      </c>
      <c r="B240" s="1">
        <v>117</v>
      </c>
      <c r="C240" s="3">
        <v>102.00660000000001</v>
      </c>
      <c r="D240" s="3">
        <f t="shared" si="35"/>
        <v>101.88315</v>
      </c>
      <c r="G240" s="4">
        <v>225.00622000000001</v>
      </c>
      <c r="H240" s="1">
        <v>117</v>
      </c>
      <c r="I240" s="3">
        <v>99.522289999999998</v>
      </c>
      <c r="J240" s="3">
        <f t="shared" si="36"/>
        <v>101.11268</v>
      </c>
      <c r="K240" s="1">
        <f t="shared" si="29"/>
        <v>3.3368094636922942E-3</v>
      </c>
      <c r="M240" s="4">
        <v>225.024</v>
      </c>
      <c r="N240" s="1">
        <v>117</v>
      </c>
      <c r="O240" s="3">
        <v>103.05767</v>
      </c>
      <c r="P240" s="3">
        <f t="shared" si="37"/>
        <v>102.26528</v>
      </c>
      <c r="S240" s="4">
        <v>250.00104999999999</v>
      </c>
      <c r="T240" s="1">
        <v>117</v>
      </c>
      <c r="U240" s="5">
        <v>98.757409999999993</v>
      </c>
      <c r="V240" s="3">
        <f t="shared" si="30"/>
        <v>102.08109999999999</v>
      </c>
      <c r="W240" s="1">
        <f t="shared" si="38"/>
        <v>5.478102330084202E-4</v>
      </c>
      <c r="Y240" s="4">
        <v>250.01875000000001</v>
      </c>
      <c r="Z240" s="1">
        <v>117</v>
      </c>
      <c r="AA240" s="5">
        <v>105.03255</v>
      </c>
      <c r="AB240" s="3">
        <f t="shared" si="31"/>
        <v>103.42353</v>
      </c>
      <c r="AF240" s="11">
        <v>690.64265999999998</v>
      </c>
      <c r="AG240" s="1">
        <v>117</v>
      </c>
      <c r="AH240" s="12">
        <v>-3.9418600000000001</v>
      </c>
      <c r="AI240" s="3">
        <f t="shared" si="32"/>
        <v>-2.062420000000003</v>
      </c>
      <c r="AJ240" s="1">
        <f t="shared" si="40"/>
        <v>1.0321461912496217</v>
      </c>
      <c r="AK240" s="11">
        <v>690.63165000000004</v>
      </c>
      <c r="AL240" s="1">
        <v>117</v>
      </c>
      <c r="AM240" s="12">
        <v>-5.0396299999999998</v>
      </c>
      <c r="AN240" s="3">
        <f t="shared" si="33"/>
        <v>-3.0740200000000044</v>
      </c>
      <c r="AO240" s="1">
        <f t="shared" si="39"/>
        <v>1.0422482036795089</v>
      </c>
      <c r="AP240" s="18">
        <v>456.4135</v>
      </c>
      <c r="AQ240" s="1">
        <v>117</v>
      </c>
      <c r="AR240" s="12">
        <v>16.488199999999999</v>
      </c>
      <c r="AS240" s="3">
        <f t="shared" si="34"/>
        <v>17.042010000000005</v>
      </c>
    </row>
    <row r="241" spans="1:45" ht="16" x14ac:dyDescent="0.2">
      <c r="A241" s="2">
        <v>200.01577</v>
      </c>
      <c r="B241" s="1">
        <v>117.5</v>
      </c>
      <c r="C241" s="5">
        <v>102.2972</v>
      </c>
      <c r="D241" s="3">
        <f t="shared" si="35"/>
        <v>102.17375</v>
      </c>
      <c r="G241" s="4">
        <v>225.00597999999999</v>
      </c>
      <c r="H241" s="1">
        <v>117.5</v>
      </c>
      <c r="I241" s="5">
        <v>99.520250000000004</v>
      </c>
      <c r="J241" s="3">
        <f t="shared" si="36"/>
        <v>101.11064</v>
      </c>
      <c r="K241" s="1">
        <f t="shared" si="29"/>
        <v>3.357151606673831E-3</v>
      </c>
      <c r="M241" s="4">
        <v>225.02282</v>
      </c>
      <c r="N241" s="1">
        <v>117.5</v>
      </c>
      <c r="O241" s="5">
        <v>103.26518</v>
      </c>
      <c r="P241" s="3">
        <f t="shared" si="37"/>
        <v>102.47279</v>
      </c>
      <c r="S241" s="4">
        <v>250.00102000000001</v>
      </c>
      <c r="T241" s="1">
        <v>117.5</v>
      </c>
      <c r="U241" s="3">
        <v>98.744349999999997</v>
      </c>
      <c r="V241" s="3">
        <f t="shared" si="30"/>
        <v>102.06804</v>
      </c>
      <c r="W241" s="1">
        <f t="shared" si="38"/>
        <v>6.7716119383082044E-4</v>
      </c>
      <c r="Y241" s="4">
        <v>250.01943</v>
      </c>
      <c r="Z241" s="1">
        <v>117.5</v>
      </c>
      <c r="AA241" s="3">
        <v>105.0284</v>
      </c>
      <c r="AB241" s="3">
        <f t="shared" si="31"/>
        <v>103.41938</v>
      </c>
      <c r="AF241" s="11">
        <v>693.14445999999998</v>
      </c>
      <c r="AG241" s="1">
        <v>117.5</v>
      </c>
      <c r="AH241" s="13">
        <v>-3.93371</v>
      </c>
      <c r="AI241" s="3">
        <f t="shared" si="32"/>
        <v>-2.0542700000000025</v>
      </c>
      <c r="AJ241" s="1">
        <f t="shared" si="40"/>
        <v>1.0320649834076443</v>
      </c>
      <c r="AK241" s="11">
        <v>693.13643000000002</v>
      </c>
      <c r="AL241" s="1">
        <v>117.5</v>
      </c>
      <c r="AM241" s="13">
        <v>-5.0287199999999999</v>
      </c>
      <c r="AN241" s="3">
        <f t="shared" si="33"/>
        <v>-3.0631099999999947</v>
      </c>
      <c r="AO241" s="1">
        <f t="shared" si="39"/>
        <v>1.0421394157176687</v>
      </c>
      <c r="AP241" s="18">
        <v>457.82058000000001</v>
      </c>
      <c r="AQ241" s="1">
        <v>117.5</v>
      </c>
      <c r="AR241" s="13">
        <v>13.52904</v>
      </c>
      <c r="AS241" s="3">
        <f t="shared" si="34"/>
        <v>14.082849999999993</v>
      </c>
    </row>
    <row r="242" spans="1:45" ht="16" x14ac:dyDescent="0.2">
      <c r="A242" s="2">
        <v>200.01468</v>
      </c>
      <c r="B242" s="1">
        <v>118</v>
      </c>
      <c r="C242" s="3">
        <v>102.32752000000001</v>
      </c>
      <c r="D242" s="3">
        <f t="shared" si="35"/>
        <v>102.20407</v>
      </c>
      <c r="G242" s="4">
        <v>225.00603000000001</v>
      </c>
      <c r="H242" s="1">
        <v>118</v>
      </c>
      <c r="I242" s="3">
        <v>99.505769999999998</v>
      </c>
      <c r="J242" s="3">
        <f t="shared" si="36"/>
        <v>101.09616</v>
      </c>
      <c r="K242" s="1">
        <f t="shared" si="29"/>
        <v>3.5015409352883724E-3</v>
      </c>
      <c r="M242" s="4">
        <v>225.02602999999999</v>
      </c>
      <c r="N242" s="1">
        <v>118</v>
      </c>
      <c r="O242" s="3">
        <v>103.22632</v>
      </c>
      <c r="P242" s="3">
        <f t="shared" si="37"/>
        <v>102.43393</v>
      </c>
      <c r="S242" s="4">
        <v>250.00707</v>
      </c>
      <c r="T242" s="1">
        <v>118</v>
      </c>
      <c r="U242" s="5">
        <v>98.752920000000003</v>
      </c>
      <c r="V242" s="3">
        <f t="shared" si="30"/>
        <v>102.07661</v>
      </c>
      <c r="W242" s="1">
        <f t="shared" si="38"/>
        <v>5.9228081601695425E-4</v>
      </c>
      <c r="Y242" s="4">
        <v>250.02110999999999</v>
      </c>
      <c r="Z242" s="1">
        <v>118</v>
      </c>
      <c r="AA242" s="5">
        <v>105.06788</v>
      </c>
      <c r="AB242" s="3">
        <f t="shared" si="31"/>
        <v>103.45886</v>
      </c>
      <c r="AF242" s="11">
        <v>695.64819</v>
      </c>
      <c r="AG242" s="1">
        <v>118</v>
      </c>
      <c r="AH242" s="12">
        <v>-3.9145599999999998</v>
      </c>
      <c r="AI242" s="3">
        <f t="shared" si="32"/>
        <v>-2.035119999999992</v>
      </c>
      <c r="AJ242" s="1">
        <f t="shared" si="40"/>
        <v>1.0318741698893781</v>
      </c>
      <c r="AK242" s="11">
        <v>695.64080999999999</v>
      </c>
      <c r="AL242" s="1">
        <v>118</v>
      </c>
      <c r="AM242" s="12">
        <v>-5.0341699999999996</v>
      </c>
      <c r="AN242" s="3">
        <f t="shared" si="33"/>
        <v>-3.0685600000000051</v>
      </c>
      <c r="AO242" s="1">
        <f t="shared" si="39"/>
        <v>1.0421937598415945</v>
      </c>
      <c r="AP242" s="18">
        <v>459.17532</v>
      </c>
      <c r="AQ242" s="1">
        <v>118</v>
      </c>
      <c r="AR242" s="12">
        <v>10.85544</v>
      </c>
      <c r="AS242" s="3">
        <f t="shared" si="34"/>
        <v>11.40925</v>
      </c>
    </row>
    <row r="243" spans="1:45" ht="16" x14ac:dyDescent="0.2">
      <c r="A243" s="2">
        <v>200.0103</v>
      </c>
      <c r="B243" s="1">
        <v>118.5</v>
      </c>
      <c r="C243" s="5">
        <v>102.42169</v>
      </c>
      <c r="D243" s="3">
        <f t="shared" si="35"/>
        <v>102.29823999999999</v>
      </c>
      <c r="G243" s="4">
        <v>225.01103000000001</v>
      </c>
      <c r="H243" s="1">
        <v>118.5</v>
      </c>
      <c r="I243" s="5">
        <v>99.521019999999993</v>
      </c>
      <c r="J243" s="3">
        <f t="shared" si="36"/>
        <v>101.11140999999999</v>
      </c>
      <c r="K243" s="1">
        <f t="shared" si="29"/>
        <v>3.3494734448622629E-3</v>
      </c>
      <c r="M243" s="4">
        <v>225.02508</v>
      </c>
      <c r="N243" s="1">
        <v>118.5</v>
      </c>
      <c r="O243" s="5">
        <v>103.09527</v>
      </c>
      <c r="P243" s="3">
        <f t="shared" si="37"/>
        <v>102.30288</v>
      </c>
      <c r="S243" s="4">
        <v>250.00793999999999</v>
      </c>
      <c r="T243" s="1">
        <v>118.5</v>
      </c>
      <c r="U243" s="3">
        <v>98.744739999999993</v>
      </c>
      <c r="V243" s="3">
        <f t="shared" si="30"/>
        <v>102.06842999999999</v>
      </c>
      <c r="W243" s="1">
        <f t="shared" si="38"/>
        <v>6.7329849285683717E-4</v>
      </c>
      <c r="Y243" s="4">
        <v>250.02194</v>
      </c>
      <c r="Z243" s="1">
        <v>118.5</v>
      </c>
      <c r="AA243" s="3">
        <v>105.09838999999999</v>
      </c>
      <c r="AB243" s="3">
        <f t="shared" si="31"/>
        <v>103.48936999999999</v>
      </c>
      <c r="AF243" s="11">
        <v>698.14688999999998</v>
      </c>
      <c r="AG243" s="1">
        <v>118.5</v>
      </c>
      <c r="AH243" s="13">
        <v>-3.9396</v>
      </c>
      <c r="AI243" s="3">
        <f t="shared" si="32"/>
        <v>-2.0601599999999962</v>
      </c>
      <c r="AJ243" s="1">
        <f t="shared" si="40"/>
        <v>1.0321236722652205</v>
      </c>
      <c r="AK243" s="11">
        <v>698.13765999999998</v>
      </c>
      <c r="AL243" s="1">
        <v>118.5</v>
      </c>
      <c r="AM243" s="13">
        <v>-5.0497699999999996</v>
      </c>
      <c r="AN243" s="3">
        <f t="shared" si="33"/>
        <v>-3.0841599999999971</v>
      </c>
      <c r="AO243" s="1">
        <f t="shared" si="39"/>
        <v>1.0423493136642072</v>
      </c>
      <c r="AP243" s="18">
        <v>460.42403000000002</v>
      </c>
      <c r="AQ243" s="1">
        <v>118.5</v>
      </c>
      <c r="AR243" s="13">
        <v>8.2563200000000005</v>
      </c>
      <c r="AS243" s="3">
        <f t="shared" si="34"/>
        <v>8.8101300000000009</v>
      </c>
    </row>
    <row r="244" spans="1:45" ht="16" x14ac:dyDescent="0.2">
      <c r="A244" s="2">
        <v>200.00976</v>
      </c>
      <c r="B244" s="1">
        <v>119</v>
      </c>
      <c r="C244" s="3">
        <v>102.14757</v>
      </c>
      <c r="D244" s="3">
        <f t="shared" si="35"/>
        <v>102.02412</v>
      </c>
      <c r="G244" s="4">
        <v>225.00595999999999</v>
      </c>
      <c r="H244" s="1">
        <v>119</v>
      </c>
      <c r="I244" s="3">
        <v>99.490769999999998</v>
      </c>
      <c r="J244" s="3">
        <f t="shared" si="36"/>
        <v>101.08116</v>
      </c>
      <c r="K244" s="1">
        <f t="shared" si="29"/>
        <v>3.6511155160354231E-3</v>
      </c>
      <c r="M244" s="4">
        <v>225.02447000000001</v>
      </c>
      <c r="N244" s="1">
        <v>119</v>
      </c>
      <c r="O244" s="3">
        <v>103.3471</v>
      </c>
      <c r="P244" s="3">
        <f t="shared" si="37"/>
        <v>102.55471</v>
      </c>
      <c r="S244" s="4">
        <v>250.00201999999999</v>
      </c>
      <c r="T244" s="1">
        <v>119</v>
      </c>
      <c r="U244" s="5">
        <v>98.748660000000001</v>
      </c>
      <c r="V244" s="3">
        <f t="shared" si="30"/>
        <v>102.07235</v>
      </c>
      <c r="W244" s="1">
        <f t="shared" si="38"/>
        <v>6.3447339588708265E-4</v>
      </c>
      <c r="Y244" s="4">
        <v>250.01832999999999</v>
      </c>
      <c r="Z244" s="1">
        <v>119</v>
      </c>
      <c r="AA244" s="5">
        <v>105.12096</v>
      </c>
      <c r="AB244" s="3">
        <f t="shared" si="31"/>
        <v>103.51194</v>
      </c>
      <c r="AF244" s="11">
        <v>700.64867000000004</v>
      </c>
      <c r="AG244" s="1">
        <v>119</v>
      </c>
      <c r="AH244" s="12">
        <v>-3.92801</v>
      </c>
      <c r="AI244" s="3">
        <f t="shared" si="32"/>
        <v>-2.048569999999998</v>
      </c>
      <c r="AJ244" s="1">
        <f t="shared" si="40"/>
        <v>1.0320081877390219</v>
      </c>
      <c r="AK244" s="11">
        <v>700.63762999999994</v>
      </c>
      <c r="AL244" s="1">
        <v>119</v>
      </c>
      <c r="AM244" s="12">
        <v>-5.0058600000000002</v>
      </c>
      <c r="AN244" s="3">
        <f t="shared" si="33"/>
        <v>-3.0402500000000003</v>
      </c>
      <c r="AO244" s="1">
        <f t="shared" si="39"/>
        <v>1.0419114695391478</v>
      </c>
      <c r="AP244" s="18">
        <v>461.71244999999999</v>
      </c>
      <c r="AQ244" s="1">
        <v>119</v>
      </c>
      <c r="AR244" s="12">
        <v>6.0529900000000003</v>
      </c>
      <c r="AS244" s="3">
        <f t="shared" si="34"/>
        <v>6.6067999999999927</v>
      </c>
    </row>
    <row r="245" spans="1:45" ht="16" x14ac:dyDescent="0.2">
      <c r="A245" s="2">
        <v>200.01334</v>
      </c>
      <c r="B245" s="1">
        <v>119.5</v>
      </c>
      <c r="C245" s="5">
        <v>102.33812</v>
      </c>
      <c r="D245" s="3">
        <f t="shared" si="35"/>
        <v>102.21467</v>
      </c>
      <c r="G245" s="4">
        <v>225.00689</v>
      </c>
      <c r="H245" s="1">
        <v>119.5</v>
      </c>
      <c r="I245" s="5">
        <v>99.534009999999995</v>
      </c>
      <c r="J245" s="3">
        <f t="shared" si="36"/>
        <v>101.12439999999999</v>
      </c>
      <c r="K245" s="1">
        <f t="shared" si="29"/>
        <v>3.219941857935301E-3</v>
      </c>
      <c r="M245" s="4">
        <v>225.02215000000001</v>
      </c>
      <c r="N245" s="1">
        <v>119.5</v>
      </c>
      <c r="O245" s="5">
        <v>103.44859</v>
      </c>
      <c r="P245" s="3">
        <f t="shared" si="37"/>
        <v>102.6562</v>
      </c>
      <c r="S245" s="4">
        <v>249.99797000000001</v>
      </c>
      <c r="T245" s="1">
        <v>119.5</v>
      </c>
      <c r="U245" s="3">
        <v>98.750829999999993</v>
      </c>
      <c r="V245" s="3">
        <f t="shared" si="30"/>
        <v>102.07451999999999</v>
      </c>
      <c r="W245" s="1">
        <f t="shared" si="38"/>
        <v>6.1298093149322961E-4</v>
      </c>
      <c r="Y245" s="4">
        <v>250.01659000000001</v>
      </c>
      <c r="Z245" s="1">
        <v>119.5</v>
      </c>
      <c r="AA245" s="3">
        <v>105.02302</v>
      </c>
      <c r="AB245" s="3">
        <f t="shared" si="31"/>
        <v>103.414</v>
      </c>
      <c r="AF245" s="11">
        <v>703.15120000000002</v>
      </c>
      <c r="AG245" s="1">
        <v>119.5</v>
      </c>
      <c r="AH245" s="13">
        <v>-3.9582199999999998</v>
      </c>
      <c r="AI245" s="3">
        <f t="shared" si="32"/>
        <v>-2.0787799999999947</v>
      </c>
      <c r="AJ245" s="1">
        <f t="shared" si="40"/>
        <v>1.0323092047827198</v>
      </c>
      <c r="AK245" s="11">
        <v>703.14205000000004</v>
      </c>
      <c r="AL245" s="1">
        <v>119.5</v>
      </c>
      <c r="AM245" s="13">
        <v>-5.0490899999999996</v>
      </c>
      <c r="AN245" s="3">
        <f t="shared" si="33"/>
        <v>-3.0834800000000087</v>
      </c>
      <c r="AO245" s="1">
        <f t="shared" si="39"/>
        <v>1.0423425331129652</v>
      </c>
      <c r="AP245" s="18">
        <v>463.10093000000001</v>
      </c>
      <c r="AQ245" s="1">
        <v>119.5</v>
      </c>
      <c r="AR245" s="13">
        <v>4.5121599999999997</v>
      </c>
      <c r="AS245" s="3">
        <f t="shared" si="34"/>
        <v>5.065969999999993</v>
      </c>
    </row>
    <row r="246" spans="1:45" ht="16" x14ac:dyDescent="0.2">
      <c r="A246" s="2">
        <v>200.01340999999999</v>
      </c>
      <c r="B246" s="1">
        <v>120</v>
      </c>
      <c r="C246" s="3">
        <v>102.31650999999999</v>
      </c>
      <c r="D246" s="3">
        <f t="shared" si="35"/>
        <v>102.19305999999999</v>
      </c>
      <c r="G246" s="4">
        <v>225.00403</v>
      </c>
      <c r="H246" s="1">
        <v>120</v>
      </c>
      <c r="I246" s="3">
        <v>99.496409999999997</v>
      </c>
      <c r="J246" s="3">
        <f t="shared" si="36"/>
        <v>101.0868</v>
      </c>
      <c r="K246" s="1">
        <f t="shared" si="29"/>
        <v>3.5948754736745375E-3</v>
      </c>
      <c r="M246" s="4">
        <v>225.01775000000001</v>
      </c>
      <c r="N246" s="1">
        <v>120</v>
      </c>
      <c r="O246" s="3">
        <v>103.37307</v>
      </c>
      <c r="P246" s="3">
        <f t="shared" si="37"/>
        <v>102.58068</v>
      </c>
      <c r="S246" s="4">
        <v>250.00094999999999</v>
      </c>
      <c r="T246" s="1">
        <v>120</v>
      </c>
      <c r="U246" s="5">
        <v>98.730189999999993</v>
      </c>
      <c r="V246" s="3">
        <f t="shared" si="30"/>
        <v>102.05387999999999</v>
      </c>
      <c r="W246" s="1">
        <f t="shared" si="38"/>
        <v>8.1740695227234248E-4</v>
      </c>
      <c r="Y246" s="4">
        <v>250.01468</v>
      </c>
      <c r="Z246" s="1">
        <v>120</v>
      </c>
      <c r="AA246" s="5">
        <v>105.17759</v>
      </c>
      <c r="AB246" s="3">
        <f t="shared" si="31"/>
        <v>103.56856999999999</v>
      </c>
      <c r="AF246" s="11">
        <v>705.65570000000002</v>
      </c>
      <c r="AG246" s="1">
        <v>120</v>
      </c>
      <c r="AH246" s="12">
        <v>-3.9876399999999999</v>
      </c>
      <c r="AI246" s="3">
        <f t="shared" si="32"/>
        <v>-2.1081999999999965</v>
      </c>
      <c r="AJ246" s="1">
        <f t="shared" si="40"/>
        <v>1.03260235014603</v>
      </c>
      <c r="AK246" s="11">
        <v>705.63914</v>
      </c>
      <c r="AL246" s="1">
        <v>120</v>
      </c>
      <c r="AM246" s="12">
        <v>-5.0828899999999999</v>
      </c>
      <c r="AN246" s="3">
        <f t="shared" si="33"/>
        <v>-3.117280000000008</v>
      </c>
      <c r="AO246" s="1">
        <f t="shared" si="39"/>
        <v>1.042679566395293</v>
      </c>
      <c r="AP246" s="18">
        <v>464.60962999999998</v>
      </c>
      <c r="AQ246" s="1">
        <v>120</v>
      </c>
      <c r="AR246" s="12">
        <v>3.0152899999999998</v>
      </c>
      <c r="AS246" s="3">
        <f t="shared" si="34"/>
        <v>3.5690999999999917</v>
      </c>
    </row>
    <row r="247" spans="1:45" ht="16" x14ac:dyDescent="0.2">
      <c r="A247" s="2">
        <v>200.0104</v>
      </c>
      <c r="B247" s="1">
        <v>120.5</v>
      </c>
      <c r="C247" s="5">
        <v>102.21303</v>
      </c>
      <c r="D247" s="3">
        <f t="shared" si="35"/>
        <v>102.08958</v>
      </c>
      <c r="G247" s="4">
        <v>225.00496999999999</v>
      </c>
      <c r="H247" s="1">
        <v>120.5</v>
      </c>
      <c r="I247" s="5">
        <v>99.515519999999995</v>
      </c>
      <c r="J247" s="3">
        <f t="shared" si="36"/>
        <v>101.10590999999999</v>
      </c>
      <c r="K247" s="1">
        <f t="shared" ref="K247:K310" si="41">($J$118-J247)/($J$118*(1-$H$1))</f>
        <v>3.4043174578028243E-3</v>
      </c>
      <c r="M247" s="4">
        <v>225.01362</v>
      </c>
      <c r="N247" s="1">
        <v>120.5</v>
      </c>
      <c r="O247" s="5">
        <v>103.34394</v>
      </c>
      <c r="P247" s="3">
        <f t="shared" si="37"/>
        <v>102.55155000000001</v>
      </c>
      <c r="S247" s="4">
        <v>250.00300999999999</v>
      </c>
      <c r="T247" s="1">
        <v>120.5</v>
      </c>
      <c r="U247" s="3">
        <v>98.74427</v>
      </c>
      <c r="V247" s="3">
        <f t="shared" si="30"/>
        <v>102.06796</v>
      </c>
      <c r="W247" s="1">
        <f t="shared" si="38"/>
        <v>6.7795354274853895E-4</v>
      </c>
      <c r="Y247" s="4">
        <v>250.01264</v>
      </c>
      <c r="Z247" s="1">
        <v>120.5</v>
      </c>
      <c r="AA247" s="3">
        <v>105.0668</v>
      </c>
      <c r="AB247" s="3">
        <f t="shared" si="31"/>
        <v>103.45778</v>
      </c>
      <c r="AF247" s="11">
        <v>708.15323000000001</v>
      </c>
      <c r="AG247" s="1">
        <v>120.5</v>
      </c>
      <c r="AH247" s="13">
        <v>-4.0059399999999998</v>
      </c>
      <c r="AI247" s="3">
        <f t="shared" si="32"/>
        <v>-2.126499999999993</v>
      </c>
      <c r="AJ247" s="1">
        <f t="shared" si="40"/>
        <v>1.0327846941347645</v>
      </c>
      <c r="AK247" s="11">
        <v>708.14705000000004</v>
      </c>
      <c r="AL247" s="1">
        <v>120.5</v>
      </c>
      <c r="AM247" s="13">
        <v>-5.0813699999999997</v>
      </c>
      <c r="AN247" s="3">
        <f t="shared" si="33"/>
        <v>-3.1157599999999945</v>
      </c>
      <c r="AO247" s="1">
        <f t="shared" si="39"/>
        <v>1.042664409868987</v>
      </c>
      <c r="AP247" s="18">
        <v>466.09487000000001</v>
      </c>
      <c r="AQ247" s="1">
        <v>120.5</v>
      </c>
      <c r="AR247" s="13">
        <v>1.7880199999999999</v>
      </c>
      <c r="AS247" s="3">
        <f t="shared" si="34"/>
        <v>2.3418300000000016</v>
      </c>
    </row>
    <row r="248" spans="1:45" ht="16" x14ac:dyDescent="0.2">
      <c r="A248" s="2">
        <v>200.01143999999999</v>
      </c>
      <c r="B248" s="1">
        <v>121</v>
      </c>
      <c r="C248" s="3">
        <v>102.17258</v>
      </c>
      <c r="D248" s="3">
        <f t="shared" si="35"/>
        <v>102.04912999999999</v>
      </c>
      <c r="G248" s="4">
        <v>224.99794</v>
      </c>
      <c r="H248" s="1">
        <v>121</v>
      </c>
      <c r="I248" s="3">
        <v>99.441149999999993</v>
      </c>
      <c r="J248" s="3">
        <f t="shared" si="36"/>
        <v>101.03153999999999</v>
      </c>
      <c r="K248" s="1">
        <f t="shared" si="41"/>
        <v>4.1459082291466932E-3</v>
      </c>
      <c r="M248" s="4">
        <v>225.01199</v>
      </c>
      <c r="N248" s="1">
        <v>121</v>
      </c>
      <c r="O248" s="3">
        <v>103.33472</v>
      </c>
      <c r="P248" s="3">
        <f t="shared" si="37"/>
        <v>102.54233000000001</v>
      </c>
      <c r="S248" s="4">
        <v>250.00299999999999</v>
      </c>
      <c r="T248" s="1">
        <v>121</v>
      </c>
      <c r="U248" s="5">
        <v>98.735969999999995</v>
      </c>
      <c r="V248" s="3">
        <f t="shared" si="30"/>
        <v>102.05965999999999</v>
      </c>
      <c r="W248" s="1">
        <f t="shared" si="38"/>
        <v>7.6015974296499969E-4</v>
      </c>
      <c r="Y248" s="4">
        <v>250.00899999999999</v>
      </c>
      <c r="Z248" s="1">
        <v>121</v>
      </c>
      <c r="AA248" s="5">
        <v>105.14549</v>
      </c>
      <c r="AB248" s="3">
        <f t="shared" si="31"/>
        <v>103.53646999999999</v>
      </c>
      <c r="AF248" s="11">
        <v>710.64972</v>
      </c>
      <c r="AG248" s="1">
        <v>121</v>
      </c>
      <c r="AH248" s="12">
        <v>-4.0289000000000001</v>
      </c>
      <c r="AI248" s="3">
        <f t="shared" si="32"/>
        <v>-2.1494600000000048</v>
      </c>
      <c r="AJ248" s="1">
        <f t="shared" si="40"/>
        <v>1.0330134710736361</v>
      </c>
      <c r="AK248" s="11">
        <v>710.64931000000001</v>
      </c>
      <c r="AL248" s="1">
        <v>121</v>
      </c>
      <c r="AM248" s="12">
        <v>-5.1243699999999999</v>
      </c>
      <c r="AN248" s="3">
        <f t="shared" si="33"/>
        <v>-3.1587600000000009</v>
      </c>
      <c r="AO248" s="1">
        <f t="shared" si="39"/>
        <v>1.0430931800210608</v>
      </c>
      <c r="AP248" s="18">
        <v>467.54487999999998</v>
      </c>
      <c r="AQ248" s="1">
        <v>121</v>
      </c>
      <c r="AR248" s="12">
        <v>0.79386000000000001</v>
      </c>
      <c r="AS248" s="3">
        <f t="shared" si="34"/>
        <v>1.3476699999999937</v>
      </c>
    </row>
    <row r="249" spans="1:45" ht="16" x14ac:dyDescent="0.2">
      <c r="A249" s="2">
        <v>200.01064</v>
      </c>
      <c r="B249" s="1">
        <v>121.5</v>
      </c>
      <c r="C249" s="5">
        <v>102.23007</v>
      </c>
      <c r="D249" s="3">
        <f t="shared" si="35"/>
        <v>102.10661999999999</v>
      </c>
      <c r="G249" s="4">
        <v>225.00126</v>
      </c>
      <c r="H249" s="1">
        <v>121.5</v>
      </c>
      <c r="I249" s="5">
        <v>99.485929999999996</v>
      </c>
      <c r="J249" s="3">
        <f t="shared" si="36"/>
        <v>101.07632</v>
      </c>
      <c r="K249" s="1">
        <f t="shared" si="41"/>
        <v>3.6993782474231515E-3</v>
      </c>
      <c r="M249" s="4">
        <v>225.01429999999999</v>
      </c>
      <c r="N249" s="1">
        <v>121.5</v>
      </c>
      <c r="O249" s="5">
        <v>103.26064</v>
      </c>
      <c r="P249" s="3">
        <f t="shared" si="37"/>
        <v>102.46825</v>
      </c>
      <c r="S249" s="4">
        <v>250.00403</v>
      </c>
      <c r="T249" s="1">
        <v>121.5</v>
      </c>
      <c r="U249" s="3">
        <v>98.746430000000004</v>
      </c>
      <c r="V249" s="3">
        <f t="shared" si="30"/>
        <v>102.07012</v>
      </c>
      <c r="W249" s="1">
        <f t="shared" si="38"/>
        <v>6.5656012196929506E-4</v>
      </c>
      <c r="Y249" s="4">
        <v>250.01383999999999</v>
      </c>
      <c r="Z249" s="1">
        <v>121.5</v>
      </c>
      <c r="AA249" s="3">
        <v>105.16861</v>
      </c>
      <c r="AB249" s="3">
        <f t="shared" si="31"/>
        <v>103.55959</v>
      </c>
      <c r="AF249" s="11">
        <v>713.15143</v>
      </c>
      <c r="AG249" s="1">
        <v>121.5</v>
      </c>
      <c r="AH249" s="13">
        <v>-4.0218699999999998</v>
      </c>
      <c r="AI249" s="3">
        <f t="shared" si="32"/>
        <v>-2.1424299999999903</v>
      </c>
      <c r="AJ249" s="1">
        <f t="shared" si="40"/>
        <v>1.0329434230823351</v>
      </c>
      <c r="AK249" s="11">
        <v>713.15013999999996</v>
      </c>
      <c r="AL249" s="1">
        <v>121.5</v>
      </c>
      <c r="AM249" s="13">
        <v>-5.0784900000000004</v>
      </c>
      <c r="AN249" s="3">
        <f t="shared" si="33"/>
        <v>-3.1128800000000041</v>
      </c>
      <c r="AO249" s="1">
        <f t="shared" si="39"/>
        <v>1.0426356922401969</v>
      </c>
      <c r="AP249" s="18">
        <v>469.02071999999998</v>
      </c>
      <c r="AQ249" s="1">
        <v>121.5</v>
      </c>
      <c r="AR249" s="13">
        <v>0.13711000000000001</v>
      </c>
      <c r="AS249" s="3">
        <f t="shared" si="34"/>
        <v>0.69092000000000553</v>
      </c>
    </row>
    <row r="250" spans="1:45" ht="16" x14ac:dyDescent="0.2">
      <c r="A250" s="2">
        <v>200.01479</v>
      </c>
      <c r="B250" s="1">
        <v>122</v>
      </c>
      <c r="C250" s="3">
        <v>102.18600000000001</v>
      </c>
      <c r="D250" s="3">
        <f t="shared" si="35"/>
        <v>102.06255</v>
      </c>
      <c r="G250" s="4">
        <v>225.00418999999999</v>
      </c>
      <c r="H250" s="1">
        <v>122</v>
      </c>
      <c r="I250" s="3">
        <v>99.48706</v>
      </c>
      <c r="J250" s="3">
        <f t="shared" si="36"/>
        <v>101.07745</v>
      </c>
      <c r="K250" s="1">
        <f t="shared" si="41"/>
        <v>3.688110295673507E-3</v>
      </c>
      <c r="M250" s="4">
        <v>225.01727</v>
      </c>
      <c r="N250" s="1">
        <v>122</v>
      </c>
      <c r="O250" s="3">
        <v>103.30938999999999</v>
      </c>
      <c r="P250" s="3">
        <f t="shared" si="37"/>
        <v>102.517</v>
      </c>
      <c r="S250" s="4">
        <v>250.00511</v>
      </c>
      <c r="T250" s="1">
        <v>122</v>
      </c>
      <c r="U250" s="5">
        <v>98.742540000000005</v>
      </c>
      <c r="V250" s="3">
        <f t="shared" si="30"/>
        <v>102.06623</v>
      </c>
      <c r="W250" s="1">
        <f t="shared" si="38"/>
        <v>6.9508808809479953E-4</v>
      </c>
      <c r="Y250" s="4">
        <v>250.01831000000001</v>
      </c>
      <c r="Z250" s="1">
        <v>122</v>
      </c>
      <c r="AA250" s="5">
        <v>105.15185</v>
      </c>
      <c r="AB250" s="3">
        <f t="shared" si="31"/>
        <v>103.54283</v>
      </c>
      <c r="AF250" s="11">
        <v>715.6567</v>
      </c>
      <c r="AG250" s="1">
        <v>122</v>
      </c>
      <c r="AH250" s="12">
        <v>-3.9918399999999998</v>
      </c>
      <c r="AI250" s="3">
        <f t="shared" si="32"/>
        <v>-2.1123999999999938</v>
      </c>
      <c r="AJ250" s="1">
        <f t="shared" si="40"/>
        <v>1.0326441995860673</v>
      </c>
      <c r="AK250" s="11">
        <v>715.65724999999998</v>
      </c>
      <c r="AL250" s="1">
        <v>122</v>
      </c>
      <c r="AM250" s="12">
        <v>-5.07951</v>
      </c>
      <c r="AN250" s="3">
        <f t="shared" si="33"/>
        <v>-3.113900000000001</v>
      </c>
      <c r="AO250" s="1">
        <f t="shared" si="39"/>
        <v>1.0426458630670601</v>
      </c>
      <c r="AP250" s="18">
        <v>470.51709</v>
      </c>
      <c r="AQ250" s="1">
        <v>122</v>
      </c>
      <c r="AR250" s="12">
        <v>-0.18792</v>
      </c>
      <c r="AS250" s="3">
        <f t="shared" si="34"/>
        <v>0.36588999999999317</v>
      </c>
    </row>
    <row r="251" spans="1:45" ht="16" x14ac:dyDescent="0.2">
      <c r="A251" s="2">
        <v>200.01821000000001</v>
      </c>
      <c r="B251" s="1">
        <v>122.5</v>
      </c>
      <c r="C251" s="5">
        <v>102.34413000000001</v>
      </c>
      <c r="D251" s="3">
        <f t="shared" si="35"/>
        <v>102.22068</v>
      </c>
      <c r="G251" s="4">
        <v>225.00812999999999</v>
      </c>
      <c r="H251" s="1">
        <v>122.5</v>
      </c>
      <c r="I251" s="5">
        <v>99.475409999999997</v>
      </c>
      <c r="J251" s="3">
        <f t="shared" si="36"/>
        <v>101.0658</v>
      </c>
      <c r="K251" s="1">
        <f t="shared" si="41"/>
        <v>3.8042798867204092E-3</v>
      </c>
      <c r="M251" s="4">
        <v>225.01668000000001</v>
      </c>
      <c r="N251" s="1">
        <v>122.5</v>
      </c>
      <c r="O251" s="5">
        <v>103.3733</v>
      </c>
      <c r="P251" s="3">
        <f t="shared" si="37"/>
        <v>102.58091</v>
      </c>
      <c r="S251" s="4">
        <v>250.00801000000001</v>
      </c>
      <c r="T251" s="1">
        <v>122.5</v>
      </c>
      <c r="U251" s="3">
        <v>98.74879</v>
      </c>
      <c r="V251" s="3">
        <f t="shared" si="30"/>
        <v>102.07248</v>
      </c>
      <c r="W251" s="1">
        <f t="shared" si="38"/>
        <v>6.3318582889575496E-4</v>
      </c>
      <c r="Y251" s="4">
        <v>250.02345</v>
      </c>
      <c r="Z251" s="1">
        <v>122.5</v>
      </c>
      <c r="AA251" s="3">
        <v>105.17849</v>
      </c>
      <c r="AB251" s="3">
        <f t="shared" si="31"/>
        <v>103.56947</v>
      </c>
      <c r="AF251" s="11">
        <v>718.15576999999996</v>
      </c>
      <c r="AG251" s="1">
        <v>122.5</v>
      </c>
      <c r="AH251" s="13">
        <v>-3.9923000000000002</v>
      </c>
      <c r="AI251" s="3">
        <f t="shared" si="32"/>
        <v>-2.1128599999999977</v>
      </c>
      <c r="AJ251" s="1">
        <f t="shared" si="40"/>
        <v>1.0326487830961668</v>
      </c>
      <c r="AK251" s="11">
        <v>718.16094999999996</v>
      </c>
      <c r="AL251" s="1">
        <v>122.5</v>
      </c>
      <c r="AM251" s="13">
        <v>-5.1054300000000001</v>
      </c>
      <c r="AN251" s="3">
        <f t="shared" si="33"/>
        <v>-3.1398200000000003</v>
      </c>
      <c r="AO251" s="1">
        <f t="shared" si="39"/>
        <v>1.0429043217261706</v>
      </c>
      <c r="AP251" s="18">
        <v>472.09985</v>
      </c>
      <c r="AQ251" s="1">
        <v>122.5</v>
      </c>
      <c r="AR251" s="13">
        <v>-0.49314000000000002</v>
      </c>
      <c r="AS251" s="3">
        <f t="shared" si="34"/>
        <v>6.0670000000001778E-2</v>
      </c>
    </row>
    <row r="252" spans="1:45" ht="16" x14ac:dyDescent="0.2">
      <c r="A252" s="2">
        <v>200.01669000000001</v>
      </c>
      <c r="B252" s="1">
        <v>123</v>
      </c>
      <c r="C252" s="3">
        <v>102.06407</v>
      </c>
      <c r="D252" s="3">
        <f t="shared" si="35"/>
        <v>101.94062</v>
      </c>
      <c r="G252" s="4">
        <v>225.011</v>
      </c>
      <c r="H252" s="1">
        <v>123</v>
      </c>
      <c r="I252" s="3">
        <v>99.520539999999997</v>
      </c>
      <c r="J252" s="3">
        <f t="shared" si="36"/>
        <v>101.11093</v>
      </c>
      <c r="K252" s="1">
        <f t="shared" si="41"/>
        <v>3.3542598314461286E-3</v>
      </c>
      <c r="M252" s="4">
        <v>225.01402999999999</v>
      </c>
      <c r="N252" s="1">
        <v>123</v>
      </c>
      <c r="O252" s="3">
        <v>103.28554</v>
      </c>
      <c r="P252" s="3">
        <f t="shared" si="37"/>
        <v>102.49315</v>
      </c>
      <c r="S252" s="4">
        <v>250.01106999999999</v>
      </c>
      <c r="T252" s="1">
        <v>123</v>
      </c>
      <c r="U252" s="5">
        <v>98.746979999999994</v>
      </c>
      <c r="V252" s="3">
        <f t="shared" si="30"/>
        <v>102.07066999999999</v>
      </c>
      <c r="W252" s="1">
        <f t="shared" si="38"/>
        <v>6.5111272315987489E-4</v>
      </c>
      <c r="Y252" s="4">
        <v>250.02942999999999</v>
      </c>
      <c r="Z252" s="1">
        <v>123</v>
      </c>
      <c r="AA252" s="5">
        <v>105.19175</v>
      </c>
      <c r="AB252" s="3">
        <f t="shared" si="31"/>
        <v>103.58273</v>
      </c>
      <c r="AF252" s="11">
        <v>720.65732000000003</v>
      </c>
      <c r="AG252" s="1">
        <v>123</v>
      </c>
      <c r="AH252" s="12">
        <v>-4.0070199999999998</v>
      </c>
      <c r="AI252" s="3">
        <f t="shared" si="32"/>
        <v>-2.1275799999999947</v>
      </c>
      <c r="AJ252" s="1">
        <f t="shared" si="40"/>
        <v>1.0327954554193457</v>
      </c>
      <c r="AK252" s="11">
        <v>720.66274999999996</v>
      </c>
      <c r="AL252" s="1">
        <v>123</v>
      </c>
      <c r="AM252" s="12">
        <v>-5.0799700000000003</v>
      </c>
      <c r="AN252" s="3">
        <f t="shared" si="33"/>
        <v>-3.1143600000000049</v>
      </c>
      <c r="AO252" s="1">
        <f t="shared" si="39"/>
        <v>1.0426504499105473</v>
      </c>
      <c r="AP252" s="18">
        <v>473.71028999999999</v>
      </c>
      <c r="AQ252" s="1">
        <v>123</v>
      </c>
      <c r="AR252" s="12">
        <v>-0.60834999999999995</v>
      </c>
      <c r="AS252" s="3">
        <f t="shared" si="34"/>
        <v>-5.4540000000002919E-2</v>
      </c>
    </row>
    <row r="253" spans="1:45" ht="16" x14ac:dyDescent="0.2">
      <c r="A253" s="2">
        <v>200.01677000000001</v>
      </c>
      <c r="B253" s="1">
        <v>123.5</v>
      </c>
      <c r="C253" s="5">
        <v>102.18413</v>
      </c>
      <c r="D253" s="3">
        <f t="shared" si="35"/>
        <v>102.06067999999999</v>
      </c>
      <c r="G253" s="4">
        <v>225.00771</v>
      </c>
      <c r="H253" s="1">
        <v>123.5</v>
      </c>
      <c r="I253" s="5">
        <v>99.461330000000004</v>
      </c>
      <c r="J253" s="3">
        <f t="shared" si="36"/>
        <v>101.05172</v>
      </c>
      <c r="K253" s="1">
        <f t="shared" si="41"/>
        <v>3.9446805598482302E-3</v>
      </c>
      <c r="M253" s="4">
        <v>225.01733999999999</v>
      </c>
      <c r="N253" s="1">
        <v>123.5</v>
      </c>
      <c r="O253" s="5">
        <v>103.42484</v>
      </c>
      <c r="P253" s="3">
        <f t="shared" si="37"/>
        <v>102.63245000000001</v>
      </c>
      <c r="S253" s="4">
        <v>250.01293000000001</v>
      </c>
      <c r="T253" s="1">
        <v>123.5</v>
      </c>
      <c r="U253" s="3">
        <v>98.75909</v>
      </c>
      <c r="V253" s="3">
        <f t="shared" si="30"/>
        <v>102.08278</v>
      </c>
      <c r="W253" s="1">
        <f t="shared" si="38"/>
        <v>5.3117090573562807E-4</v>
      </c>
      <c r="Y253" s="4">
        <v>250.02852999999999</v>
      </c>
      <c r="Z253" s="1">
        <v>123.5</v>
      </c>
      <c r="AA253" s="3">
        <v>105.09854</v>
      </c>
      <c r="AB253" s="3">
        <f t="shared" si="31"/>
        <v>103.48952</v>
      </c>
      <c r="AF253" s="11">
        <v>723.16270999999995</v>
      </c>
      <c r="AG253" s="1">
        <v>123.5</v>
      </c>
      <c r="AH253" s="13">
        <v>-4.0277099999999999</v>
      </c>
      <c r="AI253" s="3">
        <f t="shared" si="32"/>
        <v>-2.1482699999999966</v>
      </c>
      <c r="AJ253" s="1">
        <f t="shared" si="40"/>
        <v>1.0330016137322922</v>
      </c>
      <c r="AK253" s="11">
        <v>723.15808000000004</v>
      </c>
      <c r="AL253" s="1">
        <v>123.5</v>
      </c>
      <c r="AM253" s="13">
        <v>-5.1224400000000001</v>
      </c>
      <c r="AN253" s="3">
        <f t="shared" si="33"/>
        <v>-3.1568299999999994</v>
      </c>
      <c r="AO253" s="1">
        <f t="shared" si="39"/>
        <v>1.0430739352212117</v>
      </c>
      <c r="AP253" s="18">
        <v>475.33974999999998</v>
      </c>
      <c r="AQ253" s="1">
        <v>123.5</v>
      </c>
      <c r="AR253" s="13">
        <v>-0.63204000000000005</v>
      </c>
      <c r="AS253" s="3">
        <f t="shared" si="34"/>
        <v>-7.8230000000004907E-2</v>
      </c>
    </row>
    <row r="254" spans="1:45" ht="16" x14ac:dyDescent="0.2">
      <c r="A254" s="2">
        <v>200.02065999999999</v>
      </c>
      <c r="B254" s="1">
        <v>124</v>
      </c>
      <c r="C254" s="3">
        <v>102.33414999999999</v>
      </c>
      <c r="D254" s="3">
        <f t="shared" si="35"/>
        <v>102.21069999999999</v>
      </c>
      <c r="G254" s="4">
        <v>225.00706</v>
      </c>
      <c r="H254" s="1">
        <v>124</v>
      </c>
      <c r="I254" s="3">
        <v>99.468969999999999</v>
      </c>
      <c r="J254" s="3">
        <f t="shared" si="36"/>
        <v>101.05936</v>
      </c>
      <c r="K254" s="1">
        <f t="shared" si="41"/>
        <v>3.8684972400544518E-3</v>
      </c>
      <c r="M254" s="4">
        <v>225.01736</v>
      </c>
      <c r="N254" s="1">
        <v>124</v>
      </c>
      <c r="O254" s="3">
        <v>103.44204000000001</v>
      </c>
      <c r="P254" s="3">
        <f t="shared" si="37"/>
        <v>102.64965000000001</v>
      </c>
      <c r="S254" s="4">
        <v>250.01096999999999</v>
      </c>
      <c r="T254" s="1">
        <v>124</v>
      </c>
      <c r="U254" s="5">
        <v>98.734179999999995</v>
      </c>
      <c r="V254" s="3">
        <f t="shared" si="30"/>
        <v>102.05786999999999</v>
      </c>
      <c r="W254" s="1">
        <f t="shared" si="38"/>
        <v>7.7788854999961954E-4</v>
      </c>
      <c r="Y254" s="4">
        <v>250.02943999999999</v>
      </c>
      <c r="Z254" s="1">
        <v>124</v>
      </c>
      <c r="AA254" s="5">
        <v>105.24603</v>
      </c>
      <c r="AB254" s="3">
        <f t="shared" si="31"/>
        <v>103.63701</v>
      </c>
      <c r="AF254" s="11">
        <v>725.66255999999998</v>
      </c>
      <c r="AG254" s="1">
        <v>124</v>
      </c>
      <c r="AH254" s="12">
        <v>-4.0272600000000001</v>
      </c>
      <c r="AI254" s="3">
        <f t="shared" si="32"/>
        <v>-2.1478199999999958</v>
      </c>
      <c r="AJ254" s="1">
        <f t="shared" si="40"/>
        <v>1.0329971298637166</v>
      </c>
      <c r="AK254" s="11">
        <v>725.65985000000001</v>
      </c>
      <c r="AL254" s="1">
        <v>124</v>
      </c>
      <c r="AM254" s="12">
        <v>-5.1309199999999997</v>
      </c>
      <c r="AN254" s="3">
        <f t="shared" si="33"/>
        <v>-3.1653100000000052</v>
      </c>
      <c r="AO254" s="1">
        <f t="shared" si="39"/>
        <v>1.0431584926837603</v>
      </c>
      <c r="AP254" s="18">
        <v>476.96481</v>
      </c>
      <c r="AQ254" s="1">
        <v>124</v>
      </c>
      <c r="AR254" s="12">
        <v>-0.61839</v>
      </c>
      <c r="AS254" s="3">
        <f t="shared" si="34"/>
        <v>-6.4580000000006521E-2</v>
      </c>
    </row>
    <row r="255" spans="1:45" ht="16" x14ac:dyDescent="0.2">
      <c r="A255" s="2">
        <v>200.02227999999999</v>
      </c>
      <c r="B255" s="1">
        <v>124.5</v>
      </c>
      <c r="C255" s="5">
        <v>102.29300000000001</v>
      </c>
      <c r="D255" s="3">
        <f t="shared" si="35"/>
        <v>102.16955</v>
      </c>
      <c r="G255" s="4">
        <v>225.00492</v>
      </c>
      <c r="H255" s="1">
        <v>124.5</v>
      </c>
      <c r="I255" s="5">
        <v>99.45805</v>
      </c>
      <c r="J255" s="3">
        <f t="shared" si="36"/>
        <v>101.04844</v>
      </c>
      <c r="K255" s="1">
        <f t="shared" si="41"/>
        <v>3.977387534838288E-3</v>
      </c>
      <c r="M255" s="4">
        <v>225.01481000000001</v>
      </c>
      <c r="N255" s="1">
        <v>124.5</v>
      </c>
      <c r="O255" s="5">
        <v>103.35865</v>
      </c>
      <c r="P255" s="3">
        <f t="shared" si="37"/>
        <v>102.56626</v>
      </c>
      <c r="S255" s="4">
        <v>250.00698</v>
      </c>
      <c r="T255" s="1">
        <v>124.5</v>
      </c>
      <c r="U255" s="3">
        <v>98.738479999999996</v>
      </c>
      <c r="V255" s="3">
        <f t="shared" si="30"/>
        <v>102.06216999999999</v>
      </c>
      <c r="W255" s="1">
        <f t="shared" si="38"/>
        <v>7.3529979567063183E-4</v>
      </c>
      <c r="Y255" s="4">
        <v>250.02892</v>
      </c>
      <c r="Z255" s="1">
        <v>124.5</v>
      </c>
      <c r="AA255" s="3">
        <v>105.05710000000001</v>
      </c>
      <c r="AB255" s="3">
        <f t="shared" si="31"/>
        <v>103.44808</v>
      </c>
      <c r="AF255" s="11">
        <v>728.16855999999996</v>
      </c>
      <c r="AG255" s="1">
        <v>124.5</v>
      </c>
      <c r="AH255" s="13">
        <v>-4.0466899999999999</v>
      </c>
      <c r="AI255" s="3">
        <f t="shared" si="32"/>
        <v>-2.1672499999999957</v>
      </c>
      <c r="AJ255" s="1">
        <f t="shared" si="40"/>
        <v>1.0331907333446519</v>
      </c>
      <c r="AK255" s="11">
        <v>728.15963999999997</v>
      </c>
      <c r="AL255" s="1">
        <v>124.5</v>
      </c>
      <c r="AM255" s="13">
        <v>-5.1430899999999999</v>
      </c>
      <c r="AN255" s="3">
        <f t="shared" si="33"/>
        <v>-3.1774800000000027</v>
      </c>
      <c r="AO255" s="1">
        <f t="shared" si="39"/>
        <v>1.0432798446081961</v>
      </c>
      <c r="AP255" s="18">
        <v>478.57132000000001</v>
      </c>
      <c r="AQ255" s="1">
        <v>124.5</v>
      </c>
      <c r="AR255" s="13">
        <v>-0.65646000000000004</v>
      </c>
      <c r="AS255" s="3">
        <f t="shared" si="34"/>
        <v>-0.10264999999999702</v>
      </c>
    </row>
    <row r="256" spans="1:45" ht="16" x14ac:dyDescent="0.2">
      <c r="A256" s="2">
        <v>200.02608000000001</v>
      </c>
      <c r="B256" s="1">
        <v>125</v>
      </c>
      <c r="C256" s="3">
        <v>102.27319</v>
      </c>
      <c r="D256" s="3">
        <f t="shared" si="35"/>
        <v>102.14973999999999</v>
      </c>
      <c r="G256" s="4">
        <v>225.00473</v>
      </c>
      <c r="H256" s="1">
        <v>125</v>
      </c>
      <c r="I256" s="3">
        <v>99.459050000000005</v>
      </c>
      <c r="J256" s="3">
        <f t="shared" si="36"/>
        <v>101.04944</v>
      </c>
      <c r="K256" s="1">
        <f t="shared" si="41"/>
        <v>3.9674158961217707E-3</v>
      </c>
      <c r="M256" s="4">
        <v>225.01686000000001</v>
      </c>
      <c r="N256" s="1">
        <v>125</v>
      </c>
      <c r="O256" s="3">
        <v>103.36172000000001</v>
      </c>
      <c r="P256" s="3">
        <f t="shared" si="37"/>
        <v>102.56933000000001</v>
      </c>
      <c r="S256" s="4">
        <v>250.00592</v>
      </c>
      <c r="T256" s="1">
        <v>125</v>
      </c>
      <c r="U256" s="5">
        <v>98.750479999999996</v>
      </c>
      <c r="V256" s="3">
        <f t="shared" si="30"/>
        <v>102.07417</v>
      </c>
      <c r="W256" s="1">
        <f t="shared" si="38"/>
        <v>6.1644745800835358E-4</v>
      </c>
      <c r="Y256" s="4">
        <v>250.02454</v>
      </c>
      <c r="Z256" s="1">
        <v>125</v>
      </c>
      <c r="AA256" s="5">
        <v>105.14697</v>
      </c>
      <c r="AB256" s="3">
        <f t="shared" si="31"/>
        <v>103.53795</v>
      </c>
      <c r="AF256" s="11">
        <v>730.66965000000005</v>
      </c>
      <c r="AG256" s="1">
        <v>125</v>
      </c>
      <c r="AH256" s="12">
        <v>-4.04352</v>
      </c>
      <c r="AI256" s="3">
        <f t="shared" si="32"/>
        <v>-2.1640799999999984</v>
      </c>
      <c r="AJ256" s="1">
        <f t="shared" si="40"/>
        <v>1.033159146981576</v>
      </c>
      <c r="AK256" s="11">
        <v>730.66542000000004</v>
      </c>
      <c r="AL256" s="1">
        <v>125</v>
      </c>
      <c r="AM256" s="12">
        <v>-5.1380699999999999</v>
      </c>
      <c r="AN256" s="3">
        <f t="shared" si="33"/>
        <v>-3.1724600000000009</v>
      </c>
      <c r="AO256" s="1">
        <f t="shared" si="39"/>
        <v>1.0432297881857913</v>
      </c>
      <c r="AP256" s="18">
        <v>480.15226999999999</v>
      </c>
      <c r="AQ256" s="1">
        <v>125</v>
      </c>
      <c r="AR256" s="12">
        <v>-0.71333999999999997</v>
      </c>
      <c r="AS256" s="3">
        <f t="shared" si="34"/>
        <v>-0.15953000000000372</v>
      </c>
    </row>
    <row r="257" spans="1:45" ht="16" x14ac:dyDescent="0.2">
      <c r="A257" s="2">
        <v>200.02798000000001</v>
      </c>
      <c r="B257" s="1">
        <v>125.5</v>
      </c>
      <c r="C257" s="5">
        <v>102.33725</v>
      </c>
      <c r="D257" s="3">
        <f t="shared" si="35"/>
        <v>102.21379999999999</v>
      </c>
      <c r="G257" s="4">
        <v>225.00897000000001</v>
      </c>
      <c r="H257" s="1">
        <v>125.5</v>
      </c>
      <c r="I257" s="5">
        <v>99.475830000000002</v>
      </c>
      <c r="J257" s="3">
        <f t="shared" si="36"/>
        <v>101.06622</v>
      </c>
      <c r="K257" s="1">
        <f t="shared" si="41"/>
        <v>3.8000917984594377E-3</v>
      </c>
      <c r="M257" s="4">
        <v>225.01776000000001</v>
      </c>
      <c r="N257" s="1">
        <v>125.5</v>
      </c>
      <c r="O257" s="5">
        <v>103.31605</v>
      </c>
      <c r="P257" s="3">
        <f t="shared" si="37"/>
        <v>102.52366000000001</v>
      </c>
      <c r="S257" s="4">
        <v>250.00496999999999</v>
      </c>
      <c r="T257" s="1">
        <v>125.5</v>
      </c>
      <c r="U257" s="3">
        <v>98.72663</v>
      </c>
      <c r="V257" s="3">
        <f t="shared" si="30"/>
        <v>102.05032</v>
      </c>
      <c r="W257" s="1">
        <f t="shared" si="38"/>
        <v>8.5266647911208234E-4</v>
      </c>
      <c r="Y257" s="4">
        <v>250.02046999999999</v>
      </c>
      <c r="Z257" s="1">
        <v>125.5</v>
      </c>
      <c r="AA257" s="3">
        <v>105.19524</v>
      </c>
      <c r="AB257" s="3">
        <f t="shared" si="31"/>
        <v>103.58622</v>
      </c>
      <c r="AF257" s="11">
        <v>733.17526999999995</v>
      </c>
      <c r="AG257" s="1">
        <v>125.5</v>
      </c>
      <c r="AH257" s="13">
        <v>-4.0424499999999997</v>
      </c>
      <c r="AI257" s="3">
        <f t="shared" si="32"/>
        <v>-2.1630099999999999</v>
      </c>
      <c r="AJ257" s="1">
        <f t="shared" si="40"/>
        <v>1.0331484853385189</v>
      </c>
      <c r="AK257" s="11">
        <v>733.17103999999995</v>
      </c>
      <c r="AL257" s="1">
        <v>125.5</v>
      </c>
      <c r="AM257" s="13">
        <v>-5.0972799999999996</v>
      </c>
      <c r="AN257" s="3">
        <f t="shared" si="33"/>
        <v>-3.1316699999999997</v>
      </c>
      <c r="AO257" s="1">
        <f t="shared" si="39"/>
        <v>1.0428230548252542</v>
      </c>
      <c r="AP257" s="18">
        <v>481.70936999999998</v>
      </c>
      <c r="AQ257" s="1">
        <v>125.5</v>
      </c>
      <c r="AR257" s="13">
        <v>-0.65829000000000004</v>
      </c>
      <c r="AS257" s="3">
        <f t="shared" si="34"/>
        <v>-0.10447999999999524</v>
      </c>
    </row>
    <row r="258" spans="1:45" ht="16" x14ac:dyDescent="0.2">
      <c r="A258" s="2">
        <v>200.03022000000001</v>
      </c>
      <c r="B258" s="1">
        <v>126</v>
      </c>
      <c r="C258" s="3">
        <v>102.23971</v>
      </c>
      <c r="D258" s="3">
        <f t="shared" si="35"/>
        <v>102.11626</v>
      </c>
      <c r="G258" s="4">
        <v>225.00682</v>
      </c>
      <c r="H258" s="1">
        <v>126</v>
      </c>
      <c r="I258" s="3">
        <v>99.488939999999999</v>
      </c>
      <c r="J258" s="3">
        <f t="shared" si="36"/>
        <v>101.07933</v>
      </c>
      <c r="K258" s="1">
        <f t="shared" si="41"/>
        <v>3.669363614886545E-3</v>
      </c>
      <c r="M258" s="4">
        <v>225.01852</v>
      </c>
      <c r="N258" s="1">
        <v>126</v>
      </c>
      <c r="O258" s="3">
        <v>103.3443</v>
      </c>
      <c r="P258" s="3">
        <f t="shared" si="37"/>
        <v>102.55191000000001</v>
      </c>
      <c r="S258" s="4">
        <v>250.00708</v>
      </c>
      <c r="T258" s="1">
        <v>126</v>
      </c>
      <c r="U258" s="5">
        <v>98.715890000000002</v>
      </c>
      <c r="V258" s="3">
        <f t="shared" si="30"/>
        <v>102.03958</v>
      </c>
      <c r="W258" s="1">
        <f t="shared" si="38"/>
        <v>9.5903932131980168E-4</v>
      </c>
      <c r="Y258" s="4">
        <v>250.01678000000001</v>
      </c>
      <c r="Z258" s="1">
        <v>126</v>
      </c>
      <c r="AA258" s="5">
        <v>105.07825</v>
      </c>
      <c r="AB258" s="3">
        <f t="shared" si="31"/>
        <v>103.46923</v>
      </c>
      <c r="AF258" s="11">
        <v>735.67479000000003</v>
      </c>
      <c r="AG258" s="1">
        <v>126</v>
      </c>
      <c r="AH258" s="12">
        <v>-4.0515100000000004</v>
      </c>
      <c r="AI258" s="3">
        <f t="shared" si="32"/>
        <v>-2.1720699999999908</v>
      </c>
      <c r="AJ258" s="1">
        <f t="shared" si="40"/>
        <v>1.0332387605591711</v>
      </c>
      <c r="AK258" s="11">
        <v>735.67290000000003</v>
      </c>
      <c r="AL258" s="1">
        <v>126</v>
      </c>
      <c r="AM258" s="12">
        <v>-5.0609200000000003</v>
      </c>
      <c r="AN258" s="3">
        <f t="shared" si="33"/>
        <v>-3.0953099999999978</v>
      </c>
      <c r="AO258" s="1">
        <f t="shared" si="39"/>
        <v>1.0424604947617797</v>
      </c>
      <c r="AP258" s="18">
        <v>483.23903000000001</v>
      </c>
      <c r="AQ258" s="1">
        <v>126</v>
      </c>
      <c r="AR258" s="12">
        <v>-0.67137999999999998</v>
      </c>
      <c r="AS258" s="3">
        <f t="shared" si="34"/>
        <v>-0.11757000000000062</v>
      </c>
    </row>
    <row r="259" spans="1:45" ht="16" x14ac:dyDescent="0.2">
      <c r="A259" s="2">
        <v>200.02753000000001</v>
      </c>
      <c r="B259" s="1">
        <v>126.5</v>
      </c>
      <c r="C259" s="5">
        <v>102.15325</v>
      </c>
      <c r="D259" s="3">
        <f t="shared" si="35"/>
        <v>102.02979999999999</v>
      </c>
      <c r="G259" s="4">
        <v>225.00802999999999</v>
      </c>
      <c r="H259" s="1">
        <v>126.5</v>
      </c>
      <c r="I259" s="5">
        <v>99.526150000000001</v>
      </c>
      <c r="J259" s="3">
        <f t="shared" si="36"/>
        <v>101.11654</v>
      </c>
      <c r="K259" s="1">
        <f t="shared" si="41"/>
        <v>3.2983189382466906E-3</v>
      </c>
      <c r="M259" s="4">
        <v>225.02134000000001</v>
      </c>
      <c r="N259" s="1">
        <v>126.5</v>
      </c>
      <c r="O259" s="5">
        <v>103.26605000000001</v>
      </c>
      <c r="P259" s="3">
        <f t="shared" si="37"/>
        <v>102.47366000000001</v>
      </c>
      <c r="S259" s="4">
        <v>250.00299999999999</v>
      </c>
      <c r="T259" s="1">
        <v>126.5</v>
      </c>
      <c r="U259" s="3">
        <v>98.740070000000003</v>
      </c>
      <c r="V259" s="3">
        <f t="shared" si="30"/>
        <v>102.06376</v>
      </c>
      <c r="W259" s="1">
        <f t="shared" si="38"/>
        <v>7.1955186093030819E-4</v>
      </c>
      <c r="Y259" s="4">
        <v>250.01355000000001</v>
      </c>
      <c r="Z259" s="1">
        <v>126.5</v>
      </c>
      <c r="AA259" s="3">
        <v>105.14266000000001</v>
      </c>
      <c r="AB259" s="3">
        <f t="shared" si="31"/>
        <v>103.53364000000001</v>
      </c>
      <c r="AF259" s="11">
        <v>738.17643999999996</v>
      </c>
      <c r="AG259" s="1">
        <v>126.5</v>
      </c>
      <c r="AH259" s="13">
        <v>-4.0365799999999998</v>
      </c>
      <c r="AI259" s="3">
        <f t="shared" si="32"/>
        <v>-2.1571399999999983</v>
      </c>
      <c r="AJ259" s="1">
        <f t="shared" si="40"/>
        <v>1.0330899957639903</v>
      </c>
      <c r="AK259" s="11">
        <v>738.16741000000002</v>
      </c>
      <c r="AL259" s="1">
        <v>126.5</v>
      </c>
      <c r="AM259" s="13">
        <v>-5.1339300000000003</v>
      </c>
      <c r="AN259" s="3">
        <f t="shared" si="33"/>
        <v>-3.1683200000000085</v>
      </c>
      <c r="AO259" s="1">
        <f t="shared" si="39"/>
        <v>1.0431885065944055</v>
      </c>
      <c r="AP259" s="18">
        <v>484.76458000000002</v>
      </c>
      <c r="AQ259" s="1">
        <v>126.5</v>
      </c>
      <c r="AR259" s="13">
        <v>-0.65813999999999995</v>
      </c>
      <c r="AS259" s="3">
        <f t="shared" si="34"/>
        <v>-0.10433000000000447</v>
      </c>
    </row>
    <row r="260" spans="1:45" ht="16" x14ac:dyDescent="0.2">
      <c r="A260" s="2">
        <v>200.03018</v>
      </c>
      <c r="B260" s="1">
        <v>127</v>
      </c>
      <c r="C260" s="3">
        <v>102.35155</v>
      </c>
      <c r="D260" s="3">
        <f t="shared" si="35"/>
        <v>102.2281</v>
      </c>
      <c r="G260" s="4">
        <v>225.00497999999999</v>
      </c>
      <c r="H260" s="1">
        <v>127</v>
      </c>
      <c r="I260" s="3">
        <v>99.461389999999994</v>
      </c>
      <c r="J260" s="3">
        <f t="shared" si="36"/>
        <v>101.05177999999999</v>
      </c>
      <c r="K260" s="1">
        <f t="shared" si="41"/>
        <v>3.9440822615253359E-3</v>
      </c>
      <c r="M260" s="4">
        <v>225.02063000000001</v>
      </c>
      <c r="N260" s="1">
        <v>127</v>
      </c>
      <c r="O260" s="3">
        <v>103.34265000000001</v>
      </c>
      <c r="P260" s="3">
        <f t="shared" si="37"/>
        <v>102.55026000000001</v>
      </c>
      <c r="S260" s="4">
        <v>250.00800000000001</v>
      </c>
      <c r="T260" s="1">
        <v>127</v>
      </c>
      <c r="U260" s="5">
        <v>98.732089999999999</v>
      </c>
      <c r="V260" s="3">
        <f t="shared" si="30"/>
        <v>102.05578</v>
      </c>
      <c r="W260" s="1">
        <f t="shared" si="38"/>
        <v>7.9858866547575418E-4</v>
      </c>
      <c r="Y260" s="4">
        <v>250.01383000000001</v>
      </c>
      <c r="Z260" s="1">
        <v>127</v>
      </c>
      <c r="AA260" s="5">
        <v>105.11819</v>
      </c>
      <c r="AB260" s="3">
        <f t="shared" si="31"/>
        <v>103.50917</v>
      </c>
      <c r="AF260" s="11">
        <v>740.68218999999999</v>
      </c>
      <c r="AG260" s="1">
        <v>127</v>
      </c>
      <c r="AH260" s="12">
        <v>-4.0413100000000002</v>
      </c>
      <c r="AI260" s="3">
        <f t="shared" si="32"/>
        <v>-2.1618699999999933</v>
      </c>
      <c r="AJ260" s="1">
        <f t="shared" si="40"/>
        <v>1.0331371262047944</v>
      </c>
      <c r="AK260" s="11">
        <v>740.66900999999996</v>
      </c>
      <c r="AL260" s="1">
        <v>127</v>
      </c>
      <c r="AM260" s="12">
        <v>-5.1531599999999997</v>
      </c>
      <c r="AN260" s="3">
        <f t="shared" si="33"/>
        <v>-3.1875500000000017</v>
      </c>
      <c r="AO260" s="1">
        <f t="shared" si="39"/>
        <v>1.0433802565949724</v>
      </c>
      <c r="AP260" s="18">
        <v>486.27794</v>
      </c>
      <c r="AQ260" s="1">
        <v>127</v>
      </c>
      <c r="AR260" s="12">
        <v>-0.72536999999999996</v>
      </c>
      <c r="AS260" s="3">
        <f t="shared" si="34"/>
        <v>-0.17155999999999949</v>
      </c>
    </row>
    <row r="261" spans="1:45" ht="16" x14ac:dyDescent="0.2">
      <c r="A261" s="2">
        <v>200.02851000000001</v>
      </c>
      <c r="B261" s="1">
        <v>127.5</v>
      </c>
      <c r="C261" s="5">
        <v>102.1253</v>
      </c>
      <c r="D261" s="3">
        <f t="shared" si="35"/>
        <v>102.00184999999999</v>
      </c>
      <c r="G261" s="4">
        <v>225.00197</v>
      </c>
      <c r="H261" s="1">
        <v>127.5</v>
      </c>
      <c r="I261" s="5">
        <v>99.430070000000001</v>
      </c>
      <c r="J261" s="3">
        <f t="shared" si="36"/>
        <v>101.02046</v>
      </c>
      <c r="K261" s="1">
        <f t="shared" si="41"/>
        <v>4.2563939861251041E-3</v>
      </c>
      <c r="M261" s="4">
        <v>225.02090000000001</v>
      </c>
      <c r="N261" s="1">
        <v>127.5</v>
      </c>
      <c r="O261" s="5">
        <v>103.45514</v>
      </c>
      <c r="P261" s="3">
        <f t="shared" si="37"/>
        <v>102.66275</v>
      </c>
      <c r="S261" s="4">
        <v>250.00296</v>
      </c>
      <c r="T261" s="1">
        <v>127.5</v>
      </c>
      <c r="U261" s="3">
        <v>98.719750000000005</v>
      </c>
      <c r="V261" s="3">
        <f t="shared" si="30"/>
        <v>102.04344</v>
      </c>
      <c r="W261" s="1">
        <f t="shared" si="38"/>
        <v>9.2080848603840642E-4</v>
      </c>
      <c r="Y261" s="4">
        <v>250.01665</v>
      </c>
      <c r="Z261" s="1">
        <v>127.5</v>
      </c>
      <c r="AA261" s="3">
        <v>105.21108</v>
      </c>
      <c r="AB261" s="3">
        <f t="shared" si="31"/>
        <v>103.60205999999999</v>
      </c>
      <c r="AF261" s="11">
        <v>743.18165999999997</v>
      </c>
      <c r="AG261" s="1">
        <v>127.5</v>
      </c>
      <c r="AH261" s="13">
        <v>-4.0170199999999996</v>
      </c>
      <c r="AI261" s="3">
        <f t="shared" si="32"/>
        <v>-2.1375799999999998</v>
      </c>
      <c r="AJ261" s="1">
        <f t="shared" si="40"/>
        <v>1.0328950969432444</v>
      </c>
      <c r="AK261" s="11">
        <v>743.17434000000003</v>
      </c>
      <c r="AL261" s="1">
        <v>127.5</v>
      </c>
      <c r="AM261" s="13">
        <v>-5.0976100000000004</v>
      </c>
      <c r="AN261" s="3">
        <f t="shared" si="33"/>
        <v>-3.132000000000005</v>
      </c>
      <c r="AO261" s="1">
        <f t="shared" si="39"/>
        <v>1.0428263453868865</v>
      </c>
      <c r="AP261" s="18">
        <v>487.78446000000002</v>
      </c>
      <c r="AQ261" s="1">
        <v>127.5</v>
      </c>
      <c r="AR261" s="13">
        <v>-0.67940999999999996</v>
      </c>
      <c r="AS261" s="3">
        <f t="shared" si="34"/>
        <v>-0.12560000000000571</v>
      </c>
    </row>
    <row r="262" spans="1:45" ht="16" x14ac:dyDescent="0.2">
      <c r="A262" s="2">
        <v>200.02314999999999</v>
      </c>
      <c r="B262" s="1">
        <v>128</v>
      </c>
      <c r="C262" s="3">
        <v>102.06771000000001</v>
      </c>
      <c r="D262" s="3">
        <f t="shared" si="35"/>
        <v>101.94426</v>
      </c>
      <c r="G262" s="4">
        <v>225.00603000000001</v>
      </c>
      <c r="H262" s="1">
        <v>128</v>
      </c>
      <c r="I262" s="3">
        <v>99.489739999999998</v>
      </c>
      <c r="J262" s="3">
        <f t="shared" si="36"/>
        <v>101.08013</v>
      </c>
      <c r="K262" s="1">
        <f t="shared" si="41"/>
        <v>3.6613863039133879E-3</v>
      </c>
      <c r="M262" s="4">
        <v>225.02329</v>
      </c>
      <c r="N262" s="1">
        <v>128</v>
      </c>
      <c r="O262" s="3">
        <v>103.4944</v>
      </c>
      <c r="P262" s="3">
        <f t="shared" si="37"/>
        <v>102.70201</v>
      </c>
      <c r="S262" s="4">
        <v>250.00190000000001</v>
      </c>
      <c r="T262" s="1">
        <v>128</v>
      </c>
      <c r="U262" s="5">
        <v>98.72372</v>
      </c>
      <c r="V262" s="3">
        <f t="shared" si="30"/>
        <v>102.04741</v>
      </c>
      <c r="W262" s="1">
        <f t="shared" si="38"/>
        <v>8.8148817099518333E-4</v>
      </c>
      <c r="Y262" s="4">
        <v>250.01967999999999</v>
      </c>
      <c r="Z262" s="1">
        <v>128</v>
      </c>
      <c r="AA262" s="5">
        <v>105.07613000000001</v>
      </c>
      <c r="AB262" s="3">
        <f t="shared" si="31"/>
        <v>103.46711000000001</v>
      </c>
      <c r="AF262" s="11">
        <v>745.68544999999995</v>
      </c>
      <c r="AG262" s="1">
        <v>128</v>
      </c>
      <c r="AH262" s="12">
        <v>-4.0859300000000003</v>
      </c>
      <c r="AI262" s="3">
        <f t="shared" si="32"/>
        <v>-2.2064900000000023</v>
      </c>
      <c r="AJ262" s="1">
        <f t="shared" si="40"/>
        <v>1.0335817266844305</v>
      </c>
      <c r="AK262" s="11">
        <v>745.67575999999997</v>
      </c>
      <c r="AL262" s="1">
        <v>128</v>
      </c>
      <c r="AM262" s="12">
        <v>-5.1717300000000002</v>
      </c>
      <c r="AN262" s="3">
        <f t="shared" si="33"/>
        <v>-3.2061199999999985</v>
      </c>
      <c r="AO262" s="1">
        <f t="shared" si="39"/>
        <v>1.0435654254722748</v>
      </c>
      <c r="AP262" s="18">
        <v>489.28392000000002</v>
      </c>
      <c r="AQ262" s="1">
        <v>128</v>
      </c>
      <c r="AR262" s="12">
        <v>-0.70365999999999995</v>
      </c>
      <c r="AS262" s="3">
        <f t="shared" si="34"/>
        <v>-0.1498500000000007</v>
      </c>
    </row>
    <row r="263" spans="1:45" ht="16" x14ac:dyDescent="0.2">
      <c r="A263" s="2">
        <v>200.02411000000001</v>
      </c>
      <c r="B263" s="1">
        <v>128.5</v>
      </c>
      <c r="C263" s="5">
        <v>102.28671</v>
      </c>
      <c r="D263" s="3">
        <f t="shared" si="35"/>
        <v>102.16325999999999</v>
      </c>
      <c r="G263" s="4">
        <v>225.00602000000001</v>
      </c>
      <c r="H263" s="1">
        <v>128.5</v>
      </c>
      <c r="I263" s="5">
        <v>99.451220000000006</v>
      </c>
      <c r="J263" s="3">
        <f t="shared" si="36"/>
        <v>101.04161000000001</v>
      </c>
      <c r="K263" s="1">
        <f t="shared" si="41"/>
        <v>4.0454938272717128E-3</v>
      </c>
      <c r="M263" s="4">
        <v>225.01856000000001</v>
      </c>
      <c r="N263" s="1">
        <v>128.5</v>
      </c>
      <c r="O263" s="5">
        <v>103.40834</v>
      </c>
      <c r="P263" s="3">
        <f t="shared" si="37"/>
        <v>102.61595</v>
      </c>
      <c r="S263" s="4">
        <v>250.00503</v>
      </c>
      <c r="T263" s="1">
        <v>128.5</v>
      </c>
      <c r="U263" s="3">
        <v>98.715639999999993</v>
      </c>
      <c r="V263" s="3">
        <f t="shared" ref="V263:V326" si="42">100-($U$6-U263)</f>
        <v>102.03932999999999</v>
      </c>
      <c r="W263" s="1">
        <f t="shared" si="38"/>
        <v>9.615154116878479E-4</v>
      </c>
      <c r="Y263" s="4">
        <v>250.02139</v>
      </c>
      <c r="Z263" s="1">
        <v>128.5</v>
      </c>
      <c r="AA263" s="3">
        <v>105.26004</v>
      </c>
      <c r="AB263" s="3">
        <f t="shared" ref="AB263:AB326" si="43">100-($AA$6-AA263)</f>
        <v>103.65102</v>
      </c>
      <c r="AF263" s="11">
        <v>748.18862999999999</v>
      </c>
      <c r="AG263" s="1">
        <v>128.5</v>
      </c>
      <c r="AH263" s="13">
        <v>-4.06121</v>
      </c>
      <c r="AI263" s="3">
        <f t="shared" ref="AI263:AI283" si="44">100-($AH$6-AH263)</f>
        <v>-2.1817700000000002</v>
      </c>
      <c r="AJ263" s="1">
        <f t="shared" si="40"/>
        <v>1.0333354128373529</v>
      </c>
      <c r="AK263" s="11">
        <v>748.18231000000003</v>
      </c>
      <c r="AL263" s="1">
        <v>128.5</v>
      </c>
      <c r="AM263" s="13">
        <v>-5.1666400000000001</v>
      </c>
      <c r="AN263" s="3">
        <f t="shared" ref="AN263:AN283" si="45">100-($AM$6-AM263)</f>
        <v>-3.2010300000000029</v>
      </c>
      <c r="AO263" s="1">
        <f t="shared" si="39"/>
        <v>1.0435146710519481</v>
      </c>
      <c r="AP263" s="18">
        <v>490.78336000000002</v>
      </c>
      <c r="AQ263" s="1">
        <v>128.5</v>
      </c>
      <c r="AR263" s="13">
        <v>-0.76715999999999995</v>
      </c>
      <c r="AS263" s="3">
        <f t="shared" ref="AS263:AS326" si="46">100-($AR$6-AR263)</f>
        <v>-0.21335000000000548</v>
      </c>
    </row>
    <row r="264" spans="1:45" ht="16" x14ac:dyDescent="0.2">
      <c r="A264" s="2">
        <v>200.02507</v>
      </c>
      <c r="B264" s="1">
        <v>129</v>
      </c>
      <c r="C264" s="3">
        <v>102.08177000000001</v>
      </c>
      <c r="D264" s="3">
        <f t="shared" ref="D264:D327" si="47">100-($C$6-C264)</f>
        <v>101.95832</v>
      </c>
      <c r="G264" s="4">
        <v>225.01111</v>
      </c>
      <c r="H264" s="1">
        <v>129</v>
      </c>
      <c r="I264" s="3">
        <v>99.483249999999998</v>
      </c>
      <c r="J264" s="3">
        <f t="shared" ref="J264:J327" si="48">100-($I$6-I264)</f>
        <v>101.07364</v>
      </c>
      <c r="K264" s="1">
        <f t="shared" si="41"/>
        <v>3.7261022391832706E-3</v>
      </c>
      <c r="M264" s="4">
        <v>225.01604</v>
      </c>
      <c r="N264" s="1">
        <v>129</v>
      </c>
      <c r="O264" s="3">
        <v>103.45801</v>
      </c>
      <c r="P264" s="3">
        <f t="shared" ref="P264:P327" si="49">100-($O$6-O264)</f>
        <v>102.66562</v>
      </c>
      <c r="S264" s="4">
        <v>250.00402</v>
      </c>
      <c r="T264" s="1">
        <v>129</v>
      </c>
      <c r="U264" s="5">
        <v>98.711359999999999</v>
      </c>
      <c r="V264" s="3">
        <f t="shared" si="42"/>
        <v>102.03505</v>
      </c>
      <c r="W264" s="1">
        <f t="shared" ref="W264:W327" si="50">($V$199-V264)/($V$199*(1-$H$1))</f>
        <v>1.0039060787873355E-3</v>
      </c>
      <c r="Y264" s="4">
        <v>250.02074999999999</v>
      </c>
      <c r="Z264" s="1">
        <v>129</v>
      </c>
      <c r="AA264" s="5">
        <v>105.21463</v>
      </c>
      <c r="AB264" s="3">
        <f t="shared" si="43"/>
        <v>103.60561</v>
      </c>
      <c r="AF264" s="11">
        <v>750.69290999999998</v>
      </c>
      <c r="AG264" s="1">
        <v>129</v>
      </c>
      <c r="AH264" s="12">
        <v>-4.0629900000000001</v>
      </c>
      <c r="AI264" s="3">
        <f t="shared" si="44"/>
        <v>-2.1835499999999968</v>
      </c>
      <c r="AJ264" s="1">
        <f t="shared" si="40"/>
        <v>1.0333531490286068</v>
      </c>
      <c r="AK264" s="11">
        <v>750.68291999999997</v>
      </c>
      <c r="AL264" s="1">
        <v>129</v>
      </c>
      <c r="AM264" s="12">
        <v>-5.2004299999999999</v>
      </c>
      <c r="AN264" s="3">
        <f t="shared" si="45"/>
        <v>-3.2348199999999991</v>
      </c>
      <c r="AO264" s="1">
        <f t="shared" si="39"/>
        <v>1.043851604620287</v>
      </c>
      <c r="AP264" s="18">
        <v>492.28586000000001</v>
      </c>
      <c r="AQ264" s="1">
        <v>129</v>
      </c>
      <c r="AR264" s="12">
        <v>-0.68171999999999999</v>
      </c>
      <c r="AS264" s="3">
        <f t="shared" si="46"/>
        <v>-0.12790999999999997</v>
      </c>
    </row>
    <row r="265" spans="1:45" ht="16" x14ac:dyDescent="0.2">
      <c r="A265" s="2">
        <v>200.02091999999999</v>
      </c>
      <c r="B265" s="1">
        <v>129.5</v>
      </c>
      <c r="C265" s="5">
        <v>102.16977</v>
      </c>
      <c r="D265" s="3">
        <f t="shared" si="47"/>
        <v>102.04631999999999</v>
      </c>
      <c r="G265" s="4">
        <v>225.00994</v>
      </c>
      <c r="H265" s="1">
        <v>129.5</v>
      </c>
      <c r="I265" s="5">
        <v>99.469520000000003</v>
      </c>
      <c r="J265" s="3">
        <f t="shared" si="48"/>
        <v>101.05991</v>
      </c>
      <c r="K265" s="1">
        <f t="shared" si="41"/>
        <v>3.8630128387603531E-3</v>
      </c>
      <c r="M265" s="4">
        <v>225.01607999999999</v>
      </c>
      <c r="N265" s="1">
        <v>129.5</v>
      </c>
      <c r="O265" s="5">
        <v>103.3969</v>
      </c>
      <c r="P265" s="3">
        <f t="shared" si="49"/>
        <v>102.60451</v>
      </c>
      <c r="S265" s="4">
        <v>250.00507999999999</v>
      </c>
      <c r="T265" s="1">
        <v>129.5</v>
      </c>
      <c r="U265" s="3">
        <v>98.705299999999994</v>
      </c>
      <c r="V265" s="3">
        <f t="shared" si="42"/>
        <v>102.02898999999999</v>
      </c>
      <c r="W265" s="1">
        <f t="shared" si="50"/>
        <v>1.0639265093068339E-3</v>
      </c>
      <c r="Y265" s="4">
        <v>250.02019999999999</v>
      </c>
      <c r="Z265" s="1">
        <v>129.5</v>
      </c>
      <c r="AA265" s="3">
        <v>105.16517</v>
      </c>
      <c r="AB265" s="3">
        <f t="shared" si="43"/>
        <v>103.55615</v>
      </c>
      <c r="AF265" s="11">
        <v>753.19172000000003</v>
      </c>
      <c r="AG265" s="1">
        <v>129.5</v>
      </c>
      <c r="AH265" s="13">
        <v>-4.1219099999999997</v>
      </c>
      <c r="AI265" s="3">
        <f t="shared" si="44"/>
        <v>-2.2424699999999973</v>
      </c>
      <c r="AJ265" s="1">
        <f t="shared" si="40"/>
        <v>1.033940236887418</v>
      </c>
      <c r="AK265" s="11">
        <v>753.18566999999996</v>
      </c>
      <c r="AL265" s="1">
        <v>129.5</v>
      </c>
      <c r="AM265" s="13">
        <v>-5.1911699999999996</v>
      </c>
      <c r="AN265" s="3">
        <f t="shared" si="45"/>
        <v>-3.2255600000000015</v>
      </c>
      <c r="AO265" s="1">
        <f t="shared" si="39"/>
        <v>1.0437592694666078</v>
      </c>
      <c r="AP265" s="18">
        <v>493.78501999999997</v>
      </c>
      <c r="AQ265" s="1">
        <v>129.5</v>
      </c>
      <c r="AR265" s="13">
        <v>-0.75297000000000003</v>
      </c>
      <c r="AS265" s="3">
        <f t="shared" si="46"/>
        <v>-0.19916000000000622</v>
      </c>
    </row>
    <row r="266" spans="1:45" ht="16" x14ac:dyDescent="0.2">
      <c r="A266" s="2">
        <v>200.01961</v>
      </c>
      <c r="B266" s="1">
        <v>130</v>
      </c>
      <c r="C266" s="3">
        <v>102.37684</v>
      </c>
      <c r="D266" s="3">
        <f t="shared" si="47"/>
        <v>102.25339</v>
      </c>
      <c r="G266" s="4">
        <v>225.00890999999999</v>
      </c>
      <c r="H266" s="1">
        <v>130</v>
      </c>
      <c r="I266" s="3">
        <v>99.453810000000004</v>
      </c>
      <c r="J266" s="3">
        <f t="shared" si="48"/>
        <v>101.0442</v>
      </c>
      <c r="K266" s="1">
        <f t="shared" si="41"/>
        <v>4.0196672829960773E-3</v>
      </c>
      <c r="M266" s="4">
        <v>225.01510999999999</v>
      </c>
      <c r="N266" s="1">
        <v>130</v>
      </c>
      <c r="O266" s="3">
        <v>103.37092</v>
      </c>
      <c r="P266" s="3">
        <f t="shared" si="49"/>
        <v>102.57853</v>
      </c>
      <c r="S266" s="4">
        <v>250.00995</v>
      </c>
      <c r="T266" s="1">
        <v>130</v>
      </c>
      <c r="U266" s="5">
        <v>98.707139999999995</v>
      </c>
      <c r="V266" s="3">
        <f t="shared" si="42"/>
        <v>102.03082999999999</v>
      </c>
      <c r="W266" s="1">
        <f t="shared" si="50"/>
        <v>1.0457024841986047E-3</v>
      </c>
      <c r="Y266" s="4">
        <v>250.02376000000001</v>
      </c>
      <c r="Z266" s="1">
        <v>130</v>
      </c>
      <c r="AA266" s="5">
        <v>105.21464</v>
      </c>
      <c r="AB266" s="3">
        <f t="shared" si="43"/>
        <v>103.60562</v>
      </c>
      <c r="AF266" s="11">
        <v>755.69964000000004</v>
      </c>
      <c r="AG266" s="1">
        <v>130</v>
      </c>
      <c r="AH266" s="12">
        <v>-4.0859899999999998</v>
      </c>
      <c r="AI266" s="3">
        <f t="shared" si="44"/>
        <v>-2.2065499999999929</v>
      </c>
      <c r="AJ266" s="1">
        <f t="shared" si="40"/>
        <v>1.0335823245335738</v>
      </c>
      <c r="AK266" s="11">
        <v>755.69340999999997</v>
      </c>
      <c r="AL266" s="1">
        <v>130</v>
      </c>
      <c r="AM266" s="12">
        <v>-5.2236599999999997</v>
      </c>
      <c r="AN266" s="3">
        <f t="shared" si="45"/>
        <v>-3.2580499999999972</v>
      </c>
      <c r="AO266" s="1">
        <f t="shared" si="39"/>
        <v>1.0440832402163955</v>
      </c>
      <c r="AP266" s="18">
        <v>495.2901</v>
      </c>
      <c r="AQ266" s="1">
        <v>130</v>
      </c>
      <c r="AR266" s="12">
        <v>-0.69740000000000002</v>
      </c>
      <c r="AS266" s="3">
        <f t="shared" si="46"/>
        <v>-0.14359000000000322</v>
      </c>
    </row>
    <row r="267" spans="1:45" ht="16" x14ac:dyDescent="0.2">
      <c r="A267" s="2">
        <v>200.01664</v>
      </c>
      <c r="B267" s="1">
        <v>130.5</v>
      </c>
      <c r="C267" s="5">
        <v>102.32351</v>
      </c>
      <c r="D267" s="3">
        <f t="shared" si="47"/>
        <v>102.20005999999999</v>
      </c>
      <c r="G267" s="4">
        <v>225.0121</v>
      </c>
      <c r="H267" s="1">
        <v>130.5</v>
      </c>
      <c r="I267" s="5">
        <v>99.457980000000006</v>
      </c>
      <c r="J267" s="3">
        <f t="shared" si="48"/>
        <v>101.04837000000001</v>
      </c>
      <c r="K267" s="1">
        <f t="shared" si="41"/>
        <v>3.9780855495483792E-3</v>
      </c>
      <c r="M267" s="4">
        <v>225.01664</v>
      </c>
      <c r="N267" s="1">
        <v>130.5</v>
      </c>
      <c r="O267" s="5">
        <v>103.35405</v>
      </c>
      <c r="P267" s="3">
        <f t="shared" si="49"/>
        <v>102.56166</v>
      </c>
      <c r="S267" s="4">
        <v>250.01091</v>
      </c>
      <c r="T267" s="1">
        <v>130.5</v>
      </c>
      <c r="U267" s="3">
        <v>98.707800000000006</v>
      </c>
      <c r="V267" s="3">
        <f t="shared" si="42"/>
        <v>102.03149000000001</v>
      </c>
      <c r="W267" s="1">
        <f t="shared" si="50"/>
        <v>1.0391656056270753E-3</v>
      </c>
      <c r="Y267" s="4">
        <v>250.02115000000001</v>
      </c>
      <c r="Z267" s="1">
        <v>130.5</v>
      </c>
      <c r="AA267" s="3">
        <v>105.12363000000001</v>
      </c>
      <c r="AB267" s="3">
        <f t="shared" si="43"/>
        <v>103.51461</v>
      </c>
      <c r="AF267" s="11">
        <v>758.19327999999996</v>
      </c>
      <c r="AG267" s="1">
        <v>130.5</v>
      </c>
      <c r="AH267" s="13">
        <v>-4.0741100000000001</v>
      </c>
      <c r="AI267" s="3">
        <f t="shared" si="44"/>
        <v>-2.1946700000000021</v>
      </c>
      <c r="AJ267" s="1">
        <f t="shared" si="40"/>
        <v>1.0334639504031822</v>
      </c>
      <c r="AK267" s="11">
        <v>758.19705999999996</v>
      </c>
      <c r="AL267" s="1">
        <v>130.5</v>
      </c>
      <c r="AM267" s="13">
        <v>-5.1893000000000002</v>
      </c>
      <c r="AN267" s="3">
        <f t="shared" si="45"/>
        <v>-3.2236900000000048</v>
      </c>
      <c r="AO267" s="1">
        <f t="shared" si="39"/>
        <v>1.043740622950692</v>
      </c>
      <c r="AP267" s="18">
        <v>496.78667000000002</v>
      </c>
      <c r="AQ267" s="1">
        <v>130.5</v>
      </c>
      <c r="AR267" s="13">
        <v>-0.85060999999999998</v>
      </c>
      <c r="AS267" s="3">
        <f t="shared" si="46"/>
        <v>-0.29680000000000462</v>
      </c>
    </row>
    <row r="268" spans="1:45" ht="16" x14ac:dyDescent="0.2">
      <c r="A268" s="2">
        <v>200.01554999999999</v>
      </c>
      <c r="B268" s="1">
        <v>131</v>
      </c>
      <c r="C268" s="3">
        <v>102.08148</v>
      </c>
      <c r="D268" s="3">
        <f t="shared" si="47"/>
        <v>101.95802999999999</v>
      </c>
      <c r="G268" s="4">
        <v>225.00691</v>
      </c>
      <c r="H268" s="1">
        <v>131</v>
      </c>
      <c r="I268" s="3">
        <v>99.502629999999996</v>
      </c>
      <c r="J268" s="3">
        <f t="shared" si="48"/>
        <v>101.09302</v>
      </c>
      <c r="K268" s="1">
        <f t="shared" si="41"/>
        <v>3.5328518808581061E-3</v>
      </c>
      <c r="M268" s="4">
        <v>225.01768000000001</v>
      </c>
      <c r="N268" s="1">
        <v>131</v>
      </c>
      <c r="O268" s="3">
        <v>103.19781</v>
      </c>
      <c r="P268" s="3">
        <f t="shared" si="49"/>
        <v>102.40542000000001</v>
      </c>
      <c r="S268" s="4">
        <v>250.00806</v>
      </c>
      <c r="T268" s="1">
        <v>131</v>
      </c>
      <c r="U268" s="5">
        <v>98.72193</v>
      </c>
      <c r="V268" s="3">
        <f t="shared" si="42"/>
        <v>102.04562</v>
      </c>
      <c r="W268" s="1">
        <f t="shared" si="50"/>
        <v>8.9921697802980329E-4</v>
      </c>
      <c r="Y268" s="4">
        <v>250.01436000000001</v>
      </c>
      <c r="Z268" s="1">
        <v>131</v>
      </c>
      <c r="AA268" s="5">
        <v>105.15335</v>
      </c>
      <c r="AB268" s="3">
        <f t="shared" si="43"/>
        <v>103.54433</v>
      </c>
      <c r="AF268" s="11">
        <v>760.69901000000004</v>
      </c>
      <c r="AG268" s="1">
        <v>131</v>
      </c>
      <c r="AH268" s="12">
        <v>-4.0739599999999996</v>
      </c>
      <c r="AI268" s="3">
        <f t="shared" si="44"/>
        <v>-2.1945199999999971</v>
      </c>
      <c r="AJ268" s="1">
        <f t="shared" si="40"/>
        <v>1.0334624557803236</v>
      </c>
      <c r="AK268" s="11">
        <v>760.69644000000005</v>
      </c>
      <c r="AL268" s="1">
        <v>131</v>
      </c>
      <c r="AM268" s="12">
        <v>-5.1635600000000004</v>
      </c>
      <c r="AN268" s="3">
        <f t="shared" si="45"/>
        <v>-3.1979500000000058</v>
      </c>
      <c r="AO268" s="1">
        <f t="shared" si="39"/>
        <v>1.0434839591433809</v>
      </c>
      <c r="AP268" s="18">
        <v>498.29843</v>
      </c>
      <c r="AQ268" s="1">
        <v>131</v>
      </c>
      <c r="AR268" s="12">
        <v>-0.68838999999999995</v>
      </c>
      <c r="AS268" s="3">
        <f t="shared" si="46"/>
        <v>-0.1345799999999997</v>
      </c>
    </row>
    <row r="269" spans="1:45" ht="16" x14ac:dyDescent="0.2">
      <c r="A269" s="2">
        <v>200.01938999999999</v>
      </c>
      <c r="B269" s="1">
        <v>131.5</v>
      </c>
      <c r="C269" s="5">
        <v>102.0513</v>
      </c>
      <c r="D269" s="3">
        <f t="shared" si="47"/>
        <v>101.92784999999999</v>
      </c>
      <c r="G269" s="4">
        <v>225.00088</v>
      </c>
      <c r="H269" s="1">
        <v>131.5</v>
      </c>
      <c r="I269" s="5">
        <v>99.465350000000001</v>
      </c>
      <c r="J269" s="3">
        <f t="shared" si="48"/>
        <v>101.05574</v>
      </c>
      <c r="K269" s="1">
        <f t="shared" si="41"/>
        <v>3.9045945722080517E-3</v>
      </c>
      <c r="M269" s="4">
        <v>225.01911999999999</v>
      </c>
      <c r="N269" s="1">
        <v>131.5</v>
      </c>
      <c r="O269" s="5">
        <v>103.40819999999999</v>
      </c>
      <c r="P269" s="3">
        <f t="shared" si="49"/>
        <v>102.61581</v>
      </c>
      <c r="S269" s="4">
        <v>250.00301999999999</v>
      </c>
      <c r="T269" s="1">
        <v>131.5</v>
      </c>
      <c r="U269" s="3">
        <v>98.70102</v>
      </c>
      <c r="V269" s="3">
        <f t="shared" si="42"/>
        <v>102.02471</v>
      </c>
      <c r="W269" s="1">
        <f t="shared" si="50"/>
        <v>1.1063171764063217E-3</v>
      </c>
      <c r="Y269" s="4">
        <v>250.01226</v>
      </c>
      <c r="Z269" s="1">
        <v>131.5</v>
      </c>
      <c r="AA269" s="3">
        <v>105.14305</v>
      </c>
      <c r="AB269" s="3">
        <f t="shared" si="43"/>
        <v>103.53403</v>
      </c>
      <c r="AF269" s="11">
        <v>763.20230000000004</v>
      </c>
      <c r="AG269" s="1">
        <v>131.5</v>
      </c>
      <c r="AH269" s="13">
        <v>-4.0987799999999996</v>
      </c>
      <c r="AI269" s="3">
        <f t="shared" si="44"/>
        <v>-2.2193400000000025</v>
      </c>
      <c r="AJ269" s="1">
        <f t="shared" si="40"/>
        <v>1.0337097660426404</v>
      </c>
      <c r="AK269" s="11">
        <v>763.19663000000003</v>
      </c>
      <c r="AL269" s="1">
        <v>131.5</v>
      </c>
      <c r="AM269" s="13">
        <v>-5.2399500000000003</v>
      </c>
      <c r="AN269" s="3">
        <f t="shared" si="45"/>
        <v>-3.2743399999999951</v>
      </c>
      <c r="AO269" s="1">
        <f t="shared" si="39"/>
        <v>1.0442456743042392</v>
      </c>
      <c r="AP269" s="18">
        <v>499.80020999999999</v>
      </c>
      <c r="AQ269" s="1">
        <v>131.5</v>
      </c>
      <c r="AR269" s="13">
        <v>-0.73601000000000005</v>
      </c>
      <c r="AS269" s="3">
        <f t="shared" si="46"/>
        <v>-0.18219999999999459</v>
      </c>
    </row>
    <row r="270" spans="1:45" ht="16" x14ac:dyDescent="0.2">
      <c r="A270" s="2">
        <v>200.01998</v>
      </c>
      <c r="B270" s="1">
        <v>132</v>
      </c>
      <c r="C270" s="3">
        <v>102.35581999999999</v>
      </c>
      <c r="D270" s="3">
        <f t="shared" si="47"/>
        <v>102.23236999999999</v>
      </c>
      <c r="G270" s="4">
        <v>225.00817000000001</v>
      </c>
      <c r="H270" s="1">
        <v>132</v>
      </c>
      <c r="I270" s="3">
        <v>99.464420000000004</v>
      </c>
      <c r="J270" s="3">
        <f t="shared" si="48"/>
        <v>101.05481</v>
      </c>
      <c r="K270" s="1">
        <f t="shared" si="41"/>
        <v>3.9138681962143365E-3</v>
      </c>
      <c r="M270" s="4">
        <v>225.02019000000001</v>
      </c>
      <c r="N270" s="1">
        <v>132</v>
      </c>
      <c r="O270" s="3">
        <v>103.43774000000001</v>
      </c>
      <c r="P270" s="3">
        <f t="shared" si="49"/>
        <v>102.64535000000001</v>
      </c>
      <c r="S270" s="4">
        <v>250.00398000000001</v>
      </c>
      <c r="T270" s="1">
        <v>132</v>
      </c>
      <c r="U270" s="5">
        <v>98.721890000000002</v>
      </c>
      <c r="V270" s="3">
        <f t="shared" si="42"/>
        <v>102.04558</v>
      </c>
      <c r="W270" s="1">
        <f t="shared" si="50"/>
        <v>8.9961315248866249E-4</v>
      </c>
      <c r="Y270" s="4">
        <v>250.01130000000001</v>
      </c>
      <c r="Z270" s="1">
        <v>132</v>
      </c>
      <c r="AA270" s="5">
        <v>105.18033</v>
      </c>
      <c r="AB270" s="3">
        <f t="shared" si="43"/>
        <v>103.57131</v>
      </c>
      <c r="AF270" s="11">
        <v>765.70650000000001</v>
      </c>
      <c r="AG270" s="1">
        <v>132</v>
      </c>
      <c r="AH270" s="12">
        <v>-4.1034899999999999</v>
      </c>
      <c r="AI270" s="3">
        <f t="shared" si="44"/>
        <v>-2.2240499999999912</v>
      </c>
      <c r="AJ270" s="1">
        <f t="shared" si="40"/>
        <v>1.0337566972003964</v>
      </c>
      <c r="AK270" s="11">
        <v>765.70051999999998</v>
      </c>
      <c r="AL270" s="1">
        <v>132</v>
      </c>
      <c r="AM270" s="12">
        <v>-5.2388599999999999</v>
      </c>
      <c r="AN270" s="3">
        <f t="shared" si="45"/>
        <v>-3.2732500000000044</v>
      </c>
      <c r="AO270" s="1">
        <f t="shared" si="39"/>
        <v>1.0442348054794544</v>
      </c>
      <c r="AP270" s="18">
        <v>501.29052000000001</v>
      </c>
      <c r="AQ270" s="1">
        <v>132</v>
      </c>
      <c r="AR270" s="12">
        <v>-0.79922000000000004</v>
      </c>
      <c r="AS270" s="3">
        <f t="shared" si="46"/>
        <v>-0.24541000000000679</v>
      </c>
    </row>
    <row r="271" spans="1:45" ht="16" x14ac:dyDescent="0.2">
      <c r="A271" s="2">
        <v>200.01911999999999</v>
      </c>
      <c r="B271" s="1">
        <v>132.5</v>
      </c>
      <c r="C271" s="5">
        <v>102.26298</v>
      </c>
      <c r="D271" s="3">
        <f t="shared" si="47"/>
        <v>102.13952999999999</v>
      </c>
      <c r="G271" s="4">
        <v>225.00876</v>
      </c>
      <c r="H271" s="1">
        <v>132.5</v>
      </c>
      <c r="I271" s="5">
        <v>99.448120000000003</v>
      </c>
      <c r="J271" s="3">
        <f t="shared" si="48"/>
        <v>101.03851</v>
      </c>
      <c r="K271" s="1">
        <f t="shared" si="41"/>
        <v>4.0764059072928033E-3</v>
      </c>
      <c r="M271" s="4">
        <v>225.01978</v>
      </c>
      <c r="N271" s="1">
        <v>132.5</v>
      </c>
      <c r="O271" s="5">
        <v>103.34238999999999</v>
      </c>
      <c r="P271" s="3">
        <f t="shared" si="49"/>
        <v>102.55</v>
      </c>
      <c r="S271" s="4">
        <v>250.00899999999999</v>
      </c>
      <c r="T271" s="1">
        <v>132.5</v>
      </c>
      <c r="U271" s="3">
        <v>98.705349999999996</v>
      </c>
      <c r="V271" s="3">
        <f t="shared" si="42"/>
        <v>102.02903999999999</v>
      </c>
      <c r="W271" s="1">
        <f t="shared" si="50"/>
        <v>1.0634312912332247E-3</v>
      </c>
      <c r="Y271" s="4">
        <v>250.01156</v>
      </c>
      <c r="Z271" s="1">
        <v>132.5</v>
      </c>
      <c r="AA271" s="3">
        <v>105.19052000000001</v>
      </c>
      <c r="AB271" s="3">
        <f t="shared" si="43"/>
        <v>103.58150000000001</v>
      </c>
      <c r="AF271" s="11">
        <v>768.20997999999997</v>
      </c>
      <c r="AG271" s="1">
        <v>132.5</v>
      </c>
      <c r="AH271" s="13">
        <v>-4.07118</v>
      </c>
      <c r="AI271" s="3">
        <f t="shared" si="44"/>
        <v>-2.1917399999999958</v>
      </c>
      <c r="AJ271" s="1">
        <f t="shared" si="40"/>
        <v>1.0334347554366798</v>
      </c>
      <c r="AK271" s="11">
        <v>768.20416999999998</v>
      </c>
      <c r="AL271" s="1">
        <v>132.5</v>
      </c>
      <c r="AM271" s="13">
        <v>-5.1935000000000002</v>
      </c>
      <c r="AN271" s="3">
        <f t="shared" si="45"/>
        <v>-3.2278900000000021</v>
      </c>
      <c r="AO271" s="1">
        <f t="shared" si="39"/>
        <v>1.0437825028260108</v>
      </c>
      <c r="AP271" s="18">
        <v>502.791</v>
      </c>
      <c r="AQ271" s="1">
        <v>132.5</v>
      </c>
      <c r="AR271" s="13">
        <v>-0.74275999999999998</v>
      </c>
      <c r="AS271" s="3">
        <f t="shared" si="46"/>
        <v>-0.1889500000000055</v>
      </c>
    </row>
    <row r="272" spans="1:45" ht="16" x14ac:dyDescent="0.2">
      <c r="A272" s="2">
        <v>200.018</v>
      </c>
      <c r="B272" s="1">
        <v>133</v>
      </c>
      <c r="C272" s="3">
        <v>102.39212000000001</v>
      </c>
      <c r="D272" s="3">
        <f t="shared" si="47"/>
        <v>102.26867</v>
      </c>
      <c r="G272" s="4">
        <v>225.00990999999999</v>
      </c>
      <c r="H272" s="1">
        <v>133</v>
      </c>
      <c r="I272" s="3">
        <v>99.497069999999994</v>
      </c>
      <c r="J272" s="3">
        <f t="shared" si="48"/>
        <v>101.08745999999999</v>
      </c>
      <c r="K272" s="1">
        <f t="shared" si="41"/>
        <v>3.5882941921217045E-3</v>
      </c>
      <c r="M272" s="4">
        <v>225.01634000000001</v>
      </c>
      <c r="N272" s="1">
        <v>133</v>
      </c>
      <c r="O272" s="3">
        <v>103.38914</v>
      </c>
      <c r="P272" s="3">
        <f t="shared" si="49"/>
        <v>102.59675</v>
      </c>
      <c r="S272" s="4">
        <v>250.00497999999999</v>
      </c>
      <c r="T272" s="1">
        <v>133</v>
      </c>
      <c r="U272" s="5">
        <v>98.705269999999999</v>
      </c>
      <c r="V272" s="3">
        <f t="shared" si="42"/>
        <v>102.02896</v>
      </c>
      <c r="W272" s="1">
        <f t="shared" si="50"/>
        <v>1.0642236401509431E-3</v>
      </c>
      <c r="Y272" s="4">
        <v>250.01034999999999</v>
      </c>
      <c r="Z272" s="1">
        <v>133</v>
      </c>
      <c r="AA272" s="5">
        <v>105.18819000000001</v>
      </c>
      <c r="AB272" s="3">
        <f t="shared" si="43"/>
        <v>103.57917</v>
      </c>
      <c r="AF272" s="11">
        <v>770.70934</v>
      </c>
      <c r="AG272" s="1">
        <v>133</v>
      </c>
      <c r="AH272" s="12">
        <v>-4.0788700000000002</v>
      </c>
      <c r="AI272" s="3">
        <f t="shared" si="44"/>
        <v>-2.1994299999999924</v>
      </c>
      <c r="AJ272" s="1">
        <f t="shared" si="40"/>
        <v>1.0335113797685578</v>
      </c>
      <c r="AK272" s="11">
        <v>770.70235000000002</v>
      </c>
      <c r="AL272" s="1">
        <v>133</v>
      </c>
      <c r="AM272" s="12">
        <v>-5.1931799999999999</v>
      </c>
      <c r="AN272" s="3">
        <f t="shared" si="45"/>
        <v>-3.2275700000000001</v>
      </c>
      <c r="AO272" s="1">
        <f t="shared" si="39"/>
        <v>1.0437793119783676</v>
      </c>
      <c r="AP272" s="18">
        <v>504.29946999999999</v>
      </c>
      <c r="AQ272" s="1">
        <v>133</v>
      </c>
      <c r="AR272" s="12">
        <v>-0.82279000000000002</v>
      </c>
      <c r="AS272" s="3">
        <f t="shared" si="46"/>
        <v>-0.26897999999999911</v>
      </c>
    </row>
    <row r="273" spans="1:45" ht="16" x14ac:dyDescent="0.2">
      <c r="A273" s="2">
        <v>200.01945000000001</v>
      </c>
      <c r="B273" s="1">
        <v>133.5</v>
      </c>
      <c r="C273" s="5">
        <v>102.40369</v>
      </c>
      <c r="D273" s="3">
        <f t="shared" si="47"/>
        <v>102.28023999999999</v>
      </c>
      <c r="G273" s="4">
        <v>225.0119</v>
      </c>
      <c r="H273" s="1">
        <v>133.5</v>
      </c>
      <c r="I273" s="5">
        <v>99.483040000000003</v>
      </c>
      <c r="J273" s="3">
        <f t="shared" si="48"/>
        <v>101.07343</v>
      </c>
      <c r="K273" s="1">
        <f t="shared" si="41"/>
        <v>3.7281962833136855E-3</v>
      </c>
      <c r="M273" s="4">
        <v>225.01472000000001</v>
      </c>
      <c r="N273" s="1">
        <v>133.5</v>
      </c>
      <c r="O273" s="5">
        <v>103.42209</v>
      </c>
      <c r="P273" s="3">
        <f t="shared" si="49"/>
        <v>102.6297</v>
      </c>
      <c r="S273" s="4">
        <v>250.00891999999999</v>
      </c>
      <c r="T273" s="1">
        <v>133.5</v>
      </c>
      <c r="U273" s="3">
        <v>98.698750000000004</v>
      </c>
      <c r="V273" s="3">
        <f t="shared" si="42"/>
        <v>102.02244</v>
      </c>
      <c r="W273" s="1">
        <f t="shared" si="50"/>
        <v>1.1288000769473932E-3</v>
      </c>
      <c r="Y273" s="4">
        <v>250.0086</v>
      </c>
      <c r="Z273" s="1">
        <v>133.5</v>
      </c>
      <c r="AA273" s="3">
        <v>105.20038</v>
      </c>
      <c r="AB273" s="3">
        <f t="shared" si="43"/>
        <v>103.59135999999999</v>
      </c>
      <c r="AF273" s="11">
        <v>773.20835</v>
      </c>
      <c r="AG273" s="1">
        <v>133.5</v>
      </c>
      <c r="AH273" s="13">
        <v>-4.1396699999999997</v>
      </c>
      <c r="AI273" s="3">
        <f t="shared" si="44"/>
        <v>-2.2602299999999929</v>
      </c>
      <c r="AJ273" s="1">
        <f t="shared" si="40"/>
        <v>1.0341172002338621</v>
      </c>
      <c r="AK273" s="11">
        <v>773.20504000000005</v>
      </c>
      <c r="AL273" s="1">
        <v>133.5</v>
      </c>
      <c r="AM273" s="13">
        <v>-5.2871699999999997</v>
      </c>
      <c r="AN273" s="3">
        <f t="shared" si="45"/>
        <v>-3.3215600000000052</v>
      </c>
      <c r="AO273" s="1">
        <f t="shared" si="39"/>
        <v>1.0447165237596097</v>
      </c>
      <c r="AP273" s="18">
        <v>505.80121000000003</v>
      </c>
      <c r="AQ273" s="1">
        <v>133.5</v>
      </c>
      <c r="AR273" s="13">
        <v>-0.88641999999999999</v>
      </c>
      <c r="AS273" s="3">
        <f t="shared" si="46"/>
        <v>-0.33261000000000251</v>
      </c>
    </row>
    <row r="274" spans="1:45" ht="16" x14ac:dyDescent="0.2">
      <c r="A274" s="2">
        <v>200.02121</v>
      </c>
      <c r="B274" s="1">
        <v>134</v>
      </c>
      <c r="C274" s="3">
        <v>102.28904</v>
      </c>
      <c r="D274" s="3">
        <f t="shared" si="47"/>
        <v>102.16558999999999</v>
      </c>
      <c r="G274" s="4">
        <v>225.00394</v>
      </c>
      <c r="H274" s="1">
        <v>134</v>
      </c>
      <c r="I274" s="3">
        <v>99.449650000000005</v>
      </c>
      <c r="J274" s="3">
        <f t="shared" si="48"/>
        <v>101.04004</v>
      </c>
      <c r="K274" s="1">
        <f t="shared" si="41"/>
        <v>4.0611493000565794E-3</v>
      </c>
      <c r="M274" s="4">
        <v>225.01344</v>
      </c>
      <c r="N274" s="1">
        <v>134</v>
      </c>
      <c r="O274" s="3">
        <v>103.41612000000001</v>
      </c>
      <c r="P274" s="3">
        <f t="shared" si="49"/>
        <v>102.62373000000001</v>
      </c>
      <c r="S274" s="4">
        <v>250.00305</v>
      </c>
      <c r="T274" s="1">
        <v>134</v>
      </c>
      <c r="U274" s="5">
        <v>98.707449999999994</v>
      </c>
      <c r="V274" s="3">
        <f t="shared" si="42"/>
        <v>102.03113999999999</v>
      </c>
      <c r="W274" s="1">
        <f t="shared" si="50"/>
        <v>1.0426321321423402E-3</v>
      </c>
      <c r="Y274" s="4">
        <v>250.01442</v>
      </c>
      <c r="Z274" s="1">
        <v>134</v>
      </c>
      <c r="AA274" s="5">
        <v>105.20243000000001</v>
      </c>
      <c r="AB274" s="3">
        <f t="shared" si="43"/>
        <v>103.59341000000001</v>
      </c>
      <c r="AF274" s="11">
        <v>775.70726999999999</v>
      </c>
      <c r="AG274" s="1">
        <v>134</v>
      </c>
      <c r="AH274" s="12">
        <v>-4.09511</v>
      </c>
      <c r="AI274" s="3">
        <f t="shared" si="44"/>
        <v>-2.2156700000000029</v>
      </c>
      <c r="AJ274" s="1">
        <f t="shared" si="40"/>
        <v>1.0336731976033695</v>
      </c>
      <c r="AK274" s="11">
        <v>775.70803000000001</v>
      </c>
      <c r="AL274" s="1">
        <v>134</v>
      </c>
      <c r="AM274" s="12">
        <v>-5.2048500000000004</v>
      </c>
      <c r="AN274" s="3">
        <f t="shared" si="45"/>
        <v>-3.2392399999999952</v>
      </c>
      <c r="AO274" s="1">
        <f t="shared" si="39"/>
        <v>1.0438956782033606</v>
      </c>
      <c r="AP274" s="18">
        <v>507.29948000000002</v>
      </c>
      <c r="AQ274" s="1">
        <v>134</v>
      </c>
      <c r="AR274" s="12">
        <v>-0.81020000000000003</v>
      </c>
      <c r="AS274" s="3">
        <f t="shared" si="46"/>
        <v>-0.25638999999999612</v>
      </c>
    </row>
    <row r="275" spans="1:45" ht="16" x14ac:dyDescent="0.2">
      <c r="A275" s="2">
        <v>200.01952</v>
      </c>
      <c r="B275" s="1">
        <v>134.5</v>
      </c>
      <c r="C275" s="5">
        <v>102.25288999999999</v>
      </c>
      <c r="D275" s="3">
        <f t="shared" si="47"/>
        <v>102.12943999999999</v>
      </c>
      <c r="G275" s="4">
        <v>225.00183000000001</v>
      </c>
      <c r="H275" s="1">
        <v>134.5</v>
      </c>
      <c r="I275" s="5">
        <v>99.449349999999995</v>
      </c>
      <c r="J275" s="3">
        <f t="shared" si="48"/>
        <v>101.03973999999999</v>
      </c>
      <c r="K275" s="1">
        <f t="shared" si="41"/>
        <v>4.0641407916716197E-3</v>
      </c>
      <c r="M275" s="4">
        <v>225.01729</v>
      </c>
      <c r="N275" s="1">
        <v>134.5</v>
      </c>
      <c r="O275" s="5">
        <v>103.43218</v>
      </c>
      <c r="P275" s="3">
        <f t="shared" si="49"/>
        <v>102.63979</v>
      </c>
      <c r="S275" s="4">
        <v>250.00393</v>
      </c>
      <c r="T275" s="1">
        <v>134.5</v>
      </c>
      <c r="U275" s="3">
        <v>98.698830000000001</v>
      </c>
      <c r="V275" s="3">
        <f t="shared" si="42"/>
        <v>102.02252</v>
      </c>
      <c r="W275" s="1">
        <f t="shared" si="50"/>
        <v>1.1280077280296748E-3</v>
      </c>
      <c r="Y275" s="4">
        <v>250.01653999999999</v>
      </c>
      <c r="Z275" s="1">
        <v>134.5</v>
      </c>
      <c r="AA275" s="3">
        <v>105.11924999999999</v>
      </c>
      <c r="AB275" s="3">
        <f t="shared" si="43"/>
        <v>103.51022999999999</v>
      </c>
      <c r="AF275" s="11">
        <v>778.21362999999997</v>
      </c>
      <c r="AG275" s="1">
        <v>134.5</v>
      </c>
      <c r="AH275" s="13">
        <v>-4.12906</v>
      </c>
      <c r="AI275" s="3">
        <f t="shared" si="44"/>
        <v>-2.2496199999999931</v>
      </c>
      <c r="AJ275" s="1">
        <f t="shared" si="40"/>
        <v>1.0340114805770055</v>
      </c>
      <c r="AK275" s="11">
        <v>778.21133999999995</v>
      </c>
      <c r="AL275" s="1">
        <v>134.5</v>
      </c>
      <c r="AM275" s="13">
        <v>-5.2390800000000004</v>
      </c>
      <c r="AN275" s="3">
        <f t="shared" si="45"/>
        <v>-3.2734700000000032</v>
      </c>
      <c r="AO275" s="1">
        <f t="shared" si="39"/>
        <v>1.0442369991872091</v>
      </c>
      <c r="AP275" s="18">
        <v>508.8032</v>
      </c>
      <c r="AQ275" s="1">
        <v>134.5</v>
      </c>
      <c r="AR275" s="13">
        <v>-0.93425999999999998</v>
      </c>
      <c r="AS275" s="3">
        <f t="shared" si="46"/>
        <v>-0.38044999999999618</v>
      </c>
    </row>
    <row r="276" spans="1:45" ht="16" x14ac:dyDescent="0.2">
      <c r="A276" s="2">
        <v>200.01419999999999</v>
      </c>
      <c r="B276" s="1">
        <v>135</v>
      </c>
      <c r="C276" s="3">
        <v>102.35234</v>
      </c>
      <c r="D276" s="3">
        <f t="shared" si="47"/>
        <v>102.22888999999999</v>
      </c>
      <c r="G276" s="4">
        <v>225.00506999999999</v>
      </c>
      <c r="H276" s="1">
        <v>135</v>
      </c>
      <c r="I276" s="3">
        <v>99.495279999999994</v>
      </c>
      <c r="J276" s="3">
        <f t="shared" si="48"/>
        <v>101.08566999999999</v>
      </c>
      <c r="K276" s="1">
        <f t="shared" si="41"/>
        <v>3.6061434254241824E-3</v>
      </c>
      <c r="M276" s="4">
        <v>225.02074999999999</v>
      </c>
      <c r="N276" s="1">
        <v>135</v>
      </c>
      <c r="O276" s="3">
        <v>103.40084</v>
      </c>
      <c r="P276" s="3">
        <f t="shared" si="49"/>
        <v>102.60845</v>
      </c>
      <c r="S276" s="4">
        <v>249.99697</v>
      </c>
      <c r="T276" s="1">
        <v>135</v>
      </c>
      <c r="U276" s="5">
        <v>98.705129999999997</v>
      </c>
      <c r="V276" s="3">
        <f t="shared" si="42"/>
        <v>102.02882</v>
      </c>
      <c r="W276" s="1">
        <f t="shared" si="50"/>
        <v>1.0656102507570209E-3</v>
      </c>
      <c r="Y276" s="4">
        <v>250.01338999999999</v>
      </c>
      <c r="Z276" s="1">
        <v>135</v>
      </c>
      <c r="AA276" s="5">
        <v>105.22635</v>
      </c>
      <c r="AB276" s="3">
        <f t="shared" si="43"/>
        <v>103.61733</v>
      </c>
      <c r="AF276" s="11">
        <v>780.71671000000003</v>
      </c>
      <c r="AG276" s="1">
        <v>135</v>
      </c>
      <c r="AH276" s="12">
        <v>-4.1406400000000003</v>
      </c>
      <c r="AI276" s="3">
        <f t="shared" si="44"/>
        <v>-2.2612000000000023</v>
      </c>
      <c r="AJ276" s="1">
        <f t="shared" si="40"/>
        <v>1.0341268654616804</v>
      </c>
      <c r="AK276" s="11">
        <v>780.72036000000003</v>
      </c>
      <c r="AL276" s="1">
        <v>135</v>
      </c>
      <c r="AM276" s="12">
        <v>-5.2550499999999998</v>
      </c>
      <c r="AN276" s="3">
        <f t="shared" si="45"/>
        <v>-3.289439999999999</v>
      </c>
      <c r="AO276" s="1">
        <f t="shared" si="39"/>
        <v>1.0443962424274094</v>
      </c>
      <c r="AP276" s="18">
        <v>510.30747000000002</v>
      </c>
      <c r="AQ276" s="1">
        <v>135</v>
      </c>
      <c r="AR276" s="12">
        <v>-0.87573000000000001</v>
      </c>
      <c r="AS276" s="3">
        <f t="shared" si="46"/>
        <v>-0.32192000000000576</v>
      </c>
    </row>
    <row r="277" spans="1:45" ht="16" x14ac:dyDescent="0.2">
      <c r="A277" s="2">
        <v>200.01228</v>
      </c>
      <c r="B277" s="1">
        <v>135.5</v>
      </c>
      <c r="C277" s="5">
        <v>102.40304</v>
      </c>
      <c r="D277" s="3">
        <f t="shared" si="47"/>
        <v>102.27959</v>
      </c>
      <c r="G277" s="4">
        <v>225.00298000000001</v>
      </c>
      <c r="H277" s="1">
        <v>135.5</v>
      </c>
      <c r="I277" s="5">
        <v>99.476969999999994</v>
      </c>
      <c r="J277" s="3">
        <f t="shared" si="48"/>
        <v>101.06735999999999</v>
      </c>
      <c r="K277" s="1">
        <f t="shared" si="41"/>
        <v>3.7887241303227385E-3</v>
      </c>
      <c r="M277" s="4">
        <v>225.01999000000001</v>
      </c>
      <c r="N277" s="1">
        <v>135.5</v>
      </c>
      <c r="O277" s="5">
        <v>103.3614</v>
      </c>
      <c r="P277" s="3">
        <f t="shared" si="49"/>
        <v>102.56901000000001</v>
      </c>
      <c r="S277" s="4">
        <v>250.00299000000001</v>
      </c>
      <c r="T277" s="1">
        <v>135.5</v>
      </c>
      <c r="U277" s="3">
        <v>98.702749999999995</v>
      </c>
      <c r="V277" s="3">
        <f t="shared" si="42"/>
        <v>102.02643999999999</v>
      </c>
      <c r="W277" s="1">
        <f t="shared" si="50"/>
        <v>1.0891826310600611E-3</v>
      </c>
      <c r="Y277" s="4">
        <v>250.01572999999999</v>
      </c>
      <c r="Z277" s="1">
        <v>135.5</v>
      </c>
      <c r="AA277" s="3">
        <v>105.24038</v>
      </c>
      <c r="AB277" s="3">
        <f t="shared" si="43"/>
        <v>103.63136</v>
      </c>
      <c r="AF277" s="11">
        <v>783.2183</v>
      </c>
      <c r="AG277" s="1">
        <v>135.5</v>
      </c>
      <c r="AH277" s="13">
        <v>-4.1116000000000001</v>
      </c>
      <c r="AI277" s="3">
        <f t="shared" si="44"/>
        <v>-2.2321599999999933</v>
      </c>
      <c r="AJ277" s="1">
        <f t="shared" si="40"/>
        <v>1.0338375064762784</v>
      </c>
      <c r="AK277" s="11">
        <v>783.21975999999995</v>
      </c>
      <c r="AL277" s="1">
        <v>135.5</v>
      </c>
      <c r="AM277" s="13">
        <v>-5.2727599999999999</v>
      </c>
      <c r="AN277" s="3">
        <f t="shared" si="45"/>
        <v>-3.3071500000000071</v>
      </c>
      <c r="AO277" s="1">
        <f t="shared" si="39"/>
        <v>1.0445728359016706</v>
      </c>
      <c r="AP277" s="18">
        <v>511.80387000000002</v>
      </c>
      <c r="AQ277" s="1">
        <v>135.5</v>
      </c>
      <c r="AR277" s="13">
        <v>-0.82894999999999996</v>
      </c>
      <c r="AS277" s="3">
        <f t="shared" si="46"/>
        <v>-0.27514000000000749</v>
      </c>
    </row>
    <row r="278" spans="1:45" ht="16" x14ac:dyDescent="0.2">
      <c r="A278" s="2">
        <v>200.01418000000001</v>
      </c>
      <c r="B278" s="1">
        <v>136</v>
      </c>
      <c r="C278" s="3">
        <v>102.25845</v>
      </c>
      <c r="D278" s="3">
        <f t="shared" si="47"/>
        <v>102.13499999999999</v>
      </c>
      <c r="G278" s="4">
        <v>225.00084000000001</v>
      </c>
      <c r="H278" s="1">
        <v>136</v>
      </c>
      <c r="I278" s="3">
        <v>99.430289999999999</v>
      </c>
      <c r="J278" s="3">
        <f t="shared" si="48"/>
        <v>101.02068</v>
      </c>
      <c r="K278" s="1">
        <f t="shared" si="41"/>
        <v>4.2542002256074933E-3</v>
      </c>
      <c r="M278" s="4">
        <v>225.01922999999999</v>
      </c>
      <c r="N278" s="1">
        <v>136</v>
      </c>
      <c r="O278" s="3">
        <v>103.60755</v>
      </c>
      <c r="P278" s="3">
        <f t="shared" si="49"/>
        <v>102.81516000000001</v>
      </c>
      <c r="S278" s="4">
        <v>250.00514000000001</v>
      </c>
      <c r="T278" s="1">
        <v>136</v>
      </c>
      <c r="U278" s="5">
        <v>98.691050000000004</v>
      </c>
      <c r="V278" s="3">
        <f t="shared" si="42"/>
        <v>102.01474</v>
      </c>
      <c r="W278" s="1">
        <f t="shared" si="50"/>
        <v>1.2050636602806838E-3</v>
      </c>
      <c r="Y278" s="4">
        <v>250.01579000000001</v>
      </c>
      <c r="Z278" s="1">
        <v>136</v>
      </c>
      <c r="AA278" s="5">
        <v>105.20928000000001</v>
      </c>
      <c r="AB278" s="3">
        <f t="shared" si="43"/>
        <v>103.60026000000001</v>
      </c>
      <c r="AF278" s="11">
        <v>785.72146999999995</v>
      </c>
      <c r="AG278" s="1">
        <v>136</v>
      </c>
      <c r="AH278" s="12">
        <v>-4.1081799999999999</v>
      </c>
      <c r="AI278" s="3">
        <f t="shared" si="44"/>
        <v>-2.2287400000000019</v>
      </c>
      <c r="AJ278" s="1">
        <f t="shared" si="40"/>
        <v>1.033803429075105</v>
      </c>
      <c r="AK278" s="11">
        <v>785.72820999999999</v>
      </c>
      <c r="AL278" s="1">
        <v>136</v>
      </c>
      <c r="AM278" s="12">
        <v>-5.24777</v>
      </c>
      <c r="AN278" s="3">
        <f t="shared" si="45"/>
        <v>-3.2821600000000046</v>
      </c>
      <c r="AO278" s="1">
        <f t="shared" si="39"/>
        <v>1.0443236506435234</v>
      </c>
      <c r="AP278" s="18">
        <v>513.29677000000004</v>
      </c>
      <c r="AQ278" s="1">
        <v>136</v>
      </c>
      <c r="AR278" s="12">
        <v>-1.02319</v>
      </c>
      <c r="AS278" s="3">
        <f t="shared" si="46"/>
        <v>-0.46938000000000102</v>
      </c>
    </row>
    <row r="279" spans="1:45" ht="16" x14ac:dyDescent="0.2">
      <c r="A279" s="2">
        <v>200.01245</v>
      </c>
      <c r="B279" s="1">
        <v>136.5</v>
      </c>
      <c r="C279" s="5">
        <v>102.27112</v>
      </c>
      <c r="D279" s="3">
        <f t="shared" si="47"/>
        <v>102.14766999999999</v>
      </c>
      <c r="G279" s="4">
        <v>225.00685999999999</v>
      </c>
      <c r="H279" s="1">
        <v>136.5</v>
      </c>
      <c r="I279" s="5">
        <v>99.463489999999993</v>
      </c>
      <c r="J279" s="3">
        <f t="shared" si="48"/>
        <v>101.05387999999999</v>
      </c>
      <c r="K279" s="1">
        <f t="shared" si="41"/>
        <v>3.9231418202207626E-3</v>
      </c>
      <c r="M279" s="4">
        <v>225.02191999999999</v>
      </c>
      <c r="N279" s="1">
        <v>136.5</v>
      </c>
      <c r="O279" s="5">
        <v>103.40525</v>
      </c>
      <c r="P279" s="3">
        <f t="shared" si="49"/>
        <v>102.61286</v>
      </c>
      <c r="S279" s="4">
        <v>250.00608</v>
      </c>
      <c r="T279" s="1">
        <v>136.5</v>
      </c>
      <c r="U279" s="3">
        <v>98.684740000000005</v>
      </c>
      <c r="V279" s="3">
        <f t="shared" si="42"/>
        <v>102.00843</v>
      </c>
      <c r="W279" s="1">
        <f t="shared" si="50"/>
        <v>1.2675601811680877E-3</v>
      </c>
      <c r="Y279" s="4">
        <v>250.01770999999999</v>
      </c>
      <c r="Z279" s="1">
        <v>136.5</v>
      </c>
      <c r="AA279" s="3">
        <v>105.19275</v>
      </c>
      <c r="AB279" s="3">
        <f t="shared" si="43"/>
        <v>103.58373</v>
      </c>
      <c r="AF279" s="11">
        <v>788.22942999999998</v>
      </c>
      <c r="AG279" s="1">
        <v>136.5</v>
      </c>
      <c r="AH279" s="13">
        <v>-4.1297300000000003</v>
      </c>
      <c r="AI279" s="3">
        <f t="shared" si="44"/>
        <v>-2.2502899999999926</v>
      </c>
      <c r="AJ279" s="1">
        <f t="shared" si="40"/>
        <v>1.0340181565591067</v>
      </c>
      <c r="AK279" s="11">
        <v>788.22036000000003</v>
      </c>
      <c r="AL279" s="1">
        <v>136.5</v>
      </c>
      <c r="AM279" s="13">
        <v>-5.29535</v>
      </c>
      <c r="AN279" s="3">
        <f t="shared" si="45"/>
        <v>-3.329740000000001</v>
      </c>
      <c r="AO279" s="1">
        <f t="shared" si="39"/>
        <v>1.0447980898024924</v>
      </c>
      <c r="AP279" s="18">
        <v>514.80669999999998</v>
      </c>
      <c r="AQ279" s="1">
        <v>136.5</v>
      </c>
      <c r="AR279" s="13">
        <v>-0.83540000000000003</v>
      </c>
      <c r="AS279" s="3">
        <f t="shared" si="46"/>
        <v>-0.28159000000000844</v>
      </c>
    </row>
    <row r="280" spans="1:45" ht="16" x14ac:dyDescent="0.2">
      <c r="A280" s="2">
        <v>200.01006000000001</v>
      </c>
      <c r="B280" s="1">
        <v>137</v>
      </c>
      <c r="C280" s="3">
        <v>102.30368</v>
      </c>
      <c r="D280" s="3">
        <f t="shared" si="47"/>
        <v>102.18022999999999</v>
      </c>
      <c r="G280" s="4">
        <v>225.00297</v>
      </c>
      <c r="H280" s="1">
        <v>137</v>
      </c>
      <c r="I280" s="3">
        <v>99.449830000000006</v>
      </c>
      <c r="J280" s="3">
        <f t="shared" si="48"/>
        <v>101.04022000000001</v>
      </c>
      <c r="K280" s="1">
        <f t="shared" si="41"/>
        <v>4.0593544050876122E-3</v>
      </c>
      <c r="M280" s="4">
        <v>225.02208999999999</v>
      </c>
      <c r="N280" s="1">
        <v>137</v>
      </c>
      <c r="O280" s="3">
        <v>103.36296</v>
      </c>
      <c r="P280" s="3">
        <f t="shared" si="49"/>
        <v>102.57057</v>
      </c>
      <c r="S280" s="4">
        <v>250.00801999999999</v>
      </c>
      <c r="T280" s="1">
        <v>137</v>
      </c>
      <c r="U280" s="5">
        <v>98.669820000000001</v>
      </c>
      <c r="V280" s="3">
        <f t="shared" si="42"/>
        <v>101.99351</v>
      </c>
      <c r="W280" s="1">
        <f t="shared" si="50"/>
        <v>1.4153332543282169E-3</v>
      </c>
      <c r="Y280" s="4">
        <v>250.02188000000001</v>
      </c>
      <c r="Z280" s="1">
        <v>137</v>
      </c>
      <c r="AA280" s="5">
        <v>105.25319</v>
      </c>
      <c r="AB280" s="3">
        <f t="shared" si="43"/>
        <v>103.64417</v>
      </c>
      <c r="AF280" s="11">
        <v>790.72900000000004</v>
      </c>
      <c r="AG280" s="1">
        <v>137</v>
      </c>
      <c r="AH280" s="12">
        <v>-4.1118699999999997</v>
      </c>
      <c r="AI280" s="3">
        <f t="shared" si="44"/>
        <v>-2.2324299999999937</v>
      </c>
      <c r="AJ280" s="1">
        <f t="shared" si="40"/>
        <v>1.0338401967974236</v>
      </c>
      <c r="AK280" s="11">
        <v>790.72103000000004</v>
      </c>
      <c r="AL280" s="1">
        <v>137</v>
      </c>
      <c r="AM280" s="12">
        <v>-5.2865599999999997</v>
      </c>
      <c r="AN280" s="3">
        <f t="shared" si="45"/>
        <v>-3.3209499999999963</v>
      </c>
      <c r="AO280" s="1">
        <f t="shared" si="39"/>
        <v>1.0447104412062895</v>
      </c>
      <c r="AP280" s="18">
        <v>516.30930999999998</v>
      </c>
      <c r="AQ280" s="1">
        <v>137</v>
      </c>
      <c r="AR280" s="12">
        <v>-0.81296000000000002</v>
      </c>
      <c r="AS280" s="3">
        <f t="shared" si="46"/>
        <v>-0.25915000000000532</v>
      </c>
    </row>
    <row r="281" spans="1:45" ht="16" x14ac:dyDescent="0.2">
      <c r="A281" s="2">
        <v>200.01382000000001</v>
      </c>
      <c r="B281" s="1">
        <v>137.5</v>
      </c>
      <c r="C281" s="5">
        <v>102.08467</v>
      </c>
      <c r="D281" s="3">
        <f t="shared" si="47"/>
        <v>101.96122</v>
      </c>
      <c r="G281" s="4">
        <v>225.00423000000001</v>
      </c>
      <c r="H281" s="1">
        <v>137.5</v>
      </c>
      <c r="I281" s="5">
        <v>99.475239999999999</v>
      </c>
      <c r="J281" s="3">
        <f t="shared" si="48"/>
        <v>101.06563</v>
      </c>
      <c r="K281" s="1">
        <f t="shared" si="41"/>
        <v>3.8059750653021804E-3</v>
      </c>
      <c r="M281" s="4">
        <v>225.01875000000001</v>
      </c>
      <c r="N281" s="1">
        <v>137.5</v>
      </c>
      <c r="O281" s="5">
        <v>103.47662</v>
      </c>
      <c r="P281" s="3">
        <f t="shared" si="49"/>
        <v>102.68423</v>
      </c>
      <c r="S281" s="4">
        <v>250.00006999999999</v>
      </c>
      <c r="T281" s="1">
        <v>137.5</v>
      </c>
      <c r="U281" s="3">
        <v>98.686729999999997</v>
      </c>
      <c r="V281" s="3">
        <f t="shared" si="42"/>
        <v>102.01042</v>
      </c>
      <c r="W281" s="1">
        <f t="shared" si="50"/>
        <v>1.2478505018391716E-3</v>
      </c>
      <c r="Y281" s="4">
        <v>250.02206000000001</v>
      </c>
      <c r="Z281" s="1">
        <v>137.5</v>
      </c>
      <c r="AA281" s="3">
        <v>105.21879</v>
      </c>
      <c r="AB281" s="3">
        <f t="shared" si="43"/>
        <v>103.60977</v>
      </c>
      <c r="AF281" s="11">
        <v>793.23370999999997</v>
      </c>
      <c r="AG281" s="1">
        <v>137.5</v>
      </c>
      <c r="AH281" s="13">
        <v>-4.1398799999999998</v>
      </c>
      <c r="AI281" s="3">
        <f t="shared" si="44"/>
        <v>-2.2604400000000027</v>
      </c>
      <c r="AJ281" s="1">
        <f t="shared" si="40"/>
        <v>1.034119292705864</v>
      </c>
      <c r="AK281" s="11">
        <v>793.22010999999998</v>
      </c>
      <c r="AL281" s="1">
        <v>137.5</v>
      </c>
      <c r="AM281" s="13">
        <v>-5.2830599999999999</v>
      </c>
      <c r="AN281" s="3">
        <f t="shared" si="45"/>
        <v>-3.317450000000008</v>
      </c>
      <c r="AO281" s="1">
        <f t="shared" si="39"/>
        <v>1.0446755413101905</v>
      </c>
      <c r="AP281" s="18">
        <v>517.81885999999997</v>
      </c>
      <c r="AQ281" s="1">
        <v>137.5</v>
      </c>
      <c r="AR281" s="13">
        <v>-0.78627000000000002</v>
      </c>
      <c r="AS281" s="3">
        <f t="shared" si="46"/>
        <v>-0.23246000000000322</v>
      </c>
    </row>
    <row r="282" spans="1:45" ht="16" x14ac:dyDescent="0.2">
      <c r="A282" s="2">
        <v>200.01487</v>
      </c>
      <c r="B282" s="1">
        <v>138</v>
      </c>
      <c r="C282" s="3">
        <v>102.27743</v>
      </c>
      <c r="D282" s="3">
        <f t="shared" si="47"/>
        <v>102.15397999999999</v>
      </c>
      <c r="G282" s="4">
        <v>225.0078</v>
      </c>
      <c r="H282" s="1">
        <v>138</v>
      </c>
      <c r="I282" s="3">
        <v>99.449759999999998</v>
      </c>
      <c r="J282" s="3">
        <f t="shared" si="48"/>
        <v>101.04015</v>
      </c>
      <c r="K282" s="1">
        <f t="shared" si="41"/>
        <v>4.0600524197978455E-3</v>
      </c>
      <c r="M282" s="4">
        <v>225.01764</v>
      </c>
      <c r="N282" s="1">
        <v>138</v>
      </c>
      <c r="O282" s="3">
        <v>103.41399</v>
      </c>
      <c r="P282" s="3">
        <f t="shared" si="49"/>
        <v>102.6216</v>
      </c>
      <c r="S282" s="4">
        <v>250.00403</v>
      </c>
      <c r="T282" s="1">
        <v>138</v>
      </c>
      <c r="U282" s="5">
        <v>98.670090000000002</v>
      </c>
      <c r="V282" s="3">
        <f t="shared" si="42"/>
        <v>101.99378</v>
      </c>
      <c r="W282" s="1">
        <f t="shared" si="50"/>
        <v>1.4126590767308115E-3</v>
      </c>
      <c r="Y282" s="4">
        <v>250.01691</v>
      </c>
      <c r="Z282" s="1">
        <v>138</v>
      </c>
      <c r="AA282" s="5">
        <v>105.22095</v>
      </c>
      <c r="AB282" s="3">
        <f t="shared" si="43"/>
        <v>103.61193</v>
      </c>
      <c r="AF282" s="11">
        <v>795.73253</v>
      </c>
      <c r="AG282" s="1">
        <v>138</v>
      </c>
      <c r="AH282" s="12">
        <v>-4.1404100000000001</v>
      </c>
      <c r="AI282" s="3">
        <f t="shared" si="44"/>
        <v>-2.2609700000000004</v>
      </c>
      <c r="AJ282" s="1">
        <f t="shared" si="40"/>
        <v>1.0341245737066307</v>
      </c>
      <c r="AK282" s="11">
        <v>795.72263999999996</v>
      </c>
      <c r="AL282" s="1">
        <v>138</v>
      </c>
      <c r="AM282" s="12">
        <v>-5.2916699999999999</v>
      </c>
      <c r="AN282" s="3">
        <f t="shared" si="45"/>
        <v>-3.3260599999999982</v>
      </c>
      <c r="AO282" s="1">
        <f t="shared" si="39"/>
        <v>1.044761395054594</v>
      </c>
      <c r="AP282" s="18">
        <v>519.31068000000005</v>
      </c>
      <c r="AQ282" s="1">
        <v>138</v>
      </c>
      <c r="AR282" s="12">
        <v>-0.85933999999999999</v>
      </c>
      <c r="AS282" s="3">
        <f t="shared" si="46"/>
        <v>-0.30553000000000452</v>
      </c>
    </row>
    <row r="283" spans="1:45" ht="16" x14ac:dyDescent="0.2">
      <c r="A283" s="2">
        <v>200.01049</v>
      </c>
      <c r="B283" s="1">
        <v>138.5</v>
      </c>
      <c r="C283" s="5">
        <v>102.3904</v>
      </c>
      <c r="D283" s="3">
        <f t="shared" si="47"/>
        <v>102.26694999999999</v>
      </c>
      <c r="G283" s="4">
        <v>225.01003</v>
      </c>
      <c r="H283" s="1">
        <v>138.5</v>
      </c>
      <c r="I283" s="5">
        <v>99.450410000000005</v>
      </c>
      <c r="J283" s="3">
        <f t="shared" si="48"/>
        <v>101.0408</v>
      </c>
      <c r="K283" s="1">
        <f t="shared" si="41"/>
        <v>4.0535708546320668E-3</v>
      </c>
      <c r="M283" s="4">
        <v>225.01954000000001</v>
      </c>
      <c r="N283" s="1">
        <v>138.5</v>
      </c>
      <c r="O283" s="5">
        <v>103.38419</v>
      </c>
      <c r="P283" s="3">
        <f t="shared" si="49"/>
        <v>102.59180000000001</v>
      </c>
      <c r="S283" s="4">
        <v>250.00706</v>
      </c>
      <c r="T283" s="1">
        <v>138.5</v>
      </c>
      <c r="U283" s="3">
        <v>98.667760000000001</v>
      </c>
      <c r="V283" s="3">
        <f t="shared" si="42"/>
        <v>101.99145</v>
      </c>
      <c r="W283" s="1">
        <f t="shared" si="50"/>
        <v>1.4357362389602424E-3</v>
      </c>
      <c r="Y283" s="4">
        <v>250.01337000000001</v>
      </c>
      <c r="Z283" s="1">
        <v>138.5</v>
      </c>
      <c r="AA283" s="3">
        <v>105.16771</v>
      </c>
      <c r="AB283" s="3">
        <f t="shared" si="43"/>
        <v>103.55869</v>
      </c>
      <c r="AF283" s="11">
        <v>798.23707999999999</v>
      </c>
      <c r="AG283" s="1">
        <v>138.5</v>
      </c>
      <c r="AH283" s="13">
        <v>-4.1333200000000003</v>
      </c>
      <c r="AI283" s="3">
        <f t="shared" si="44"/>
        <v>-2.2538799999999952</v>
      </c>
      <c r="AJ283" s="1">
        <f t="shared" si="40"/>
        <v>1.0340539278661864</v>
      </c>
      <c r="AK283" s="11">
        <v>798.22951</v>
      </c>
      <c r="AL283" s="1">
        <v>138.5</v>
      </c>
      <c r="AM283" s="13">
        <v>-5.2598200000000004</v>
      </c>
      <c r="AN283" s="3">
        <f t="shared" si="45"/>
        <v>-3.2942100000000067</v>
      </c>
      <c r="AO283" s="1">
        <f t="shared" si="39"/>
        <v>1.0444438060000929</v>
      </c>
      <c r="AP283" s="18">
        <v>520.81469000000004</v>
      </c>
      <c r="AQ283" s="1">
        <v>138.5</v>
      </c>
      <c r="AR283" s="13">
        <v>-0.86070999999999998</v>
      </c>
      <c r="AS283" s="3">
        <f t="shared" si="46"/>
        <v>-0.30689999999999884</v>
      </c>
    </row>
    <row r="284" spans="1:45" ht="16" x14ac:dyDescent="0.2">
      <c r="A284" s="2">
        <v>200.00844000000001</v>
      </c>
      <c r="B284" s="1">
        <v>139</v>
      </c>
      <c r="C284" s="3">
        <v>102.19797</v>
      </c>
      <c r="D284" s="3">
        <f t="shared" si="47"/>
        <v>102.07451999999999</v>
      </c>
      <c r="G284" s="4">
        <v>225.00512000000001</v>
      </c>
      <c r="H284" s="1">
        <v>139</v>
      </c>
      <c r="I284" s="3">
        <v>99.435280000000006</v>
      </c>
      <c r="J284" s="3">
        <f t="shared" si="48"/>
        <v>101.02567000000001</v>
      </c>
      <c r="K284" s="1">
        <f t="shared" si="41"/>
        <v>4.2044417484122451E-3</v>
      </c>
      <c r="M284" s="4">
        <v>225.01747</v>
      </c>
      <c r="N284" s="1">
        <v>139</v>
      </c>
      <c r="O284" s="3">
        <v>103.3819</v>
      </c>
      <c r="P284" s="3">
        <f t="shared" si="49"/>
        <v>102.58951</v>
      </c>
      <c r="S284" s="4">
        <v>250.00591</v>
      </c>
      <c r="T284" s="1">
        <v>139</v>
      </c>
      <c r="U284" s="5">
        <v>98.645589999999999</v>
      </c>
      <c r="V284" s="3">
        <f t="shared" si="42"/>
        <v>101.96928</v>
      </c>
      <c r="W284" s="1">
        <f t="shared" si="50"/>
        <v>1.6553159327913197E-3</v>
      </c>
      <c r="Y284" s="4">
        <v>250.01383999999999</v>
      </c>
      <c r="Z284" s="1">
        <v>139</v>
      </c>
      <c r="AA284" s="5">
        <v>105.18662999999999</v>
      </c>
      <c r="AB284" s="3">
        <f t="shared" si="43"/>
        <v>103.57760999999999</v>
      </c>
      <c r="AP284" s="18">
        <v>522.31042000000002</v>
      </c>
      <c r="AQ284" s="1">
        <v>139</v>
      </c>
      <c r="AR284" s="12">
        <v>-0.90381</v>
      </c>
      <c r="AS284" s="3">
        <f t="shared" si="46"/>
        <v>-0.34999999999999432</v>
      </c>
    </row>
    <row r="285" spans="1:45" ht="16" x14ac:dyDescent="0.2">
      <c r="A285" s="2">
        <v>200.01132999999999</v>
      </c>
      <c r="B285" s="1">
        <v>139.5</v>
      </c>
      <c r="C285" s="5">
        <v>102.16033</v>
      </c>
      <c r="D285" s="3">
        <f t="shared" si="47"/>
        <v>102.03688</v>
      </c>
      <c r="G285" s="4">
        <v>225.00772000000001</v>
      </c>
      <c r="H285" s="1">
        <v>139.5</v>
      </c>
      <c r="I285" s="5">
        <v>99.444670000000002</v>
      </c>
      <c r="J285" s="3">
        <f t="shared" si="48"/>
        <v>101.03506</v>
      </c>
      <c r="K285" s="1">
        <f t="shared" si="41"/>
        <v>4.1108080608646316E-3</v>
      </c>
      <c r="M285" s="4">
        <v>225.01688999999999</v>
      </c>
      <c r="N285" s="1">
        <v>139.5</v>
      </c>
      <c r="O285" s="5">
        <v>103.45847000000001</v>
      </c>
      <c r="P285" s="3">
        <f t="shared" si="49"/>
        <v>102.66608000000001</v>
      </c>
      <c r="S285" s="4">
        <v>250.00303</v>
      </c>
      <c r="T285" s="1">
        <v>139.5</v>
      </c>
      <c r="U285" s="3">
        <v>98.674440000000004</v>
      </c>
      <c r="V285" s="3">
        <f t="shared" si="42"/>
        <v>101.99813</v>
      </c>
      <c r="W285" s="1">
        <f t="shared" si="50"/>
        <v>1.3695751043282145E-3</v>
      </c>
      <c r="Y285" s="4">
        <v>250.01121000000001</v>
      </c>
      <c r="Z285" s="1">
        <v>139.5</v>
      </c>
      <c r="AA285" s="3">
        <v>105.1557</v>
      </c>
      <c r="AB285" s="3">
        <f t="shared" si="43"/>
        <v>103.54667999999999</v>
      </c>
      <c r="AP285" s="18">
        <v>523.81143999999995</v>
      </c>
      <c r="AQ285" s="1">
        <v>139.5</v>
      </c>
      <c r="AR285" s="13">
        <v>-0.92859000000000003</v>
      </c>
      <c r="AS285" s="3">
        <f t="shared" si="46"/>
        <v>-0.37478000000000122</v>
      </c>
    </row>
    <row r="286" spans="1:45" ht="16" x14ac:dyDescent="0.2">
      <c r="A286" s="2">
        <v>200.01045999999999</v>
      </c>
      <c r="B286" s="1">
        <v>140</v>
      </c>
      <c r="C286" s="3">
        <v>102.35235</v>
      </c>
      <c r="D286" s="3">
        <f t="shared" si="47"/>
        <v>102.2289</v>
      </c>
      <c r="G286" s="4">
        <v>225.00479999999999</v>
      </c>
      <c r="H286" s="1">
        <v>140</v>
      </c>
      <c r="I286" s="3">
        <v>99.459879999999998</v>
      </c>
      <c r="J286" s="3">
        <f t="shared" si="48"/>
        <v>101.05027</v>
      </c>
      <c r="K286" s="1">
        <f t="shared" si="41"/>
        <v>3.959139435987166E-3</v>
      </c>
      <c r="M286" s="4">
        <v>225.01747</v>
      </c>
      <c r="N286" s="1">
        <v>140</v>
      </c>
      <c r="O286" s="3">
        <v>103.57554</v>
      </c>
      <c r="P286" s="3">
        <f t="shared" si="49"/>
        <v>102.78315000000001</v>
      </c>
      <c r="S286" s="4">
        <v>250.00606999999999</v>
      </c>
      <c r="T286" s="1">
        <v>140</v>
      </c>
      <c r="U286" s="5">
        <v>98.670349999999999</v>
      </c>
      <c r="V286" s="3">
        <f t="shared" si="42"/>
        <v>101.99404</v>
      </c>
      <c r="W286" s="1">
        <f t="shared" si="50"/>
        <v>1.4100839427481559E-3</v>
      </c>
      <c r="Y286" s="4">
        <v>250.01102</v>
      </c>
      <c r="Z286" s="1">
        <v>140</v>
      </c>
      <c r="AA286" s="5">
        <v>105.22195000000001</v>
      </c>
      <c r="AB286" s="3">
        <f t="shared" si="43"/>
        <v>103.61293000000001</v>
      </c>
      <c r="AP286" s="18">
        <v>525.30789000000004</v>
      </c>
      <c r="AQ286" s="1">
        <v>140</v>
      </c>
      <c r="AR286" s="12">
        <v>-1.00115</v>
      </c>
      <c r="AS286" s="3">
        <f t="shared" si="46"/>
        <v>-0.44733999999999696</v>
      </c>
    </row>
    <row r="287" spans="1:45" ht="16" x14ac:dyDescent="0.2">
      <c r="A287" s="2">
        <v>200.01227</v>
      </c>
      <c r="B287" s="1">
        <v>140.5</v>
      </c>
      <c r="C287" s="5">
        <v>102.10908000000001</v>
      </c>
      <c r="D287" s="3">
        <f t="shared" si="47"/>
        <v>101.98563</v>
      </c>
      <c r="G287" s="4">
        <v>225.00372999999999</v>
      </c>
      <c r="H287" s="1">
        <v>140.5</v>
      </c>
      <c r="I287" s="5">
        <v>99.440629999999999</v>
      </c>
      <c r="J287" s="3">
        <f t="shared" si="48"/>
        <v>101.03102</v>
      </c>
      <c r="K287" s="1">
        <f t="shared" si="41"/>
        <v>4.1510934812792029E-3</v>
      </c>
      <c r="M287" s="4">
        <v>225.01627999999999</v>
      </c>
      <c r="N287" s="1">
        <v>140.5</v>
      </c>
      <c r="O287" s="5">
        <v>103.29808</v>
      </c>
      <c r="P287" s="3">
        <f t="shared" si="49"/>
        <v>102.50569</v>
      </c>
      <c r="S287" s="4">
        <v>250.00806</v>
      </c>
      <c r="T287" s="1">
        <v>140.5</v>
      </c>
      <c r="U287" s="3">
        <v>98.655519999999996</v>
      </c>
      <c r="V287" s="3">
        <f t="shared" si="42"/>
        <v>101.97920999999999</v>
      </c>
      <c r="W287" s="1">
        <f t="shared" si="50"/>
        <v>1.5569656233758169E-3</v>
      </c>
      <c r="Y287" s="4">
        <v>250.01342</v>
      </c>
      <c r="Z287" s="1">
        <v>140.5</v>
      </c>
      <c r="AA287" s="3">
        <v>105.23738</v>
      </c>
      <c r="AB287" s="3">
        <f t="shared" si="43"/>
        <v>103.62836</v>
      </c>
      <c r="AP287" s="18">
        <v>526.81928000000005</v>
      </c>
      <c r="AQ287" s="1">
        <v>140.5</v>
      </c>
      <c r="AR287" s="13">
        <v>-0.93511999999999995</v>
      </c>
      <c r="AS287" s="3">
        <f t="shared" si="46"/>
        <v>-0.38130999999999915</v>
      </c>
    </row>
    <row r="288" spans="1:45" ht="16" x14ac:dyDescent="0.2">
      <c r="A288" s="2">
        <v>200.01366999999999</v>
      </c>
      <c r="B288" s="1">
        <v>141</v>
      </c>
      <c r="C288" s="3">
        <v>102.22221999999999</v>
      </c>
      <c r="D288" s="3">
        <f t="shared" si="47"/>
        <v>102.09876999999999</v>
      </c>
      <c r="G288" s="4">
        <v>225.00706</v>
      </c>
      <c r="H288" s="1">
        <v>141</v>
      </c>
      <c r="I288" s="3">
        <v>99.467920000000007</v>
      </c>
      <c r="J288" s="3">
        <f t="shared" si="48"/>
        <v>101.05831000000001</v>
      </c>
      <c r="K288" s="1">
        <f t="shared" si="41"/>
        <v>3.8789674607066674E-3</v>
      </c>
      <c r="M288" s="4">
        <v>225.01641000000001</v>
      </c>
      <c r="N288" s="1">
        <v>141</v>
      </c>
      <c r="O288" s="3">
        <v>103.42874</v>
      </c>
      <c r="P288" s="3">
        <f t="shared" si="49"/>
        <v>102.63635000000001</v>
      </c>
      <c r="S288" s="4">
        <v>250.00608</v>
      </c>
      <c r="T288" s="1">
        <v>141</v>
      </c>
      <c r="U288" s="5">
        <v>98.668790000000001</v>
      </c>
      <c r="V288" s="3">
        <f t="shared" si="42"/>
        <v>101.99248</v>
      </c>
      <c r="W288" s="1">
        <f t="shared" si="50"/>
        <v>1.4255347466442297E-3</v>
      </c>
      <c r="Y288" s="4">
        <v>250.01477</v>
      </c>
      <c r="Z288" s="1">
        <v>141</v>
      </c>
      <c r="AA288" s="5">
        <v>105.24378</v>
      </c>
      <c r="AB288" s="3">
        <f t="shared" si="43"/>
        <v>103.63476</v>
      </c>
      <c r="AP288" s="18">
        <v>528.31889999999999</v>
      </c>
      <c r="AQ288" s="1">
        <v>141</v>
      </c>
      <c r="AR288" s="12">
        <v>-0.96545000000000003</v>
      </c>
      <c r="AS288" s="3">
        <f t="shared" si="46"/>
        <v>-0.41164000000000556</v>
      </c>
    </row>
    <row r="289" spans="1:45" ht="16" x14ac:dyDescent="0.2">
      <c r="A289" s="2">
        <v>200.01240999999999</v>
      </c>
      <c r="B289" s="1">
        <v>141.5</v>
      </c>
      <c r="C289" s="5">
        <v>102.21304000000001</v>
      </c>
      <c r="D289" s="3">
        <f t="shared" si="47"/>
        <v>102.08959</v>
      </c>
      <c r="G289" s="4">
        <v>225.01005000000001</v>
      </c>
      <c r="H289" s="1">
        <v>141.5</v>
      </c>
      <c r="I289" s="5">
        <v>99.471289999999996</v>
      </c>
      <c r="J289" s="3">
        <f t="shared" si="48"/>
        <v>101.06168</v>
      </c>
      <c r="K289" s="1">
        <f t="shared" si="41"/>
        <v>3.8453630382322677E-3</v>
      </c>
      <c r="M289" s="4">
        <v>225.01634000000001</v>
      </c>
      <c r="N289" s="1">
        <v>141.5</v>
      </c>
      <c r="O289" s="5">
        <v>103.54994000000001</v>
      </c>
      <c r="P289" s="3">
        <f t="shared" si="49"/>
        <v>102.75755000000001</v>
      </c>
      <c r="S289" s="4">
        <v>250.00296</v>
      </c>
      <c r="T289" s="1">
        <v>141.5</v>
      </c>
      <c r="U289" s="3">
        <v>98.665580000000006</v>
      </c>
      <c r="V289" s="3">
        <f t="shared" si="42"/>
        <v>101.98927</v>
      </c>
      <c r="W289" s="1">
        <f t="shared" si="50"/>
        <v>1.4573277469688455E-3</v>
      </c>
      <c r="Y289" s="4">
        <v>250.01275999999999</v>
      </c>
      <c r="Z289" s="1">
        <v>141.5</v>
      </c>
      <c r="AA289" s="3">
        <v>105.25297</v>
      </c>
      <c r="AB289" s="3">
        <f t="shared" si="43"/>
        <v>103.64395</v>
      </c>
      <c r="AP289" s="18">
        <v>529.81880000000001</v>
      </c>
      <c r="AQ289" s="1">
        <v>141.5</v>
      </c>
      <c r="AR289" s="13">
        <v>-0.94808999999999999</v>
      </c>
      <c r="AS289" s="3">
        <f t="shared" si="46"/>
        <v>-0.39427999999999486</v>
      </c>
    </row>
    <row r="290" spans="1:45" ht="16" x14ac:dyDescent="0.2">
      <c r="A290" s="2">
        <v>200.01379</v>
      </c>
      <c r="B290" s="1">
        <v>142</v>
      </c>
      <c r="C290" s="3">
        <v>102.30504999999999</v>
      </c>
      <c r="D290" s="3">
        <f t="shared" si="47"/>
        <v>102.18159999999999</v>
      </c>
      <c r="G290" s="4">
        <v>225.00765000000001</v>
      </c>
      <c r="H290" s="1">
        <v>142</v>
      </c>
      <c r="I290" s="3">
        <v>99.458320000000001</v>
      </c>
      <c r="J290" s="3">
        <f t="shared" si="48"/>
        <v>101.04871</v>
      </c>
      <c r="K290" s="1">
        <f t="shared" si="41"/>
        <v>3.9746951923848367E-3</v>
      </c>
      <c r="M290" s="4">
        <v>225.01381000000001</v>
      </c>
      <c r="N290" s="1">
        <v>142</v>
      </c>
      <c r="O290" s="3">
        <v>103.48739</v>
      </c>
      <c r="P290" s="3">
        <f t="shared" si="49"/>
        <v>102.69500000000001</v>
      </c>
      <c r="S290" s="4">
        <v>249.99995999999999</v>
      </c>
      <c r="T290" s="1">
        <v>142</v>
      </c>
      <c r="U290" s="5">
        <v>98.665620000000004</v>
      </c>
      <c r="V290" s="3">
        <f t="shared" si="42"/>
        <v>101.98931</v>
      </c>
      <c r="W290" s="1">
        <f t="shared" si="50"/>
        <v>1.4569315725099861E-3</v>
      </c>
      <c r="Y290" s="4">
        <v>250.01331999999999</v>
      </c>
      <c r="Z290" s="1">
        <v>142</v>
      </c>
      <c r="AA290" s="5">
        <v>105.1904</v>
      </c>
      <c r="AB290" s="3">
        <f t="shared" si="43"/>
        <v>103.58138</v>
      </c>
      <c r="AP290" s="18">
        <v>531.32330999999999</v>
      </c>
      <c r="AQ290" s="1">
        <v>142</v>
      </c>
      <c r="AR290" s="12">
        <v>-0.90815999999999997</v>
      </c>
      <c r="AS290" s="3">
        <f t="shared" si="46"/>
        <v>-0.35434999999999661</v>
      </c>
    </row>
    <row r="291" spans="1:45" ht="16" x14ac:dyDescent="0.2">
      <c r="A291" s="2">
        <v>200.0172</v>
      </c>
      <c r="B291" s="1">
        <v>142.5</v>
      </c>
      <c r="C291" s="5">
        <v>102.38025</v>
      </c>
      <c r="D291" s="3">
        <f t="shared" si="47"/>
        <v>102.2568</v>
      </c>
      <c r="G291" s="4">
        <v>225.00888</v>
      </c>
      <c r="H291" s="1">
        <v>142.5</v>
      </c>
      <c r="I291" s="5">
        <v>99.429010000000005</v>
      </c>
      <c r="J291" s="3">
        <f t="shared" si="48"/>
        <v>101.0194</v>
      </c>
      <c r="K291" s="1">
        <f t="shared" si="41"/>
        <v>4.2669639231645165E-3</v>
      </c>
      <c r="M291" s="4">
        <v>225.01384999999999</v>
      </c>
      <c r="N291" s="1">
        <v>142.5</v>
      </c>
      <c r="O291" s="5">
        <v>103.34524999999999</v>
      </c>
      <c r="P291" s="3">
        <f t="shared" si="49"/>
        <v>102.55286</v>
      </c>
      <c r="S291" s="4">
        <v>250.00806</v>
      </c>
      <c r="T291" s="1">
        <v>142.5</v>
      </c>
      <c r="U291" s="3">
        <v>98.670490000000001</v>
      </c>
      <c r="V291" s="3">
        <f t="shared" si="42"/>
        <v>101.99418</v>
      </c>
      <c r="W291" s="1">
        <f t="shared" si="50"/>
        <v>1.4086973321420782E-3</v>
      </c>
      <c r="Y291" s="4">
        <v>250.01096000000001</v>
      </c>
      <c r="Z291" s="1">
        <v>142.5</v>
      </c>
      <c r="AA291" s="3">
        <v>105.26546999999999</v>
      </c>
      <c r="AB291" s="3">
        <f t="shared" si="43"/>
        <v>103.65644999999999</v>
      </c>
      <c r="AP291" s="18">
        <v>532.82671000000005</v>
      </c>
      <c r="AQ291" s="1">
        <v>142.5</v>
      </c>
      <c r="AR291" s="13">
        <v>-0.86033000000000004</v>
      </c>
      <c r="AS291" s="3">
        <f t="shared" si="46"/>
        <v>-0.30652000000000612</v>
      </c>
    </row>
    <row r="292" spans="1:45" ht="16" x14ac:dyDescent="0.2">
      <c r="A292" s="2">
        <v>200.01596000000001</v>
      </c>
      <c r="B292" s="1">
        <v>143</v>
      </c>
      <c r="C292" s="3">
        <v>102.2436</v>
      </c>
      <c r="D292" s="3">
        <f t="shared" si="47"/>
        <v>102.12015</v>
      </c>
      <c r="G292" s="4">
        <v>225.00788</v>
      </c>
      <c r="H292" s="1">
        <v>143</v>
      </c>
      <c r="I292" s="3">
        <v>99.491630000000001</v>
      </c>
      <c r="J292" s="3">
        <f t="shared" si="48"/>
        <v>101.08202</v>
      </c>
      <c r="K292" s="1">
        <f t="shared" si="41"/>
        <v>3.6425399067392299E-3</v>
      </c>
      <c r="M292" s="4">
        <v>225.01660999999999</v>
      </c>
      <c r="N292" s="1">
        <v>143</v>
      </c>
      <c r="O292" s="3">
        <v>103.43165</v>
      </c>
      <c r="P292" s="3">
        <f t="shared" si="49"/>
        <v>102.63926000000001</v>
      </c>
      <c r="S292" s="4">
        <v>250.01096000000001</v>
      </c>
      <c r="T292" s="1">
        <v>143</v>
      </c>
      <c r="U292" s="5">
        <v>98.652150000000006</v>
      </c>
      <c r="V292" s="3">
        <f t="shared" si="42"/>
        <v>101.97584000000001</v>
      </c>
      <c r="W292" s="1">
        <f t="shared" si="50"/>
        <v>1.5903433215358697E-3</v>
      </c>
      <c r="Y292" s="4">
        <v>250.01009999999999</v>
      </c>
      <c r="Z292" s="1">
        <v>143</v>
      </c>
      <c r="AA292" s="5">
        <v>105.26362</v>
      </c>
      <c r="AB292" s="3">
        <f t="shared" si="43"/>
        <v>103.6546</v>
      </c>
      <c r="AP292" s="18">
        <v>534.32573000000002</v>
      </c>
      <c r="AQ292" s="1">
        <v>143</v>
      </c>
      <c r="AR292" s="12">
        <v>-0.92025999999999997</v>
      </c>
      <c r="AS292" s="3">
        <f t="shared" si="46"/>
        <v>-0.36645000000000039</v>
      </c>
    </row>
    <row r="293" spans="1:45" ht="16" x14ac:dyDescent="0.2">
      <c r="A293" s="2">
        <v>200.01634999999999</v>
      </c>
      <c r="B293" s="1">
        <v>143.5</v>
      </c>
      <c r="C293" s="5">
        <v>102.44259</v>
      </c>
      <c r="D293" s="3">
        <f t="shared" si="47"/>
        <v>102.31913999999999</v>
      </c>
      <c r="G293" s="4">
        <v>225.00367</v>
      </c>
      <c r="H293" s="1">
        <v>143.5</v>
      </c>
      <c r="I293" s="5">
        <v>99.443839999999994</v>
      </c>
      <c r="J293" s="3">
        <f t="shared" si="48"/>
        <v>101.03422999999999</v>
      </c>
      <c r="K293" s="1">
        <f t="shared" si="41"/>
        <v>4.1190845209993785E-3</v>
      </c>
      <c r="M293" s="4">
        <v>225.01651000000001</v>
      </c>
      <c r="N293" s="1">
        <v>143.5</v>
      </c>
      <c r="O293" s="5">
        <v>103.45326</v>
      </c>
      <c r="P293" s="3">
        <f t="shared" si="49"/>
        <v>102.66087</v>
      </c>
      <c r="S293" s="4">
        <v>250.00303</v>
      </c>
      <c r="T293" s="1">
        <v>143.5</v>
      </c>
      <c r="U293" s="3">
        <v>98.653880000000001</v>
      </c>
      <c r="V293" s="3">
        <f t="shared" si="42"/>
        <v>101.97757</v>
      </c>
      <c r="W293" s="1">
        <f t="shared" si="50"/>
        <v>1.5732087761896089E-3</v>
      </c>
      <c r="Y293" s="4">
        <v>250.0129</v>
      </c>
      <c r="Z293" s="1">
        <v>143.5</v>
      </c>
      <c r="AA293" s="3">
        <v>105.37170999999999</v>
      </c>
      <c r="AB293" s="3">
        <f t="shared" si="43"/>
        <v>103.76268999999999</v>
      </c>
      <c r="AP293" s="18">
        <v>535.82218</v>
      </c>
      <c r="AQ293" s="1">
        <v>143.5</v>
      </c>
      <c r="AR293" s="13">
        <v>-1.0270900000000001</v>
      </c>
      <c r="AS293" s="3">
        <f t="shared" si="46"/>
        <v>-0.47328000000000259</v>
      </c>
    </row>
    <row r="294" spans="1:45" ht="16" x14ac:dyDescent="0.2">
      <c r="A294" s="2">
        <v>200.01642000000001</v>
      </c>
      <c r="B294" s="1">
        <v>144</v>
      </c>
      <c r="C294" s="3">
        <v>102.21810000000001</v>
      </c>
      <c r="D294" s="3">
        <f t="shared" si="47"/>
        <v>102.09465</v>
      </c>
      <c r="G294" s="4">
        <v>225.00711999999999</v>
      </c>
      <c r="H294" s="1">
        <v>144</v>
      </c>
      <c r="I294" s="3">
        <v>99.435149999999993</v>
      </c>
      <c r="J294" s="3">
        <f t="shared" si="48"/>
        <v>101.02553999999999</v>
      </c>
      <c r="K294" s="1">
        <f t="shared" si="41"/>
        <v>4.2057380614455141E-3</v>
      </c>
      <c r="M294" s="4">
        <v>225.0145</v>
      </c>
      <c r="N294" s="1">
        <v>144</v>
      </c>
      <c r="O294" s="3">
        <v>103.50421</v>
      </c>
      <c r="P294" s="3">
        <f t="shared" si="49"/>
        <v>102.71182</v>
      </c>
      <c r="S294" s="4">
        <v>250.00396000000001</v>
      </c>
      <c r="T294" s="1">
        <v>144</v>
      </c>
      <c r="U294" s="5">
        <v>98.670199999999994</v>
      </c>
      <c r="V294" s="3">
        <f t="shared" si="42"/>
        <v>101.99388999999999</v>
      </c>
      <c r="W294" s="1">
        <f t="shared" si="50"/>
        <v>1.4115695969689837E-3</v>
      </c>
      <c r="Y294" s="4">
        <v>250.01535000000001</v>
      </c>
      <c r="Z294" s="1">
        <v>144</v>
      </c>
      <c r="AA294" s="5">
        <v>105.28606000000001</v>
      </c>
      <c r="AB294" s="3">
        <f t="shared" si="43"/>
        <v>103.67704000000001</v>
      </c>
      <c r="AP294" s="18">
        <v>537.32588999999996</v>
      </c>
      <c r="AQ294" s="1">
        <v>144</v>
      </c>
      <c r="AR294" s="12">
        <v>-0.98619000000000001</v>
      </c>
      <c r="AS294" s="3">
        <f t="shared" si="46"/>
        <v>-0.43237999999999488</v>
      </c>
    </row>
    <row r="295" spans="1:45" ht="16" x14ac:dyDescent="0.2">
      <c r="A295" s="2">
        <v>200.01584</v>
      </c>
      <c r="B295" s="1">
        <v>144.5</v>
      </c>
      <c r="C295" s="5">
        <v>102.46539</v>
      </c>
      <c r="D295" s="3">
        <f t="shared" si="47"/>
        <v>102.34193999999999</v>
      </c>
      <c r="G295" s="4">
        <v>225.00693999999999</v>
      </c>
      <c r="H295" s="1">
        <v>144.5</v>
      </c>
      <c r="I295" s="5">
        <v>99.445629999999994</v>
      </c>
      <c r="J295" s="3">
        <f t="shared" si="48"/>
        <v>101.03601999999999</v>
      </c>
      <c r="K295" s="1">
        <f t="shared" si="41"/>
        <v>4.1012352876969001E-3</v>
      </c>
      <c r="M295" s="4">
        <v>225.01265000000001</v>
      </c>
      <c r="N295" s="1">
        <v>144.5</v>
      </c>
      <c r="O295" s="5">
        <v>103.41392</v>
      </c>
      <c r="P295" s="3">
        <f t="shared" si="49"/>
        <v>102.62153000000001</v>
      </c>
      <c r="S295" s="4">
        <v>249.99898999999999</v>
      </c>
      <c r="T295" s="1">
        <v>144.5</v>
      </c>
      <c r="U295" s="3">
        <v>98.655879999999996</v>
      </c>
      <c r="V295" s="3">
        <f t="shared" si="42"/>
        <v>101.97957</v>
      </c>
      <c r="W295" s="1">
        <f t="shared" si="50"/>
        <v>1.5534000532459427E-3</v>
      </c>
      <c r="Y295" s="4">
        <v>250.01351</v>
      </c>
      <c r="Z295" s="1">
        <v>144.5</v>
      </c>
      <c r="AA295" s="3">
        <v>105.34734</v>
      </c>
      <c r="AB295" s="3">
        <f t="shared" si="43"/>
        <v>103.73832</v>
      </c>
      <c r="AP295" s="18">
        <v>538.82716000000005</v>
      </c>
      <c r="AQ295" s="1">
        <v>144.5</v>
      </c>
      <c r="AR295" s="13">
        <v>-0.93567999999999996</v>
      </c>
      <c r="AS295" s="3">
        <f t="shared" si="46"/>
        <v>-0.38187000000000637</v>
      </c>
    </row>
    <row r="296" spans="1:45" ht="16" x14ac:dyDescent="0.2">
      <c r="A296" s="2">
        <v>200.01835</v>
      </c>
      <c r="B296" s="1">
        <v>145</v>
      </c>
      <c r="C296" s="3">
        <v>102.29622999999999</v>
      </c>
      <c r="D296" s="3">
        <f t="shared" si="47"/>
        <v>102.17277999999999</v>
      </c>
      <c r="G296" s="4">
        <v>225.00989000000001</v>
      </c>
      <c r="H296" s="1">
        <v>145</v>
      </c>
      <c r="I296" s="3">
        <v>99.451530000000005</v>
      </c>
      <c r="J296" s="3">
        <f t="shared" si="48"/>
        <v>101.04192</v>
      </c>
      <c r="K296" s="1">
        <f t="shared" si="41"/>
        <v>4.0424026192696179E-3</v>
      </c>
      <c r="M296" s="4">
        <v>225.01204000000001</v>
      </c>
      <c r="N296" s="1">
        <v>145</v>
      </c>
      <c r="O296" s="3">
        <v>103.54633</v>
      </c>
      <c r="P296" s="3">
        <f t="shared" si="49"/>
        <v>102.75394</v>
      </c>
      <c r="S296" s="4">
        <v>250.00192000000001</v>
      </c>
      <c r="T296" s="1">
        <v>145</v>
      </c>
      <c r="U296" s="5">
        <v>98.674379999999999</v>
      </c>
      <c r="V296" s="3">
        <f t="shared" si="42"/>
        <v>101.99807</v>
      </c>
      <c r="W296" s="1">
        <f t="shared" si="50"/>
        <v>1.3701693660165737E-3</v>
      </c>
      <c r="Y296" s="4">
        <v>250.01464999999999</v>
      </c>
      <c r="Z296" s="1">
        <v>145</v>
      </c>
      <c r="AA296" s="5">
        <v>105.23457000000001</v>
      </c>
      <c r="AB296" s="3">
        <f t="shared" si="43"/>
        <v>103.62555</v>
      </c>
      <c r="AP296" s="18">
        <v>540.33002999999997</v>
      </c>
      <c r="AQ296" s="1">
        <v>145</v>
      </c>
      <c r="AR296" s="12">
        <v>-0.95423999999999998</v>
      </c>
      <c r="AS296" s="3">
        <f t="shared" si="46"/>
        <v>-0.40043000000000006</v>
      </c>
    </row>
    <row r="297" spans="1:45" ht="16" x14ac:dyDescent="0.2">
      <c r="A297" s="2">
        <v>200.01871</v>
      </c>
      <c r="B297" s="1">
        <v>145.5</v>
      </c>
      <c r="C297" s="5">
        <v>102.46406</v>
      </c>
      <c r="D297" s="3">
        <f t="shared" si="47"/>
        <v>102.34061</v>
      </c>
      <c r="G297" s="4">
        <v>225.00604999999999</v>
      </c>
      <c r="H297" s="1">
        <v>145.5</v>
      </c>
      <c r="I297" s="5">
        <v>99.425759999999997</v>
      </c>
      <c r="J297" s="3">
        <f t="shared" si="48"/>
        <v>101.01615</v>
      </c>
      <c r="K297" s="1">
        <f t="shared" si="41"/>
        <v>4.2993717489931268E-3</v>
      </c>
      <c r="M297" s="4">
        <v>225.01573999999999</v>
      </c>
      <c r="N297" s="1">
        <v>145.5</v>
      </c>
      <c r="O297" s="5">
        <v>103.41812</v>
      </c>
      <c r="P297" s="3">
        <f t="shared" si="49"/>
        <v>102.62573</v>
      </c>
      <c r="S297" s="4">
        <v>250.00693999999999</v>
      </c>
      <c r="T297" s="1">
        <v>145.5</v>
      </c>
      <c r="U297" s="3">
        <v>98.653589999999994</v>
      </c>
      <c r="V297" s="3">
        <f t="shared" si="42"/>
        <v>101.97727999999999</v>
      </c>
      <c r="W297" s="1">
        <f t="shared" si="50"/>
        <v>1.5760810410165144E-3</v>
      </c>
      <c r="Y297" s="4">
        <v>250.01024000000001</v>
      </c>
      <c r="Z297" s="1">
        <v>145.5</v>
      </c>
      <c r="AA297" s="3">
        <v>105.26652</v>
      </c>
      <c r="AB297" s="3">
        <f t="shared" si="43"/>
        <v>103.6575</v>
      </c>
      <c r="AP297" s="18">
        <v>541.82753000000002</v>
      </c>
      <c r="AQ297" s="1">
        <v>145.5</v>
      </c>
      <c r="AR297" s="13">
        <v>-1.05158</v>
      </c>
      <c r="AS297" s="3">
        <f t="shared" si="46"/>
        <v>-0.49777000000000271</v>
      </c>
    </row>
    <row r="298" spans="1:45" ht="16" x14ac:dyDescent="0.2">
      <c r="A298" s="2">
        <v>200.02027000000001</v>
      </c>
      <c r="B298" s="1">
        <v>146</v>
      </c>
      <c r="C298" s="3">
        <v>102.3389</v>
      </c>
      <c r="D298" s="3">
        <f t="shared" si="47"/>
        <v>102.21544999999999</v>
      </c>
      <c r="G298" s="4">
        <v>225.00776999999999</v>
      </c>
      <c r="H298" s="1">
        <v>146</v>
      </c>
      <c r="I298" s="3">
        <v>99.429220000000001</v>
      </c>
      <c r="J298" s="3">
        <f t="shared" si="48"/>
        <v>101.01961</v>
      </c>
      <c r="K298" s="1">
        <f t="shared" si="41"/>
        <v>4.2648698790341017E-3</v>
      </c>
      <c r="M298" s="4">
        <v>225.01642000000001</v>
      </c>
      <c r="N298" s="1">
        <v>146</v>
      </c>
      <c r="O298" s="3">
        <v>103.63759</v>
      </c>
      <c r="P298" s="3">
        <f t="shared" si="49"/>
        <v>102.84520000000001</v>
      </c>
      <c r="S298" s="4">
        <v>250.00193999999999</v>
      </c>
      <c r="T298" s="1">
        <v>146</v>
      </c>
      <c r="U298" s="5">
        <v>98.666020000000003</v>
      </c>
      <c r="V298" s="3">
        <f t="shared" si="42"/>
        <v>101.98971</v>
      </c>
      <c r="W298" s="1">
        <f t="shared" si="50"/>
        <v>1.452969827921253E-3</v>
      </c>
      <c r="Y298" s="4">
        <v>250.00881000000001</v>
      </c>
      <c r="Z298" s="1">
        <v>146</v>
      </c>
      <c r="AA298" s="5">
        <v>105.20017</v>
      </c>
      <c r="AB298" s="3">
        <f t="shared" si="43"/>
        <v>103.59115</v>
      </c>
      <c r="AP298" s="18">
        <v>543.32410000000004</v>
      </c>
      <c r="AQ298" s="1">
        <v>146</v>
      </c>
      <c r="AR298" s="12">
        <v>-1.0983099999999999</v>
      </c>
      <c r="AS298" s="3">
        <f t="shared" si="46"/>
        <v>-0.54449999999999932</v>
      </c>
    </row>
    <row r="299" spans="1:45" ht="16" x14ac:dyDescent="0.2">
      <c r="A299" s="2">
        <v>200.01936000000001</v>
      </c>
      <c r="B299" s="1">
        <v>146.5</v>
      </c>
      <c r="C299" s="5">
        <v>102.45573</v>
      </c>
      <c r="D299" s="3">
        <f t="shared" si="47"/>
        <v>102.33228</v>
      </c>
      <c r="G299" s="4">
        <v>225.00380999999999</v>
      </c>
      <c r="H299" s="1">
        <v>146.5</v>
      </c>
      <c r="I299" s="5">
        <v>99.432299999999998</v>
      </c>
      <c r="J299" s="3">
        <f t="shared" si="48"/>
        <v>101.02269</v>
      </c>
      <c r="K299" s="1">
        <f t="shared" si="41"/>
        <v>4.2341572317874041E-3</v>
      </c>
      <c r="M299" s="4">
        <v>225.01729</v>
      </c>
      <c r="N299" s="1">
        <v>146.5</v>
      </c>
      <c r="O299" s="5">
        <v>103.51985999999999</v>
      </c>
      <c r="P299" s="3">
        <f t="shared" si="49"/>
        <v>102.72747</v>
      </c>
      <c r="S299" s="4">
        <v>250.00497999999999</v>
      </c>
      <c r="T299" s="1">
        <v>146.5</v>
      </c>
      <c r="U299" s="3">
        <v>98.647360000000006</v>
      </c>
      <c r="V299" s="3">
        <f t="shared" si="42"/>
        <v>101.97105000000001</v>
      </c>
      <c r="W299" s="1">
        <f t="shared" si="50"/>
        <v>1.637785212986059E-3</v>
      </c>
      <c r="Y299" s="4">
        <v>250.00942000000001</v>
      </c>
      <c r="Z299" s="1">
        <v>146.5</v>
      </c>
      <c r="AA299" s="3">
        <v>105.38212</v>
      </c>
      <c r="AB299" s="3">
        <f t="shared" si="43"/>
        <v>103.7731</v>
      </c>
      <c r="AP299" s="18">
        <v>544.82992000000002</v>
      </c>
      <c r="AQ299" s="1">
        <v>146.5</v>
      </c>
      <c r="AR299" s="13">
        <v>-0.95994999999999997</v>
      </c>
      <c r="AS299" s="3">
        <f t="shared" si="46"/>
        <v>-0.40614000000000772</v>
      </c>
    </row>
    <row r="300" spans="1:45" ht="16" x14ac:dyDescent="0.2">
      <c r="A300" s="2">
        <v>200.02070000000001</v>
      </c>
      <c r="B300" s="1">
        <v>147</v>
      </c>
      <c r="C300" s="3">
        <v>102.35917000000001</v>
      </c>
      <c r="D300" s="3">
        <f t="shared" si="47"/>
        <v>102.23572</v>
      </c>
      <c r="G300" s="4">
        <v>225.00707</v>
      </c>
      <c r="H300" s="1">
        <v>147</v>
      </c>
      <c r="I300" s="3">
        <v>99.443529999999996</v>
      </c>
      <c r="J300" s="3">
        <f t="shared" si="48"/>
        <v>101.03391999999999</v>
      </c>
      <c r="K300" s="1">
        <f t="shared" si="41"/>
        <v>4.1221757290014734E-3</v>
      </c>
      <c r="M300" s="4">
        <v>225.02158</v>
      </c>
      <c r="N300" s="1">
        <v>147</v>
      </c>
      <c r="O300" s="3">
        <v>103.54881</v>
      </c>
      <c r="P300" s="3">
        <f t="shared" si="49"/>
        <v>102.75642000000001</v>
      </c>
      <c r="S300" s="4">
        <v>250.00502</v>
      </c>
      <c r="T300" s="1">
        <v>147</v>
      </c>
      <c r="U300" s="5">
        <v>98.630979999999994</v>
      </c>
      <c r="V300" s="3">
        <f t="shared" si="42"/>
        <v>101.95466999999999</v>
      </c>
      <c r="W300" s="1">
        <f t="shared" si="50"/>
        <v>1.8000186538951843E-3</v>
      </c>
      <c r="Y300" s="4">
        <v>250.01242999999999</v>
      </c>
      <c r="Z300" s="1">
        <v>147</v>
      </c>
      <c r="AA300" s="5">
        <v>105.26962</v>
      </c>
      <c r="AB300" s="3">
        <f t="shared" si="43"/>
        <v>103.6606</v>
      </c>
      <c r="AP300" s="18">
        <v>546.32947000000001</v>
      </c>
      <c r="AQ300" s="1">
        <v>147</v>
      </c>
      <c r="AR300" s="12">
        <v>-0.95906999999999998</v>
      </c>
      <c r="AS300" s="3">
        <f t="shared" si="46"/>
        <v>-0.4052599999999984</v>
      </c>
    </row>
    <row r="301" spans="1:45" ht="16" x14ac:dyDescent="0.2">
      <c r="A301" s="2">
        <v>200.02023</v>
      </c>
      <c r="B301" s="1">
        <v>147.5</v>
      </c>
      <c r="C301" s="5">
        <v>102.33834</v>
      </c>
      <c r="D301" s="3">
        <f t="shared" si="47"/>
        <v>102.21489</v>
      </c>
      <c r="G301" s="4">
        <v>224.99913000000001</v>
      </c>
      <c r="H301" s="1">
        <v>147.5</v>
      </c>
      <c r="I301" s="5">
        <v>99.353700000000003</v>
      </c>
      <c r="J301" s="3">
        <f t="shared" si="48"/>
        <v>100.94409</v>
      </c>
      <c r="K301" s="1">
        <f t="shared" si="41"/>
        <v>5.0179280349018666E-3</v>
      </c>
      <c r="M301" s="4">
        <v>225.02349000000001</v>
      </c>
      <c r="N301" s="1">
        <v>147.5</v>
      </c>
      <c r="O301" s="5">
        <v>103.53054</v>
      </c>
      <c r="P301" s="3">
        <f t="shared" si="49"/>
        <v>102.73815</v>
      </c>
      <c r="S301" s="4">
        <v>249.99896000000001</v>
      </c>
      <c r="T301" s="1">
        <v>147.5</v>
      </c>
      <c r="U301" s="3">
        <v>98.630709999999993</v>
      </c>
      <c r="V301" s="3">
        <f t="shared" si="42"/>
        <v>101.95439999999999</v>
      </c>
      <c r="W301" s="1">
        <f t="shared" si="50"/>
        <v>1.8026928314925897E-3</v>
      </c>
      <c r="Y301" s="4">
        <v>250.01295999999999</v>
      </c>
      <c r="Z301" s="1">
        <v>147.5</v>
      </c>
      <c r="AA301" s="3">
        <v>105.3342</v>
      </c>
      <c r="AB301" s="3">
        <f t="shared" si="43"/>
        <v>103.72517999999999</v>
      </c>
      <c r="AP301" s="18">
        <v>547.82854999999995</v>
      </c>
      <c r="AQ301" s="1">
        <v>147.5</v>
      </c>
      <c r="AR301" s="13">
        <v>-1.05908</v>
      </c>
      <c r="AS301" s="3">
        <f t="shared" si="46"/>
        <v>-0.50526999999999589</v>
      </c>
    </row>
    <row r="302" spans="1:45" ht="16" x14ac:dyDescent="0.2">
      <c r="A302" s="2">
        <v>200.02237</v>
      </c>
      <c r="B302" s="1">
        <v>148</v>
      </c>
      <c r="C302" s="3">
        <v>102.20912</v>
      </c>
      <c r="D302" s="3">
        <f t="shared" si="47"/>
        <v>102.08566999999999</v>
      </c>
      <c r="G302" s="4">
        <v>225.00513000000001</v>
      </c>
      <c r="H302" s="1">
        <v>148</v>
      </c>
      <c r="I302" s="3">
        <v>99.434669999999997</v>
      </c>
      <c r="J302" s="3">
        <f t="shared" si="48"/>
        <v>101.02506</v>
      </c>
      <c r="K302" s="1">
        <f t="shared" si="41"/>
        <v>4.2105244480293794E-3</v>
      </c>
      <c r="M302" s="4">
        <v>225.02226999999999</v>
      </c>
      <c r="N302" s="1">
        <v>148</v>
      </c>
      <c r="O302" s="3">
        <v>103.50091999999999</v>
      </c>
      <c r="P302" s="3">
        <f t="shared" si="49"/>
        <v>102.70853</v>
      </c>
      <c r="S302" s="4">
        <v>250.00792999999999</v>
      </c>
      <c r="T302" s="1">
        <v>148</v>
      </c>
      <c r="U302" s="5">
        <v>98.624859999999998</v>
      </c>
      <c r="V302" s="3">
        <f t="shared" si="42"/>
        <v>101.94855</v>
      </c>
      <c r="W302" s="1">
        <f t="shared" si="50"/>
        <v>1.8606333461029011E-3</v>
      </c>
      <c r="Y302" s="4">
        <v>250.01554999999999</v>
      </c>
      <c r="Z302" s="1">
        <v>148</v>
      </c>
      <c r="AA302" s="5">
        <v>105.28243999999999</v>
      </c>
      <c r="AB302" s="3">
        <f t="shared" si="43"/>
        <v>103.67341999999999</v>
      </c>
      <c r="AP302" s="18">
        <v>549.33222999999998</v>
      </c>
      <c r="AQ302" s="1">
        <v>148</v>
      </c>
      <c r="AR302" s="12">
        <v>-1.0600700000000001</v>
      </c>
      <c r="AS302" s="3">
        <f t="shared" si="46"/>
        <v>-0.50625999999999749</v>
      </c>
    </row>
    <row r="303" spans="1:45" ht="16" x14ac:dyDescent="0.2">
      <c r="A303" s="2">
        <v>200.02562</v>
      </c>
      <c r="B303" s="1">
        <v>148.5</v>
      </c>
      <c r="C303" s="5">
        <v>102.43564000000001</v>
      </c>
      <c r="D303" s="3">
        <f t="shared" si="47"/>
        <v>102.31219</v>
      </c>
      <c r="G303" s="4">
        <v>225.00721999999999</v>
      </c>
      <c r="H303" s="1">
        <v>148.5</v>
      </c>
      <c r="I303" s="5">
        <v>99.488979999999998</v>
      </c>
      <c r="J303" s="3">
        <f t="shared" si="48"/>
        <v>101.07937</v>
      </c>
      <c r="K303" s="1">
        <f t="shared" si="41"/>
        <v>3.6689647493379014E-3</v>
      </c>
      <c r="M303" s="4">
        <v>225.01875999999999</v>
      </c>
      <c r="N303" s="1">
        <v>148.5</v>
      </c>
      <c r="O303" s="5">
        <v>103.5424</v>
      </c>
      <c r="P303" s="3">
        <f t="shared" si="49"/>
        <v>102.75001</v>
      </c>
      <c r="S303" s="4">
        <v>250.00496000000001</v>
      </c>
      <c r="T303" s="1">
        <v>148.5</v>
      </c>
      <c r="U303" s="3">
        <v>98.624859999999998</v>
      </c>
      <c r="V303" s="3">
        <f t="shared" si="42"/>
        <v>101.94855</v>
      </c>
      <c r="W303" s="1">
        <f t="shared" si="50"/>
        <v>1.8606333461029011E-3</v>
      </c>
      <c r="Y303" s="4">
        <v>250.01818</v>
      </c>
      <c r="Z303" s="1">
        <v>148.5</v>
      </c>
      <c r="AA303" s="3">
        <v>105.31596</v>
      </c>
      <c r="AB303" s="3">
        <f t="shared" si="43"/>
        <v>103.70694</v>
      </c>
      <c r="AP303" s="18">
        <v>550.83313999999996</v>
      </c>
      <c r="AQ303" s="1">
        <v>148.5</v>
      </c>
      <c r="AR303" s="13">
        <v>-1.1012200000000001</v>
      </c>
      <c r="AS303" s="3">
        <f t="shared" si="46"/>
        <v>-0.54740999999999929</v>
      </c>
    </row>
    <row r="304" spans="1:45" ht="16" x14ac:dyDescent="0.2">
      <c r="A304" s="2">
        <v>200.02443</v>
      </c>
      <c r="B304" s="1">
        <v>149</v>
      </c>
      <c r="C304" s="3">
        <v>102.44162</v>
      </c>
      <c r="D304" s="3">
        <f t="shared" si="47"/>
        <v>102.31816999999999</v>
      </c>
      <c r="G304" s="4">
        <v>225.00604000000001</v>
      </c>
      <c r="H304" s="1">
        <v>149</v>
      </c>
      <c r="I304" s="3">
        <v>99.434250000000006</v>
      </c>
      <c r="J304" s="3">
        <f t="shared" si="48"/>
        <v>101.02464000000001</v>
      </c>
      <c r="K304" s="1">
        <f t="shared" si="41"/>
        <v>4.2147125362902091E-3</v>
      </c>
      <c r="M304" s="4">
        <v>225.01943</v>
      </c>
      <c r="N304" s="1">
        <v>149</v>
      </c>
      <c r="O304" s="3">
        <v>103.37839</v>
      </c>
      <c r="P304" s="3">
        <f t="shared" si="49"/>
        <v>102.586</v>
      </c>
      <c r="S304" s="4">
        <v>250.00702000000001</v>
      </c>
      <c r="T304" s="1">
        <v>149</v>
      </c>
      <c r="U304" s="5">
        <v>98.651709999999994</v>
      </c>
      <c r="V304" s="3">
        <f t="shared" si="42"/>
        <v>101.97539999999999</v>
      </c>
      <c r="W304" s="1">
        <f t="shared" si="50"/>
        <v>1.5947012405836028E-3</v>
      </c>
      <c r="Y304" s="4">
        <v>250.02142000000001</v>
      </c>
      <c r="Z304" s="1">
        <v>149</v>
      </c>
      <c r="AA304" s="5">
        <v>105.26215000000001</v>
      </c>
      <c r="AB304" s="3">
        <f t="shared" si="43"/>
        <v>103.65313</v>
      </c>
      <c r="AP304" s="18">
        <v>552.33793000000003</v>
      </c>
      <c r="AQ304" s="1">
        <v>149</v>
      </c>
      <c r="AR304" s="12">
        <v>-0.94496000000000002</v>
      </c>
      <c r="AS304" s="3">
        <f t="shared" si="46"/>
        <v>-0.39114999999999611</v>
      </c>
    </row>
    <row r="305" spans="1:45" ht="16" x14ac:dyDescent="0.2">
      <c r="A305" s="2">
        <v>200.02267000000001</v>
      </c>
      <c r="B305" s="1">
        <v>149.5</v>
      </c>
      <c r="C305" s="5">
        <v>102.46116000000001</v>
      </c>
      <c r="D305" s="3">
        <f t="shared" si="47"/>
        <v>102.33771</v>
      </c>
      <c r="G305" s="4">
        <v>225.00528</v>
      </c>
      <c r="H305" s="1">
        <v>149.5</v>
      </c>
      <c r="I305" s="5">
        <v>99.427539999999993</v>
      </c>
      <c r="J305" s="3">
        <f t="shared" si="48"/>
        <v>101.01792999999999</v>
      </c>
      <c r="K305" s="1">
        <f t="shared" si="41"/>
        <v>4.2816222320778453E-3</v>
      </c>
      <c r="M305" s="4">
        <v>225.01955000000001</v>
      </c>
      <c r="N305" s="1">
        <v>149.5</v>
      </c>
      <c r="O305" s="5">
        <v>103.43973</v>
      </c>
      <c r="P305" s="3">
        <f t="shared" si="49"/>
        <v>102.64734</v>
      </c>
      <c r="S305" s="4">
        <v>250.00297</v>
      </c>
      <c r="T305" s="1">
        <v>149.5</v>
      </c>
      <c r="U305" s="3">
        <v>98.624899999999997</v>
      </c>
      <c r="V305" s="3">
        <f t="shared" si="42"/>
        <v>101.94859</v>
      </c>
      <c r="W305" s="1">
        <f t="shared" si="50"/>
        <v>1.8602371716440419E-3</v>
      </c>
      <c r="Y305" s="4">
        <v>250.0223</v>
      </c>
      <c r="Z305" s="1">
        <v>149.5</v>
      </c>
      <c r="AA305" s="3">
        <v>105.29097</v>
      </c>
      <c r="AB305" s="3">
        <f t="shared" si="43"/>
        <v>103.68195</v>
      </c>
      <c r="AP305" s="18">
        <v>553.83551999999997</v>
      </c>
      <c r="AQ305" s="1">
        <v>149.5</v>
      </c>
      <c r="AR305" s="13">
        <v>-0.93101999999999996</v>
      </c>
      <c r="AS305" s="3">
        <f t="shared" si="46"/>
        <v>-0.37721000000000515</v>
      </c>
    </row>
    <row r="306" spans="1:45" ht="16" x14ac:dyDescent="0.2">
      <c r="A306" s="2">
        <v>200.02246</v>
      </c>
      <c r="B306" s="1">
        <v>150</v>
      </c>
      <c r="C306" s="3">
        <v>102.33557</v>
      </c>
      <c r="D306" s="3">
        <f t="shared" si="47"/>
        <v>102.21212</v>
      </c>
      <c r="G306" s="4">
        <v>225.00378000000001</v>
      </c>
      <c r="H306" s="1">
        <v>150</v>
      </c>
      <c r="I306" s="3">
        <v>99.427689999999998</v>
      </c>
      <c r="J306" s="3">
        <f t="shared" si="48"/>
        <v>101.01808</v>
      </c>
      <c r="K306" s="1">
        <f t="shared" si="41"/>
        <v>4.2801264862703248E-3</v>
      </c>
      <c r="M306" s="4">
        <v>225.02189000000001</v>
      </c>
      <c r="N306" s="1">
        <v>150</v>
      </c>
      <c r="O306" s="3">
        <v>103.48116</v>
      </c>
      <c r="P306" s="3">
        <f t="shared" si="49"/>
        <v>102.68877000000001</v>
      </c>
      <c r="S306" s="4">
        <v>250.00694999999999</v>
      </c>
      <c r="T306" s="1">
        <v>150</v>
      </c>
      <c r="U306" s="5">
        <v>98.63297</v>
      </c>
      <c r="V306" s="3">
        <f t="shared" si="42"/>
        <v>101.95666</v>
      </c>
      <c r="W306" s="1">
        <f t="shared" si="50"/>
        <v>1.7803089745661274E-3</v>
      </c>
      <c r="Y306" s="4">
        <v>250.02038999999999</v>
      </c>
      <c r="Z306" s="1">
        <v>150</v>
      </c>
      <c r="AA306" s="5">
        <v>105.24472</v>
      </c>
      <c r="AB306" s="3">
        <f t="shared" si="43"/>
        <v>103.6357</v>
      </c>
      <c r="AP306" s="18">
        <v>555.34099000000003</v>
      </c>
      <c r="AQ306" s="1">
        <v>150</v>
      </c>
      <c r="AR306" s="12">
        <v>-1.0040800000000001</v>
      </c>
      <c r="AS306" s="3">
        <f t="shared" si="46"/>
        <v>-0.45027000000000328</v>
      </c>
    </row>
    <row r="307" spans="1:45" ht="16" x14ac:dyDescent="0.2">
      <c r="A307" s="2">
        <v>200.01831999999999</v>
      </c>
      <c r="B307" s="1">
        <v>150.5</v>
      </c>
      <c r="C307" s="5">
        <v>102.31789000000001</v>
      </c>
      <c r="D307" s="3">
        <f t="shared" si="47"/>
        <v>102.19444</v>
      </c>
      <c r="G307" s="4">
        <v>225.00899999999999</v>
      </c>
      <c r="H307" s="1">
        <v>150.5</v>
      </c>
      <c r="I307" s="5">
        <v>99.426630000000003</v>
      </c>
      <c r="J307" s="3">
        <f t="shared" si="48"/>
        <v>101.01702</v>
      </c>
      <c r="K307" s="1">
        <f t="shared" si="41"/>
        <v>4.2906964233097372E-3</v>
      </c>
      <c r="M307" s="4">
        <v>225.02304000000001</v>
      </c>
      <c r="N307" s="1">
        <v>150.5</v>
      </c>
      <c r="O307" s="5">
        <v>103.5218</v>
      </c>
      <c r="P307" s="3">
        <f t="shared" si="49"/>
        <v>102.72941</v>
      </c>
      <c r="S307" s="4">
        <v>250.00695999999999</v>
      </c>
      <c r="T307" s="1">
        <v>150.5</v>
      </c>
      <c r="U307" s="3">
        <v>98.632729999999995</v>
      </c>
      <c r="V307" s="3">
        <f t="shared" si="42"/>
        <v>101.95641999999999</v>
      </c>
      <c r="W307" s="1">
        <f t="shared" si="50"/>
        <v>1.7826860213194236E-3</v>
      </c>
      <c r="Y307" s="4">
        <v>250.01799</v>
      </c>
      <c r="Z307" s="1">
        <v>150.5</v>
      </c>
      <c r="AA307" s="3">
        <v>105.13354</v>
      </c>
      <c r="AB307" s="3">
        <f t="shared" si="43"/>
        <v>103.52452</v>
      </c>
      <c r="AP307" s="18">
        <v>556.84083999999996</v>
      </c>
      <c r="AQ307" s="1">
        <v>150.5</v>
      </c>
      <c r="AR307" s="13">
        <v>-0.96811000000000003</v>
      </c>
      <c r="AS307" s="3">
        <f t="shared" si="46"/>
        <v>-0.41429999999999723</v>
      </c>
    </row>
    <row r="308" spans="1:45" ht="16" x14ac:dyDescent="0.2">
      <c r="A308" s="2">
        <v>200.02023</v>
      </c>
      <c r="B308" s="1">
        <v>151</v>
      </c>
      <c r="C308" s="3">
        <v>102.31771000000001</v>
      </c>
      <c r="D308" s="3">
        <f t="shared" si="47"/>
        <v>102.19426</v>
      </c>
      <c r="G308" s="4">
        <v>225.00685999999999</v>
      </c>
      <c r="H308" s="1">
        <v>151</v>
      </c>
      <c r="I308" s="3">
        <v>99.433239999999998</v>
      </c>
      <c r="J308" s="3">
        <f t="shared" si="48"/>
        <v>101.02363</v>
      </c>
      <c r="K308" s="1">
        <f t="shared" si="41"/>
        <v>4.2247838913939233E-3</v>
      </c>
      <c r="M308" s="4">
        <v>225.02525</v>
      </c>
      <c r="N308" s="1">
        <v>151</v>
      </c>
      <c r="O308" s="3">
        <v>103.56272</v>
      </c>
      <c r="P308" s="3">
        <f t="shared" si="49"/>
        <v>102.77033</v>
      </c>
      <c r="S308" s="4">
        <v>250.00503</v>
      </c>
      <c r="T308" s="1">
        <v>151</v>
      </c>
      <c r="U308" s="5">
        <v>98.618660000000006</v>
      </c>
      <c r="V308" s="3">
        <f t="shared" si="42"/>
        <v>101.94235</v>
      </c>
      <c r="W308" s="1">
        <f t="shared" si="50"/>
        <v>1.9220403872283365E-3</v>
      </c>
      <c r="Y308" s="4">
        <v>250.02131</v>
      </c>
      <c r="Z308" s="1">
        <v>151</v>
      </c>
      <c r="AA308" s="5">
        <v>105.29299</v>
      </c>
      <c r="AB308" s="3">
        <f t="shared" si="43"/>
        <v>103.68397</v>
      </c>
      <c r="AP308" s="18">
        <v>558.33861000000002</v>
      </c>
      <c r="AQ308" s="1">
        <v>151</v>
      </c>
      <c r="AR308" s="12">
        <v>-1.1271500000000001</v>
      </c>
      <c r="AS308" s="3">
        <f t="shared" si="46"/>
        <v>-0.57334000000000174</v>
      </c>
    </row>
    <row r="309" spans="1:45" ht="16" x14ac:dyDescent="0.2">
      <c r="A309" s="2">
        <v>200.02522999999999</v>
      </c>
      <c r="B309" s="1">
        <v>151.5</v>
      </c>
      <c r="C309" s="5">
        <v>102.47535000000001</v>
      </c>
      <c r="D309" s="3">
        <f t="shared" si="47"/>
        <v>102.3519</v>
      </c>
      <c r="G309" s="4">
        <v>225.00880000000001</v>
      </c>
      <c r="H309" s="1">
        <v>151.5</v>
      </c>
      <c r="I309" s="5">
        <v>99.431129999999996</v>
      </c>
      <c r="J309" s="3">
        <f t="shared" si="48"/>
        <v>101.02152</v>
      </c>
      <c r="K309" s="1">
        <f t="shared" si="41"/>
        <v>4.2458240490856926E-3</v>
      </c>
      <c r="M309" s="4">
        <v>225.02803</v>
      </c>
      <c r="N309" s="1">
        <v>151.5</v>
      </c>
      <c r="O309" s="5">
        <v>103.39457</v>
      </c>
      <c r="P309" s="3">
        <f t="shared" si="49"/>
        <v>102.60218</v>
      </c>
      <c r="S309" s="4">
        <v>250.00806</v>
      </c>
      <c r="T309" s="1">
        <v>151.5</v>
      </c>
      <c r="U309" s="3">
        <v>98.622720000000001</v>
      </c>
      <c r="V309" s="3">
        <f t="shared" si="42"/>
        <v>101.94641</v>
      </c>
      <c r="W309" s="1">
        <f t="shared" si="50"/>
        <v>1.881828679652645E-3</v>
      </c>
      <c r="Y309" s="4">
        <v>250.02484999999999</v>
      </c>
      <c r="Z309" s="1">
        <v>151.5</v>
      </c>
      <c r="AA309" s="3">
        <v>105.18791</v>
      </c>
      <c r="AB309" s="3">
        <f t="shared" si="43"/>
        <v>103.57889</v>
      </c>
      <c r="AP309" s="18">
        <v>559.8433</v>
      </c>
      <c r="AQ309" s="1">
        <v>151.5</v>
      </c>
      <c r="AR309" s="13">
        <v>-1.06273</v>
      </c>
      <c r="AS309" s="3">
        <f t="shared" si="46"/>
        <v>-0.50892000000000337</v>
      </c>
    </row>
    <row r="310" spans="1:45" ht="16" x14ac:dyDescent="0.2">
      <c r="A310" s="2">
        <v>200.02519000000001</v>
      </c>
      <c r="B310" s="1">
        <v>152</v>
      </c>
      <c r="C310" s="3">
        <v>102.47268</v>
      </c>
      <c r="D310" s="3">
        <f t="shared" si="47"/>
        <v>102.34922999999999</v>
      </c>
      <c r="G310" s="4">
        <v>224.99817999999999</v>
      </c>
      <c r="H310" s="1">
        <v>152</v>
      </c>
      <c r="I310" s="3">
        <v>99.38261</v>
      </c>
      <c r="J310" s="3">
        <f t="shared" si="48"/>
        <v>100.973</v>
      </c>
      <c r="K310" s="1">
        <f t="shared" si="41"/>
        <v>4.7296479596087657E-3</v>
      </c>
      <c r="M310" s="4">
        <v>225.02539999999999</v>
      </c>
      <c r="N310" s="1">
        <v>152</v>
      </c>
      <c r="O310" s="3">
        <v>103.6323</v>
      </c>
      <c r="P310" s="3">
        <f t="shared" si="49"/>
        <v>102.83991</v>
      </c>
      <c r="S310" s="4">
        <v>250.00800000000001</v>
      </c>
      <c r="T310" s="1">
        <v>152</v>
      </c>
      <c r="U310" s="5">
        <v>98.614500000000007</v>
      </c>
      <c r="V310" s="3">
        <f t="shared" si="42"/>
        <v>101.93819000000001</v>
      </c>
      <c r="W310" s="1">
        <f t="shared" si="50"/>
        <v>1.9632425309512465E-3</v>
      </c>
      <c r="Y310" s="4">
        <v>250.02054000000001</v>
      </c>
      <c r="Z310" s="1">
        <v>152</v>
      </c>
      <c r="AA310" s="5">
        <v>105.27976</v>
      </c>
      <c r="AB310" s="3">
        <f t="shared" si="43"/>
        <v>103.67074</v>
      </c>
      <c r="AP310" s="18">
        <v>561.34334999999999</v>
      </c>
      <c r="AQ310" s="1">
        <v>152</v>
      </c>
      <c r="AR310" s="12">
        <v>-0.94072</v>
      </c>
      <c r="AS310" s="3">
        <f t="shared" si="46"/>
        <v>-0.38691000000000031</v>
      </c>
    </row>
    <row r="311" spans="1:45" ht="16" x14ac:dyDescent="0.2">
      <c r="A311" s="2">
        <v>200.02445</v>
      </c>
      <c r="B311" s="1">
        <v>152.5</v>
      </c>
      <c r="C311" s="5">
        <v>102.46672</v>
      </c>
      <c r="D311" s="3">
        <f t="shared" si="47"/>
        <v>102.34326999999999</v>
      </c>
      <c r="G311" s="4">
        <v>225.00692000000001</v>
      </c>
      <c r="H311" s="1">
        <v>152.5</v>
      </c>
      <c r="I311" s="5">
        <v>99.451509999999999</v>
      </c>
      <c r="J311" s="3">
        <f t="shared" si="48"/>
        <v>101.0419</v>
      </c>
      <c r="K311" s="1">
        <f t="shared" ref="K311:K374" si="51">($J$118-J311)/($J$118*(1-$H$1))</f>
        <v>4.0426020520440108E-3</v>
      </c>
      <c r="M311" s="4">
        <v>225.02175</v>
      </c>
      <c r="N311" s="1">
        <v>152.5</v>
      </c>
      <c r="O311" s="5">
        <v>103.49963</v>
      </c>
      <c r="P311" s="3">
        <f t="shared" si="49"/>
        <v>102.70724</v>
      </c>
      <c r="S311" s="4">
        <v>250.00792999999999</v>
      </c>
      <c r="T311" s="1">
        <v>152.5</v>
      </c>
      <c r="U311" s="3">
        <v>98.613839999999996</v>
      </c>
      <c r="V311" s="3">
        <f t="shared" si="42"/>
        <v>101.93753</v>
      </c>
      <c r="W311" s="1">
        <f t="shared" si="50"/>
        <v>1.969779409522776E-3</v>
      </c>
      <c r="Y311" s="4">
        <v>250.01524000000001</v>
      </c>
      <c r="Z311" s="1">
        <v>152.5</v>
      </c>
      <c r="AA311" s="3">
        <v>105.28322</v>
      </c>
      <c r="AB311" s="3">
        <f t="shared" si="43"/>
        <v>103.6742</v>
      </c>
      <c r="AP311" s="18">
        <v>562.84641999999997</v>
      </c>
      <c r="AQ311" s="1">
        <v>152.5</v>
      </c>
      <c r="AR311" s="13">
        <v>-1.0475000000000001</v>
      </c>
      <c r="AS311" s="3">
        <f t="shared" si="46"/>
        <v>-0.49369000000000085</v>
      </c>
    </row>
    <row r="312" spans="1:45" ht="16" x14ac:dyDescent="0.2">
      <c r="A312" s="2">
        <v>200.02625</v>
      </c>
      <c r="B312" s="1">
        <v>153</v>
      </c>
      <c r="C312" s="3">
        <v>102.41588</v>
      </c>
      <c r="D312" s="3">
        <f t="shared" si="47"/>
        <v>102.29243</v>
      </c>
      <c r="G312" s="4">
        <v>225.01085</v>
      </c>
      <c r="H312" s="1">
        <v>153</v>
      </c>
      <c r="I312" s="3">
        <v>99.428740000000005</v>
      </c>
      <c r="J312" s="3">
        <f t="shared" si="48"/>
        <v>101.01913</v>
      </c>
      <c r="K312" s="1">
        <f t="shared" si="51"/>
        <v>4.2696562656179679E-3</v>
      </c>
      <c r="M312" s="4">
        <v>225.01641000000001</v>
      </c>
      <c r="N312" s="1">
        <v>153</v>
      </c>
      <c r="O312" s="3">
        <v>103.46267</v>
      </c>
      <c r="P312" s="3">
        <f t="shared" si="49"/>
        <v>102.67028000000001</v>
      </c>
      <c r="S312" s="4">
        <v>250.01002</v>
      </c>
      <c r="T312" s="1">
        <v>153</v>
      </c>
      <c r="U312" s="5">
        <v>98.612380000000002</v>
      </c>
      <c r="V312" s="3">
        <f t="shared" si="42"/>
        <v>101.93607</v>
      </c>
      <c r="W312" s="1">
        <f t="shared" si="50"/>
        <v>1.9842397772716312E-3</v>
      </c>
      <c r="Y312" s="4">
        <v>250.01584</v>
      </c>
      <c r="Z312" s="1">
        <v>153</v>
      </c>
      <c r="AA312" s="5">
        <v>105.26938</v>
      </c>
      <c r="AB312" s="3">
        <f t="shared" si="43"/>
        <v>103.66036</v>
      </c>
      <c r="AP312" s="18">
        <v>564.35069999999996</v>
      </c>
      <c r="AQ312" s="1">
        <v>153</v>
      </c>
      <c r="AR312" s="12">
        <v>-0.83525000000000005</v>
      </c>
      <c r="AS312" s="3">
        <f t="shared" si="46"/>
        <v>-0.28144000000000347</v>
      </c>
    </row>
    <row r="313" spans="1:45" ht="16" x14ac:dyDescent="0.2">
      <c r="A313" s="2">
        <v>200.02817999999999</v>
      </c>
      <c r="B313" s="1">
        <v>153.5</v>
      </c>
      <c r="C313" s="5">
        <v>102.45071</v>
      </c>
      <c r="D313" s="3">
        <f t="shared" si="47"/>
        <v>102.32726</v>
      </c>
      <c r="G313" s="4">
        <v>225.00609</v>
      </c>
      <c r="H313" s="1">
        <v>153.5</v>
      </c>
      <c r="I313" s="5">
        <v>99.436530000000005</v>
      </c>
      <c r="J313" s="3">
        <f t="shared" si="48"/>
        <v>101.02692</v>
      </c>
      <c r="K313" s="1">
        <f t="shared" si="51"/>
        <v>4.1919772000166694E-3</v>
      </c>
      <c r="M313" s="4">
        <v>225.01571999999999</v>
      </c>
      <c r="N313" s="1">
        <v>153.5</v>
      </c>
      <c r="O313" s="5">
        <v>103.58284999999999</v>
      </c>
      <c r="P313" s="3">
        <f t="shared" si="49"/>
        <v>102.79046</v>
      </c>
      <c r="S313" s="4">
        <v>250.01098999999999</v>
      </c>
      <c r="T313" s="1">
        <v>153.5</v>
      </c>
      <c r="U313" s="3">
        <v>98.618949999999998</v>
      </c>
      <c r="V313" s="3">
        <f t="shared" si="42"/>
        <v>101.94264</v>
      </c>
      <c r="W313" s="1">
        <f t="shared" si="50"/>
        <v>1.9191681224015717E-3</v>
      </c>
      <c r="Y313" s="4">
        <v>250.01990000000001</v>
      </c>
      <c r="Z313" s="1">
        <v>153.5</v>
      </c>
      <c r="AA313" s="3">
        <v>105.34847000000001</v>
      </c>
      <c r="AB313" s="3">
        <f t="shared" si="43"/>
        <v>103.73945000000001</v>
      </c>
      <c r="AP313" s="18">
        <v>565.84524999999996</v>
      </c>
      <c r="AQ313" s="1">
        <v>153.5</v>
      </c>
      <c r="AR313" s="13">
        <v>-1.1161000000000001</v>
      </c>
      <c r="AS313" s="3">
        <f t="shared" si="46"/>
        <v>-0.5622900000000044</v>
      </c>
    </row>
    <row r="314" spans="1:45" ht="16" x14ac:dyDescent="0.2">
      <c r="A314" s="2">
        <v>200.02651</v>
      </c>
      <c r="B314" s="1">
        <v>154</v>
      </c>
      <c r="C314" s="3">
        <v>102.4417</v>
      </c>
      <c r="D314" s="3">
        <f t="shared" si="47"/>
        <v>102.31824999999999</v>
      </c>
      <c r="G314" s="4">
        <v>225.01009999999999</v>
      </c>
      <c r="H314" s="1">
        <v>154</v>
      </c>
      <c r="I314" s="3">
        <v>99.448189999999997</v>
      </c>
      <c r="J314" s="3">
        <f t="shared" si="48"/>
        <v>101.03858</v>
      </c>
      <c r="K314" s="1">
        <f t="shared" si="51"/>
        <v>4.0757078925827122E-3</v>
      </c>
      <c r="M314" s="4">
        <v>225.01653999999999</v>
      </c>
      <c r="N314" s="1">
        <v>154</v>
      </c>
      <c r="O314" s="3">
        <v>103.50118000000001</v>
      </c>
      <c r="P314" s="3">
        <f t="shared" si="49"/>
        <v>102.70879000000001</v>
      </c>
      <c r="S314" s="4">
        <v>250.00691</v>
      </c>
      <c r="T314" s="1">
        <v>154</v>
      </c>
      <c r="U314" s="5">
        <v>98.589550000000003</v>
      </c>
      <c r="V314" s="3">
        <f t="shared" si="42"/>
        <v>101.91324</v>
      </c>
      <c r="W314" s="1">
        <f t="shared" si="50"/>
        <v>2.2103563496740971E-3</v>
      </c>
      <c r="Y314" s="4">
        <v>250.02204</v>
      </c>
      <c r="Z314" s="1">
        <v>154</v>
      </c>
      <c r="AA314" s="5">
        <v>105.34066</v>
      </c>
      <c r="AB314" s="3">
        <f t="shared" si="43"/>
        <v>103.73164</v>
      </c>
      <c r="AP314" s="18">
        <v>567.34326999999996</v>
      </c>
      <c r="AQ314" s="1">
        <v>154</v>
      </c>
      <c r="AR314" s="12">
        <v>-1.0072300000000001</v>
      </c>
      <c r="AS314" s="3">
        <f t="shared" si="46"/>
        <v>-0.45342000000000837</v>
      </c>
    </row>
    <row r="315" spans="1:45" ht="16" x14ac:dyDescent="0.2">
      <c r="A315" s="2">
        <v>200.02216999999999</v>
      </c>
      <c r="B315" s="1">
        <v>154.5</v>
      </c>
      <c r="C315" s="5">
        <v>102.40085000000001</v>
      </c>
      <c r="D315" s="3">
        <f t="shared" si="47"/>
        <v>102.2774</v>
      </c>
      <c r="G315" s="4">
        <v>225.01212000000001</v>
      </c>
      <c r="H315" s="1">
        <v>154.5</v>
      </c>
      <c r="I315" s="5">
        <v>99.448710000000005</v>
      </c>
      <c r="J315" s="3">
        <f t="shared" si="48"/>
        <v>101.0391</v>
      </c>
      <c r="K315" s="1">
        <f t="shared" si="51"/>
        <v>4.0705226404500611E-3</v>
      </c>
      <c r="M315" s="4">
        <v>225.01255</v>
      </c>
      <c r="N315" s="1">
        <v>154.5</v>
      </c>
      <c r="O315" s="5">
        <v>103.49773</v>
      </c>
      <c r="P315" s="3">
        <f t="shared" si="49"/>
        <v>102.70534000000001</v>
      </c>
      <c r="S315" s="4">
        <v>250.00307000000001</v>
      </c>
      <c r="T315" s="1">
        <v>154.5</v>
      </c>
      <c r="U315" s="3">
        <v>98.604320000000001</v>
      </c>
      <c r="V315" s="3">
        <f t="shared" si="42"/>
        <v>101.92801</v>
      </c>
      <c r="W315" s="1">
        <f t="shared" si="50"/>
        <v>2.0640689307347957E-3</v>
      </c>
      <c r="Y315" s="4">
        <v>250.0214</v>
      </c>
      <c r="Z315" s="1">
        <v>154.5</v>
      </c>
      <c r="AA315" s="3">
        <v>105.30643000000001</v>
      </c>
      <c r="AB315" s="3">
        <f t="shared" si="43"/>
        <v>103.69741</v>
      </c>
      <c r="AP315" s="18">
        <v>568.84529999999995</v>
      </c>
      <c r="AQ315" s="1">
        <v>154.5</v>
      </c>
      <c r="AR315" s="13">
        <v>-0.94299999999999995</v>
      </c>
      <c r="AS315" s="3">
        <f t="shared" si="46"/>
        <v>-0.38918999999999926</v>
      </c>
    </row>
    <row r="316" spans="1:45" ht="16" x14ac:dyDescent="0.2">
      <c r="A316" s="2">
        <v>200.02198000000001</v>
      </c>
      <c r="B316" s="1">
        <v>155</v>
      </c>
      <c r="C316" s="3">
        <v>102.41775</v>
      </c>
      <c r="D316" s="3">
        <f t="shared" si="47"/>
        <v>102.29429999999999</v>
      </c>
      <c r="G316" s="4">
        <v>225.00815</v>
      </c>
      <c r="H316" s="1">
        <v>155</v>
      </c>
      <c r="I316" s="3">
        <v>99.427480000000003</v>
      </c>
      <c r="J316" s="3">
        <f t="shared" si="48"/>
        <v>101.01787</v>
      </c>
      <c r="K316" s="1">
        <f t="shared" si="51"/>
        <v>4.2822205304007396E-3</v>
      </c>
      <c r="M316" s="4">
        <v>225.01115999999999</v>
      </c>
      <c r="N316" s="1">
        <v>155</v>
      </c>
      <c r="O316" s="3">
        <v>103.57128</v>
      </c>
      <c r="P316" s="3">
        <f t="shared" si="49"/>
        <v>102.77889</v>
      </c>
      <c r="S316" s="4">
        <v>250.00699</v>
      </c>
      <c r="T316" s="1">
        <v>155</v>
      </c>
      <c r="U316" s="5">
        <v>98.600620000000006</v>
      </c>
      <c r="V316" s="3">
        <f t="shared" si="42"/>
        <v>101.92431000000001</v>
      </c>
      <c r="W316" s="1">
        <f t="shared" si="50"/>
        <v>2.100715068180613E-3</v>
      </c>
      <c r="Y316" s="4">
        <v>250.02409</v>
      </c>
      <c r="Z316" s="1">
        <v>155</v>
      </c>
      <c r="AA316" s="5">
        <v>105.29707000000001</v>
      </c>
      <c r="AB316" s="3">
        <f t="shared" si="43"/>
        <v>103.68805</v>
      </c>
      <c r="AP316" s="18">
        <v>570.34569999999997</v>
      </c>
      <c r="AQ316" s="1">
        <v>155</v>
      </c>
      <c r="AR316" s="12">
        <v>-1.0667199999999999</v>
      </c>
      <c r="AS316" s="3">
        <f t="shared" si="46"/>
        <v>-0.51291000000000508</v>
      </c>
    </row>
    <row r="317" spans="1:45" ht="16" x14ac:dyDescent="0.2">
      <c r="A317" s="2">
        <v>200.02350000000001</v>
      </c>
      <c r="B317" s="1">
        <v>155.5</v>
      </c>
      <c r="C317" s="5">
        <v>102.34815999999999</v>
      </c>
      <c r="D317" s="3">
        <f t="shared" si="47"/>
        <v>102.22470999999999</v>
      </c>
      <c r="G317" s="4">
        <v>225.00993</v>
      </c>
      <c r="H317" s="1">
        <v>155.5</v>
      </c>
      <c r="I317" s="5">
        <v>99.427760000000006</v>
      </c>
      <c r="J317" s="3">
        <f t="shared" si="48"/>
        <v>101.01815000000001</v>
      </c>
      <c r="K317" s="1">
        <f t="shared" si="51"/>
        <v>4.2794284715600922E-3</v>
      </c>
      <c r="M317" s="4">
        <v>225.01506000000001</v>
      </c>
      <c r="N317" s="1">
        <v>155.5</v>
      </c>
      <c r="O317" s="5">
        <v>103.44779</v>
      </c>
      <c r="P317" s="3">
        <f t="shared" si="49"/>
        <v>102.6554</v>
      </c>
      <c r="S317" s="4">
        <v>250.00404</v>
      </c>
      <c r="T317" s="1">
        <v>155.5</v>
      </c>
      <c r="U317" s="3">
        <v>98.591589999999997</v>
      </c>
      <c r="V317" s="3">
        <f t="shared" si="42"/>
        <v>101.91528</v>
      </c>
      <c r="W317" s="1">
        <f t="shared" si="50"/>
        <v>2.1901514522715717E-3</v>
      </c>
      <c r="Y317" s="4">
        <v>250.02133000000001</v>
      </c>
      <c r="Z317" s="1">
        <v>155.5</v>
      </c>
      <c r="AA317" s="3">
        <v>105.36523</v>
      </c>
      <c r="AB317" s="3">
        <f t="shared" si="43"/>
        <v>103.75621</v>
      </c>
      <c r="AP317" s="18">
        <v>571.84551999999996</v>
      </c>
      <c r="AQ317" s="1">
        <v>155.5</v>
      </c>
      <c r="AR317" s="13">
        <v>-1.03318</v>
      </c>
      <c r="AS317" s="3">
        <f t="shared" si="46"/>
        <v>-0.47937000000000296</v>
      </c>
    </row>
    <row r="318" spans="1:45" ht="16" x14ac:dyDescent="0.2">
      <c r="A318" s="2">
        <v>200.02296000000001</v>
      </c>
      <c r="B318" s="1">
        <v>156</v>
      </c>
      <c r="C318" s="3">
        <v>102.56037000000001</v>
      </c>
      <c r="D318" s="3">
        <f t="shared" si="47"/>
        <v>102.43692</v>
      </c>
      <c r="G318" s="4">
        <v>225.00894</v>
      </c>
      <c r="H318" s="1">
        <v>156</v>
      </c>
      <c r="I318" s="3">
        <v>99.439480000000003</v>
      </c>
      <c r="J318" s="3">
        <f t="shared" si="48"/>
        <v>101.02987</v>
      </c>
      <c r="K318" s="1">
        <f t="shared" si="51"/>
        <v>4.1625608658030985E-3</v>
      </c>
      <c r="M318" s="4">
        <v>225.01677000000001</v>
      </c>
      <c r="N318" s="1">
        <v>156</v>
      </c>
      <c r="O318" s="3">
        <v>103.39064</v>
      </c>
      <c r="P318" s="3">
        <f t="shared" si="49"/>
        <v>102.59825000000001</v>
      </c>
      <c r="S318" s="4">
        <v>250.00497999999999</v>
      </c>
      <c r="T318" s="1">
        <v>156</v>
      </c>
      <c r="U318" s="5">
        <v>98.591840000000005</v>
      </c>
      <c r="V318" s="3">
        <f t="shared" si="42"/>
        <v>101.91553</v>
      </c>
      <c r="W318" s="1">
        <f t="shared" si="50"/>
        <v>2.1876753619035254E-3</v>
      </c>
      <c r="Y318" s="4">
        <v>250.01752999999999</v>
      </c>
      <c r="Z318" s="1">
        <v>156</v>
      </c>
      <c r="AA318" s="5">
        <v>105.342</v>
      </c>
      <c r="AB318" s="3">
        <f t="shared" si="43"/>
        <v>103.73298</v>
      </c>
      <c r="AP318" s="18">
        <v>573.35280999999998</v>
      </c>
      <c r="AQ318" s="1">
        <v>156</v>
      </c>
      <c r="AR318" s="12">
        <v>-0.99239999999999995</v>
      </c>
      <c r="AS318" s="3">
        <f t="shared" si="46"/>
        <v>-0.43859000000000492</v>
      </c>
    </row>
    <row r="319" spans="1:45" ht="16" x14ac:dyDescent="0.2">
      <c r="A319" s="2">
        <v>200.02623</v>
      </c>
      <c r="B319" s="1">
        <v>156.5</v>
      </c>
      <c r="C319" s="5">
        <v>102.39053</v>
      </c>
      <c r="D319" s="3">
        <f t="shared" si="47"/>
        <v>102.26707999999999</v>
      </c>
      <c r="G319" s="4">
        <v>224.99714</v>
      </c>
      <c r="H319" s="1">
        <v>156.5</v>
      </c>
      <c r="I319" s="5">
        <v>99.330359999999999</v>
      </c>
      <c r="J319" s="3">
        <f t="shared" si="48"/>
        <v>100.92075</v>
      </c>
      <c r="K319" s="1">
        <f t="shared" si="51"/>
        <v>5.2506660825443145E-3</v>
      </c>
      <c r="M319" s="4">
        <v>225.0155</v>
      </c>
      <c r="N319" s="1">
        <v>156.5</v>
      </c>
      <c r="O319" s="5">
        <v>103.56247999999999</v>
      </c>
      <c r="P319" s="3">
        <f t="shared" si="49"/>
        <v>102.77009</v>
      </c>
      <c r="S319" s="4">
        <v>250.00801000000001</v>
      </c>
      <c r="T319" s="1">
        <v>156.5</v>
      </c>
      <c r="U319" s="3">
        <v>98.589619999999996</v>
      </c>
      <c r="V319" s="3">
        <f t="shared" si="42"/>
        <v>101.91331</v>
      </c>
      <c r="W319" s="1">
        <f t="shared" si="50"/>
        <v>2.2096630443711285E-3</v>
      </c>
      <c r="Y319" s="4">
        <v>250.01480000000001</v>
      </c>
      <c r="Z319" s="1">
        <v>156.5</v>
      </c>
      <c r="AA319" s="3">
        <v>105.32253</v>
      </c>
      <c r="AB319" s="3">
        <f t="shared" si="43"/>
        <v>103.71351</v>
      </c>
      <c r="AP319" s="18">
        <v>574.84634000000005</v>
      </c>
      <c r="AQ319" s="1">
        <v>156.5</v>
      </c>
      <c r="AR319" s="13">
        <v>-1.1188400000000001</v>
      </c>
      <c r="AS319" s="3">
        <f t="shared" si="46"/>
        <v>-0.56503000000000725</v>
      </c>
    </row>
    <row r="320" spans="1:45" ht="16" x14ac:dyDescent="0.2">
      <c r="A320" s="2">
        <v>200.02369999999999</v>
      </c>
      <c r="B320" s="1">
        <v>157</v>
      </c>
      <c r="C320" s="3">
        <v>102.37318</v>
      </c>
      <c r="D320" s="3">
        <f t="shared" si="47"/>
        <v>102.24973</v>
      </c>
      <c r="G320" s="4">
        <v>225.00493</v>
      </c>
      <c r="H320" s="1">
        <v>157</v>
      </c>
      <c r="I320" s="3">
        <v>99.433760000000007</v>
      </c>
      <c r="J320" s="3">
        <f t="shared" si="48"/>
        <v>101.02415000000001</v>
      </c>
      <c r="K320" s="1">
        <f t="shared" si="51"/>
        <v>4.2195986392612721E-3</v>
      </c>
      <c r="M320" s="4">
        <v>225.01464000000001</v>
      </c>
      <c r="N320" s="1">
        <v>157</v>
      </c>
      <c r="O320" s="3">
        <v>103.53610999999999</v>
      </c>
      <c r="P320" s="3">
        <f t="shared" si="49"/>
        <v>102.74372</v>
      </c>
      <c r="S320" s="4">
        <v>250.00797</v>
      </c>
      <c r="T320" s="1">
        <v>157</v>
      </c>
      <c r="U320" s="5">
        <v>98.585520000000002</v>
      </c>
      <c r="V320" s="3">
        <f t="shared" si="42"/>
        <v>101.90921</v>
      </c>
      <c r="W320" s="1">
        <f t="shared" si="50"/>
        <v>2.2502709264056796E-3</v>
      </c>
      <c r="Y320" s="4">
        <v>250.01149000000001</v>
      </c>
      <c r="Z320" s="1">
        <v>157</v>
      </c>
      <c r="AA320" s="5">
        <v>105.32279</v>
      </c>
      <c r="AB320" s="3">
        <f t="shared" si="43"/>
        <v>103.71377</v>
      </c>
      <c r="AP320" s="18">
        <v>576.35112000000004</v>
      </c>
      <c r="AQ320" s="1">
        <v>157</v>
      </c>
      <c r="AR320" s="12">
        <v>-1.1113599999999999</v>
      </c>
      <c r="AS320" s="3">
        <f t="shared" si="46"/>
        <v>-0.55755000000000621</v>
      </c>
    </row>
    <row r="321" spans="1:45" ht="16" x14ac:dyDescent="0.2">
      <c r="A321" s="2">
        <v>200.01809</v>
      </c>
      <c r="B321" s="1">
        <v>157.5</v>
      </c>
      <c r="C321" s="5">
        <v>102.31458000000001</v>
      </c>
      <c r="D321" s="3">
        <f t="shared" si="47"/>
        <v>102.19113</v>
      </c>
      <c r="G321" s="4">
        <v>225.00389999999999</v>
      </c>
      <c r="H321" s="1">
        <v>157.5</v>
      </c>
      <c r="I321" s="5">
        <v>99.401499999999999</v>
      </c>
      <c r="J321" s="3">
        <f t="shared" si="48"/>
        <v>100.99189</v>
      </c>
      <c r="K321" s="1">
        <f t="shared" si="51"/>
        <v>4.5412837042546634E-3</v>
      </c>
      <c r="M321" s="4">
        <v>225.01324</v>
      </c>
      <c r="N321" s="1">
        <v>157.5</v>
      </c>
      <c r="O321" s="5">
        <v>103.58192</v>
      </c>
      <c r="P321" s="3">
        <f t="shared" si="49"/>
        <v>102.78953</v>
      </c>
      <c r="S321" s="4">
        <v>250.00396000000001</v>
      </c>
      <c r="T321" s="1">
        <v>157.5</v>
      </c>
      <c r="U321" s="3">
        <v>98.587940000000003</v>
      </c>
      <c r="V321" s="3">
        <f t="shared" si="42"/>
        <v>101.91163</v>
      </c>
      <c r="W321" s="1">
        <f t="shared" si="50"/>
        <v>2.2263023716437799E-3</v>
      </c>
      <c r="Y321" s="4">
        <v>250.00853000000001</v>
      </c>
      <c r="Z321" s="1">
        <v>157.5</v>
      </c>
      <c r="AA321" s="3">
        <v>105.37894</v>
      </c>
      <c r="AB321" s="3">
        <f t="shared" si="43"/>
        <v>103.76992</v>
      </c>
      <c r="AP321" s="18">
        <v>577.84939999999995</v>
      </c>
      <c r="AQ321" s="1">
        <v>157.5</v>
      </c>
      <c r="AR321" s="13">
        <v>-1.1859200000000001</v>
      </c>
      <c r="AS321" s="3">
        <f t="shared" si="46"/>
        <v>-0.63210999999999729</v>
      </c>
    </row>
    <row r="322" spans="1:45" ht="16" x14ac:dyDescent="0.2">
      <c r="A322" s="2">
        <v>200.01527999999999</v>
      </c>
      <c r="B322" s="1">
        <v>158</v>
      </c>
      <c r="C322" s="3">
        <v>102.43863</v>
      </c>
      <c r="D322" s="3">
        <f t="shared" si="47"/>
        <v>102.31518</v>
      </c>
      <c r="G322" s="4">
        <v>224.99867</v>
      </c>
      <c r="H322" s="1">
        <v>158</v>
      </c>
      <c r="I322" s="3">
        <v>99.363100000000003</v>
      </c>
      <c r="J322" s="3">
        <f t="shared" si="48"/>
        <v>100.95349</v>
      </c>
      <c r="K322" s="1">
        <f t="shared" si="51"/>
        <v>4.924194630967057E-3</v>
      </c>
      <c r="M322" s="4">
        <v>225.01333</v>
      </c>
      <c r="N322" s="1">
        <v>158</v>
      </c>
      <c r="O322" s="3">
        <v>103.61472000000001</v>
      </c>
      <c r="P322" s="3">
        <f t="shared" si="49"/>
        <v>102.82233000000001</v>
      </c>
      <c r="S322" s="4">
        <v>250.00793999999999</v>
      </c>
      <c r="T322" s="1">
        <v>158</v>
      </c>
      <c r="U322" s="5">
        <v>98.55274</v>
      </c>
      <c r="V322" s="3">
        <f t="shared" si="42"/>
        <v>101.87643</v>
      </c>
      <c r="W322" s="1">
        <f t="shared" si="50"/>
        <v>2.5749358954531482E-3</v>
      </c>
      <c r="Y322" s="4">
        <v>250.00919999999999</v>
      </c>
      <c r="Z322" s="1">
        <v>158</v>
      </c>
      <c r="AA322" s="5">
        <v>105.34069</v>
      </c>
      <c r="AB322" s="3">
        <f t="shared" si="43"/>
        <v>103.73166999999999</v>
      </c>
      <c r="AP322" s="18">
        <v>579.35735999999997</v>
      </c>
      <c r="AQ322" s="1">
        <v>158</v>
      </c>
      <c r="AR322" s="12">
        <v>-1.01546</v>
      </c>
      <c r="AS322" s="3">
        <f t="shared" si="46"/>
        <v>-0.46165000000000589</v>
      </c>
    </row>
    <row r="323" spans="1:45" ht="16" x14ac:dyDescent="0.2">
      <c r="A323" s="2">
        <v>200.01783</v>
      </c>
      <c r="B323" s="1">
        <v>158.5</v>
      </c>
      <c r="C323" s="5">
        <v>102.55095</v>
      </c>
      <c r="D323" s="3">
        <f t="shared" si="47"/>
        <v>102.42749999999999</v>
      </c>
      <c r="G323" s="4">
        <v>225.00492</v>
      </c>
      <c r="H323" s="1">
        <v>158.5</v>
      </c>
      <c r="I323" s="5">
        <v>99.435670000000002</v>
      </c>
      <c r="J323" s="3">
        <f t="shared" si="48"/>
        <v>101.02606</v>
      </c>
      <c r="K323" s="1">
        <f t="shared" si="51"/>
        <v>4.2005528093128621E-3</v>
      </c>
      <c r="M323" s="4">
        <v>225.01508000000001</v>
      </c>
      <c r="N323" s="1">
        <v>158.5</v>
      </c>
      <c r="O323" s="5">
        <v>103.66887</v>
      </c>
      <c r="P323" s="3">
        <f t="shared" si="49"/>
        <v>102.87648</v>
      </c>
      <c r="S323" s="4">
        <v>250.00897000000001</v>
      </c>
      <c r="T323" s="1">
        <v>158.5</v>
      </c>
      <c r="U323" s="3">
        <v>98.558710000000005</v>
      </c>
      <c r="V323" s="3">
        <f t="shared" si="42"/>
        <v>101.8824</v>
      </c>
      <c r="W323" s="1">
        <f t="shared" si="50"/>
        <v>2.5158068574661183E-3</v>
      </c>
      <c r="Y323" s="4">
        <v>250.01011</v>
      </c>
      <c r="Z323" s="1">
        <v>158.5</v>
      </c>
      <c r="AA323" s="3">
        <v>105.3142</v>
      </c>
      <c r="AB323" s="3">
        <f t="shared" si="43"/>
        <v>103.70518</v>
      </c>
      <c r="AP323" s="18">
        <v>580.85709999999995</v>
      </c>
      <c r="AQ323" s="1">
        <v>158.5</v>
      </c>
      <c r="AR323" s="13">
        <v>-0.9476</v>
      </c>
      <c r="AS323" s="3">
        <f t="shared" si="46"/>
        <v>-0.39378999999999564</v>
      </c>
    </row>
    <row r="324" spans="1:45" ht="16" x14ac:dyDescent="0.2">
      <c r="A324" s="2">
        <v>200.02211</v>
      </c>
      <c r="B324" s="1">
        <v>159</v>
      </c>
      <c r="C324" s="3">
        <v>102.48515999999999</v>
      </c>
      <c r="D324" s="3">
        <f t="shared" si="47"/>
        <v>102.36170999999999</v>
      </c>
      <c r="G324" s="4">
        <v>225.00882999999999</v>
      </c>
      <c r="H324" s="1">
        <v>159</v>
      </c>
      <c r="I324" s="3">
        <v>99.440520000000006</v>
      </c>
      <c r="J324" s="3">
        <f t="shared" si="48"/>
        <v>101.03091000000001</v>
      </c>
      <c r="K324" s="1">
        <f t="shared" si="51"/>
        <v>4.1521903615379377E-3</v>
      </c>
      <c r="M324" s="4">
        <v>225.01942</v>
      </c>
      <c r="N324" s="1">
        <v>159</v>
      </c>
      <c r="O324" s="3">
        <v>103.52619</v>
      </c>
      <c r="P324" s="3">
        <f t="shared" si="49"/>
        <v>102.7338</v>
      </c>
      <c r="S324" s="4">
        <v>250.00503</v>
      </c>
      <c r="T324" s="1">
        <v>159</v>
      </c>
      <c r="U324" s="5">
        <v>98.571439999999996</v>
      </c>
      <c r="V324" s="3">
        <f t="shared" si="42"/>
        <v>101.89512999999999</v>
      </c>
      <c r="W324" s="1">
        <f t="shared" si="50"/>
        <v>2.3897243359294828E-3</v>
      </c>
      <c r="Y324" s="4">
        <v>250.00954999999999</v>
      </c>
      <c r="Z324" s="1">
        <v>159</v>
      </c>
      <c r="AA324" s="5">
        <v>105.36342</v>
      </c>
      <c r="AB324" s="3">
        <f t="shared" si="43"/>
        <v>103.7544</v>
      </c>
      <c r="AP324" s="18">
        <v>582.35690999999997</v>
      </c>
      <c r="AQ324" s="1">
        <v>159</v>
      </c>
      <c r="AR324" s="12">
        <v>-1.15158</v>
      </c>
      <c r="AS324" s="3">
        <f t="shared" si="46"/>
        <v>-0.59776999999999703</v>
      </c>
    </row>
    <row r="325" spans="1:45" ht="16" x14ac:dyDescent="0.2">
      <c r="A325" s="2">
        <v>200.02062000000001</v>
      </c>
      <c r="B325" s="1">
        <v>159.5</v>
      </c>
      <c r="C325" s="5">
        <v>102.31458000000001</v>
      </c>
      <c r="D325" s="3">
        <f t="shared" si="47"/>
        <v>102.19113</v>
      </c>
      <c r="G325" s="4">
        <v>225.00411</v>
      </c>
      <c r="H325" s="1">
        <v>159.5</v>
      </c>
      <c r="I325" s="5">
        <v>99.4011</v>
      </c>
      <c r="J325" s="3">
        <f t="shared" si="48"/>
        <v>100.99149</v>
      </c>
      <c r="K325" s="1">
        <f t="shared" si="51"/>
        <v>4.5452723597412415E-3</v>
      </c>
      <c r="M325" s="4">
        <v>225.02329</v>
      </c>
      <c r="N325" s="1">
        <v>159.5</v>
      </c>
      <c r="O325" s="5">
        <v>103.52002</v>
      </c>
      <c r="P325" s="3">
        <f t="shared" si="49"/>
        <v>102.72763</v>
      </c>
      <c r="S325" s="4">
        <v>250.00994</v>
      </c>
      <c r="T325" s="1">
        <v>159.5</v>
      </c>
      <c r="U325" s="3">
        <v>98.569220000000001</v>
      </c>
      <c r="V325" s="3">
        <f t="shared" si="42"/>
        <v>101.89291</v>
      </c>
      <c r="W325" s="1">
        <f t="shared" si="50"/>
        <v>2.4117120183969453E-3</v>
      </c>
      <c r="Y325" s="4">
        <v>250.00899000000001</v>
      </c>
      <c r="Z325" s="1">
        <v>159.5</v>
      </c>
      <c r="AA325" s="3">
        <v>105.3813</v>
      </c>
      <c r="AB325" s="3">
        <f t="shared" si="43"/>
        <v>103.77227999999999</v>
      </c>
      <c r="AP325" s="18">
        <v>583.85512000000006</v>
      </c>
      <c r="AQ325" s="1">
        <v>159.5</v>
      </c>
      <c r="AR325" s="13">
        <v>-1.05091</v>
      </c>
      <c r="AS325" s="3">
        <f t="shared" si="46"/>
        <v>-0.49710000000000321</v>
      </c>
    </row>
    <row r="326" spans="1:45" ht="16" x14ac:dyDescent="0.2">
      <c r="A326" s="2">
        <v>200.02087</v>
      </c>
      <c r="B326" s="1">
        <v>160</v>
      </c>
      <c r="C326" s="3">
        <v>102.37692</v>
      </c>
      <c r="D326" s="3">
        <f t="shared" si="47"/>
        <v>102.25346999999999</v>
      </c>
      <c r="G326" s="4">
        <v>225.00692000000001</v>
      </c>
      <c r="H326" s="1">
        <v>160</v>
      </c>
      <c r="I326" s="3">
        <v>99.432860000000005</v>
      </c>
      <c r="J326" s="3">
        <f t="shared" si="48"/>
        <v>101.02325</v>
      </c>
      <c r="K326" s="1">
        <f t="shared" si="51"/>
        <v>4.2285731141061093E-3</v>
      </c>
      <c r="M326" s="4">
        <v>225.02209999999999</v>
      </c>
      <c r="N326" s="1">
        <v>160</v>
      </c>
      <c r="O326" s="3">
        <v>103.52933</v>
      </c>
      <c r="P326" s="3">
        <f t="shared" si="49"/>
        <v>102.73694</v>
      </c>
      <c r="S326" s="4">
        <v>250.00606999999999</v>
      </c>
      <c r="T326" s="1">
        <v>160</v>
      </c>
      <c r="U326" s="5">
        <v>98.562569999999994</v>
      </c>
      <c r="V326" s="3">
        <f t="shared" si="42"/>
        <v>101.88625999999999</v>
      </c>
      <c r="W326" s="1">
        <f t="shared" si="50"/>
        <v>2.4775760221848638E-3</v>
      </c>
      <c r="Y326" s="4">
        <v>250.00719000000001</v>
      </c>
      <c r="Z326" s="1">
        <v>160</v>
      </c>
      <c r="AA326" s="5">
        <v>105.33458</v>
      </c>
      <c r="AB326" s="3">
        <f t="shared" si="43"/>
        <v>103.72556</v>
      </c>
      <c r="AP326" s="18">
        <v>585.35815000000002</v>
      </c>
      <c r="AQ326" s="1">
        <v>160</v>
      </c>
      <c r="AR326" s="12">
        <v>-1.0939000000000001</v>
      </c>
      <c r="AS326" s="3">
        <f t="shared" si="46"/>
        <v>-0.5400900000000064</v>
      </c>
    </row>
    <row r="327" spans="1:45" ht="16" x14ac:dyDescent="0.2">
      <c r="A327" s="2">
        <v>200.02007</v>
      </c>
      <c r="B327" s="1">
        <v>160.5</v>
      </c>
      <c r="C327" s="5">
        <v>102.47865</v>
      </c>
      <c r="D327" s="3">
        <f t="shared" si="47"/>
        <v>102.3552</v>
      </c>
      <c r="G327" s="4">
        <v>225.00900999999999</v>
      </c>
      <c r="H327" s="1">
        <v>160.5</v>
      </c>
      <c r="I327" s="5">
        <v>99.453389999999999</v>
      </c>
      <c r="J327" s="3">
        <f t="shared" si="48"/>
        <v>101.04378</v>
      </c>
      <c r="K327" s="1">
        <f t="shared" si="51"/>
        <v>4.0238553712570492E-3</v>
      </c>
      <c r="M327" s="4">
        <v>225.01741000000001</v>
      </c>
      <c r="N327" s="1">
        <v>160.5</v>
      </c>
      <c r="O327" s="5">
        <v>103.57222</v>
      </c>
      <c r="P327" s="3">
        <f t="shared" si="49"/>
        <v>102.77983</v>
      </c>
      <c r="S327" s="4">
        <v>250.00801999999999</v>
      </c>
      <c r="T327" s="1">
        <v>160.5</v>
      </c>
      <c r="U327" s="3">
        <v>98.57938</v>
      </c>
      <c r="V327" s="3">
        <f t="shared" ref="V327:V390" si="52">100-($U$6-U327)</f>
        <v>101.90307</v>
      </c>
      <c r="W327" s="1">
        <f t="shared" si="50"/>
        <v>2.3110837058428961E-3</v>
      </c>
      <c r="Y327" s="4">
        <v>250.00811999999999</v>
      </c>
      <c r="Z327" s="1">
        <v>160.5</v>
      </c>
      <c r="AA327" s="3">
        <v>105.36691</v>
      </c>
      <c r="AB327" s="3">
        <f t="shared" ref="AB327:AB390" si="53">100-($AA$6-AA327)</f>
        <v>103.75789</v>
      </c>
      <c r="AP327" s="18">
        <v>586.86324999999999</v>
      </c>
      <c r="AQ327" s="1">
        <v>160.5</v>
      </c>
      <c r="AR327" s="13">
        <v>-1.10348</v>
      </c>
      <c r="AS327" s="3">
        <f t="shared" ref="AS327:AS335" si="54">100-($AR$6-AR327)</f>
        <v>-0.5496700000000061</v>
      </c>
    </row>
    <row r="328" spans="1:45" ht="16" x14ac:dyDescent="0.2">
      <c r="A328" s="2">
        <v>200.02341000000001</v>
      </c>
      <c r="B328" s="1">
        <v>161</v>
      </c>
      <c r="C328" s="3">
        <v>102.35714</v>
      </c>
      <c r="D328" s="3">
        <f t="shared" ref="D328:D391" si="55">100-($C$6-C328)</f>
        <v>102.23369</v>
      </c>
      <c r="G328" s="4">
        <v>225.0018</v>
      </c>
      <c r="H328" s="1">
        <v>161</v>
      </c>
      <c r="I328" s="3">
        <v>99.457409999999996</v>
      </c>
      <c r="J328" s="3">
        <f t="shared" ref="J328:J391" si="56">100-($I$6-I328)</f>
        <v>101.0478</v>
      </c>
      <c r="K328" s="1">
        <f t="shared" si="51"/>
        <v>3.9837693836168708E-3</v>
      </c>
      <c r="M328" s="4">
        <v>225.01451</v>
      </c>
      <c r="N328" s="1">
        <v>161</v>
      </c>
      <c r="O328" s="3">
        <v>103.45654</v>
      </c>
      <c r="P328" s="3">
        <f t="shared" ref="P328:P391" si="57">100-($O$6-O328)</f>
        <v>102.66415000000001</v>
      </c>
      <c r="S328" s="4">
        <v>250.00296</v>
      </c>
      <c r="T328" s="1">
        <v>161</v>
      </c>
      <c r="U328" s="5">
        <v>98.560779999999994</v>
      </c>
      <c r="V328" s="3">
        <f t="shared" si="52"/>
        <v>101.88446999999999</v>
      </c>
      <c r="W328" s="1">
        <f t="shared" ref="W328:W391" si="58">($V$199-V328)/($V$199*(1-$H$1))</f>
        <v>2.4953048292194837E-3</v>
      </c>
      <c r="Y328" s="4">
        <v>250.00712999999999</v>
      </c>
      <c r="Z328" s="1">
        <v>161</v>
      </c>
      <c r="AA328" s="5">
        <v>105.33333</v>
      </c>
      <c r="AB328" s="3">
        <f t="shared" si="53"/>
        <v>103.72431</v>
      </c>
      <c r="AP328" s="18">
        <v>588.36496999999997</v>
      </c>
      <c r="AQ328" s="1">
        <v>161</v>
      </c>
      <c r="AR328" s="12">
        <v>-1.0565500000000001</v>
      </c>
      <c r="AS328" s="3">
        <f t="shared" si="54"/>
        <v>-0.50274000000000285</v>
      </c>
    </row>
    <row r="329" spans="1:45" ht="16" x14ac:dyDescent="0.2">
      <c r="A329" s="2">
        <v>200.02203</v>
      </c>
      <c r="B329" s="1">
        <v>161.5</v>
      </c>
      <c r="C329" s="5">
        <v>102.39506</v>
      </c>
      <c r="D329" s="3">
        <f t="shared" si="55"/>
        <v>102.27161</v>
      </c>
      <c r="G329" s="4">
        <v>225.00684000000001</v>
      </c>
      <c r="H329" s="1">
        <v>161.5</v>
      </c>
      <c r="I329" s="5">
        <v>99.474930000000001</v>
      </c>
      <c r="J329" s="3">
        <f t="shared" si="56"/>
        <v>101.06532</v>
      </c>
      <c r="K329" s="1">
        <f t="shared" si="51"/>
        <v>3.8090662733042749E-3</v>
      </c>
      <c r="M329" s="4">
        <v>225.01188999999999</v>
      </c>
      <c r="N329" s="1">
        <v>161.5</v>
      </c>
      <c r="O329" s="5">
        <v>103.50976</v>
      </c>
      <c r="P329" s="3">
        <f t="shared" si="57"/>
        <v>102.71737</v>
      </c>
      <c r="S329" s="4">
        <v>250.00801999999999</v>
      </c>
      <c r="T329" s="1">
        <v>161.5</v>
      </c>
      <c r="U329" s="3">
        <v>98.569159999999997</v>
      </c>
      <c r="V329" s="3">
        <f t="shared" si="52"/>
        <v>101.89285</v>
      </c>
      <c r="W329" s="1">
        <f t="shared" si="58"/>
        <v>2.4123062800853047E-3</v>
      </c>
      <c r="Y329" s="4">
        <v>250.00810000000001</v>
      </c>
      <c r="Z329" s="1">
        <v>161.5</v>
      </c>
      <c r="AA329" s="3">
        <v>105.39918</v>
      </c>
      <c r="AB329" s="3">
        <f t="shared" si="53"/>
        <v>103.79016</v>
      </c>
      <c r="AP329" s="18">
        <v>589.86869000000002</v>
      </c>
      <c r="AQ329" s="1">
        <v>161.5</v>
      </c>
      <c r="AR329" s="13">
        <v>-1.05498</v>
      </c>
      <c r="AS329" s="3">
        <f t="shared" si="54"/>
        <v>-0.50117000000000189</v>
      </c>
    </row>
    <row r="330" spans="1:45" ht="16" x14ac:dyDescent="0.2">
      <c r="A330" s="2">
        <v>200.01888</v>
      </c>
      <c r="B330" s="1">
        <v>162</v>
      </c>
      <c r="C330" s="3">
        <v>102.35603999999999</v>
      </c>
      <c r="D330" s="3">
        <f t="shared" si="55"/>
        <v>102.23258999999999</v>
      </c>
      <c r="G330" s="4">
        <v>225.00264000000001</v>
      </c>
      <c r="H330" s="1">
        <v>162</v>
      </c>
      <c r="I330" s="3">
        <v>99.430030000000002</v>
      </c>
      <c r="J330" s="3">
        <f t="shared" si="56"/>
        <v>101.02042</v>
      </c>
      <c r="K330" s="1">
        <f t="shared" si="51"/>
        <v>4.2567928516737477E-3</v>
      </c>
      <c r="M330" s="4">
        <v>225.01419000000001</v>
      </c>
      <c r="N330" s="1">
        <v>162</v>
      </c>
      <c r="O330" s="3">
        <v>103.59202999999999</v>
      </c>
      <c r="P330" s="3">
        <f t="shared" si="57"/>
        <v>102.79964</v>
      </c>
      <c r="S330" s="4">
        <v>250.00608</v>
      </c>
      <c r="T330" s="1">
        <v>162</v>
      </c>
      <c r="U330" s="5">
        <v>98.569130000000001</v>
      </c>
      <c r="V330" s="3">
        <f t="shared" si="52"/>
        <v>101.89282</v>
      </c>
      <c r="W330" s="1">
        <f t="shared" si="58"/>
        <v>2.4126034109294139E-3</v>
      </c>
      <c r="Y330" s="4">
        <v>250.01208</v>
      </c>
      <c r="Z330" s="1">
        <v>162</v>
      </c>
      <c r="AA330" s="5">
        <v>105.40534</v>
      </c>
      <c r="AB330" s="3">
        <f t="shared" si="53"/>
        <v>103.79631999999999</v>
      </c>
      <c r="AP330" s="18">
        <v>591.37242000000003</v>
      </c>
      <c r="AQ330" s="1">
        <v>162</v>
      </c>
      <c r="AR330" s="12">
        <v>-1.0915900000000001</v>
      </c>
      <c r="AS330" s="3">
        <f t="shared" si="54"/>
        <v>-0.53777999999999793</v>
      </c>
    </row>
    <row r="331" spans="1:45" ht="16" x14ac:dyDescent="0.2">
      <c r="A331" s="2">
        <v>200.01892000000001</v>
      </c>
      <c r="B331" s="1">
        <v>162.5</v>
      </c>
      <c r="C331" s="5">
        <v>102.47233</v>
      </c>
      <c r="D331" s="3">
        <f t="shared" si="55"/>
        <v>102.34887999999999</v>
      </c>
      <c r="G331" s="4">
        <v>225.00896</v>
      </c>
      <c r="H331" s="1">
        <v>162.5</v>
      </c>
      <c r="I331" s="5">
        <v>99.444869999999995</v>
      </c>
      <c r="J331" s="3">
        <f t="shared" si="56"/>
        <v>101.03525999999999</v>
      </c>
      <c r="K331" s="1">
        <f t="shared" si="51"/>
        <v>4.1088137331214136E-3</v>
      </c>
      <c r="M331" s="4">
        <v>225.017</v>
      </c>
      <c r="N331" s="1">
        <v>162.5</v>
      </c>
      <c r="O331" s="5">
        <v>103.568</v>
      </c>
      <c r="P331" s="3">
        <f t="shared" si="57"/>
        <v>102.77561</v>
      </c>
      <c r="S331" s="4">
        <v>250.00487000000001</v>
      </c>
      <c r="T331" s="1">
        <v>162.5</v>
      </c>
      <c r="U331" s="3">
        <v>98.562979999999996</v>
      </c>
      <c r="V331" s="3">
        <f t="shared" si="52"/>
        <v>101.88667</v>
      </c>
      <c r="W331" s="1">
        <f t="shared" si="58"/>
        <v>2.4735152339813806E-3</v>
      </c>
      <c r="Y331" s="4">
        <v>250.01398</v>
      </c>
      <c r="Z331" s="1">
        <v>162.5</v>
      </c>
      <c r="AA331" s="3">
        <v>105.36417</v>
      </c>
      <c r="AB331" s="3">
        <f t="shared" si="53"/>
        <v>103.75515</v>
      </c>
      <c r="AP331" s="18">
        <v>592.86929999999995</v>
      </c>
      <c r="AQ331" s="1">
        <v>162.5</v>
      </c>
      <c r="AR331" s="13">
        <v>-0.81057000000000001</v>
      </c>
      <c r="AS331" s="3">
        <f t="shared" si="54"/>
        <v>-0.25675999999999988</v>
      </c>
    </row>
    <row r="332" spans="1:45" ht="16" x14ac:dyDescent="0.2">
      <c r="A332" s="2">
        <v>200.0206</v>
      </c>
      <c r="B332" s="1">
        <v>163</v>
      </c>
      <c r="C332" s="3">
        <v>102.4323</v>
      </c>
      <c r="D332" s="3">
        <f t="shared" si="55"/>
        <v>102.30884999999999</v>
      </c>
      <c r="G332" s="4">
        <v>225.00109</v>
      </c>
      <c r="H332" s="1">
        <v>163</v>
      </c>
      <c r="I332" s="3">
        <v>99.395129999999995</v>
      </c>
      <c r="J332" s="3">
        <f t="shared" si="56"/>
        <v>100.98551999999999</v>
      </c>
      <c r="K332" s="1">
        <f t="shared" si="51"/>
        <v>4.6048030428786149E-3</v>
      </c>
      <c r="M332" s="4">
        <v>225.01479</v>
      </c>
      <c r="N332" s="1">
        <v>163</v>
      </c>
      <c r="O332" s="3">
        <v>103.53528</v>
      </c>
      <c r="P332" s="3">
        <f t="shared" si="57"/>
        <v>102.74289</v>
      </c>
      <c r="S332" s="4">
        <v>250.00393</v>
      </c>
      <c r="T332" s="1">
        <v>163</v>
      </c>
      <c r="U332" s="5">
        <v>98.550539999999998</v>
      </c>
      <c r="V332" s="3">
        <f t="shared" si="52"/>
        <v>101.87423</v>
      </c>
      <c r="W332" s="1">
        <f t="shared" si="58"/>
        <v>2.5967254906912513E-3</v>
      </c>
      <c r="Y332" s="4">
        <v>250.01769999999999</v>
      </c>
      <c r="Z332" s="1">
        <v>163</v>
      </c>
      <c r="AA332" s="5">
        <v>105.37142</v>
      </c>
      <c r="AB332" s="3">
        <f t="shared" si="53"/>
        <v>103.7624</v>
      </c>
      <c r="AP332" s="18">
        <v>594.36398999999994</v>
      </c>
      <c r="AQ332" s="1">
        <v>163</v>
      </c>
      <c r="AR332" s="12">
        <v>-0.99383999999999995</v>
      </c>
      <c r="AS332" s="3">
        <f t="shared" si="54"/>
        <v>-0.44003000000000725</v>
      </c>
    </row>
    <row r="333" spans="1:45" ht="16" x14ac:dyDescent="0.2">
      <c r="A333" s="2">
        <v>200.02179000000001</v>
      </c>
      <c r="B333" s="1">
        <v>163.5</v>
      </c>
      <c r="C333" s="5">
        <v>102.4119</v>
      </c>
      <c r="D333" s="3">
        <f t="shared" si="55"/>
        <v>102.28845</v>
      </c>
      <c r="G333" s="4">
        <v>225.00803999999999</v>
      </c>
      <c r="H333" s="1">
        <v>163.5</v>
      </c>
      <c r="I333" s="5">
        <v>99.461190000000002</v>
      </c>
      <c r="J333" s="3">
        <f t="shared" si="56"/>
        <v>101.05158</v>
      </c>
      <c r="K333" s="1">
        <f t="shared" si="51"/>
        <v>3.9460765892685538E-3</v>
      </c>
      <c r="M333" s="4">
        <v>225.01039</v>
      </c>
      <c r="N333" s="1">
        <v>163.5</v>
      </c>
      <c r="O333" s="5">
        <v>103.57647</v>
      </c>
      <c r="P333" s="3">
        <f t="shared" si="57"/>
        <v>102.78408</v>
      </c>
      <c r="S333" s="4">
        <v>250.00597999999999</v>
      </c>
      <c r="T333" s="1">
        <v>163.5</v>
      </c>
      <c r="U333" s="3">
        <v>98.5672</v>
      </c>
      <c r="V333" s="3">
        <f t="shared" si="52"/>
        <v>101.89089</v>
      </c>
      <c r="W333" s="1">
        <f t="shared" si="58"/>
        <v>2.4317188285701116E-3</v>
      </c>
      <c r="Y333" s="4">
        <v>250.01687999999999</v>
      </c>
      <c r="Z333" s="1">
        <v>163.5</v>
      </c>
      <c r="AA333" s="3">
        <v>105.42206</v>
      </c>
      <c r="AB333" s="3">
        <f t="shared" si="53"/>
        <v>103.81304</v>
      </c>
      <c r="AP333" s="18">
        <v>595.85991000000001</v>
      </c>
      <c r="AQ333" s="1">
        <v>163.5</v>
      </c>
      <c r="AR333" s="13">
        <v>-1.0964400000000001</v>
      </c>
      <c r="AS333" s="3">
        <f t="shared" si="54"/>
        <v>-0.54263000000000261</v>
      </c>
    </row>
    <row r="334" spans="1:45" ht="16" x14ac:dyDescent="0.2">
      <c r="A334" s="2">
        <v>200.01782</v>
      </c>
      <c r="B334" s="1">
        <v>164</v>
      </c>
      <c r="C334" s="3">
        <v>102.34686000000001</v>
      </c>
      <c r="D334" s="3">
        <f t="shared" si="55"/>
        <v>102.22341</v>
      </c>
      <c r="G334" s="4">
        <v>225.00810000000001</v>
      </c>
      <c r="H334" s="1">
        <v>164</v>
      </c>
      <c r="I334" s="3">
        <v>99.462530000000001</v>
      </c>
      <c r="J334" s="3">
        <f t="shared" si="56"/>
        <v>101.05292</v>
      </c>
      <c r="K334" s="1">
        <f t="shared" si="51"/>
        <v>3.9327145933884941E-3</v>
      </c>
      <c r="M334" s="4">
        <v>225.01124999999999</v>
      </c>
      <c r="N334" s="1">
        <v>164</v>
      </c>
      <c r="O334" s="3">
        <v>103.44656000000001</v>
      </c>
      <c r="P334" s="3">
        <f t="shared" si="57"/>
        <v>102.65417000000001</v>
      </c>
      <c r="S334" s="4">
        <v>250.00800000000001</v>
      </c>
      <c r="T334" s="1">
        <v>164</v>
      </c>
      <c r="U334" s="5">
        <v>98.550290000000004</v>
      </c>
      <c r="V334" s="3">
        <f t="shared" si="52"/>
        <v>101.87398</v>
      </c>
      <c r="W334" s="1">
        <f t="shared" si="58"/>
        <v>2.5992015810591567E-3</v>
      </c>
      <c r="Y334" s="4">
        <v>250.01617999999999</v>
      </c>
      <c r="Z334" s="1">
        <v>164</v>
      </c>
      <c r="AA334" s="5">
        <v>105.36790000000001</v>
      </c>
      <c r="AB334" s="3">
        <f t="shared" si="53"/>
        <v>103.75888</v>
      </c>
      <c r="AP334" s="18">
        <v>597.36440000000005</v>
      </c>
      <c r="AQ334" s="1">
        <v>164</v>
      </c>
      <c r="AR334" s="12">
        <v>-1.08026</v>
      </c>
      <c r="AS334" s="3">
        <f t="shared" si="54"/>
        <v>-0.52644999999999698</v>
      </c>
    </row>
    <row r="335" spans="1:45" ht="16" x14ac:dyDescent="0.2">
      <c r="A335" s="2">
        <v>200.01785000000001</v>
      </c>
      <c r="B335" s="1">
        <v>164.5</v>
      </c>
      <c r="C335" s="5">
        <v>102.46297</v>
      </c>
      <c r="D335" s="3">
        <f t="shared" si="55"/>
        <v>102.33951999999999</v>
      </c>
      <c r="G335" s="4">
        <v>225.00498999999999</v>
      </c>
      <c r="H335" s="1">
        <v>164.5</v>
      </c>
      <c r="I335" s="5">
        <v>99.446979999999996</v>
      </c>
      <c r="J335" s="3">
        <f t="shared" si="56"/>
        <v>101.03737</v>
      </c>
      <c r="K335" s="1">
        <f t="shared" si="51"/>
        <v>4.0877735754296443E-3</v>
      </c>
      <c r="M335" s="4">
        <v>225.01411999999999</v>
      </c>
      <c r="N335" s="1">
        <v>164.5</v>
      </c>
      <c r="O335" s="5">
        <v>103.6407</v>
      </c>
      <c r="P335" s="3">
        <f t="shared" si="57"/>
        <v>102.84831</v>
      </c>
      <c r="S335" s="4">
        <v>250.00701000000001</v>
      </c>
      <c r="T335" s="1">
        <v>164.5</v>
      </c>
      <c r="U335" s="3">
        <v>98.560940000000002</v>
      </c>
      <c r="V335" s="3">
        <f t="shared" si="52"/>
        <v>101.88463</v>
      </c>
      <c r="W335" s="1">
        <f t="shared" si="58"/>
        <v>2.493720131383906E-3</v>
      </c>
      <c r="Y335" s="4">
        <v>250.01947000000001</v>
      </c>
      <c r="Z335" s="1">
        <v>164.5</v>
      </c>
      <c r="AA335" s="3">
        <v>105.40768</v>
      </c>
      <c r="AB335" s="3">
        <f t="shared" si="53"/>
        <v>103.79866</v>
      </c>
      <c r="AP335" s="18">
        <v>598.86809000000005</v>
      </c>
      <c r="AQ335" s="1">
        <v>164.5</v>
      </c>
      <c r="AR335" s="13">
        <v>-1.0616000000000001</v>
      </c>
      <c r="AS335" s="3">
        <f t="shared" si="54"/>
        <v>-0.50778999999999996</v>
      </c>
    </row>
    <row r="336" spans="1:45" x14ac:dyDescent="0.2">
      <c r="A336" s="2">
        <v>200.01837</v>
      </c>
      <c r="B336" s="1">
        <v>165</v>
      </c>
      <c r="C336" s="3">
        <v>102.50407</v>
      </c>
      <c r="D336" s="3">
        <f t="shared" si="55"/>
        <v>102.38061999999999</v>
      </c>
      <c r="G336" s="4">
        <v>225.00494</v>
      </c>
      <c r="H336" s="1">
        <v>165</v>
      </c>
      <c r="I336" s="3">
        <v>99.461569999999995</v>
      </c>
      <c r="J336" s="3">
        <f t="shared" si="56"/>
        <v>101.05195999999999</v>
      </c>
      <c r="K336" s="1">
        <f t="shared" si="51"/>
        <v>3.9422873665563678E-3</v>
      </c>
      <c r="M336" s="4">
        <v>225.01607999999999</v>
      </c>
      <c r="N336" s="1">
        <v>165</v>
      </c>
      <c r="O336" s="3">
        <v>103.43955</v>
      </c>
      <c r="P336" s="3">
        <f t="shared" si="57"/>
        <v>102.64716</v>
      </c>
      <c r="S336" s="4">
        <v>250.00396000000001</v>
      </c>
      <c r="T336" s="1">
        <v>165</v>
      </c>
      <c r="U336" s="5">
        <v>98.554900000000004</v>
      </c>
      <c r="V336" s="3">
        <f t="shared" si="52"/>
        <v>101.87859</v>
      </c>
      <c r="W336" s="1">
        <f t="shared" si="58"/>
        <v>2.5535424746739046E-3</v>
      </c>
      <c r="Y336" s="4">
        <v>250.02270999999999</v>
      </c>
      <c r="Z336" s="1">
        <v>165</v>
      </c>
      <c r="AA336" s="5">
        <v>105.41168</v>
      </c>
      <c r="AB336" s="3">
        <f t="shared" si="53"/>
        <v>103.80266</v>
      </c>
    </row>
    <row r="337" spans="1:28" x14ac:dyDescent="0.2">
      <c r="A337" s="2">
        <v>200.01577</v>
      </c>
      <c r="B337" s="1">
        <v>165.5</v>
      </c>
      <c r="C337" s="5">
        <v>102.42212000000001</v>
      </c>
      <c r="D337" s="3">
        <f t="shared" si="55"/>
        <v>102.29867</v>
      </c>
      <c r="G337" s="4">
        <v>225.00778</v>
      </c>
      <c r="H337" s="1">
        <v>165.5</v>
      </c>
      <c r="I337" s="5">
        <v>99.487440000000007</v>
      </c>
      <c r="J337" s="3">
        <f t="shared" si="56"/>
        <v>101.07783000000001</v>
      </c>
      <c r="K337" s="1">
        <f t="shared" si="51"/>
        <v>3.6843210729611791E-3</v>
      </c>
      <c r="M337" s="4">
        <v>225.01805999999999</v>
      </c>
      <c r="N337" s="1">
        <v>165.5</v>
      </c>
      <c r="O337" s="5">
        <v>103.65485</v>
      </c>
      <c r="P337" s="3">
        <f t="shared" si="57"/>
        <v>102.86246</v>
      </c>
      <c r="S337" s="4">
        <v>250.00086999999999</v>
      </c>
      <c r="T337" s="1">
        <v>165.5</v>
      </c>
      <c r="U337" s="3">
        <v>98.538250000000005</v>
      </c>
      <c r="V337" s="3">
        <f t="shared" si="52"/>
        <v>101.86194</v>
      </c>
      <c r="W337" s="1">
        <f t="shared" si="58"/>
        <v>2.7184500931802945E-3</v>
      </c>
      <c r="Y337" s="4">
        <v>250.02126000000001</v>
      </c>
      <c r="Z337" s="1">
        <v>165.5</v>
      </c>
      <c r="AA337" s="3">
        <v>105.32991</v>
      </c>
      <c r="AB337" s="3">
        <f t="shared" si="53"/>
        <v>103.72089</v>
      </c>
    </row>
    <row r="338" spans="1:28" x14ac:dyDescent="0.2">
      <c r="A338" s="2">
        <v>200.01159000000001</v>
      </c>
      <c r="B338" s="1">
        <v>166</v>
      </c>
      <c r="C338" s="3">
        <v>102.42046999999999</v>
      </c>
      <c r="D338" s="3">
        <f t="shared" si="55"/>
        <v>102.29701999999999</v>
      </c>
      <c r="G338" s="4">
        <v>225.00683000000001</v>
      </c>
      <c r="H338" s="1">
        <v>166</v>
      </c>
      <c r="I338" s="3">
        <v>99.461749999999995</v>
      </c>
      <c r="J338" s="3">
        <f t="shared" si="56"/>
        <v>101.05213999999999</v>
      </c>
      <c r="K338" s="1">
        <f t="shared" si="51"/>
        <v>3.9404924715874005E-3</v>
      </c>
      <c r="M338" s="4">
        <v>225.01894999999999</v>
      </c>
      <c r="N338" s="1">
        <v>166</v>
      </c>
      <c r="O338" s="3">
        <v>103.47678000000001</v>
      </c>
      <c r="P338" s="3">
        <f t="shared" si="57"/>
        <v>102.68439000000001</v>
      </c>
      <c r="S338" s="4">
        <v>250.00199000000001</v>
      </c>
      <c r="T338" s="1">
        <v>166</v>
      </c>
      <c r="U338" s="5">
        <v>98.544499999999999</v>
      </c>
      <c r="V338" s="3">
        <f t="shared" si="52"/>
        <v>101.86819</v>
      </c>
      <c r="W338" s="1">
        <f t="shared" si="58"/>
        <v>2.6565478339812499E-3</v>
      </c>
      <c r="Y338" s="4">
        <v>250.02012999999999</v>
      </c>
      <c r="Z338" s="1">
        <v>166</v>
      </c>
      <c r="AA338" s="5">
        <v>105.33609</v>
      </c>
      <c r="AB338" s="3">
        <f t="shared" si="53"/>
        <v>103.72707</v>
      </c>
    </row>
    <row r="339" spans="1:28" x14ac:dyDescent="0.2">
      <c r="A339" s="2">
        <v>200.01319000000001</v>
      </c>
      <c r="B339" s="1">
        <v>166.5</v>
      </c>
      <c r="C339" s="5">
        <v>102.4842</v>
      </c>
      <c r="D339" s="3">
        <f t="shared" si="55"/>
        <v>102.36075</v>
      </c>
      <c r="G339" s="4">
        <v>225.00389000000001</v>
      </c>
      <c r="H339" s="1">
        <v>166.5</v>
      </c>
      <c r="I339" s="5">
        <v>99.458280000000002</v>
      </c>
      <c r="J339" s="3">
        <f t="shared" si="56"/>
        <v>101.04867</v>
      </c>
      <c r="K339" s="1">
        <f t="shared" si="51"/>
        <v>3.9750940579334803E-3</v>
      </c>
      <c r="M339" s="4">
        <v>225.01501999999999</v>
      </c>
      <c r="N339" s="1">
        <v>166.5</v>
      </c>
      <c r="O339" s="5">
        <v>103.47629000000001</v>
      </c>
      <c r="P339" s="3">
        <f t="shared" si="57"/>
        <v>102.68390000000001</v>
      </c>
      <c r="S339" s="4">
        <v>250.00200000000001</v>
      </c>
      <c r="T339" s="1">
        <v>166.5</v>
      </c>
      <c r="U339" s="3">
        <v>98.538169999999994</v>
      </c>
      <c r="V339" s="3">
        <f t="shared" si="52"/>
        <v>101.86185999999999</v>
      </c>
      <c r="W339" s="1">
        <f t="shared" si="58"/>
        <v>2.7192424420981534E-3</v>
      </c>
      <c r="Y339" s="4">
        <v>250.01857000000001</v>
      </c>
      <c r="Z339" s="1">
        <v>166.5</v>
      </c>
      <c r="AA339" s="3">
        <v>105.39108</v>
      </c>
      <c r="AB339" s="3">
        <f t="shared" si="53"/>
        <v>103.78206</v>
      </c>
    </row>
    <row r="340" spans="1:28" x14ac:dyDescent="0.2">
      <c r="A340" s="2">
        <v>200.01478</v>
      </c>
      <c r="B340" s="1">
        <v>167</v>
      </c>
      <c r="C340" s="3">
        <v>102.46510000000001</v>
      </c>
      <c r="D340" s="3">
        <f t="shared" si="55"/>
        <v>102.34165</v>
      </c>
      <c r="G340" s="4">
        <v>225.00299999999999</v>
      </c>
      <c r="H340" s="1">
        <v>167</v>
      </c>
      <c r="I340" s="3">
        <v>99.470299999999995</v>
      </c>
      <c r="J340" s="3">
        <f t="shared" si="56"/>
        <v>101.06068999999999</v>
      </c>
      <c r="K340" s="1">
        <f t="shared" si="51"/>
        <v>3.8552349605615885E-3</v>
      </c>
      <c r="M340" s="4">
        <v>225.01478</v>
      </c>
      <c r="N340" s="1">
        <v>167</v>
      </c>
      <c r="O340" s="3">
        <v>103.55465</v>
      </c>
      <c r="P340" s="3">
        <f t="shared" si="57"/>
        <v>102.76226</v>
      </c>
      <c r="S340" s="4">
        <v>250.00595999999999</v>
      </c>
      <c r="T340" s="1">
        <v>167</v>
      </c>
      <c r="U340" s="5">
        <v>98.540109999999999</v>
      </c>
      <c r="V340" s="3">
        <f t="shared" si="52"/>
        <v>101.8638</v>
      </c>
      <c r="W340" s="1">
        <f t="shared" si="58"/>
        <v>2.7000279808427059E-3</v>
      </c>
      <c r="Y340" s="4">
        <v>250.01531</v>
      </c>
      <c r="Z340" s="1">
        <v>167</v>
      </c>
      <c r="AA340" s="5">
        <v>105.29796</v>
      </c>
      <c r="AB340" s="3">
        <f t="shared" si="53"/>
        <v>103.68894</v>
      </c>
    </row>
    <row r="341" spans="1:28" x14ac:dyDescent="0.2">
      <c r="A341" s="2">
        <v>200.01607999999999</v>
      </c>
      <c r="B341" s="1">
        <v>167.5</v>
      </c>
      <c r="C341" s="5">
        <v>102.36145999999999</v>
      </c>
      <c r="D341" s="3">
        <f t="shared" si="55"/>
        <v>102.23800999999999</v>
      </c>
      <c r="G341" s="4">
        <v>225.00494</v>
      </c>
      <c r="H341" s="1">
        <v>167.5</v>
      </c>
      <c r="I341" s="5">
        <v>99.471239999999995</v>
      </c>
      <c r="J341" s="3">
        <f t="shared" si="56"/>
        <v>101.06162999999999</v>
      </c>
      <c r="K341" s="1">
        <f t="shared" si="51"/>
        <v>3.8458616201681077E-3</v>
      </c>
      <c r="M341" s="4">
        <v>225.01476</v>
      </c>
      <c r="N341" s="1">
        <v>167.5</v>
      </c>
      <c r="O341" s="5">
        <v>103.5072</v>
      </c>
      <c r="P341" s="3">
        <f t="shared" si="57"/>
        <v>102.71481</v>
      </c>
      <c r="S341" s="4">
        <v>250.00799000000001</v>
      </c>
      <c r="T341" s="1">
        <v>167.5</v>
      </c>
      <c r="U341" s="3">
        <v>98.54016</v>
      </c>
      <c r="V341" s="3">
        <f t="shared" si="52"/>
        <v>101.86385</v>
      </c>
      <c r="W341" s="1">
        <f t="shared" si="58"/>
        <v>2.6995327627690967E-3</v>
      </c>
      <c r="Y341" s="4">
        <v>250.01206999999999</v>
      </c>
      <c r="Z341" s="1">
        <v>167.5</v>
      </c>
      <c r="AA341" s="3">
        <v>105.43694000000001</v>
      </c>
      <c r="AB341" s="3">
        <f t="shared" si="53"/>
        <v>103.82792000000001</v>
      </c>
    </row>
    <row r="342" spans="1:28" x14ac:dyDescent="0.2">
      <c r="A342" s="2">
        <v>200.01432</v>
      </c>
      <c r="B342" s="1">
        <v>168</v>
      </c>
      <c r="C342" s="3">
        <v>102.47856</v>
      </c>
      <c r="D342" s="3">
        <f t="shared" si="55"/>
        <v>102.35511</v>
      </c>
      <c r="G342" s="4">
        <v>225.00495000000001</v>
      </c>
      <c r="H342" s="1">
        <v>168</v>
      </c>
      <c r="I342" s="3">
        <v>99.485579999999999</v>
      </c>
      <c r="J342" s="3">
        <f t="shared" si="56"/>
        <v>101.07597</v>
      </c>
      <c r="K342" s="1">
        <f t="shared" si="51"/>
        <v>3.70286832097389E-3</v>
      </c>
      <c r="M342" s="4">
        <v>225.01401999999999</v>
      </c>
      <c r="N342" s="1">
        <v>168</v>
      </c>
      <c r="O342" s="3">
        <v>103.64060000000001</v>
      </c>
      <c r="P342" s="3">
        <f t="shared" si="57"/>
        <v>102.84821000000001</v>
      </c>
      <c r="S342" s="4">
        <v>250.00496999999999</v>
      </c>
      <c r="T342" s="1">
        <v>168</v>
      </c>
      <c r="U342" s="5">
        <v>98.546360000000007</v>
      </c>
      <c r="V342" s="3">
        <f t="shared" si="52"/>
        <v>101.87005000000001</v>
      </c>
      <c r="W342" s="1">
        <f t="shared" si="58"/>
        <v>2.6381257216435208E-3</v>
      </c>
      <c r="Y342" s="4">
        <v>250.01258999999999</v>
      </c>
      <c r="Z342" s="1">
        <v>168</v>
      </c>
      <c r="AA342" s="5">
        <v>105.32904000000001</v>
      </c>
      <c r="AB342" s="3">
        <f t="shared" si="53"/>
        <v>103.72002000000001</v>
      </c>
    </row>
    <row r="343" spans="1:28" x14ac:dyDescent="0.2">
      <c r="A343" s="2">
        <v>200.01256000000001</v>
      </c>
      <c r="B343" s="1">
        <v>168.5</v>
      </c>
      <c r="C343" s="5">
        <v>102.4639</v>
      </c>
      <c r="D343" s="3">
        <f t="shared" si="55"/>
        <v>102.34044999999999</v>
      </c>
      <c r="G343" s="4">
        <v>225.00595000000001</v>
      </c>
      <c r="H343" s="1">
        <v>168.5</v>
      </c>
      <c r="I343" s="5">
        <v>99.48527</v>
      </c>
      <c r="J343" s="3">
        <f t="shared" si="56"/>
        <v>101.07566</v>
      </c>
      <c r="K343" s="1">
        <f t="shared" si="51"/>
        <v>3.705959528975985E-3</v>
      </c>
      <c r="M343" s="4">
        <v>225.01553999999999</v>
      </c>
      <c r="N343" s="1">
        <v>168.5</v>
      </c>
      <c r="O343" s="5">
        <v>103.59379</v>
      </c>
      <c r="P343" s="3">
        <f t="shared" si="57"/>
        <v>102.8014</v>
      </c>
      <c r="S343" s="4">
        <v>250.00897000000001</v>
      </c>
      <c r="T343" s="1">
        <v>168.5</v>
      </c>
      <c r="U343" s="3">
        <v>98.558629999999994</v>
      </c>
      <c r="V343" s="3">
        <f t="shared" si="52"/>
        <v>101.88231999999999</v>
      </c>
      <c r="W343" s="1">
        <f t="shared" si="58"/>
        <v>2.5165992063839776E-3</v>
      </c>
      <c r="Y343" s="4">
        <v>250.01213000000001</v>
      </c>
      <c r="Z343" s="1">
        <v>168.5</v>
      </c>
      <c r="AA343" s="3">
        <v>105.37661</v>
      </c>
      <c r="AB343" s="3">
        <f t="shared" si="53"/>
        <v>103.76759</v>
      </c>
    </row>
    <row r="344" spans="1:28" x14ac:dyDescent="0.2">
      <c r="A344" s="2">
        <v>200.01240999999999</v>
      </c>
      <c r="B344" s="1">
        <v>169</v>
      </c>
      <c r="C344" s="3">
        <v>102.42569</v>
      </c>
      <c r="D344" s="3">
        <f t="shared" si="55"/>
        <v>102.30224</v>
      </c>
      <c r="G344" s="4">
        <v>224.99723</v>
      </c>
      <c r="H344" s="1">
        <v>169</v>
      </c>
      <c r="I344" s="3">
        <v>99.370480000000001</v>
      </c>
      <c r="J344" s="3">
        <f t="shared" si="56"/>
        <v>100.96087</v>
      </c>
      <c r="K344" s="1">
        <f t="shared" si="51"/>
        <v>4.8506039372395336E-3</v>
      </c>
      <c r="M344" s="4">
        <v>225.01236</v>
      </c>
      <c r="N344" s="1">
        <v>169</v>
      </c>
      <c r="O344" s="3">
        <v>103.60879</v>
      </c>
      <c r="P344" s="3">
        <f t="shared" si="57"/>
        <v>102.8164</v>
      </c>
      <c r="S344" s="4">
        <v>250.00597999999999</v>
      </c>
      <c r="T344" s="1">
        <v>169</v>
      </c>
      <c r="U344" s="5">
        <v>98.546059999999997</v>
      </c>
      <c r="V344" s="3">
        <f t="shared" si="52"/>
        <v>101.86975</v>
      </c>
      <c r="W344" s="1">
        <f t="shared" si="58"/>
        <v>2.6410970300851763E-3</v>
      </c>
      <c r="Y344" s="4">
        <v>250.01374000000001</v>
      </c>
      <c r="Z344" s="1">
        <v>169</v>
      </c>
      <c r="AA344" s="5">
        <v>105.41424000000001</v>
      </c>
      <c r="AB344" s="3">
        <f t="shared" si="53"/>
        <v>103.80522000000001</v>
      </c>
    </row>
    <row r="345" spans="1:28" x14ac:dyDescent="0.2">
      <c r="A345" s="2">
        <v>200.01477</v>
      </c>
      <c r="B345" s="1">
        <v>169.5</v>
      </c>
      <c r="C345" s="5">
        <v>102.40441</v>
      </c>
      <c r="D345" s="3">
        <f t="shared" si="55"/>
        <v>102.28095999999999</v>
      </c>
      <c r="G345" s="4">
        <v>225.00478000000001</v>
      </c>
      <c r="H345" s="1">
        <v>169.5</v>
      </c>
      <c r="I345" s="5">
        <v>99.460489999999993</v>
      </c>
      <c r="J345" s="3">
        <f t="shared" si="56"/>
        <v>101.05087999999999</v>
      </c>
      <c r="K345" s="1">
        <f t="shared" si="51"/>
        <v>3.9530567363701731E-3</v>
      </c>
      <c r="M345" s="4">
        <v>225.01569000000001</v>
      </c>
      <c r="N345" s="1">
        <v>169.5</v>
      </c>
      <c r="O345" s="5">
        <v>103.75579</v>
      </c>
      <c r="P345" s="3">
        <f t="shared" si="57"/>
        <v>102.96340000000001</v>
      </c>
      <c r="S345" s="4">
        <v>250.00303</v>
      </c>
      <c r="T345" s="1">
        <v>169.5</v>
      </c>
      <c r="U345" s="3">
        <v>98.550409999999999</v>
      </c>
      <c r="V345" s="3">
        <f t="shared" si="52"/>
        <v>101.8741</v>
      </c>
      <c r="W345" s="1">
        <f t="shared" si="58"/>
        <v>2.5980130576825793E-3</v>
      </c>
      <c r="Y345" s="4">
        <v>250.01503</v>
      </c>
      <c r="Z345" s="1">
        <v>169.5</v>
      </c>
      <c r="AA345" s="3">
        <v>105.51065</v>
      </c>
      <c r="AB345" s="3">
        <f t="shared" si="53"/>
        <v>103.90163</v>
      </c>
    </row>
    <row r="346" spans="1:28" x14ac:dyDescent="0.2">
      <c r="A346" s="2">
        <v>200.01397</v>
      </c>
      <c r="B346" s="1">
        <v>170</v>
      </c>
      <c r="C346" s="3">
        <v>102.50944</v>
      </c>
      <c r="D346" s="3">
        <f t="shared" si="55"/>
        <v>102.38598999999999</v>
      </c>
      <c r="G346" s="4">
        <v>224.99982</v>
      </c>
      <c r="H346" s="1">
        <v>170</v>
      </c>
      <c r="I346" s="3">
        <v>99.466750000000005</v>
      </c>
      <c r="J346" s="3">
        <f t="shared" si="56"/>
        <v>101.05714</v>
      </c>
      <c r="K346" s="1">
        <f t="shared" si="51"/>
        <v>3.8906342780049559E-3</v>
      </c>
      <c r="M346" s="4">
        <v>225.01814999999999</v>
      </c>
      <c r="N346" s="1">
        <v>170</v>
      </c>
      <c r="O346" s="3">
        <v>103.73009</v>
      </c>
      <c r="P346" s="3">
        <f t="shared" si="57"/>
        <v>102.93770000000001</v>
      </c>
      <c r="S346" s="4">
        <v>250.00597999999999</v>
      </c>
      <c r="T346" s="1">
        <v>170</v>
      </c>
      <c r="U346" s="5">
        <v>98.538070000000005</v>
      </c>
      <c r="V346" s="3">
        <f t="shared" si="52"/>
        <v>101.86176</v>
      </c>
      <c r="W346" s="1">
        <f t="shared" si="58"/>
        <v>2.7202328782452313E-3</v>
      </c>
      <c r="Y346" s="4">
        <v>250.01403999999999</v>
      </c>
      <c r="Z346" s="1">
        <v>170</v>
      </c>
      <c r="AA346" s="5">
        <v>105.40121000000001</v>
      </c>
      <c r="AB346" s="3">
        <f t="shared" si="53"/>
        <v>103.79219000000001</v>
      </c>
    </row>
    <row r="347" spans="1:28" x14ac:dyDescent="0.2">
      <c r="A347" s="2">
        <v>200.01165</v>
      </c>
      <c r="B347" s="1">
        <v>170.5</v>
      </c>
      <c r="C347" s="5">
        <v>102.48262</v>
      </c>
      <c r="D347" s="3">
        <f t="shared" si="55"/>
        <v>102.35916999999999</v>
      </c>
      <c r="G347" s="4">
        <v>225.00980000000001</v>
      </c>
      <c r="H347" s="1">
        <v>170.5</v>
      </c>
      <c r="I347" s="5">
        <v>99.461110000000005</v>
      </c>
      <c r="J347" s="3">
        <f t="shared" si="56"/>
        <v>101.0515</v>
      </c>
      <c r="K347" s="1">
        <f t="shared" si="51"/>
        <v>3.946874320365841E-3</v>
      </c>
      <c r="M347" s="4">
        <v>225.01689999999999</v>
      </c>
      <c r="N347" s="1">
        <v>170.5</v>
      </c>
      <c r="O347" s="5">
        <v>103.65138</v>
      </c>
      <c r="P347" s="3">
        <f t="shared" si="57"/>
        <v>102.85899000000001</v>
      </c>
      <c r="S347" s="4">
        <v>250.00595999999999</v>
      </c>
      <c r="T347" s="1">
        <v>170.5</v>
      </c>
      <c r="U347" s="3">
        <v>98.524079999999998</v>
      </c>
      <c r="V347" s="3">
        <f t="shared" si="52"/>
        <v>101.84777</v>
      </c>
      <c r="W347" s="1">
        <f t="shared" si="58"/>
        <v>2.8587948952365663E-3</v>
      </c>
      <c r="Y347" s="4">
        <v>250.01443</v>
      </c>
      <c r="Z347" s="1">
        <v>170.5</v>
      </c>
      <c r="AA347" s="3">
        <v>105.40321</v>
      </c>
      <c r="AB347" s="3">
        <f t="shared" si="53"/>
        <v>103.79419</v>
      </c>
    </row>
    <row r="348" spans="1:28" x14ac:dyDescent="0.2">
      <c r="A348" s="2">
        <v>200.01258999999999</v>
      </c>
      <c r="B348" s="1">
        <v>171</v>
      </c>
      <c r="C348" s="3">
        <v>102.46433</v>
      </c>
      <c r="D348" s="3">
        <f t="shared" si="55"/>
        <v>102.34088</v>
      </c>
      <c r="G348" s="4">
        <v>225.00604000000001</v>
      </c>
      <c r="H348" s="1">
        <v>171</v>
      </c>
      <c r="I348" s="3">
        <v>99.394139999999993</v>
      </c>
      <c r="J348" s="3">
        <f t="shared" si="56"/>
        <v>100.98452999999999</v>
      </c>
      <c r="K348" s="1">
        <f t="shared" si="51"/>
        <v>4.6146749652079362E-3</v>
      </c>
      <c r="M348" s="4">
        <v>225.01473999999999</v>
      </c>
      <c r="N348" s="1">
        <v>171</v>
      </c>
      <c r="O348" s="3">
        <v>103.55119999999999</v>
      </c>
      <c r="P348" s="3">
        <f t="shared" si="57"/>
        <v>102.75881</v>
      </c>
      <c r="S348" s="4">
        <v>250.00891999999999</v>
      </c>
      <c r="T348" s="1">
        <v>171</v>
      </c>
      <c r="U348" s="5">
        <v>98.521230000000003</v>
      </c>
      <c r="V348" s="3">
        <f t="shared" si="52"/>
        <v>101.84492</v>
      </c>
      <c r="W348" s="1">
        <f t="shared" si="58"/>
        <v>2.8870223254313081E-3</v>
      </c>
      <c r="Y348" s="4">
        <v>250.01443</v>
      </c>
      <c r="Z348" s="1">
        <v>171</v>
      </c>
      <c r="AA348" s="5">
        <v>105.46723</v>
      </c>
      <c r="AB348" s="3">
        <f t="shared" si="53"/>
        <v>103.85821</v>
      </c>
    </row>
    <row r="349" spans="1:28" x14ac:dyDescent="0.2">
      <c r="A349" s="2">
        <v>200.01441</v>
      </c>
      <c r="B349" s="1">
        <v>171.5</v>
      </c>
      <c r="C349" s="5">
        <v>102.40852</v>
      </c>
      <c r="D349" s="3">
        <f t="shared" si="55"/>
        <v>102.28506999999999</v>
      </c>
      <c r="G349" s="4">
        <v>225.00308000000001</v>
      </c>
      <c r="H349" s="1">
        <v>171.5</v>
      </c>
      <c r="I349" s="5">
        <v>99.442679999999996</v>
      </c>
      <c r="J349" s="3">
        <f t="shared" si="56"/>
        <v>101.03307</v>
      </c>
      <c r="K349" s="1">
        <f t="shared" si="51"/>
        <v>4.1306516219104701E-3</v>
      </c>
      <c r="M349" s="4">
        <v>225.01311000000001</v>
      </c>
      <c r="N349" s="1">
        <v>171.5</v>
      </c>
      <c r="O349" s="5">
        <v>103.53145000000001</v>
      </c>
      <c r="P349" s="3">
        <f t="shared" si="57"/>
        <v>102.73906000000001</v>
      </c>
      <c r="S349" s="4">
        <v>250.00493</v>
      </c>
      <c r="T349" s="1">
        <v>171.5</v>
      </c>
      <c r="U349" s="3">
        <v>98.526139999999998</v>
      </c>
      <c r="V349" s="3">
        <f t="shared" si="52"/>
        <v>101.84983</v>
      </c>
      <c r="W349" s="1">
        <f t="shared" si="58"/>
        <v>2.838391910604541E-3</v>
      </c>
      <c r="Y349" s="4">
        <v>250.01796999999999</v>
      </c>
      <c r="Z349" s="1">
        <v>171.5</v>
      </c>
      <c r="AA349" s="3">
        <v>105.39265</v>
      </c>
      <c r="AB349" s="3">
        <f t="shared" si="53"/>
        <v>103.78363</v>
      </c>
    </row>
    <row r="350" spans="1:28" x14ac:dyDescent="0.2">
      <c r="A350" s="2">
        <v>200.01596000000001</v>
      </c>
      <c r="B350" s="1">
        <v>172</v>
      </c>
      <c r="C350" s="3">
        <v>102.43850999999999</v>
      </c>
      <c r="D350" s="3">
        <f t="shared" si="55"/>
        <v>102.31505999999999</v>
      </c>
      <c r="G350" s="4">
        <v>225.00683000000001</v>
      </c>
      <c r="H350" s="1">
        <v>172</v>
      </c>
      <c r="I350" s="3">
        <v>99.477230000000006</v>
      </c>
      <c r="J350" s="3">
        <f t="shared" si="56"/>
        <v>101.06762000000001</v>
      </c>
      <c r="K350" s="1">
        <f t="shared" si="51"/>
        <v>3.7861315042563418E-3</v>
      </c>
      <c r="M350" s="4">
        <v>225.01539</v>
      </c>
      <c r="N350" s="1">
        <v>172</v>
      </c>
      <c r="O350" s="3">
        <v>103.56747</v>
      </c>
      <c r="P350" s="3">
        <f t="shared" si="57"/>
        <v>102.77508</v>
      </c>
      <c r="S350" s="4">
        <v>250.00803999999999</v>
      </c>
      <c r="T350" s="1">
        <v>172</v>
      </c>
      <c r="U350" s="5">
        <v>98.511420000000001</v>
      </c>
      <c r="V350" s="3">
        <f t="shared" si="52"/>
        <v>101.83511</v>
      </c>
      <c r="W350" s="1">
        <f t="shared" si="58"/>
        <v>2.9841841114702336E-3</v>
      </c>
      <c r="Y350" s="4">
        <v>250.02176</v>
      </c>
      <c r="Z350" s="1">
        <v>172</v>
      </c>
      <c r="AA350" s="5">
        <v>105.35669</v>
      </c>
      <c r="AB350" s="3">
        <f t="shared" si="53"/>
        <v>103.74767</v>
      </c>
    </row>
    <row r="351" spans="1:28" x14ac:dyDescent="0.2">
      <c r="A351" s="2">
        <v>200.01474999999999</v>
      </c>
      <c r="B351" s="1">
        <v>172.5</v>
      </c>
      <c r="C351" s="5">
        <v>102.44091</v>
      </c>
      <c r="D351" s="3">
        <f t="shared" si="55"/>
        <v>102.31746</v>
      </c>
      <c r="G351" s="4">
        <v>224.99996999999999</v>
      </c>
      <c r="H351" s="1">
        <v>172.5</v>
      </c>
      <c r="I351" s="5">
        <v>99.390799999999999</v>
      </c>
      <c r="J351" s="3">
        <f t="shared" si="56"/>
        <v>100.98119</v>
      </c>
      <c r="K351" s="1">
        <f t="shared" si="51"/>
        <v>4.6479802385208883E-3</v>
      </c>
      <c r="M351" s="4">
        <v>225.01857000000001</v>
      </c>
      <c r="N351" s="1">
        <v>172.5</v>
      </c>
      <c r="O351" s="5">
        <v>103.68116000000001</v>
      </c>
      <c r="P351" s="3">
        <f t="shared" si="57"/>
        <v>102.88877000000001</v>
      </c>
      <c r="S351" s="4">
        <v>250.00307000000001</v>
      </c>
      <c r="T351" s="1">
        <v>172.5</v>
      </c>
      <c r="U351" s="3">
        <v>98.523629999999997</v>
      </c>
      <c r="V351" s="3">
        <f t="shared" si="52"/>
        <v>101.84732</v>
      </c>
      <c r="W351" s="1">
        <f t="shared" si="58"/>
        <v>2.8632518578989088E-3</v>
      </c>
      <c r="Y351" s="4">
        <v>250.01985999999999</v>
      </c>
      <c r="Z351" s="1">
        <v>172.5</v>
      </c>
      <c r="AA351" s="3">
        <v>105.35856</v>
      </c>
      <c r="AB351" s="3">
        <f t="shared" si="53"/>
        <v>103.74954</v>
      </c>
    </row>
    <row r="352" spans="1:28" x14ac:dyDescent="0.2">
      <c r="A352" s="2">
        <v>200.01846</v>
      </c>
      <c r="B352" s="1">
        <v>173</v>
      </c>
      <c r="C352" s="3">
        <v>102.44982</v>
      </c>
      <c r="D352" s="3">
        <f t="shared" si="55"/>
        <v>102.32637</v>
      </c>
      <c r="G352" s="4">
        <v>225.00819000000001</v>
      </c>
      <c r="H352" s="1">
        <v>173</v>
      </c>
      <c r="I352" s="3">
        <v>99.467600000000004</v>
      </c>
      <c r="J352" s="3">
        <f t="shared" si="56"/>
        <v>101.05799</v>
      </c>
      <c r="K352" s="1">
        <f t="shared" si="51"/>
        <v>3.8821583850959587E-3</v>
      </c>
      <c r="M352" s="4">
        <v>225.01913999999999</v>
      </c>
      <c r="N352" s="1">
        <v>173</v>
      </c>
      <c r="O352" s="3">
        <v>103.63914</v>
      </c>
      <c r="P352" s="3">
        <f t="shared" si="57"/>
        <v>102.84675</v>
      </c>
      <c r="S352" s="4">
        <v>250.00597999999999</v>
      </c>
      <c r="T352" s="1">
        <v>173</v>
      </c>
      <c r="U352" s="5">
        <v>98.519229999999993</v>
      </c>
      <c r="V352" s="3">
        <f t="shared" si="52"/>
        <v>101.84291999999999</v>
      </c>
      <c r="W352" s="1">
        <f t="shared" si="58"/>
        <v>2.906831048375115E-3</v>
      </c>
      <c r="Y352" s="4">
        <v>250.0171</v>
      </c>
      <c r="Z352" s="1">
        <v>173</v>
      </c>
      <c r="AA352" s="5">
        <v>105.44959</v>
      </c>
      <c r="AB352" s="3">
        <f t="shared" si="53"/>
        <v>103.84057</v>
      </c>
    </row>
    <row r="353" spans="1:28" x14ac:dyDescent="0.2">
      <c r="A353" s="2">
        <v>200.02319</v>
      </c>
      <c r="B353" s="1">
        <v>173.5</v>
      </c>
      <c r="C353" s="5">
        <v>102.31948</v>
      </c>
      <c r="D353" s="3">
        <f t="shared" si="55"/>
        <v>102.19602999999999</v>
      </c>
      <c r="G353" s="4">
        <v>225.00774000000001</v>
      </c>
      <c r="H353" s="1">
        <v>173.5</v>
      </c>
      <c r="I353" s="5">
        <v>99.441879999999998</v>
      </c>
      <c r="J353" s="3">
        <f t="shared" si="56"/>
        <v>101.03227</v>
      </c>
      <c r="K353" s="1">
        <f t="shared" si="51"/>
        <v>4.1386289328836272E-3</v>
      </c>
      <c r="M353" s="4">
        <v>225.02278999999999</v>
      </c>
      <c r="N353" s="1">
        <v>173.5</v>
      </c>
      <c r="O353" s="5">
        <v>103.63009</v>
      </c>
      <c r="P353" s="3">
        <f t="shared" si="57"/>
        <v>102.8377</v>
      </c>
      <c r="S353" s="4">
        <v>250.00397000000001</v>
      </c>
      <c r="T353" s="1">
        <v>173.5</v>
      </c>
      <c r="U353" s="3">
        <v>98.519409999999993</v>
      </c>
      <c r="V353" s="3">
        <f t="shared" si="52"/>
        <v>101.84309999999999</v>
      </c>
      <c r="W353" s="1">
        <f t="shared" si="58"/>
        <v>2.9050482633101783E-3</v>
      </c>
      <c r="Y353" s="4">
        <v>250.01412999999999</v>
      </c>
      <c r="Z353" s="1">
        <v>173.5</v>
      </c>
      <c r="AA353" s="3">
        <v>105.4033</v>
      </c>
      <c r="AB353" s="3">
        <f t="shared" si="53"/>
        <v>103.79428</v>
      </c>
    </row>
    <row r="354" spans="1:28" x14ac:dyDescent="0.2">
      <c r="A354" s="2">
        <v>200.02356</v>
      </c>
      <c r="B354" s="1">
        <v>174</v>
      </c>
      <c r="C354" s="3">
        <v>102.4421</v>
      </c>
      <c r="D354" s="3">
        <f t="shared" si="55"/>
        <v>102.31864999999999</v>
      </c>
      <c r="G354" s="4">
        <v>225.00993</v>
      </c>
      <c r="H354" s="1">
        <v>174</v>
      </c>
      <c r="I354" s="3">
        <v>99.457490000000007</v>
      </c>
      <c r="J354" s="3">
        <f t="shared" si="56"/>
        <v>101.04788000000001</v>
      </c>
      <c r="K354" s="1">
        <f t="shared" si="51"/>
        <v>3.9829716525194413E-3</v>
      </c>
      <c r="M354" s="4">
        <v>225.02313000000001</v>
      </c>
      <c r="N354" s="1">
        <v>174</v>
      </c>
      <c r="O354" s="3">
        <v>103.62296000000001</v>
      </c>
      <c r="P354" s="3">
        <f t="shared" si="57"/>
        <v>102.83057000000001</v>
      </c>
      <c r="S354" s="4">
        <v>250.00395</v>
      </c>
      <c r="T354" s="1">
        <v>174</v>
      </c>
      <c r="U354" s="5">
        <v>98.519400000000005</v>
      </c>
      <c r="V354" s="3">
        <f t="shared" si="52"/>
        <v>101.84309</v>
      </c>
      <c r="W354" s="1">
        <f t="shared" si="58"/>
        <v>2.9051473069247875E-3</v>
      </c>
      <c r="Y354" s="4">
        <v>250.01320999999999</v>
      </c>
      <c r="Z354" s="1">
        <v>174</v>
      </c>
      <c r="AA354" s="5">
        <v>105.35590000000001</v>
      </c>
      <c r="AB354" s="3">
        <f t="shared" si="53"/>
        <v>103.74688</v>
      </c>
    </row>
    <row r="355" spans="1:28" x14ac:dyDescent="0.2">
      <c r="A355" s="2">
        <v>200.02116000000001</v>
      </c>
      <c r="B355" s="1">
        <v>174.5</v>
      </c>
      <c r="C355" s="5">
        <v>102.42767000000001</v>
      </c>
      <c r="D355" s="3">
        <f t="shared" si="55"/>
        <v>102.30422</v>
      </c>
      <c r="G355" s="4">
        <v>225.00681</v>
      </c>
      <c r="H355" s="1">
        <v>174.5</v>
      </c>
      <c r="I355" s="5">
        <v>99.462479999999999</v>
      </c>
      <c r="J355" s="3">
        <f t="shared" si="56"/>
        <v>101.05287</v>
      </c>
      <c r="K355" s="1">
        <f t="shared" si="51"/>
        <v>3.9332131753243346E-3</v>
      </c>
      <c r="M355" s="4">
        <v>225.02234999999999</v>
      </c>
      <c r="N355" s="1">
        <v>174.5</v>
      </c>
      <c r="O355" s="5">
        <v>103.61863</v>
      </c>
      <c r="P355" s="3">
        <f t="shared" si="57"/>
        <v>102.82624</v>
      </c>
      <c r="S355" s="4">
        <v>250.00390999999999</v>
      </c>
      <c r="T355" s="1">
        <v>174.5</v>
      </c>
      <c r="U355" s="3">
        <v>98.50712</v>
      </c>
      <c r="V355" s="3">
        <f t="shared" si="52"/>
        <v>101.83081</v>
      </c>
      <c r="W355" s="1">
        <f t="shared" si="58"/>
        <v>3.026772865799221E-3</v>
      </c>
      <c r="Y355" s="4">
        <v>250.01408000000001</v>
      </c>
      <c r="Z355" s="1">
        <v>174.5</v>
      </c>
      <c r="AA355" s="3">
        <v>105.4405</v>
      </c>
      <c r="AB355" s="3">
        <f t="shared" si="53"/>
        <v>103.83148</v>
      </c>
    </row>
    <row r="356" spans="1:28" x14ac:dyDescent="0.2">
      <c r="A356" s="2">
        <v>200.01930999999999</v>
      </c>
      <c r="B356" s="1">
        <v>175</v>
      </c>
      <c r="C356" s="3">
        <v>102.43859</v>
      </c>
      <c r="D356" s="3">
        <f t="shared" si="55"/>
        <v>102.31514</v>
      </c>
      <c r="G356" s="4">
        <v>225.00785999999999</v>
      </c>
      <c r="H356" s="1">
        <v>175</v>
      </c>
      <c r="I356" s="3">
        <v>99.453900000000004</v>
      </c>
      <c r="J356" s="3">
        <f t="shared" si="56"/>
        <v>101.04429</v>
      </c>
      <c r="K356" s="1">
        <f t="shared" si="51"/>
        <v>4.0187698355115941E-3</v>
      </c>
      <c r="M356" s="4">
        <v>225.02117000000001</v>
      </c>
      <c r="N356" s="1">
        <v>175</v>
      </c>
      <c r="O356" s="3">
        <v>103.54098</v>
      </c>
      <c r="P356" s="3">
        <f t="shared" si="57"/>
        <v>102.74859000000001</v>
      </c>
      <c r="S356" s="4">
        <v>250.00697</v>
      </c>
      <c r="T356" s="1">
        <v>175</v>
      </c>
      <c r="U356" s="5">
        <v>98.512860000000003</v>
      </c>
      <c r="V356" s="3">
        <f t="shared" si="52"/>
        <v>101.83655</v>
      </c>
      <c r="W356" s="1">
        <f t="shared" si="58"/>
        <v>2.9699218309507374E-3</v>
      </c>
      <c r="Y356" s="4">
        <v>250.01246</v>
      </c>
      <c r="Z356" s="1">
        <v>175</v>
      </c>
      <c r="AA356" s="5">
        <v>105.41968</v>
      </c>
      <c r="AB356" s="3">
        <f t="shared" si="53"/>
        <v>103.81066</v>
      </c>
    </row>
    <row r="357" spans="1:28" x14ac:dyDescent="0.2">
      <c r="A357" s="2">
        <v>200.01674</v>
      </c>
      <c r="B357" s="1">
        <v>175.5</v>
      </c>
      <c r="C357" s="5">
        <v>102.46303</v>
      </c>
      <c r="D357" s="3">
        <f t="shared" si="55"/>
        <v>102.33958</v>
      </c>
      <c r="G357" s="4">
        <v>225.00228000000001</v>
      </c>
      <c r="H357" s="1">
        <v>175.5</v>
      </c>
      <c r="I357" s="5">
        <v>99.422290000000004</v>
      </c>
      <c r="J357" s="3">
        <f t="shared" si="56"/>
        <v>101.01268</v>
      </c>
      <c r="K357" s="1">
        <f t="shared" si="51"/>
        <v>4.3339733353392066E-3</v>
      </c>
      <c r="M357" s="4">
        <v>225.01884999999999</v>
      </c>
      <c r="N357" s="1">
        <v>175.5</v>
      </c>
      <c r="O357" s="5">
        <v>103.55154</v>
      </c>
      <c r="P357" s="3">
        <f t="shared" si="57"/>
        <v>102.75915000000001</v>
      </c>
      <c r="S357" s="4">
        <v>250.01196999999999</v>
      </c>
      <c r="T357" s="1">
        <v>175.5</v>
      </c>
      <c r="U357" s="3">
        <v>98.528139999999993</v>
      </c>
      <c r="V357" s="3">
        <f t="shared" si="52"/>
        <v>101.85182999999999</v>
      </c>
      <c r="W357" s="1">
        <f t="shared" si="58"/>
        <v>2.8185831876608751E-3</v>
      </c>
      <c r="Y357" s="4">
        <v>250.01410000000001</v>
      </c>
      <c r="Z357" s="1">
        <v>175.5</v>
      </c>
      <c r="AA357" s="3">
        <v>105.44502</v>
      </c>
      <c r="AB357" s="3">
        <f t="shared" si="53"/>
        <v>103.836</v>
      </c>
    </row>
    <row r="358" spans="1:28" x14ac:dyDescent="0.2">
      <c r="A358" s="2">
        <v>200.01098999999999</v>
      </c>
      <c r="B358" s="1">
        <v>176</v>
      </c>
      <c r="C358" s="3">
        <v>102.49715999999999</v>
      </c>
      <c r="D358" s="3">
        <f t="shared" si="55"/>
        <v>102.37370999999999</v>
      </c>
      <c r="G358" s="4">
        <v>225.00792999999999</v>
      </c>
      <c r="H358" s="1">
        <v>176</v>
      </c>
      <c r="I358" s="3">
        <v>99.461219999999997</v>
      </c>
      <c r="J358" s="3">
        <f t="shared" si="56"/>
        <v>101.05161</v>
      </c>
      <c r="K358" s="1">
        <f t="shared" si="51"/>
        <v>3.9457774401071063E-3</v>
      </c>
      <c r="M358" s="4">
        <v>225.01670999999999</v>
      </c>
      <c r="N358" s="1">
        <v>176</v>
      </c>
      <c r="O358" s="3">
        <v>103.54092</v>
      </c>
      <c r="P358" s="3">
        <f t="shared" si="57"/>
        <v>102.74853</v>
      </c>
      <c r="S358" s="4">
        <v>250.00712999999999</v>
      </c>
      <c r="T358" s="1">
        <v>176</v>
      </c>
      <c r="U358" s="5">
        <v>98.498859999999993</v>
      </c>
      <c r="V358" s="3">
        <f t="shared" si="52"/>
        <v>101.82254999999999</v>
      </c>
      <c r="W358" s="1">
        <f t="shared" si="58"/>
        <v>3.1085828915568227E-3</v>
      </c>
      <c r="Y358" s="4">
        <v>250.01712000000001</v>
      </c>
      <c r="Z358" s="1">
        <v>176</v>
      </c>
      <c r="AA358" s="5">
        <v>105.43556</v>
      </c>
      <c r="AB358" s="3">
        <f t="shared" si="53"/>
        <v>103.82653999999999</v>
      </c>
    </row>
    <row r="359" spans="1:28" x14ac:dyDescent="0.2">
      <c r="A359" s="2">
        <v>200.01209</v>
      </c>
      <c r="B359" s="1">
        <v>176.5</v>
      </c>
      <c r="C359" s="5">
        <v>102.46178</v>
      </c>
      <c r="D359" s="3">
        <f t="shared" si="55"/>
        <v>102.33833</v>
      </c>
      <c r="G359" s="4">
        <v>225.00874999999999</v>
      </c>
      <c r="H359" s="1">
        <v>176.5</v>
      </c>
      <c r="I359" s="5">
        <v>99.455160000000006</v>
      </c>
      <c r="J359" s="3">
        <f t="shared" si="56"/>
        <v>101.04555000000001</v>
      </c>
      <c r="K359" s="1">
        <f t="shared" si="51"/>
        <v>4.0062055707288215E-3</v>
      </c>
      <c r="M359" s="4">
        <v>225.01821000000001</v>
      </c>
      <c r="N359" s="1">
        <v>176.5</v>
      </c>
      <c r="O359" s="5">
        <v>103.61230999999999</v>
      </c>
      <c r="P359" s="3">
        <f t="shared" si="57"/>
        <v>102.81992</v>
      </c>
      <c r="S359" s="4">
        <v>250.00593000000001</v>
      </c>
      <c r="T359" s="1">
        <v>176.5</v>
      </c>
      <c r="U359" s="3">
        <v>98.513220000000004</v>
      </c>
      <c r="V359" s="3">
        <f t="shared" si="52"/>
        <v>101.83691</v>
      </c>
      <c r="W359" s="1">
        <f t="shared" si="58"/>
        <v>2.9663562608208635E-3</v>
      </c>
      <c r="Y359" s="4">
        <v>250.01648</v>
      </c>
      <c r="Z359" s="1">
        <v>176.5</v>
      </c>
      <c r="AA359" s="3">
        <v>105.44526999999999</v>
      </c>
      <c r="AB359" s="3">
        <f t="shared" si="53"/>
        <v>103.83624999999999</v>
      </c>
    </row>
    <row r="360" spans="1:28" x14ac:dyDescent="0.2">
      <c r="A360" s="2">
        <v>200.01507000000001</v>
      </c>
      <c r="B360" s="1">
        <v>177</v>
      </c>
      <c r="C360" s="3">
        <v>102.60127</v>
      </c>
      <c r="D360" s="3">
        <f t="shared" si="55"/>
        <v>102.47781999999999</v>
      </c>
      <c r="G360" s="4">
        <v>225.00398000000001</v>
      </c>
      <c r="H360" s="1">
        <v>177</v>
      </c>
      <c r="I360" s="3">
        <v>99.405339999999995</v>
      </c>
      <c r="J360" s="3">
        <f t="shared" si="56"/>
        <v>100.99572999999999</v>
      </c>
      <c r="K360" s="1">
        <f t="shared" si="51"/>
        <v>4.5029926115834522E-3</v>
      </c>
      <c r="M360" s="4">
        <v>225.01781</v>
      </c>
      <c r="N360" s="1">
        <v>177</v>
      </c>
      <c r="O360" s="3">
        <v>103.61253000000001</v>
      </c>
      <c r="P360" s="3">
        <f t="shared" si="57"/>
        <v>102.82014000000001</v>
      </c>
      <c r="S360" s="4">
        <v>250.00299999999999</v>
      </c>
      <c r="T360" s="1">
        <v>177</v>
      </c>
      <c r="U360" s="5">
        <v>98.521410000000003</v>
      </c>
      <c r="V360" s="3">
        <f t="shared" si="52"/>
        <v>101.8451</v>
      </c>
      <c r="W360" s="1">
        <f t="shared" si="58"/>
        <v>2.8852395403663714E-3</v>
      </c>
      <c r="Y360" s="4">
        <v>250.01786999999999</v>
      </c>
      <c r="Z360" s="1">
        <v>177</v>
      </c>
      <c r="AA360" s="5">
        <v>105.49288</v>
      </c>
      <c r="AB360" s="3">
        <f t="shared" si="53"/>
        <v>103.88386</v>
      </c>
    </row>
    <row r="361" spans="1:28" x14ac:dyDescent="0.2">
      <c r="A361" s="2">
        <v>200.01838000000001</v>
      </c>
      <c r="B361" s="1">
        <v>177.5</v>
      </c>
      <c r="C361" s="5">
        <v>102.55813000000001</v>
      </c>
      <c r="D361" s="3">
        <f t="shared" si="55"/>
        <v>102.43468</v>
      </c>
      <c r="G361" s="4">
        <v>225.00986</v>
      </c>
      <c r="H361" s="1">
        <v>177.5</v>
      </c>
      <c r="I361" s="5">
        <v>99.453040000000001</v>
      </c>
      <c r="J361" s="3">
        <f t="shared" si="56"/>
        <v>101.04343</v>
      </c>
      <c r="K361" s="1">
        <f t="shared" si="51"/>
        <v>4.0273454448077877E-3</v>
      </c>
      <c r="M361" s="4">
        <v>225.01612</v>
      </c>
      <c r="N361" s="1">
        <v>177.5</v>
      </c>
      <c r="O361" s="5">
        <v>103.62405</v>
      </c>
      <c r="P361" s="3">
        <f t="shared" si="57"/>
        <v>102.83166</v>
      </c>
      <c r="S361" s="4">
        <v>250.00004000000001</v>
      </c>
      <c r="T361" s="1">
        <v>177.5</v>
      </c>
      <c r="U361" s="3">
        <v>98.505139999999997</v>
      </c>
      <c r="V361" s="3">
        <f t="shared" si="52"/>
        <v>101.82883</v>
      </c>
      <c r="W361" s="1">
        <f t="shared" si="58"/>
        <v>3.0463835015135279E-3</v>
      </c>
      <c r="Y361" s="4">
        <v>250.01838000000001</v>
      </c>
      <c r="Z361" s="1">
        <v>177.5</v>
      </c>
      <c r="AA361" s="3">
        <v>105.54055</v>
      </c>
      <c r="AB361" s="3">
        <f t="shared" si="53"/>
        <v>103.93153</v>
      </c>
    </row>
    <row r="362" spans="1:28" x14ac:dyDescent="0.2">
      <c r="A362" s="2">
        <v>200.0198</v>
      </c>
      <c r="B362" s="1">
        <v>178</v>
      </c>
      <c r="C362" s="3">
        <v>102.45299</v>
      </c>
      <c r="D362" s="3">
        <f t="shared" si="55"/>
        <v>102.32953999999999</v>
      </c>
      <c r="G362" s="4">
        <v>225.00816</v>
      </c>
      <c r="H362" s="1">
        <v>178</v>
      </c>
      <c r="I362" s="3">
        <v>99.445409999999995</v>
      </c>
      <c r="J362" s="3">
        <f t="shared" si="56"/>
        <v>101.03579999999999</v>
      </c>
      <c r="K362" s="1">
        <f t="shared" si="51"/>
        <v>4.103429048214511E-3</v>
      </c>
      <c r="M362" s="4">
        <v>225.01866000000001</v>
      </c>
      <c r="N362" s="1">
        <v>178</v>
      </c>
      <c r="O362" s="3">
        <v>103.71108</v>
      </c>
      <c r="P362" s="3">
        <f t="shared" si="57"/>
        <v>102.91869</v>
      </c>
      <c r="S362" s="4">
        <v>250.00698</v>
      </c>
      <c r="T362" s="1">
        <v>178</v>
      </c>
      <c r="U362" s="5">
        <v>98.517290000000003</v>
      </c>
      <c r="V362" s="3">
        <f t="shared" si="52"/>
        <v>101.84098</v>
      </c>
      <c r="W362" s="1">
        <f t="shared" si="58"/>
        <v>2.926045509630422E-3</v>
      </c>
      <c r="Y362" s="4">
        <v>250.02041</v>
      </c>
      <c r="Z362" s="1">
        <v>178</v>
      </c>
      <c r="AA362" s="5">
        <v>105.35858</v>
      </c>
      <c r="AB362" s="3">
        <f t="shared" si="53"/>
        <v>103.74956</v>
      </c>
    </row>
    <row r="363" spans="1:28" x14ac:dyDescent="0.2">
      <c r="A363" s="2">
        <v>200.02193</v>
      </c>
      <c r="B363" s="1">
        <v>178.5</v>
      </c>
      <c r="C363" s="5">
        <v>102.52934</v>
      </c>
      <c r="D363" s="3">
        <f t="shared" si="55"/>
        <v>102.40589</v>
      </c>
      <c r="G363" s="4">
        <v>225.00495000000001</v>
      </c>
      <c r="H363" s="1">
        <v>178.5</v>
      </c>
      <c r="I363" s="5">
        <v>99.45438</v>
      </c>
      <c r="J363" s="3">
        <f t="shared" si="56"/>
        <v>101.04477</v>
      </c>
      <c r="K363" s="1">
        <f t="shared" si="51"/>
        <v>4.0139834489277279E-3</v>
      </c>
      <c r="M363" s="4">
        <v>225.01993999999999</v>
      </c>
      <c r="N363" s="1">
        <v>178.5</v>
      </c>
      <c r="O363" s="5">
        <v>103.6331</v>
      </c>
      <c r="P363" s="3">
        <f t="shared" si="57"/>
        <v>102.84071</v>
      </c>
      <c r="S363" s="4">
        <v>250.00304</v>
      </c>
      <c r="T363" s="1">
        <v>178.5</v>
      </c>
      <c r="U363" s="3">
        <v>98.503150000000005</v>
      </c>
      <c r="V363" s="3">
        <f t="shared" si="52"/>
        <v>101.82684</v>
      </c>
      <c r="W363" s="1">
        <f t="shared" si="58"/>
        <v>3.0660931808424441E-3</v>
      </c>
      <c r="Y363" s="4">
        <v>250.01877999999999</v>
      </c>
      <c r="Z363" s="1">
        <v>178.5</v>
      </c>
      <c r="AA363" s="3">
        <v>105.37992</v>
      </c>
      <c r="AB363" s="3">
        <f t="shared" si="53"/>
        <v>103.7709</v>
      </c>
    </row>
    <row r="364" spans="1:28" x14ac:dyDescent="0.2">
      <c r="A364" s="2">
        <v>200.02116000000001</v>
      </c>
      <c r="B364" s="1">
        <v>179</v>
      </c>
      <c r="C364" s="3">
        <v>102.38030999999999</v>
      </c>
      <c r="D364" s="3">
        <f t="shared" si="55"/>
        <v>102.25685999999999</v>
      </c>
      <c r="G364" s="4">
        <v>225.00808000000001</v>
      </c>
      <c r="H364" s="1">
        <v>179</v>
      </c>
      <c r="I364" s="3">
        <v>99.429879999999997</v>
      </c>
      <c r="J364" s="3">
        <f t="shared" si="56"/>
        <v>101.02027</v>
      </c>
      <c r="K364" s="1">
        <f t="shared" si="51"/>
        <v>4.2582885974812683E-3</v>
      </c>
      <c r="M364" s="4">
        <v>225.01942</v>
      </c>
      <c r="N364" s="1">
        <v>179</v>
      </c>
      <c r="O364" s="3">
        <v>103.66338</v>
      </c>
      <c r="P364" s="3">
        <f t="shared" si="57"/>
        <v>102.87099000000001</v>
      </c>
      <c r="S364" s="4">
        <v>249.99705</v>
      </c>
      <c r="T364" s="1">
        <v>179</v>
      </c>
      <c r="U364" s="5">
        <v>98.508899999999997</v>
      </c>
      <c r="V364" s="3">
        <f t="shared" si="52"/>
        <v>101.83259</v>
      </c>
      <c r="W364" s="1">
        <f t="shared" si="58"/>
        <v>3.0091431023793512E-3</v>
      </c>
      <c r="Y364" s="4">
        <v>250.01813000000001</v>
      </c>
      <c r="Z364" s="1">
        <v>179</v>
      </c>
      <c r="AA364" s="5">
        <v>105.51802000000001</v>
      </c>
      <c r="AB364" s="3">
        <f t="shared" si="53"/>
        <v>103.90900000000001</v>
      </c>
    </row>
    <row r="365" spans="1:28" x14ac:dyDescent="0.2">
      <c r="A365" s="2">
        <v>200.01795999999999</v>
      </c>
      <c r="B365" s="1">
        <v>179.5</v>
      </c>
      <c r="C365" s="5">
        <v>102.4701</v>
      </c>
      <c r="D365" s="3">
        <f t="shared" si="55"/>
        <v>102.34665</v>
      </c>
      <c r="G365" s="4">
        <v>225.00124</v>
      </c>
      <c r="H365" s="1">
        <v>179.5</v>
      </c>
      <c r="I365" s="5">
        <v>99.39076</v>
      </c>
      <c r="J365" s="3">
        <f t="shared" si="56"/>
        <v>100.98115</v>
      </c>
      <c r="K365" s="1">
        <f t="shared" si="51"/>
        <v>4.6483791040695319E-3</v>
      </c>
      <c r="M365" s="4">
        <v>225.01902999999999</v>
      </c>
      <c r="N365" s="1">
        <v>179.5</v>
      </c>
      <c r="O365" s="5">
        <v>103.63934999999999</v>
      </c>
      <c r="P365" s="3">
        <f t="shared" si="57"/>
        <v>102.84696</v>
      </c>
      <c r="S365" s="4">
        <v>250.00294</v>
      </c>
      <c r="T365" s="1">
        <v>179.5</v>
      </c>
      <c r="U365" s="3">
        <v>98.496489999999994</v>
      </c>
      <c r="V365" s="3">
        <f t="shared" si="52"/>
        <v>101.82017999999999</v>
      </c>
      <c r="W365" s="1">
        <f t="shared" si="58"/>
        <v>3.1320562282451127E-3</v>
      </c>
      <c r="Y365" s="4">
        <v>250.01773</v>
      </c>
      <c r="Z365" s="1">
        <v>179.5</v>
      </c>
      <c r="AA365" s="3">
        <v>105.32673</v>
      </c>
      <c r="AB365" s="3">
        <f t="shared" si="53"/>
        <v>103.71771</v>
      </c>
    </row>
    <row r="366" spans="1:28" x14ac:dyDescent="0.2">
      <c r="A366" s="2">
        <v>200.0127</v>
      </c>
      <c r="B366" s="1">
        <v>180</v>
      </c>
      <c r="C366" s="3">
        <v>102.6694</v>
      </c>
      <c r="D366" s="3">
        <f t="shared" si="55"/>
        <v>102.54594999999999</v>
      </c>
      <c r="G366" s="4">
        <v>225.00486000000001</v>
      </c>
      <c r="H366" s="1">
        <v>180</v>
      </c>
      <c r="I366" s="3">
        <v>99.459689999999995</v>
      </c>
      <c r="J366" s="3">
        <f t="shared" si="56"/>
        <v>101.05007999999999</v>
      </c>
      <c r="K366" s="1">
        <f t="shared" si="51"/>
        <v>3.9610340473433302E-3</v>
      </c>
      <c r="M366" s="4">
        <v>225.023</v>
      </c>
      <c r="N366" s="1">
        <v>180</v>
      </c>
      <c r="O366" s="3">
        <v>103.70050000000001</v>
      </c>
      <c r="P366" s="3">
        <f t="shared" si="57"/>
        <v>102.90811000000001</v>
      </c>
      <c r="S366" s="4">
        <v>250.00495000000001</v>
      </c>
      <c r="T366" s="1">
        <v>180</v>
      </c>
      <c r="U366" s="5">
        <v>98.494820000000004</v>
      </c>
      <c r="V366" s="3">
        <f t="shared" si="52"/>
        <v>101.81851</v>
      </c>
      <c r="W366" s="1">
        <f t="shared" si="58"/>
        <v>3.1485965119030139E-3</v>
      </c>
      <c r="Y366" s="4">
        <v>250.02028000000001</v>
      </c>
      <c r="Z366" s="1">
        <v>180</v>
      </c>
      <c r="AA366" s="5">
        <v>105.50189</v>
      </c>
      <c r="AB366" s="3">
        <f t="shared" si="53"/>
        <v>103.89287</v>
      </c>
    </row>
    <row r="367" spans="1:28" x14ac:dyDescent="0.2">
      <c r="A367" s="2">
        <v>200.01306</v>
      </c>
      <c r="B367" s="1">
        <v>180.5</v>
      </c>
      <c r="C367" s="5">
        <v>102.57940000000001</v>
      </c>
      <c r="D367" s="3">
        <f t="shared" si="55"/>
        <v>102.45595</v>
      </c>
      <c r="G367" s="4">
        <v>225.00206</v>
      </c>
      <c r="H367" s="1">
        <v>180.5</v>
      </c>
      <c r="I367" s="5">
        <v>99.441940000000002</v>
      </c>
      <c r="J367" s="3">
        <f t="shared" si="56"/>
        <v>101.03233</v>
      </c>
      <c r="K367" s="1">
        <f t="shared" si="51"/>
        <v>4.1380306345605907E-3</v>
      </c>
      <c r="M367" s="4">
        <v>225.02575999999999</v>
      </c>
      <c r="N367" s="1">
        <v>180.5</v>
      </c>
      <c r="O367" s="5">
        <v>103.77033</v>
      </c>
      <c r="P367" s="3">
        <f t="shared" si="57"/>
        <v>102.97794</v>
      </c>
      <c r="S367" s="4">
        <v>250.00496000000001</v>
      </c>
      <c r="T367" s="1">
        <v>180.5</v>
      </c>
      <c r="U367" s="3">
        <v>98.494699999999995</v>
      </c>
      <c r="V367" s="3">
        <f t="shared" si="52"/>
        <v>101.81838999999999</v>
      </c>
      <c r="W367" s="1">
        <f t="shared" si="58"/>
        <v>3.1497850352797327E-3</v>
      </c>
      <c r="Y367" s="4">
        <v>250.01781</v>
      </c>
      <c r="Z367" s="1">
        <v>180.5</v>
      </c>
      <c r="AA367" s="3">
        <v>105.47966</v>
      </c>
      <c r="AB367" s="3">
        <f t="shared" si="53"/>
        <v>103.87063999999999</v>
      </c>
    </row>
    <row r="368" spans="1:28" x14ac:dyDescent="0.2">
      <c r="A368" s="2">
        <v>200.01840000000001</v>
      </c>
      <c r="B368" s="1">
        <v>181</v>
      </c>
      <c r="C368" s="3">
        <v>102.58493</v>
      </c>
      <c r="D368" s="3">
        <f t="shared" si="55"/>
        <v>102.46147999999999</v>
      </c>
      <c r="G368" s="4">
        <v>225.00596999999999</v>
      </c>
      <c r="H368" s="1">
        <v>181</v>
      </c>
      <c r="I368" s="3">
        <v>99.458759999999998</v>
      </c>
      <c r="J368" s="3">
        <f t="shared" si="56"/>
        <v>101.04915</v>
      </c>
      <c r="K368" s="1">
        <f t="shared" si="51"/>
        <v>3.9703076713496141E-3</v>
      </c>
      <c r="M368" s="4">
        <v>225.02457000000001</v>
      </c>
      <c r="N368" s="1">
        <v>181</v>
      </c>
      <c r="O368" s="3">
        <v>103.83004</v>
      </c>
      <c r="P368" s="3">
        <f t="shared" si="57"/>
        <v>103.03765</v>
      </c>
      <c r="S368" s="4">
        <v>250.00904</v>
      </c>
      <c r="T368" s="1">
        <v>181</v>
      </c>
      <c r="U368" s="5">
        <v>98.492360000000005</v>
      </c>
      <c r="V368" s="3">
        <f t="shared" si="52"/>
        <v>101.81605</v>
      </c>
      <c r="W368" s="1">
        <f t="shared" si="58"/>
        <v>3.1729612411237726E-3</v>
      </c>
      <c r="Y368" s="4">
        <v>250.01822000000001</v>
      </c>
      <c r="Z368" s="1">
        <v>181</v>
      </c>
      <c r="AA368" s="5">
        <v>105.40492</v>
      </c>
      <c r="AB368" s="3">
        <f t="shared" si="53"/>
        <v>103.7959</v>
      </c>
    </row>
    <row r="369" spans="1:28" x14ac:dyDescent="0.2">
      <c r="A369" s="2">
        <v>200.01867999999999</v>
      </c>
      <c r="B369" s="1">
        <v>181.5</v>
      </c>
      <c r="C369" s="5">
        <v>102.53896</v>
      </c>
      <c r="D369" s="3">
        <f t="shared" si="55"/>
        <v>102.41551</v>
      </c>
      <c r="G369" s="4">
        <v>225.00707</v>
      </c>
      <c r="H369" s="1">
        <v>181.5</v>
      </c>
      <c r="I369" s="5">
        <v>99.469170000000005</v>
      </c>
      <c r="J369" s="3">
        <f t="shared" si="56"/>
        <v>101.05956</v>
      </c>
      <c r="K369" s="1">
        <f t="shared" si="51"/>
        <v>3.8665029123110916E-3</v>
      </c>
      <c r="M369" s="4">
        <v>225.02021999999999</v>
      </c>
      <c r="N369" s="1">
        <v>181.5</v>
      </c>
      <c r="O369" s="5">
        <v>103.63533</v>
      </c>
      <c r="P369" s="3">
        <f t="shared" si="57"/>
        <v>102.84294</v>
      </c>
      <c r="S369" s="4">
        <v>250.01087999999999</v>
      </c>
      <c r="T369" s="1">
        <v>181.5</v>
      </c>
      <c r="U369" s="3">
        <v>98.494709999999998</v>
      </c>
      <c r="V369" s="3">
        <f t="shared" si="52"/>
        <v>101.8184</v>
      </c>
      <c r="W369" s="1">
        <f t="shared" si="58"/>
        <v>3.1496859916649825E-3</v>
      </c>
      <c r="Y369" s="4">
        <v>250.01774</v>
      </c>
      <c r="Z369" s="1">
        <v>181.5</v>
      </c>
      <c r="AA369" s="3">
        <v>105.48497</v>
      </c>
      <c r="AB369" s="3">
        <f t="shared" si="53"/>
        <v>103.87595</v>
      </c>
    </row>
    <row r="370" spans="1:28" x14ac:dyDescent="0.2">
      <c r="A370" s="2">
        <v>200.01541</v>
      </c>
      <c r="B370" s="1">
        <v>182</v>
      </c>
      <c r="C370" s="3">
        <v>102.55491000000001</v>
      </c>
      <c r="D370" s="3">
        <f t="shared" si="55"/>
        <v>102.43146</v>
      </c>
      <c r="G370" s="4">
        <v>225.00906000000001</v>
      </c>
      <c r="H370" s="1">
        <v>182</v>
      </c>
      <c r="I370" s="3">
        <v>99.456180000000003</v>
      </c>
      <c r="J370" s="3">
        <f t="shared" si="56"/>
        <v>101.04657</v>
      </c>
      <c r="K370" s="1">
        <f t="shared" si="51"/>
        <v>3.9960344992380535E-3</v>
      </c>
      <c r="M370" s="4">
        <v>225.02214000000001</v>
      </c>
      <c r="N370" s="1">
        <v>182</v>
      </c>
      <c r="O370" s="3">
        <v>103.77240999999999</v>
      </c>
      <c r="P370" s="3">
        <f t="shared" si="57"/>
        <v>102.98002</v>
      </c>
      <c r="S370" s="4">
        <v>250.00989999999999</v>
      </c>
      <c r="T370" s="1">
        <v>182</v>
      </c>
      <c r="U370" s="5">
        <v>98.498599999999996</v>
      </c>
      <c r="V370" s="3">
        <f t="shared" si="52"/>
        <v>101.82229</v>
      </c>
      <c r="W370" s="1">
        <f t="shared" si="58"/>
        <v>3.1111580255394782E-3</v>
      </c>
      <c r="Y370" s="4">
        <v>250.01521</v>
      </c>
      <c r="Z370" s="1">
        <v>182</v>
      </c>
      <c r="AA370" s="5">
        <v>105.4218</v>
      </c>
      <c r="AB370" s="3">
        <f t="shared" si="53"/>
        <v>103.81278</v>
      </c>
    </row>
    <row r="371" spans="1:28" x14ac:dyDescent="0.2">
      <c r="A371" s="2">
        <v>200.01593</v>
      </c>
      <c r="B371" s="1">
        <v>182.5</v>
      </c>
      <c r="C371" s="5">
        <v>102.57285</v>
      </c>
      <c r="D371" s="3">
        <f t="shared" si="55"/>
        <v>102.4494</v>
      </c>
      <c r="G371" s="4">
        <v>225.00582</v>
      </c>
      <c r="H371" s="1">
        <v>182.5</v>
      </c>
      <c r="I371" s="5">
        <v>99.43159</v>
      </c>
      <c r="J371" s="3">
        <f t="shared" si="56"/>
        <v>101.02198</v>
      </c>
      <c r="K371" s="1">
        <f t="shared" si="51"/>
        <v>4.2412370952760771E-3</v>
      </c>
      <c r="M371" s="4">
        <v>225.02491000000001</v>
      </c>
      <c r="N371" s="1">
        <v>182.5</v>
      </c>
      <c r="O371" s="5">
        <v>103.62299</v>
      </c>
      <c r="P371" s="3">
        <f t="shared" si="57"/>
        <v>102.8306</v>
      </c>
      <c r="S371" s="4">
        <v>250.00501</v>
      </c>
      <c r="T371" s="1">
        <v>182.5</v>
      </c>
      <c r="U371" s="3">
        <v>98.488720000000001</v>
      </c>
      <c r="V371" s="3">
        <f t="shared" si="52"/>
        <v>101.81241</v>
      </c>
      <c r="W371" s="1">
        <f t="shared" si="58"/>
        <v>3.2090131168813719E-3</v>
      </c>
      <c r="Y371" s="4">
        <v>250.01321999999999</v>
      </c>
      <c r="Z371" s="1">
        <v>182.5</v>
      </c>
      <c r="AA371" s="3">
        <v>105.44584999999999</v>
      </c>
      <c r="AB371" s="3">
        <f t="shared" si="53"/>
        <v>103.83682999999999</v>
      </c>
    </row>
    <row r="372" spans="1:28" x14ac:dyDescent="0.2">
      <c r="A372" s="2">
        <v>200.01398</v>
      </c>
      <c r="B372" s="1">
        <v>183</v>
      </c>
      <c r="C372" s="3">
        <v>102.48448</v>
      </c>
      <c r="D372" s="3">
        <f t="shared" si="55"/>
        <v>102.36103</v>
      </c>
      <c r="G372" s="4">
        <v>225.00208000000001</v>
      </c>
      <c r="H372" s="1">
        <v>183</v>
      </c>
      <c r="I372" s="3">
        <v>99.432410000000004</v>
      </c>
      <c r="J372" s="3">
        <f t="shared" si="56"/>
        <v>101.0228</v>
      </c>
      <c r="K372" s="1">
        <f t="shared" si="51"/>
        <v>4.2330603515285279E-3</v>
      </c>
      <c r="M372" s="4">
        <v>225.02227999999999</v>
      </c>
      <c r="N372" s="1">
        <v>183</v>
      </c>
      <c r="O372" s="3">
        <v>103.66194</v>
      </c>
      <c r="P372" s="3">
        <f t="shared" si="57"/>
        <v>102.86955</v>
      </c>
      <c r="S372" s="4">
        <v>249.99799999999999</v>
      </c>
      <c r="T372" s="1">
        <v>183</v>
      </c>
      <c r="U372" s="5">
        <v>98.463769999999997</v>
      </c>
      <c r="V372" s="3">
        <f t="shared" si="52"/>
        <v>101.78746</v>
      </c>
      <c r="W372" s="1">
        <f t="shared" si="58"/>
        <v>3.4561269356042225E-3</v>
      </c>
      <c r="Y372" s="4">
        <v>250.01158000000001</v>
      </c>
      <c r="Z372" s="1">
        <v>183</v>
      </c>
      <c r="AA372" s="5">
        <v>105.38124999999999</v>
      </c>
      <c r="AB372" s="3">
        <f t="shared" si="53"/>
        <v>103.77222999999999</v>
      </c>
    </row>
    <row r="373" spans="1:28" x14ac:dyDescent="0.2">
      <c r="A373" s="2">
        <v>200.01121000000001</v>
      </c>
      <c r="B373" s="1">
        <v>183.5</v>
      </c>
      <c r="C373" s="5">
        <v>102.54098</v>
      </c>
      <c r="D373" s="3">
        <f t="shared" si="55"/>
        <v>102.41753</v>
      </c>
      <c r="G373" s="4">
        <v>225.00210000000001</v>
      </c>
      <c r="H373" s="1">
        <v>183.5</v>
      </c>
      <c r="I373" s="5">
        <v>99.44014</v>
      </c>
      <c r="J373" s="3">
        <f t="shared" si="56"/>
        <v>101.03053</v>
      </c>
      <c r="K373" s="1">
        <f t="shared" si="51"/>
        <v>4.1559795842502651E-3</v>
      </c>
      <c r="M373" s="4">
        <v>225.02082999999999</v>
      </c>
      <c r="N373" s="1">
        <v>183.5</v>
      </c>
      <c r="O373" s="5">
        <v>103.57295000000001</v>
      </c>
      <c r="P373" s="3">
        <f t="shared" si="57"/>
        <v>102.78056000000001</v>
      </c>
      <c r="S373" s="4">
        <v>250.00408999999999</v>
      </c>
      <c r="T373" s="1">
        <v>183.5</v>
      </c>
      <c r="U373" s="3">
        <v>98.482870000000005</v>
      </c>
      <c r="V373" s="3">
        <f t="shared" si="52"/>
        <v>101.80656</v>
      </c>
      <c r="W373" s="1">
        <f t="shared" si="58"/>
        <v>3.2669536314916831E-3</v>
      </c>
      <c r="Y373" s="4">
        <v>250.01230000000001</v>
      </c>
      <c r="Z373" s="1">
        <v>183.5</v>
      </c>
      <c r="AA373" s="3">
        <v>105.42259</v>
      </c>
      <c r="AB373" s="3">
        <f t="shared" si="53"/>
        <v>103.81357</v>
      </c>
    </row>
    <row r="374" spans="1:28" x14ac:dyDescent="0.2">
      <c r="A374" s="2">
        <v>200.01018999999999</v>
      </c>
      <c r="B374" s="1">
        <v>184</v>
      </c>
      <c r="C374" s="3">
        <v>102.5553</v>
      </c>
      <c r="D374" s="3">
        <f t="shared" si="55"/>
        <v>102.43185</v>
      </c>
      <c r="G374" s="4">
        <v>225.00497999999999</v>
      </c>
      <c r="H374" s="1">
        <v>184</v>
      </c>
      <c r="I374" s="3">
        <v>99.445679999999996</v>
      </c>
      <c r="J374" s="3">
        <f t="shared" si="56"/>
        <v>101.03607</v>
      </c>
      <c r="K374" s="1">
        <f t="shared" si="51"/>
        <v>4.1007367057610596E-3</v>
      </c>
      <c r="M374" s="4">
        <v>225.02504999999999</v>
      </c>
      <c r="N374" s="1">
        <v>184</v>
      </c>
      <c r="O374" s="3">
        <v>103.67431999999999</v>
      </c>
      <c r="P374" s="3">
        <f t="shared" si="57"/>
        <v>102.88193</v>
      </c>
      <c r="S374" s="4">
        <v>250.00398000000001</v>
      </c>
      <c r="T374" s="1">
        <v>184</v>
      </c>
      <c r="U374" s="5">
        <v>98.473839999999996</v>
      </c>
      <c r="V374" s="3">
        <f t="shared" si="52"/>
        <v>101.79752999999999</v>
      </c>
      <c r="W374" s="1">
        <f t="shared" si="58"/>
        <v>3.3563900155826418E-3</v>
      </c>
      <c r="Y374" s="4">
        <v>250.01264</v>
      </c>
      <c r="Z374" s="1">
        <v>184</v>
      </c>
      <c r="AA374" s="5">
        <v>105.49424999999999</v>
      </c>
      <c r="AB374" s="3">
        <f t="shared" si="53"/>
        <v>103.88522999999999</v>
      </c>
    </row>
    <row r="375" spans="1:28" x14ac:dyDescent="0.2">
      <c r="A375" s="2">
        <v>200.01054999999999</v>
      </c>
      <c r="B375" s="1">
        <v>184.5</v>
      </c>
      <c r="C375" s="5">
        <v>102.57744</v>
      </c>
      <c r="D375" s="3">
        <f t="shared" si="55"/>
        <v>102.45398999999999</v>
      </c>
      <c r="G375" s="4">
        <v>224.99852000000001</v>
      </c>
      <c r="H375" s="1">
        <v>184.5</v>
      </c>
      <c r="I375" s="5">
        <v>99.400919999999999</v>
      </c>
      <c r="J375" s="3">
        <f t="shared" si="56"/>
        <v>100.99131</v>
      </c>
      <c r="K375" s="1">
        <f t="shared" ref="K375:K438" si="59">($J$118-J375)/($J$118*(1-$H$1))</f>
        <v>4.5470672547102096E-3</v>
      </c>
      <c r="M375" s="4">
        <v>225.02459999999999</v>
      </c>
      <c r="N375" s="1">
        <v>184.5</v>
      </c>
      <c r="O375" s="5">
        <v>103.67698</v>
      </c>
      <c r="P375" s="3">
        <f t="shared" si="57"/>
        <v>102.88459</v>
      </c>
      <c r="S375" s="4">
        <v>250.00101000000001</v>
      </c>
      <c r="T375" s="1">
        <v>184.5</v>
      </c>
      <c r="U375" s="3">
        <v>98.486270000000005</v>
      </c>
      <c r="V375" s="3">
        <f t="shared" si="52"/>
        <v>101.80996</v>
      </c>
      <c r="W375" s="1">
        <f t="shared" si="58"/>
        <v>3.2332788024873804E-3</v>
      </c>
      <c r="Y375" s="4">
        <v>250.01179999999999</v>
      </c>
      <c r="Z375" s="1">
        <v>184.5</v>
      </c>
      <c r="AA375" s="3">
        <v>105.51759</v>
      </c>
      <c r="AB375" s="3">
        <f t="shared" si="53"/>
        <v>103.90857</v>
      </c>
    </row>
    <row r="376" spans="1:28" x14ac:dyDescent="0.2">
      <c r="A376" s="2">
        <v>200.01347999999999</v>
      </c>
      <c r="B376" s="1">
        <v>185</v>
      </c>
      <c r="C376" s="3">
        <v>102.61685</v>
      </c>
      <c r="D376" s="3">
        <f t="shared" si="55"/>
        <v>102.49339999999999</v>
      </c>
      <c r="G376" s="4">
        <v>225.00707</v>
      </c>
      <c r="H376" s="1">
        <v>185</v>
      </c>
      <c r="I376" s="3">
        <v>99.45335</v>
      </c>
      <c r="J376" s="3">
        <f t="shared" si="56"/>
        <v>101.04374</v>
      </c>
      <c r="K376" s="1">
        <f t="shared" si="59"/>
        <v>4.0242542368056928E-3</v>
      </c>
      <c r="M376" s="4">
        <v>225.02708000000001</v>
      </c>
      <c r="N376" s="1">
        <v>185</v>
      </c>
      <c r="O376" s="3">
        <v>103.65459</v>
      </c>
      <c r="P376" s="3">
        <f t="shared" si="57"/>
        <v>102.8622</v>
      </c>
      <c r="S376" s="4">
        <v>250.005</v>
      </c>
      <c r="T376" s="1">
        <v>185</v>
      </c>
      <c r="U376" s="5">
        <v>98.473889999999997</v>
      </c>
      <c r="V376" s="3">
        <f t="shared" si="52"/>
        <v>101.79758</v>
      </c>
      <c r="W376" s="1">
        <f t="shared" si="58"/>
        <v>3.3558947975090327E-3</v>
      </c>
      <c r="Y376" s="4">
        <v>250.00944000000001</v>
      </c>
      <c r="Z376" s="1">
        <v>185</v>
      </c>
      <c r="AA376" s="5">
        <v>105.4397</v>
      </c>
      <c r="AB376" s="3">
        <f t="shared" si="53"/>
        <v>103.83068</v>
      </c>
    </row>
    <row r="377" spans="1:28" x14ac:dyDescent="0.2">
      <c r="A377" s="2">
        <v>200.01857999999999</v>
      </c>
      <c r="B377" s="1">
        <v>185.5</v>
      </c>
      <c r="C377" s="5">
        <v>102.60939999999999</v>
      </c>
      <c r="D377" s="3">
        <f t="shared" si="55"/>
        <v>102.48594999999999</v>
      </c>
      <c r="G377" s="4">
        <v>225.00698</v>
      </c>
      <c r="H377" s="1">
        <v>185.5</v>
      </c>
      <c r="I377" s="5">
        <v>99.424639999999997</v>
      </c>
      <c r="J377" s="3">
        <f t="shared" si="56"/>
        <v>101.01503</v>
      </c>
      <c r="K377" s="1">
        <f t="shared" si="59"/>
        <v>4.3105399843555749E-3</v>
      </c>
      <c r="M377" s="4">
        <v>225.02464000000001</v>
      </c>
      <c r="N377" s="1">
        <v>185.5</v>
      </c>
      <c r="O377" s="5">
        <v>103.65702</v>
      </c>
      <c r="P377" s="3">
        <f t="shared" si="57"/>
        <v>102.86463000000001</v>
      </c>
      <c r="S377" s="4">
        <v>250.00693999999999</v>
      </c>
      <c r="T377" s="1">
        <v>185.5</v>
      </c>
      <c r="U377" s="3">
        <v>98.449489999999997</v>
      </c>
      <c r="V377" s="3">
        <f t="shared" si="52"/>
        <v>101.77318</v>
      </c>
      <c r="W377" s="1">
        <f t="shared" si="58"/>
        <v>3.5975612174223223E-3</v>
      </c>
      <c r="Y377" s="4">
        <v>250.01285999999999</v>
      </c>
      <c r="Z377" s="1">
        <v>185.5</v>
      </c>
      <c r="AA377" s="3">
        <v>105.51824000000001</v>
      </c>
      <c r="AB377" s="3">
        <f t="shared" si="53"/>
        <v>103.90922</v>
      </c>
    </row>
    <row r="378" spans="1:28" x14ac:dyDescent="0.2">
      <c r="A378" s="2">
        <v>200.01758000000001</v>
      </c>
      <c r="B378" s="1">
        <v>186</v>
      </c>
      <c r="C378" s="3">
        <v>102.45314</v>
      </c>
      <c r="D378" s="3">
        <f t="shared" si="55"/>
        <v>102.32969</v>
      </c>
      <c r="G378" s="4">
        <v>225.00486000000001</v>
      </c>
      <c r="H378" s="1">
        <v>186</v>
      </c>
      <c r="I378" s="3">
        <v>99.432749999999999</v>
      </c>
      <c r="J378" s="3">
        <f t="shared" si="56"/>
        <v>101.02314</v>
      </c>
      <c r="K378" s="1">
        <f t="shared" si="59"/>
        <v>4.2296699943649855E-3</v>
      </c>
      <c r="M378" s="4">
        <v>225.01888</v>
      </c>
      <c r="N378" s="1">
        <v>186</v>
      </c>
      <c r="O378" s="3">
        <v>103.62682</v>
      </c>
      <c r="P378" s="3">
        <f t="shared" si="57"/>
        <v>102.83443</v>
      </c>
      <c r="S378" s="4">
        <v>250.00494</v>
      </c>
      <c r="T378" s="1">
        <v>186</v>
      </c>
      <c r="U378" s="5">
        <v>98.488519999999994</v>
      </c>
      <c r="V378" s="3">
        <f t="shared" si="52"/>
        <v>101.81220999999999</v>
      </c>
      <c r="W378" s="1">
        <f t="shared" si="58"/>
        <v>3.2109939891758086E-3</v>
      </c>
      <c r="Y378" s="4">
        <v>250.01517999999999</v>
      </c>
      <c r="Z378" s="1">
        <v>186</v>
      </c>
      <c r="AA378" s="5">
        <v>105.43034</v>
      </c>
      <c r="AB378" s="3">
        <f t="shared" si="53"/>
        <v>103.82132</v>
      </c>
    </row>
    <row r="379" spans="1:28" x14ac:dyDescent="0.2">
      <c r="A379" s="2">
        <v>200.01741000000001</v>
      </c>
      <c r="B379" s="1">
        <v>186.5</v>
      </c>
      <c r="C379" s="5">
        <v>102.51118</v>
      </c>
      <c r="D379" s="3">
        <f t="shared" si="55"/>
        <v>102.38772999999999</v>
      </c>
      <c r="G379" s="4">
        <v>225.00697</v>
      </c>
      <c r="H379" s="1">
        <v>186.5</v>
      </c>
      <c r="I379" s="5">
        <v>99.470240000000004</v>
      </c>
      <c r="J379" s="3">
        <f t="shared" si="56"/>
        <v>101.06063</v>
      </c>
      <c r="K379" s="1">
        <f t="shared" si="59"/>
        <v>3.8558332588844832E-3</v>
      </c>
      <c r="M379" s="4">
        <v>225.01618999999999</v>
      </c>
      <c r="N379" s="1">
        <v>186.5</v>
      </c>
      <c r="O379" s="5">
        <v>103.68617999999999</v>
      </c>
      <c r="P379" s="3">
        <f t="shared" si="57"/>
        <v>102.89379</v>
      </c>
      <c r="S379" s="4">
        <v>250.00206</v>
      </c>
      <c r="T379" s="1">
        <v>186.5</v>
      </c>
      <c r="U379" s="3">
        <v>98.453609999999998</v>
      </c>
      <c r="V379" s="3">
        <f t="shared" si="52"/>
        <v>101.7773</v>
      </c>
      <c r="W379" s="1">
        <f t="shared" si="58"/>
        <v>3.5567552481582717E-3</v>
      </c>
      <c r="Y379" s="4">
        <v>250.01909000000001</v>
      </c>
      <c r="Z379" s="1">
        <v>186.5</v>
      </c>
      <c r="AA379" s="3">
        <v>105.52114</v>
      </c>
      <c r="AB379" s="3">
        <f t="shared" si="53"/>
        <v>103.91212</v>
      </c>
    </row>
    <row r="380" spans="1:28" x14ac:dyDescent="0.2">
      <c r="A380" s="2">
        <v>200.01836</v>
      </c>
      <c r="B380" s="1">
        <v>187</v>
      </c>
      <c r="C380" s="3">
        <v>102.56628000000001</v>
      </c>
      <c r="D380" s="3">
        <f t="shared" si="55"/>
        <v>102.44283</v>
      </c>
      <c r="G380" s="4">
        <v>225.00694999999999</v>
      </c>
      <c r="H380" s="1">
        <v>187</v>
      </c>
      <c r="I380" s="3">
        <v>99.415400000000005</v>
      </c>
      <c r="J380" s="3">
        <f t="shared" si="56"/>
        <v>101.00579</v>
      </c>
      <c r="K380" s="1">
        <f t="shared" si="59"/>
        <v>4.4026779260956678E-3</v>
      </c>
      <c r="M380" s="4">
        <v>225.01300000000001</v>
      </c>
      <c r="N380" s="1">
        <v>187</v>
      </c>
      <c r="O380" s="3">
        <v>103.81397</v>
      </c>
      <c r="P380" s="3">
        <f t="shared" si="57"/>
        <v>103.02158</v>
      </c>
      <c r="S380" s="4">
        <v>250.00197</v>
      </c>
      <c r="T380" s="1">
        <v>187</v>
      </c>
      <c r="U380" s="5">
        <v>98.463480000000004</v>
      </c>
      <c r="V380" s="3">
        <f t="shared" si="52"/>
        <v>101.78717</v>
      </c>
      <c r="W380" s="1">
        <f t="shared" si="58"/>
        <v>3.4589992004309873E-3</v>
      </c>
      <c r="Y380" s="4">
        <v>250.02126999999999</v>
      </c>
      <c r="Z380" s="1">
        <v>187</v>
      </c>
      <c r="AA380" s="5">
        <v>105.52748</v>
      </c>
      <c r="AB380" s="3">
        <f t="shared" si="53"/>
        <v>103.91846</v>
      </c>
    </row>
    <row r="381" spans="1:28" x14ac:dyDescent="0.2">
      <c r="A381" s="2">
        <v>200.01934</v>
      </c>
      <c r="B381" s="1">
        <v>187.5</v>
      </c>
      <c r="C381" s="5">
        <v>102.55721</v>
      </c>
      <c r="D381" s="3">
        <f t="shared" si="55"/>
        <v>102.43375999999999</v>
      </c>
      <c r="G381" s="4">
        <v>225.00910999999999</v>
      </c>
      <c r="H381" s="1">
        <v>187.5</v>
      </c>
      <c r="I381" s="5">
        <v>99.439189999999996</v>
      </c>
      <c r="J381" s="3">
        <f t="shared" si="56"/>
        <v>101.02958</v>
      </c>
      <c r="K381" s="1">
        <f t="shared" si="59"/>
        <v>4.1654526410309428E-3</v>
      </c>
      <c r="M381" s="4">
        <v>225.01230000000001</v>
      </c>
      <c r="N381" s="1">
        <v>187.5</v>
      </c>
      <c r="O381" s="5">
        <v>103.65443</v>
      </c>
      <c r="P381" s="3">
        <f t="shared" si="57"/>
        <v>102.86204000000001</v>
      </c>
      <c r="S381" s="4">
        <v>250.00402</v>
      </c>
      <c r="T381" s="1">
        <v>187.5</v>
      </c>
      <c r="U381" s="3">
        <v>98.461410000000001</v>
      </c>
      <c r="V381" s="3">
        <f t="shared" si="52"/>
        <v>101.7851</v>
      </c>
      <c r="W381" s="1">
        <f t="shared" si="58"/>
        <v>3.4795012286777624E-3</v>
      </c>
      <c r="Y381" s="4">
        <v>250.02103</v>
      </c>
      <c r="Z381" s="1">
        <v>187.5</v>
      </c>
      <c r="AA381" s="3">
        <v>105.54607</v>
      </c>
      <c r="AB381" s="3">
        <f t="shared" si="53"/>
        <v>103.93705</v>
      </c>
    </row>
    <row r="382" spans="1:28" x14ac:dyDescent="0.2">
      <c r="A382" s="2">
        <v>200.01586</v>
      </c>
      <c r="B382" s="1">
        <v>188</v>
      </c>
      <c r="C382" s="3">
        <v>102.56258</v>
      </c>
      <c r="D382" s="3">
        <f t="shared" si="55"/>
        <v>102.43912999999999</v>
      </c>
      <c r="G382" s="4">
        <v>225.00198</v>
      </c>
      <c r="H382" s="1">
        <v>188</v>
      </c>
      <c r="I382" s="3">
        <v>99.373990000000006</v>
      </c>
      <c r="J382" s="3">
        <f t="shared" si="56"/>
        <v>100.96438000000001</v>
      </c>
      <c r="K382" s="1">
        <f t="shared" si="59"/>
        <v>4.815603485344668E-3</v>
      </c>
      <c r="M382" s="4">
        <v>225.01191</v>
      </c>
      <c r="N382" s="1">
        <v>188</v>
      </c>
      <c r="O382" s="3">
        <v>103.72369</v>
      </c>
      <c r="P382" s="3">
        <f t="shared" si="57"/>
        <v>102.93130000000001</v>
      </c>
      <c r="S382" s="4">
        <v>250.00307000000001</v>
      </c>
      <c r="T382" s="1">
        <v>188</v>
      </c>
      <c r="U382" s="5">
        <v>98.472170000000006</v>
      </c>
      <c r="V382" s="3">
        <f t="shared" si="52"/>
        <v>101.79586</v>
      </c>
      <c r="W382" s="1">
        <f t="shared" si="58"/>
        <v>3.372930299240543E-3</v>
      </c>
      <c r="Y382" s="4">
        <v>250.02563000000001</v>
      </c>
      <c r="Z382" s="1">
        <v>188</v>
      </c>
      <c r="AA382" s="5">
        <v>105.46098000000001</v>
      </c>
      <c r="AB382" s="3">
        <f t="shared" si="53"/>
        <v>103.85196000000001</v>
      </c>
    </row>
    <row r="383" spans="1:28" x14ac:dyDescent="0.2">
      <c r="A383" s="2">
        <v>200.01494</v>
      </c>
      <c r="B383" s="1">
        <v>188.5</v>
      </c>
      <c r="C383" s="5">
        <v>102.56692</v>
      </c>
      <c r="D383" s="3">
        <f t="shared" si="55"/>
        <v>102.44346999999999</v>
      </c>
      <c r="G383" s="4">
        <v>225.00699</v>
      </c>
      <c r="H383" s="1">
        <v>188.5</v>
      </c>
      <c r="I383" s="5">
        <v>99.40652</v>
      </c>
      <c r="J383" s="3">
        <f t="shared" si="56"/>
        <v>100.99691</v>
      </c>
      <c r="K383" s="1">
        <f t="shared" si="59"/>
        <v>4.4912260778979677E-3</v>
      </c>
      <c r="M383" s="4">
        <v>225.01308</v>
      </c>
      <c r="N383" s="1">
        <v>188.5</v>
      </c>
      <c r="O383" s="5">
        <v>103.6878</v>
      </c>
      <c r="P383" s="3">
        <f t="shared" si="57"/>
        <v>102.89541</v>
      </c>
      <c r="S383" s="4">
        <v>250.00203999999999</v>
      </c>
      <c r="T383" s="1">
        <v>188.5</v>
      </c>
      <c r="U383" s="3">
        <v>98.451319999999996</v>
      </c>
      <c r="V383" s="3">
        <f t="shared" si="52"/>
        <v>101.77500999999999</v>
      </c>
      <c r="W383" s="1">
        <f t="shared" si="58"/>
        <v>3.5794362359288429E-3</v>
      </c>
      <c r="Y383" s="4">
        <v>250.02592999999999</v>
      </c>
      <c r="Z383" s="1">
        <v>188.5</v>
      </c>
      <c r="AA383" s="3">
        <v>105.52188</v>
      </c>
      <c r="AB383" s="3">
        <f t="shared" si="53"/>
        <v>103.91285999999999</v>
      </c>
    </row>
    <row r="384" spans="1:28" x14ac:dyDescent="0.2">
      <c r="A384" s="2">
        <v>200.01634999999999</v>
      </c>
      <c r="B384" s="1">
        <v>189</v>
      </c>
      <c r="C384" s="3">
        <v>102.60754</v>
      </c>
      <c r="D384" s="3">
        <f t="shared" si="55"/>
        <v>102.48408999999999</v>
      </c>
      <c r="G384" s="4">
        <v>225.00391999999999</v>
      </c>
      <c r="H384" s="1">
        <v>189</v>
      </c>
      <c r="I384" s="3">
        <v>99.424539999999993</v>
      </c>
      <c r="J384" s="3">
        <f t="shared" si="56"/>
        <v>101.01492999999999</v>
      </c>
      <c r="K384" s="1">
        <f t="shared" si="59"/>
        <v>4.311537148227255E-3</v>
      </c>
      <c r="M384" s="4">
        <v>225.01528999999999</v>
      </c>
      <c r="N384" s="1">
        <v>189</v>
      </c>
      <c r="O384" s="3">
        <v>103.72669999999999</v>
      </c>
      <c r="P384" s="3">
        <f t="shared" si="57"/>
        <v>102.93431</v>
      </c>
      <c r="S384" s="4">
        <v>250.00604999999999</v>
      </c>
      <c r="T384" s="1">
        <v>189</v>
      </c>
      <c r="U384" s="5">
        <v>98.46611</v>
      </c>
      <c r="V384" s="3">
        <f t="shared" si="52"/>
        <v>101.7898</v>
      </c>
      <c r="W384" s="1">
        <f t="shared" si="58"/>
        <v>3.4329507297600416E-3</v>
      </c>
      <c r="Y384" s="4">
        <v>250.02304000000001</v>
      </c>
      <c r="Z384" s="1">
        <v>189</v>
      </c>
      <c r="AA384" s="5">
        <v>105.54192</v>
      </c>
      <c r="AB384" s="3">
        <f t="shared" si="53"/>
        <v>103.9329</v>
      </c>
    </row>
    <row r="385" spans="1:28" x14ac:dyDescent="0.2">
      <c r="A385" s="2">
        <v>200.01773</v>
      </c>
      <c r="B385" s="1">
        <v>189.5</v>
      </c>
      <c r="C385" s="5">
        <v>102.55641</v>
      </c>
      <c r="D385" s="3">
        <f t="shared" si="55"/>
        <v>102.43295999999999</v>
      </c>
      <c r="G385" s="4">
        <v>225.00398999999999</v>
      </c>
      <c r="H385" s="1">
        <v>189.5</v>
      </c>
      <c r="I385" s="5">
        <v>99.38579</v>
      </c>
      <c r="J385" s="3">
        <f t="shared" si="56"/>
        <v>100.97618</v>
      </c>
      <c r="K385" s="1">
        <f t="shared" si="59"/>
        <v>4.697938148490388E-3</v>
      </c>
      <c r="M385" s="4">
        <v>225.01641000000001</v>
      </c>
      <c r="N385" s="1">
        <v>189.5</v>
      </c>
      <c r="O385" s="5">
        <v>103.7163</v>
      </c>
      <c r="P385" s="3">
        <f t="shared" si="57"/>
        <v>102.92391000000001</v>
      </c>
      <c r="S385" s="4">
        <v>250.00800000000001</v>
      </c>
      <c r="T385" s="1">
        <v>189.5</v>
      </c>
      <c r="U385" s="3">
        <v>98.447230000000005</v>
      </c>
      <c r="V385" s="3">
        <f t="shared" si="52"/>
        <v>101.77092</v>
      </c>
      <c r="W385" s="1">
        <f t="shared" si="58"/>
        <v>3.6199450743486438E-3</v>
      </c>
      <c r="Y385" s="4">
        <v>250.02455</v>
      </c>
      <c r="Z385" s="1">
        <v>189.5</v>
      </c>
      <c r="AA385" s="3">
        <v>105.45542</v>
      </c>
      <c r="AB385" s="3">
        <f t="shared" si="53"/>
        <v>103.8464</v>
      </c>
    </row>
    <row r="386" spans="1:28" x14ac:dyDescent="0.2">
      <c r="A386" s="2">
        <v>200.01947999999999</v>
      </c>
      <c r="B386" s="1">
        <v>190</v>
      </c>
      <c r="C386" s="3">
        <v>102.59072</v>
      </c>
      <c r="D386" s="3">
        <f t="shared" si="55"/>
        <v>102.46727</v>
      </c>
      <c r="G386" s="4">
        <v>225.00208000000001</v>
      </c>
      <c r="H386" s="1">
        <v>190</v>
      </c>
      <c r="I386" s="3">
        <v>99.402169999999998</v>
      </c>
      <c r="J386" s="3">
        <f t="shared" si="56"/>
        <v>100.99256</v>
      </c>
      <c r="K386" s="1">
        <f t="shared" si="59"/>
        <v>4.5346027063146331E-3</v>
      </c>
      <c r="M386" s="4">
        <v>225.02163999999999</v>
      </c>
      <c r="N386" s="1">
        <v>190</v>
      </c>
      <c r="O386" s="3">
        <v>103.76389</v>
      </c>
      <c r="P386" s="3">
        <f t="shared" si="57"/>
        <v>102.97150000000001</v>
      </c>
      <c r="S386" s="4">
        <v>250.00505999999999</v>
      </c>
      <c r="T386" s="1">
        <v>190</v>
      </c>
      <c r="U386" s="5">
        <v>98.463539999999995</v>
      </c>
      <c r="V386" s="3">
        <f t="shared" si="52"/>
        <v>101.78722999999999</v>
      </c>
      <c r="W386" s="1">
        <f t="shared" si="58"/>
        <v>3.4584049387427688E-3</v>
      </c>
      <c r="Y386" s="4">
        <v>250.02699999999999</v>
      </c>
      <c r="Z386" s="1">
        <v>190</v>
      </c>
      <c r="AA386" s="5">
        <v>105.56126999999999</v>
      </c>
      <c r="AB386" s="3">
        <f t="shared" si="53"/>
        <v>103.95224999999999</v>
      </c>
    </row>
    <row r="387" spans="1:28" x14ac:dyDescent="0.2">
      <c r="A387" s="2">
        <v>200.01942</v>
      </c>
      <c r="B387" s="1">
        <v>190.5</v>
      </c>
      <c r="C387" s="5">
        <v>102.52999</v>
      </c>
      <c r="D387" s="3">
        <f t="shared" si="55"/>
        <v>102.40653999999999</v>
      </c>
      <c r="G387" s="4">
        <v>225.00693999999999</v>
      </c>
      <c r="H387" s="1">
        <v>190.5</v>
      </c>
      <c r="I387" s="5">
        <v>99.408919999999995</v>
      </c>
      <c r="J387" s="3">
        <f t="shared" si="56"/>
        <v>100.99930999999999</v>
      </c>
      <c r="K387" s="1">
        <f t="shared" si="59"/>
        <v>4.4672941449784963E-3</v>
      </c>
      <c r="M387" s="4">
        <v>225.02143000000001</v>
      </c>
      <c r="N387" s="1">
        <v>190.5</v>
      </c>
      <c r="O387" s="5">
        <v>103.7043</v>
      </c>
      <c r="P387" s="3">
        <f t="shared" si="57"/>
        <v>102.91191000000001</v>
      </c>
      <c r="S387" s="4">
        <v>250.00501</v>
      </c>
      <c r="T387" s="1">
        <v>190.5</v>
      </c>
      <c r="U387" s="3">
        <v>98.44735</v>
      </c>
      <c r="V387" s="3">
        <f t="shared" si="52"/>
        <v>101.77104</v>
      </c>
      <c r="W387" s="1">
        <f t="shared" si="58"/>
        <v>3.618756550972066E-3</v>
      </c>
      <c r="Y387" s="4">
        <v>250.02601999999999</v>
      </c>
      <c r="Z387" s="1">
        <v>190.5</v>
      </c>
      <c r="AA387" s="3">
        <v>105.5917</v>
      </c>
      <c r="AB387" s="3">
        <f t="shared" si="53"/>
        <v>103.98268</v>
      </c>
    </row>
    <row r="388" spans="1:28" x14ac:dyDescent="0.2">
      <c r="A388" s="2">
        <v>200.02045000000001</v>
      </c>
      <c r="B388" s="1">
        <v>191</v>
      </c>
      <c r="C388" s="3">
        <v>102.51946</v>
      </c>
      <c r="D388" s="3">
        <f t="shared" si="55"/>
        <v>102.39600999999999</v>
      </c>
      <c r="G388" s="4">
        <v>225.00619</v>
      </c>
      <c r="H388" s="1">
        <v>191</v>
      </c>
      <c r="I388" s="3">
        <v>99.418700000000001</v>
      </c>
      <c r="J388" s="3">
        <f t="shared" si="56"/>
        <v>101.00909</v>
      </c>
      <c r="K388" s="1">
        <f t="shared" si="59"/>
        <v>4.3697715183313593E-3</v>
      </c>
      <c r="M388" s="4">
        <v>225.01902000000001</v>
      </c>
      <c r="N388" s="1">
        <v>191</v>
      </c>
      <c r="O388" s="3">
        <v>103.63504</v>
      </c>
      <c r="P388" s="3">
        <f t="shared" si="57"/>
        <v>102.84265000000001</v>
      </c>
      <c r="S388" s="4">
        <v>250.00194999999999</v>
      </c>
      <c r="T388" s="1">
        <v>191</v>
      </c>
      <c r="U388" s="5">
        <v>98.441289999999995</v>
      </c>
      <c r="V388" s="3">
        <f t="shared" si="52"/>
        <v>101.76497999999999</v>
      </c>
      <c r="W388" s="1">
        <f t="shared" si="58"/>
        <v>3.6787769814915646E-3</v>
      </c>
      <c r="Y388" s="4">
        <v>250.02627000000001</v>
      </c>
      <c r="Z388" s="1">
        <v>191</v>
      </c>
      <c r="AA388" s="5">
        <v>105.44154</v>
      </c>
      <c r="AB388" s="3">
        <f t="shared" si="53"/>
        <v>103.83252</v>
      </c>
    </row>
    <row r="389" spans="1:28" x14ac:dyDescent="0.2">
      <c r="A389" s="2">
        <v>200.01871</v>
      </c>
      <c r="B389" s="1">
        <v>191.5</v>
      </c>
      <c r="C389" s="5">
        <v>102.65936000000001</v>
      </c>
      <c r="D389" s="3">
        <f t="shared" si="55"/>
        <v>102.53591</v>
      </c>
      <c r="G389" s="4">
        <v>225.01223999999999</v>
      </c>
      <c r="H389" s="1">
        <v>191.5</v>
      </c>
      <c r="I389" s="5">
        <v>99.432990000000004</v>
      </c>
      <c r="J389" s="3">
        <f t="shared" si="56"/>
        <v>101.02338</v>
      </c>
      <c r="K389" s="1">
        <f t="shared" si="59"/>
        <v>4.2272768010729817E-3</v>
      </c>
      <c r="M389" s="4">
        <v>225.01694000000001</v>
      </c>
      <c r="N389" s="1">
        <v>191.5</v>
      </c>
      <c r="O389" s="5">
        <v>103.71138999999999</v>
      </c>
      <c r="P389" s="3">
        <f t="shared" si="57"/>
        <v>102.919</v>
      </c>
      <c r="S389" s="4">
        <v>250.00307000000001</v>
      </c>
      <c r="T389" s="1">
        <v>191.5</v>
      </c>
      <c r="U389" s="3">
        <v>98.430660000000003</v>
      </c>
      <c r="V389" s="3">
        <f t="shared" si="52"/>
        <v>101.75435</v>
      </c>
      <c r="W389" s="1">
        <f t="shared" si="58"/>
        <v>3.7840603439373154E-3</v>
      </c>
      <c r="Y389" s="4">
        <v>250.02143000000001</v>
      </c>
      <c r="Z389" s="1">
        <v>191.5</v>
      </c>
      <c r="AA389" s="3">
        <v>105.56461</v>
      </c>
      <c r="AB389" s="3">
        <f t="shared" si="53"/>
        <v>103.95559</v>
      </c>
    </row>
    <row r="390" spans="1:28" x14ac:dyDescent="0.2">
      <c r="A390" s="2">
        <v>200.01458</v>
      </c>
      <c r="B390" s="1">
        <v>192</v>
      </c>
      <c r="C390" s="3">
        <v>102.7047</v>
      </c>
      <c r="D390" s="3">
        <f t="shared" si="55"/>
        <v>102.58125</v>
      </c>
      <c r="G390" s="4">
        <v>225.01215999999999</v>
      </c>
      <c r="H390" s="1">
        <v>192</v>
      </c>
      <c r="I390" s="3">
        <v>99.388670000000005</v>
      </c>
      <c r="J390" s="3">
        <f t="shared" si="56"/>
        <v>100.97906</v>
      </c>
      <c r="K390" s="1">
        <f t="shared" si="59"/>
        <v>4.6692198289869083E-3</v>
      </c>
      <c r="M390" s="4">
        <v>225.01849000000001</v>
      </c>
      <c r="N390" s="1">
        <v>192</v>
      </c>
      <c r="O390" s="3">
        <v>103.64982999999999</v>
      </c>
      <c r="P390" s="3">
        <f t="shared" si="57"/>
        <v>102.85744</v>
      </c>
      <c r="S390" s="4">
        <v>250.00601</v>
      </c>
      <c r="T390" s="1">
        <v>192</v>
      </c>
      <c r="U390" s="5">
        <v>98.451319999999996</v>
      </c>
      <c r="V390" s="3">
        <f t="shared" si="52"/>
        <v>101.77500999999999</v>
      </c>
      <c r="W390" s="1">
        <f t="shared" si="58"/>
        <v>3.5794362359288429E-3</v>
      </c>
      <c r="Y390" s="4">
        <v>250.02042</v>
      </c>
      <c r="Z390" s="1">
        <v>192</v>
      </c>
      <c r="AA390" s="5">
        <v>105.47563</v>
      </c>
      <c r="AB390" s="3">
        <f t="shared" si="53"/>
        <v>103.86660999999999</v>
      </c>
    </row>
    <row r="391" spans="1:28" x14ac:dyDescent="0.2">
      <c r="A391" s="2">
        <v>200.01237</v>
      </c>
      <c r="B391" s="1">
        <v>192.5</v>
      </c>
      <c r="C391" s="5">
        <v>102.52278</v>
      </c>
      <c r="D391" s="3">
        <f t="shared" si="55"/>
        <v>102.39932999999999</v>
      </c>
      <c r="G391" s="4">
        <v>225.00903</v>
      </c>
      <c r="H391" s="1">
        <v>192.5</v>
      </c>
      <c r="I391" s="5">
        <v>99.407120000000006</v>
      </c>
      <c r="J391" s="3">
        <f t="shared" si="56"/>
        <v>100.99751000000001</v>
      </c>
      <c r="K391" s="1">
        <f t="shared" si="59"/>
        <v>4.4852430946680285E-3</v>
      </c>
      <c r="M391" s="4">
        <v>225.01826</v>
      </c>
      <c r="N391" s="1">
        <v>192.5</v>
      </c>
      <c r="O391" s="5">
        <v>103.74081</v>
      </c>
      <c r="P391" s="3">
        <f t="shared" si="57"/>
        <v>102.94842</v>
      </c>
      <c r="S391" s="4">
        <v>250.00595999999999</v>
      </c>
      <c r="T391" s="1">
        <v>192.5</v>
      </c>
      <c r="U391" s="3">
        <v>98.442819999999998</v>
      </c>
      <c r="V391" s="3">
        <f t="shared" ref="V391:V454" si="60">100-($U$6-U391)</f>
        <v>101.76651</v>
      </c>
      <c r="W391" s="1">
        <f t="shared" si="58"/>
        <v>3.6636233084396002E-3</v>
      </c>
      <c r="Y391" s="4">
        <v>250.01805999999999</v>
      </c>
      <c r="Z391" s="1">
        <v>192.5</v>
      </c>
      <c r="AA391" s="3">
        <v>105.47983000000001</v>
      </c>
      <c r="AB391" s="3">
        <f t="shared" ref="AB391:AB454" si="61">100-($AA$6-AA391)</f>
        <v>103.87081000000001</v>
      </c>
    </row>
    <row r="392" spans="1:28" x14ac:dyDescent="0.2">
      <c r="A392" s="2">
        <v>200.01251999999999</v>
      </c>
      <c r="B392" s="1">
        <v>193</v>
      </c>
      <c r="C392" s="3">
        <v>102.47605</v>
      </c>
      <c r="D392" s="3">
        <f t="shared" ref="D392:D455" si="62">100-($C$6-C392)</f>
        <v>102.3526</v>
      </c>
      <c r="G392" s="4">
        <v>225.01194000000001</v>
      </c>
      <c r="H392" s="1">
        <v>193</v>
      </c>
      <c r="I392" s="3">
        <v>99.387829999999994</v>
      </c>
      <c r="J392" s="3">
        <f t="shared" ref="J392:J455" si="63">100-($I$6-I392)</f>
        <v>100.97821999999999</v>
      </c>
      <c r="K392" s="1">
        <f t="shared" si="59"/>
        <v>4.6775960055088512E-3</v>
      </c>
      <c r="M392" s="4">
        <v>225.01679999999999</v>
      </c>
      <c r="N392" s="1">
        <v>193</v>
      </c>
      <c r="O392" s="3">
        <v>103.75736000000001</v>
      </c>
      <c r="P392" s="3">
        <f t="shared" ref="P392:P455" si="64">100-($O$6-O392)</f>
        <v>102.96497000000001</v>
      </c>
      <c r="S392" s="4">
        <v>250.00996000000001</v>
      </c>
      <c r="T392" s="1">
        <v>193</v>
      </c>
      <c r="U392" s="5">
        <v>98.426500000000004</v>
      </c>
      <c r="V392" s="3">
        <f t="shared" si="60"/>
        <v>101.75019</v>
      </c>
      <c r="W392" s="1">
        <f t="shared" ref="W392:W455" si="65">($V$199-V392)/($V$199*(1-$H$1))</f>
        <v>3.8252624876602254E-3</v>
      </c>
      <c r="Y392" s="4">
        <v>250.01892000000001</v>
      </c>
      <c r="Z392" s="1">
        <v>193</v>
      </c>
      <c r="AA392" s="5">
        <v>105.41522999999999</v>
      </c>
      <c r="AB392" s="3">
        <f t="shared" si="61"/>
        <v>103.80620999999999</v>
      </c>
    </row>
    <row r="393" spans="1:28" x14ac:dyDescent="0.2">
      <c r="A393" s="2">
        <v>200.01480000000001</v>
      </c>
      <c r="B393" s="1">
        <v>193.5</v>
      </c>
      <c r="C393" s="5">
        <v>102.62802000000001</v>
      </c>
      <c r="D393" s="3">
        <f t="shared" si="62"/>
        <v>102.50457</v>
      </c>
      <c r="G393" s="4">
        <v>225.00708</v>
      </c>
      <c r="H393" s="1">
        <v>193.5</v>
      </c>
      <c r="I393" s="5">
        <v>99.374260000000007</v>
      </c>
      <c r="J393" s="3">
        <f t="shared" si="63"/>
        <v>100.96465000000001</v>
      </c>
      <c r="K393" s="1">
        <f t="shared" si="59"/>
        <v>4.8129111428912175E-3</v>
      </c>
      <c r="M393" s="4">
        <v>225.01513</v>
      </c>
      <c r="N393" s="1">
        <v>193.5</v>
      </c>
      <c r="O393" s="5">
        <v>103.84002</v>
      </c>
      <c r="P393" s="3">
        <f t="shared" si="64"/>
        <v>103.04763</v>
      </c>
      <c r="S393" s="4">
        <v>250.00787</v>
      </c>
      <c r="T393" s="1">
        <v>193.5</v>
      </c>
      <c r="U393" s="3">
        <v>98.426739999999995</v>
      </c>
      <c r="V393" s="3">
        <f t="shared" si="60"/>
        <v>101.75042999999999</v>
      </c>
      <c r="W393" s="1">
        <f t="shared" si="65"/>
        <v>3.8228854409070698E-3</v>
      </c>
      <c r="Y393" s="4">
        <v>250.02047999999999</v>
      </c>
      <c r="Z393" s="1">
        <v>193.5</v>
      </c>
      <c r="AA393" s="3">
        <v>105.56511</v>
      </c>
      <c r="AB393" s="3">
        <f t="shared" si="61"/>
        <v>103.95609</v>
      </c>
    </row>
    <row r="394" spans="1:28" x14ac:dyDescent="0.2">
      <c r="A394" s="2">
        <v>200.01674</v>
      </c>
      <c r="B394" s="1">
        <v>194</v>
      </c>
      <c r="C394" s="3">
        <v>102.48690000000001</v>
      </c>
      <c r="D394" s="3">
        <f t="shared" si="62"/>
        <v>102.36345</v>
      </c>
      <c r="G394" s="4">
        <v>225.00784999999999</v>
      </c>
      <c r="H394" s="1">
        <v>194</v>
      </c>
      <c r="I394" s="3">
        <v>99.40692</v>
      </c>
      <c r="J394" s="3">
        <f t="shared" si="63"/>
        <v>100.99731</v>
      </c>
      <c r="K394" s="1">
        <f t="shared" si="59"/>
        <v>4.4872374224113887E-3</v>
      </c>
      <c r="M394" s="4">
        <v>225.01407</v>
      </c>
      <c r="N394" s="1">
        <v>194</v>
      </c>
      <c r="O394" s="3">
        <v>103.67403</v>
      </c>
      <c r="P394" s="3">
        <f t="shared" si="64"/>
        <v>102.88164</v>
      </c>
      <c r="S394" s="4">
        <v>250.00496999999999</v>
      </c>
      <c r="T394" s="1">
        <v>194</v>
      </c>
      <c r="U394" s="5">
        <v>98.441280000000006</v>
      </c>
      <c r="V394" s="3">
        <f t="shared" si="60"/>
        <v>101.76497000000001</v>
      </c>
      <c r="W394" s="1">
        <f t="shared" si="65"/>
        <v>3.6788760251061738E-3</v>
      </c>
      <c r="Y394" s="4">
        <v>250.02151000000001</v>
      </c>
      <c r="Z394" s="1">
        <v>194</v>
      </c>
      <c r="AA394" s="5">
        <v>105.50583</v>
      </c>
      <c r="AB394" s="3">
        <f t="shared" si="61"/>
        <v>103.89681</v>
      </c>
    </row>
    <row r="395" spans="1:28" x14ac:dyDescent="0.2">
      <c r="A395" s="2">
        <v>200.0179</v>
      </c>
      <c r="B395" s="1">
        <v>194.5</v>
      </c>
      <c r="C395" s="5">
        <v>102.66792</v>
      </c>
      <c r="D395" s="3">
        <f t="shared" si="62"/>
        <v>102.54446999999999</v>
      </c>
      <c r="G395" s="4">
        <v>225.00807</v>
      </c>
      <c r="H395" s="1">
        <v>194.5</v>
      </c>
      <c r="I395" s="5">
        <v>99.373270000000005</v>
      </c>
      <c r="J395" s="3">
        <f t="shared" si="63"/>
        <v>100.96366</v>
      </c>
      <c r="K395" s="1">
        <f t="shared" si="59"/>
        <v>4.8227830652205379E-3</v>
      </c>
      <c r="M395" s="4">
        <v>225.00976</v>
      </c>
      <c r="N395" s="1">
        <v>194.5</v>
      </c>
      <c r="O395" s="5">
        <v>103.66462</v>
      </c>
      <c r="P395" s="3">
        <f t="shared" si="64"/>
        <v>102.87223</v>
      </c>
      <c r="S395" s="4">
        <v>250.00391999999999</v>
      </c>
      <c r="T395" s="1">
        <v>194.5</v>
      </c>
      <c r="U395" s="3">
        <v>98.447400000000002</v>
      </c>
      <c r="V395" s="3">
        <f t="shared" si="60"/>
        <v>101.77109</v>
      </c>
      <c r="W395" s="1">
        <f t="shared" si="65"/>
        <v>3.6182613328984569E-3</v>
      </c>
      <c r="Y395" s="4">
        <v>250.02117999999999</v>
      </c>
      <c r="Z395" s="1">
        <v>194.5</v>
      </c>
      <c r="AA395" s="3">
        <v>105.55963</v>
      </c>
      <c r="AB395" s="3">
        <f t="shared" si="61"/>
        <v>103.95061</v>
      </c>
    </row>
    <row r="396" spans="1:28" x14ac:dyDescent="0.2">
      <c r="A396" s="2">
        <v>200.01401000000001</v>
      </c>
      <c r="B396" s="1">
        <v>195</v>
      </c>
      <c r="C396" s="3">
        <v>102.60075000000001</v>
      </c>
      <c r="D396" s="3">
        <f t="shared" si="62"/>
        <v>102.4773</v>
      </c>
      <c r="G396" s="4">
        <v>225.00885</v>
      </c>
      <c r="H396" s="1">
        <v>195</v>
      </c>
      <c r="I396" s="3">
        <v>99.410399999999996</v>
      </c>
      <c r="J396" s="3">
        <f t="shared" si="63"/>
        <v>101.00078999999999</v>
      </c>
      <c r="K396" s="1">
        <f t="shared" si="59"/>
        <v>4.4525361196781129E-3</v>
      </c>
      <c r="M396" s="4">
        <v>225.00826000000001</v>
      </c>
      <c r="N396" s="1">
        <v>195</v>
      </c>
      <c r="O396" s="3">
        <v>103.78896</v>
      </c>
      <c r="P396" s="3">
        <f t="shared" si="64"/>
        <v>102.99657000000001</v>
      </c>
      <c r="S396" s="4">
        <v>250.00599</v>
      </c>
      <c r="T396" s="1">
        <v>195</v>
      </c>
      <c r="U396" s="5">
        <v>98.441299999999998</v>
      </c>
      <c r="V396" s="3">
        <f t="shared" si="60"/>
        <v>101.76499</v>
      </c>
      <c r="W396" s="1">
        <f t="shared" si="65"/>
        <v>3.6786779378768144E-3</v>
      </c>
      <c r="Y396" s="4">
        <v>250.02180000000001</v>
      </c>
      <c r="Z396" s="1">
        <v>195</v>
      </c>
      <c r="AA396" s="5">
        <v>105.53791</v>
      </c>
      <c r="AB396" s="3">
        <f t="shared" si="61"/>
        <v>103.92889</v>
      </c>
    </row>
    <row r="397" spans="1:28" x14ac:dyDescent="0.2">
      <c r="A397" s="2">
        <v>200.01416</v>
      </c>
      <c r="B397" s="1">
        <v>195.5</v>
      </c>
      <c r="C397" s="5">
        <v>102.58763</v>
      </c>
      <c r="D397" s="3">
        <f t="shared" si="62"/>
        <v>102.46418</v>
      </c>
      <c r="G397" s="4">
        <v>225.01093</v>
      </c>
      <c r="H397" s="1">
        <v>195.5</v>
      </c>
      <c r="I397" s="5">
        <v>99.393820000000005</v>
      </c>
      <c r="J397" s="3">
        <f t="shared" si="63"/>
        <v>100.98421</v>
      </c>
      <c r="K397" s="1">
        <f t="shared" si="59"/>
        <v>4.6178658895970849E-3</v>
      </c>
      <c r="M397" s="4">
        <v>225.01463000000001</v>
      </c>
      <c r="N397" s="1">
        <v>195.5</v>
      </c>
      <c r="O397" s="5">
        <v>103.82657</v>
      </c>
      <c r="P397" s="3">
        <f t="shared" si="64"/>
        <v>103.03418000000001</v>
      </c>
      <c r="S397" s="4">
        <v>250.00503</v>
      </c>
      <c r="T397" s="1">
        <v>195.5</v>
      </c>
      <c r="U397" s="3">
        <v>98.441100000000006</v>
      </c>
      <c r="V397" s="3">
        <f t="shared" si="60"/>
        <v>101.76479</v>
      </c>
      <c r="W397" s="1">
        <f t="shared" si="65"/>
        <v>3.6806588101711106E-3</v>
      </c>
      <c r="Y397" s="4">
        <v>250.01711</v>
      </c>
      <c r="Z397" s="1">
        <v>195.5</v>
      </c>
      <c r="AA397" s="3">
        <v>105.61103</v>
      </c>
      <c r="AB397" s="3">
        <f t="shared" si="61"/>
        <v>104.00201</v>
      </c>
    </row>
    <row r="398" spans="1:28" x14ac:dyDescent="0.2">
      <c r="A398" s="2">
        <v>200.01535000000001</v>
      </c>
      <c r="B398" s="1">
        <v>196</v>
      </c>
      <c r="C398" s="3">
        <v>102.66764999999999</v>
      </c>
      <c r="D398" s="3">
        <f t="shared" si="62"/>
        <v>102.54419999999999</v>
      </c>
      <c r="G398" s="4">
        <v>225.00380000000001</v>
      </c>
      <c r="H398" s="1">
        <v>196</v>
      </c>
      <c r="I398" s="3">
        <v>99.407160000000005</v>
      </c>
      <c r="J398" s="3">
        <f t="shared" si="63"/>
        <v>100.99755</v>
      </c>
      <c r="K398" s="1">
        <f t="shared" si="59"/>
        <v>4.4848442291193849E-3</v>
      </c>
      <c r="M398" s="4">
        <v>225.01444000000001</v>
      </c>
      <c r="N398" s="1">
        <v>196</v>
      </c>
      <c r="O398" s="3">
        <v>103.92362</v>
      </c>
      <c r="P398" s="3">
        <f t="shared" si="64"/>
        <v>103.13123</v>
      </c>
      <c r="S398" s="4">
        <v>250.00101000000001</v>
      </c>
      <c r="T398" s="1">
        <v>196</v>
      </c>
      <c r="U398" s="5">
        <v>98.418030000000002</v>
      </c>
      <c r="V398" s="3">
        <f t="shared" si="60"/>
        <v>101.74172</v>
      </c>
      <c r="W398" s="1">
        <f t="shared" si="65"/>
        <v>3.9091524293268726E-3</v>
      </c>
      <c r="Y398" s="4">
        <v>250.01571000000001</v>
      </c>
      <c r="Z398" s="1">
        <v>196</v>
      </c>
      <c r="AA398" s="5">
        <v>105.59545</v>
      </c>
      <c r="AB398" s="3">
        <f t="shared" si="61"/>
        <v>103.98643</v>
      </c>
    </row>
    <row r="399" spans="1:28" x14ac:dyDescent="0.2">
      <c r="A399" s="2">
        <v>200.02012999999999</v>
      </c>
      <c r="B399" s="1">
        <v>196.5</v>
      </c>
      <c r="C399" s="5">
        <v>102.57523999999999</v>
      </c>
      <c r="D399" s="3">
        <f t="shared" si="62"/>
        <v>102.45178999999999</v>
      </c>
      <c r="G399" s="4">
        <v>225.00800000000001</v>
      </c>
      <c r="H399" s="1">
        <v>196.5</v>
      </c>
      <c r="I399" s="5">
        <v>99.434640000000002</v>
      </c>
      <c r="J399" s="3">
        <f t="shared" si="63"/>
        <v>101.02503</v>
      </c>
      <c r="K399" s="1">
        <f t="shared" si="59"/>
        <v>4.210823597190827E-3</v>
      </c>
      <c r="M399" s="4">
        <v>225.01356000000001</v>
      </c>
      <c r="N399" s="1">
        <v>196.5</v>
      </c>
      <c r="O399" s="5">
        <v>103.85576</v>
      </c>
      <c r="P399" s="3">
        <f t="shared" si="64"/>
        <v>103.06337000000001</v>
      </c>
      <c r="S399" s="4">
        <v>250.0001</v>
      </c>
      <c r="T399" s="1">
        <v>196.5</v>
      </c>
      <c r="U399" s="3">
        <v>98.426739999999995</v>
      </c>
      <c r="V399" s="3">
        <f t="shared" si="60"/>
        <v>101.75042999999999</v>
      </c>
      <c r="W399" s="1">
        <f t="shared" si="65"/>
        <v>3.8228854409070698E-3</v>
      </c>
      <c r="Y399" s="4">
        <v>250.01572999999999</v>
      </c>
      <c r="Z399" s="1">
        <v>196.5</v>
      </c>
      <c r="AA399" s="3">
        <v>105.53353</v>
      </c>
      <c r="AB399" s="3">
        <f t="shared" si="61"/>
        <v>103.92451</v>
      </c>
    </row>
    <row r="400" spans="1:28" x14ac:dyDescent="0.2">
      <c r="A400" s="2">
        <v>200.02071000000001</v>
      </c>
      <c r="B400" s="1">
        <v>197</v>
      </c>
      <c r="C400" s="3">
        <v>102.68255000000001</v>
      </c>
      <c r="D400" s="3">
        <f t="shared" si="62"/>
        <v>102.5591</v>
      </c>
      <c r="G400" s="4">
        <v>225.00308000000001</v>
      </c>
      <c r="H400" s="1">
        <v>197</v>
      </c>
      <c r="I400" s="3">
        <v>99.388419999999996</v>
      </c>
      <c r="J400" s="3">
        <f t="shared" si="63"/>
        <v>100.97881</v>
      </c>
      <c r="K400" s="1">
        <f t="shared" si="59"/>
        <v>4.6717127386661089E-3</v>
      </c>
      <c r="M400" s="4">
        <v>225.01589999999999</v>
      </c>
      <c r="N400" s="1">
        <v>197</v>
      </c>
      <c r="O400" s="3">
        <v>103.80976</v>
      </c>
      <c r="P400" s="3">
        <f t="shared" si="64"/>
        <v>103.01737</v>
      </c>
      <c r="S400" s="4">
        <v>250.00097</v>
      </c>
      <c r="T400" s="1">
        <v>197</v>
      </c>
      <c r="U400" s="5">
        <v>98.426329999999993</v>
      </c>
      <c r="V400" s="3">
        <f t="shared" si="60"/>
        <v>101.75001999999999</v>
      </c>
      <c r="W400" s="1">
        <f t="shared" si="65"/>
        <v>3.8269462291105529E-3</v>
      </c>
      <c r="Y400" s="4">
        <v>250.01713000000001</v>
      </c>
      <c r="Z400" s="1">
        <v>197</v>
      </c>
      <c r="AA400" s="5">
        <v>105.47776</v>
      </c>
      <c r="AB400" s="3">
        <f t="shared" si="61"/>
        <v>103.86874</v>
      </c>
    </row>
    <row r="401" spans="1:28" x14ac:dyDescent="0.2">
      <c r="A401" s="2">
        <v>200.01967999999999</v>
      </c>
      <c r="B401" s="1">
        <v>197.5</v>
      </c>
      <c r="C401" s="5">
        <v>102.56175</v>
      </c>
      <c r="D401" s="3">
        <f t="shared" si="62"/>
        <v>102.4383</v>
      </c>
      <c r="G401" s="4">
        <v>225.00883999999999</v>
      </c>
      <c r="H401" s="1">
        <v>197.5</v>
      </c>
      <c r="I401" s="5">
        <v>99.432180000000002</v>
      </c>
      <c r="J401" s="3">
        <f t="shared" si="63"/>
        <v>101.02257</v>
      </c>
      <c r="K401" s="1">
        <f t="shared" si="59"/>
        <v>4.2353538284333348E-3</v>
      </c>
      <c r="M401" s="4">
        <v>225.01567</v>
      </c>
      <c r="N401" s="1">
        <v>197.5</v>
      </c>
      <c r="O401" s="5">
        <v>103.83895</v>
      </c>
      <c r="P401" s="3">
        <f t="shared" si="64"/>
        <v>103.04656</v>
      </c>
      <c r="S401" s="4">
        <v>250.001</v>
      </c>
      <c r="T401" s="1">
        <v>197.5</v>
      </c>
      <c r="U401" s="3">
        <v>98.428520000000006</v>
      </c>
      <c r="V401" s="3">
        <f t="shared" si="60"/>
        <v>101.75221000000001</v>
      </c>
      <c r="W401" s="1">
        <f t="shared" si="65"/>
        <v>3.8052556774870591E-3</v>
      </c>
      <c r="Y401" s="4">
        <v>250.01545999999999</v>
      </c>
      <c r="Z401" s="1">
        <v>197.5</v>
      </c>
      <c r="AA401" s="3">
        <v>105.53462</v>
      </c>
      <c r="AB401" s="3">
        <f t="shared" si="61"/>
        <v>103.9256</v>
      </c>
    </row>
    <row r="402" spans="1:28" x14ac:dyDescent="0.2">
      <c r="A402" s="2">
        <v>200.01748000000001</v>
      </c>
      <c r="B402" s="1">
        <v>198</v>
      </c>
      <c r="C402" s="3">
        <v>102.55882</v>
      </c>
      <c r="D402" s="3">
        <f t="shared" si="62"/>
        <v>102.43536999999999</v>
      </c>
      <c r="G402" s="4">
        <v>225.00709000000001</v>
      </c>
      <c r="H402" s="1">
        <v>198</v>
      </c>
      <c r="I402" s="3">
        <v>99.388670000000005</v>
      </c>
      <c r="J402" s="3">
        <f t="shared" si="63"/>
        <v>100.97906</v>
      </c>
      <c r="K402" s="1">
        <f t="shared" si="59"/>
        <v>4.6692198289869083E-3</v>
      </c>
      <c r="M402" s="4">
        <v>225.01626999999999</v>
      </c>
      <c r="N402" s="1">
        <v>198</v>
      </c>
      <c r="O402" s="3">
        <v>103.72264</v>
      </c>
      <c r="P402" s="3">
        <f t="shared" si="64"/>
        <v>102.93025</v>
      </c>
      <c r="S402" s="4">
        <v>250.00506999999999</v>
      </c>
      <c r="T402" s="1">
        <v>198</v>
      </c>
      <c r="U402" s="5">
        <v>98.434719999999999</v>
      </c>
      <c r="V402" s="3">
        <f t="shared" si="60"/>
        <v>101.75841</v>
      </c>
      <c r="W402" s="1">
        <f t="shared" si="65"/>
        <v>3.7438486363616237E-3</v>
      </c>
      <c r="Y402" s="4">
        <v>250.01458</v>
      </c>
      <c r="Z402" s="1">
        <v>198</v>
      </c>
      <c r="AA402" s="5">
        <v>105.45462000000001</v>
      </c>
      <c r="AB402" s="3">
        <f t="shared" si="61"/>
        <v>103.8456</v>
      </c>
    </row>
    <row r="403" spans="1:28" x14ac:dyDescent="0.2">
      <c r="A403" s="2">
        <v>200.01472999999999</v>
      </c>
      <c r="B403" s="1">
        <v>198.5</v>
      </c>
      <c r="C403" s="5">
        <v>102.65604</v>
      </c>
      <c r="D403" s="3">
        <f t="shared" si="62"/>
        <v>102.53259</v>
      </c>
      <c r="G403" s="4">
        <v>225.00874999999999</v>
      </c>
      <c r="H403" s="1">
        <v>198.5</v>
      </c>
      <c r="I403" s="5">
        <v>99.409049999999993</v>
      </c>
      <c r="J403" s="3">
        <f t="shared" si="63"/>
        <v>100.99943999999999</v>
      </c>
      <c r="K403" s="1">
        <f t="shared" si="59"/>
        <v>4.4659978319453687E-3</v>
      </c>
      <c r="M403" s="4">
        <v>225.01964000000001</v>
      </c>
      <c r="N403" s="1">
        <v>198.5</v>
      </c>
      <c r="O403" s="5">
        <v>103.80448</v>
      </c>
      <c r="P403" s="3">
        <f t="shared" si="64"/>
        <v>103.01209</v>
      </c>
      <c r="S403" s="4">
        <v>250.001</v>
      </c>
      <c r="T403" s="1">
        <v>198.5</v>
      </c>
      <c r="U403" s="3">
        <v>98.424779999999998</v>
      </c>
      <c r="V403" s="3">
        <f t="shared" si="60"/>
        <v>101.74847</v>
      </c>
      <c r="W403" s="1">
        <f t="shared" si="65"/>
        <v>3.8422979893918767E-3</v>
      </c>
      <c r="Y403" s="4">
        <v>250.01409000000001</v>
      </c>
      <c r="Z403" s="1">
        <v>198.5</v>
      </c>
      <c r="AA403" s="3">
        <v>105.5304</v>
      </c>
      <c r="AB403" s="3">
        <f t="shared" si="61"/>
        <v>103.92138</v>
      </c>
    </row>
    <row r="404" spans="1:28" x14ac:dyDescent="0.2">
      <c r="A404" s="2">
        <v>200.01170999999999</v>
      </c>
      <c r="B404" s="1">
        <v>199</v>
      </c>
      <c r="C404" s="3">
        <v>102.54867</v>
      </c>
      <c r="D404" s="3">
        <f t="shared" si="62"/>
        <v>102.42522</v>
      </c>
      <c r="G404" s="4">
        <v>225.00905</v>
      </c>
      <c r="H404" s="1">
        <v>199</v>
      </c>
      <c r="I404" s="3">
        <v>99.415350000000004</v>
      </c>
      <c r="J404" s="3">
        <f t="shared" si="63"/>
        <v>101.00574</v>
      </c>
      <c r="K404" s="1">
        <f t="shared" si="59"/>
        <v>4.4031765080315083E-3</v>
      </c>
      <c r="M404" s="4">
        <v>225.02035000000001</v>
      </c>
      <c r="N404" s="1">
        <v>199</v>
      </c>
      <c r="O404" s="3">
        <v>103.7932</v>
      </c>
      <c r="P404" s="3">
        <f t="shared" si="64"/>
        <v>103.00081</v>
      </c>
      <c r="S404" s="4">
        <v>250.00599</v>
      </c>
      <c r="T404" s="1">
        <v>199</v>
      </c>
      <c r="U404" s="5">
        <v>98.436719999999994</v>
      </c>
      <c r="V404" s="3">
        <f t="shared" si="60"/>
        <v>101.76040999999999</v>
      </c>
      <c r="W404" s="1">
        <f t="shared" si="65"/>
        <v>3.7240399134179578E-3</v>
      </c>
      <c r="Y404" s="4">
        <v>250.01766000000001</v>
      </c>
      <c r="Z404" s="1">
        <v>199</v>
      </c>
      <c r="AA404" s="5">
        <v>105.57684999999999</v>
      </c>
      <c r="AB404" s="3">
        <f t="shared" si="61"/>
        <v>103.96782999999999</v>
      </c>
    </row>
    <row r="405" spans="1:28" x14ac:dyDescent="0.2">
      <c r="A405" s="2">
        <v>200.01408000000001</v>
      </c>
      <c r="B405" s="1">
        <v>199.5</v>
      </c>
      <c r="C405" s="5">
        <v>102.58866</v>
      </c>
      <c r="D405" s="3">
        <f t="shared" si="62"/>
        <v>102.46521</v>
      </c>
      <c r="G405" s="4">
        <v>225.00382999999999</v>
      </c>
      <c r="H405" s="1">
        <v>199.5</v>
      </c>
      <c r="I405" s="5">
        <v>99.400099999999995</v>
      </c>
      <c r="J405" s="3">
        <f t="shared" si="63"/>
        <v>100.99048999999999</v>
      </c>
      <c r="K405" s="1">
        <f t="shared" si="59"/>
        <v>4.5552439984577588E-3</v>
      </c>
      <c r="M405" s="4">
        <v>225.02194</v>
      </c>
      <c r="N405" s="1">
        <v>199.5</v>
      </c>
      <c r="O405" s="5">
        <v>103.68933</v>
      </c>
      <c r="P405" s="3">
        <f t="shared" si="64"/>
        <v>102.89694</v>
      </c>
      <c r="S405" s="4">
        <v>250.00896</v>
      </c>
      <c r="T405" s="1">
        <v>199.5</v>
      </c>
      <c r="U405" s="3">
        <v>98.440669999999997</v>
      </c>
      <c r="V405" s="3">
        <f t="shared" si="60"/>
        <v>101.76436</v>
      </c>
      <c r="W405" s="1">
        <f t="shared" si="65"/>
        <v>3.6849176856040941E-3</v>
      </c>
      <c r="Y405" s="4">
        <v>250.01775000000001</v>
      </c>
      <c r="Z405" s="1">
        <v>199.5</v>
      </c>
      <c r="AA405" s="3">
        <v>105.52382</v>
      </c>
      <c r="AB405" s="3">
        <f t="shared" si="61"/>
        <v>103.9148</v>
      </c>
    </row>
    <row r="406" spans="1:28" x14ac:dyDescent="0.2">
      <c r="A406" s="2">
        <v>200.01706999999999</v>
      </c>
      <c r="B406" s="1">
        <v>200</v>
      </c>
      <c r="C406" s="3">
        <v>102.73172</v>
      </c>
      <c r="D406" s="3">
        <f t="shared" si="62"/>
        <v>102.60826999999999</v>
      </c>
      <c r="G406" s="4">
        <v>225.00292999999999</v>
      </c>
      <c r="H406" s="1">
        <v>200</v>
      </c>
      <c r="I406" s="3">
        <v>99.438659999999999</v>
      </c>
      <c r="J406" s="3">
        <f t="shared" si="63"/>
        <v>101.02905</v>
      </c>
      <c r="K406" s="1">
        <f t="shared" si="59"/>
        <v>4.1707376095506486E-3</v>
      </c>
      <c r="M406" s="4">
        <v>225.02293</v>
      </c>
      <c r="N406" s="1">
        <v>200</v>
      </c>
      <c r="O406" s="3">
        <v>103.81820999999999</v>
      </c>
      <c r="P406" s="3">
        <f t="shared" si="64"/>
        <v>103.02582</v>
      </c>
      <c r="S406" s="4">
        <v>250.00793999999999</v>
      </c>
      <c r="T406" s="1">
        <v>200</v>
      </c>
      <c r="U406" s="5">
        <v>98.4422</v>
      </c>
      <c r="V406" s="3">
        <f t="shared" si="60"/>
        <v>101.76589</v>
      </c>
      <c r="W406" s="1">
        <f t="shared" si="65"/>
        <v>3.6697640125521297E-3</v>
      </c>
      <c r="Y406" s="4">
        <v>250.01707999999999</v>
      </c>
      <c r="Z406" s="1">
        <v>200</v>
      </c>
      <c r="AA406" s="5">
        <v>105.59344</v>
      </c>
      <c r="AB406" s="3">
        <f t="shared" si="61"/>
        <v>103.98442</v>
      </c>
    </row>
    <row r="407" spans="1:28" x14ac:dyDescent="0.2">
      <c r="A407" s="2">
        <v>200.01414</v>
      </c>
      <c r="B407" s="1">
        <v>200.5</v>
      </c>
      <c r="C407" s="5">
        <v>102.64767999999999</v>
      </c>
      <c r="D407" s="3">
        <f t="shared" si="62"/>
        <v>102.52422999999999</v>
      </c>
      <c r="G407" s="4">
        <v>224.99512999999999</v>
      </c>
      <c r="H407" s="1">
        <v>200.5</v>
      </c>
      <c r="I407" s="5">
        <v>99.382769999999994</v>
      </c>
      <c r="J407" s="3">
        <f t="shared" si="63"/>
        <v>100.97315999999999</v>
      </c>
      <c r="K407" s="1">
        <f t="shared" si="59"/>
        <v>4.7280524974141905E-3</v>
      </c>
      <c r="M407" s="4">
        <v>225.02133000000001</v>
      </c>
      <c r="N407" s="1">
        <v>200.5</v>
      </c>
      <c r="O407" s="5">
        <v>103.79568999999999</v>
      </c>
      <c r="P407" s="3">
        <f t="shared" si="64"/>
        <v>103.0033</v>
      </c>
      <c r="S407" s="4">
        <v>250.00698</v>
      </c>
      <c r="T407" s="1">
        <v>200.5</v>
      </c>
      <c r="U407" s="3">
        <v>98.436700000000002</v>
      </c>
      <c r="V407" s="3">
        <f t="shared" si="60"/>
        <v>101.76039</v>
      </c>
      <c r="W407" s="1">
        <f t="shared" si="65"/>
        <v>3.7242380006473168E-3</v>
      </c>
      <c r="Y407" s="4">
        <v>250.01579000000001</v>
      </c>
      <c r="Z407" s="1">
        <v>200.5</v>
      </c>
      <c r="AA407" s="3">
        <v>105.58241</v>
      </c>
      <c r="AB407" s="3">
        <f t="shared" si="61"/>
        <v>103.97338999999999</v>
      </c>
    </row>
    <row r="408" spans="1:28" x14ac:dyDescent="0.2">
      <c r="A408" s="2">
        <v>200.01310000000001</v>
      </c>
      <c r="B408" s="1">
        <v>201</v>
      </c>
      <c r="C408" s="3">
        <v>102.57308999999999</v>
      </c>
      <c r="D408" s="3">
        <f t="shared" si="62"/>
        <v>102.44963999999999</v>
      </c>
      <c r="G408" s="4">
        <v>225.00033999999999</v>
      </c>
      <c r="H408" s="1">
        <v>201</v>
      </c>
      <c r="I408" s="3">
        <v>99.429910000000007</v>
      </c>
      <c r="J408" s="3">
        <f t="shared" si="63"/>
        <v>101.02030000000001</v>
      </c>
      <c r="K408" s="1">
        <f t="shared" si="59"/>
        <v>4.2579894483196793E-3</v>
      </c>
      <c r="M408" s="4">
        <v>225.01822000000001</v>
      </c>
      <c r="N408" s="1">
        <v>201</v>
      </c>
      <c r="O408" s="3">
        <v>103.80329</v>
      </c>
      <c r="P408" s="3">
        <f t="shared" si="64"/>
        <v>103.01090000000001</v>
      </c>
      <c r="S408" s="4">
        <v>250.00604000000001</v>
      </c>
      <c r="T408" s="1">
        <v>201</v>
      </c>
      <c r="U408" s="5">
        <v>98.424530000000004</v>
      </c>
      <c r="V408" s="3">
        <f t="shared" si="60"/>
        <v>101.74822</v>
      </c>
      <c r="W408" s="1">
        <f t="shared" si="65"/>
        <v>3.8447740797597821E-3</v>
      </c>
      <c r="Y408" s="4">
        <v>250.01297</v>
      </c>
      <c r="Z408" s="1">
        <v>201</v>
      </c>
      <c r="AA408" s="5">
        <v>105.53711</v>
      </c>
      <c r="AB408" s="3">
        <f t="shared" si="61"/>
        <v>103.92809</v>
      </c>
    </row>
    <row r="409" spans="1:28" x14ac:dyDescent="0.2">
      <c r="A409" s="2">
        <v>200.01625999999999</v>
      </c>
      <c r="B409" s="1">
        <v>201.5</v>
      </c>
      <c r="C409" s="5">
        <v>102.65882000000001</v>
      </c>
      <c r="D409" s="3">
        <f t="shared" si="62"/>
        <v>102.53537</v>
      </c>
      <c r="G409" s="4">
        <v>224.99983</v>
      </c>
      <c r="H409" s="1">
        <v>201.5</v>
      </c>
      <c r="I409" s="5">
        <v>99.427769999999995</v>
      </c>
      <c r="J409" s="3">
        <f t="shared" si="63"/>
        <v>101.01815999999999</v>
      </c>
      <c r="K409" s="1">
        <f t="shared" si="59"/>
        <v>4.2793287551730376E-3</v>
      </c>
      <c r="M409" s="4">
        <v>225.01599999999999</v>
      </c>
      <c r="N409" s="1">
        <v>201.5</v>
      </c>
      <c r="O409" s="5">
        <v>103.83024</v>
      </c>
      <c r="P409" s="3">
        <f t="shared" si="64"/>
        <v>103.03785000000001</v>
      </c>
      <c r="S409" s="4">
        <v>250.00597999999999</v>
      </c>
      <c r="T409" s="1">
        <v>201.5</v>
      </c>
      <c r="U409" s="3">
        <v>98.428560000000004</v>
      </c>
      <c r="V409" s="3">
        <f t="shared" si="60"/>
        <v>101.75225</v>
      </c>
      <c r="W409" s="1">
        <f t="shared" si="65"/>
        <v>3.8048595030282001E-3</v>
      </c>
      <c r="Y409" s="4">
        <v>250.01306</v>
      </c>
      <c r="Z409" s="1">
        <v>201.5</v>
      </c>
      <c r="AA409" s="3">
        <v>105.61127999999999</v>
      </c>
      <c r="AB409" s="3">
        <f t="shared" si="61"/>
        <v>104.00225999999999</v>
      </c>
    </row>
    <row r="410" spans="1:28" x14ac:dyDescent="0.2">
      <c r="A410" s="2">
        <v>200.01867999999999</v>
      </c>
      <c r="B410" s="1">
        <v>202</v>
      </c>
      <c r="C410" s="3">
        <v>102.60317000000001</v>
      </c>
      <c r="D410" s="3">
        <f t="shared" si="62"/>
        <v>102.47972</v>
      </c>
      <c r="G410" s="4">
        <v>225.00004000000001</v>
      </c>
      <c r="H410" s="1">
        <v>202</v>
      </c>
      <c r="I410" s="3">
        <v>99.44614</v>
      </c>
      <c r="J410" s="3">
        <f t="shared" si="63"/>
        <v>101.03653</v>
      </c>
      <c r="K410" s="1">
        <f t="shared" si="59"/>
        <v>4.096149751951445E-3</v>
      </c>
      <c r="M410" s="4">
        <v>225.01759999999999</v>
      </c>
      <c r="N410" s="1">
        <v>202</v>
      </c>
      <c r="O410" s="3">
        <v>103.74272999999999</v>
      </c>
      <c r="P410" s="3">
        <f t="shared" si="64"/>
        <v>102.95034</v>
      </c>
      <c r="S410" s="4">
        <v>250.00501</v>
      </c>
      <c r="T410" s="1">
        <v>202</v>
      </c>
      <c r="U410" s="5">
        <v>98.426400000000001</v>
      </c>
      <c r="V410" s="3">
        <f t="shared" si="60"/>
        <v>101.75009</v>
      </c>
      <c r="W410" s="1">
        <f t="shared" si="65"/>
        <v>3.8262529238074438E-3</v>
      </c>
      <c r="Y410" s="4">
        <v>250.01139000000001</v>
      </c>
      <c r="Z410" s="1">
        <v>202</v>
      </c>
      <c r="AA410" s="5">
        <v>105.47489</v>
      </c>
      <c r="AB410" s="3">
        <f t="shared" si="61"/>
        <v>103.86587</v>
      </c>
    </row>
    <row r="411" spans="1:28" x14ac:dyDescent="0.2">
      <c r="A411" s="2">
        <v>200.01288</v>
      </c>
      <c r="B411" s="1">
        <v>202.5</v>
      </c>
      <c r="C411" s="5">
        <v>102.66528</v>
      </c>
      <c r="D411" s="3">
        <f t="shared" si="62"/>
        <v>102.54182999999999</v>
      </c>
      <c r="G411" s="4">
        <v>225.00009</v>
      </c>
      <c r="H411" s="1">
        <v>202.5</v>
      </c>
      <c r="I411" s="5">
        <v>99.424620000000004</v>
      </c>
      <c r="J411" s="3">
        <f t="shared" si="63"/>
        <v>101.01501</v>
      </c>
      <c r="K411" s="1">
        <f t="shared" si="59"/>
        <v>4.3107394171298264E-3</v>
      </c>
      <c r="M411" s="4">
        <v>225.01365000000001</v>
      </c>
      <c r="N411" s="1">
        <v>202.5</v>
      </c>
      <c r="O411" s="5">
        <v>103.79095</v>
      </c>
      <c r="P411" s="3">
        <f t="shared" si="64"/>
        <v>102.99856</v>
      </c>
      <c r="S411" s="4">
        <v>250.00603000000001</v>
      </c>
      <c r="T411" s="1">
        <v>202.5</v>
      </c>
      <c r="U411" s="3">
        <v>98.436949999999996</v>
      </c>
      <c r="V411" s="3">
        <f t="shared" si="60"/>
        <v>101.76064</v>
      </c>
      <c r="W411" s="1">
        <f t="shared" si="65"/>
        <v>3.7217619102794114E-3</v>
      </c>
      <c r="Y411" s="4">
        <v>250.00868</v>
      </c>
      <c r="Z411" s="1">
        <v>202.5</v>
      </c>
      <c r="AA411" s="3">
        <v>105.50911000000001</v>
      </c>
      <c r="AB411" s="3">
        <f t="shared" si="61"/>
        <v>103.90009000000001</v>
      </c>
    </row>
    <row r="412" spans="1:28" x14ac:dyDescent="0.2">
      <c r="A412" s="2">
        <v>200.01057</v>
      </c>
      <c r="B412" s="1">
        <v>203</v>
      </c>
      <c r="C412" s="3">
        <v>102.63119</v>
      </c>
      <c r="D412" s="3">
        <f t="shared" si="62"/>
        <v>102.50774</v>
      </c>
      <c r="G412" s="4">
        <v>225.00190000000001</v>
      </c>
      <c r="H412" s="1">
        <v>203</v>
      </c>
      <c r="I412" s="3">
        <v>99.485150000000004</v>
      </c>
      <c r="J412" s="3">
        <f t="shared" si="63"/>
        <v>101.07554</v>
      </c>
      <c r="K412" s="1">
        <f t="shared" si="59"/>
        <v>3.7071561256219162E-3</v>
      </c>
      <c r="M412" s="4">
        <v>225.01347000000001</v>
      </c>
      <c r="N412" s="1">
        <v>203</v>
      </c>
      <c r="O412" s="3">
        <v>103.76378</v>
      </c>
      <c r="P412" s="3">
        <f t="shared" si="64"/>
        <v>102.97139</v>
      </c>
      <c r="S412" s="4">
        <v>250.00507999999999</v>
      </c>
      <c r="T412" s="1">
        <v>203</v>
      </c>
      <c r="U412" s="5">
        <v>98.420190000000005</v>
      </c>
      <c r="V412" s="3">
        <f t="shared" si="60"/>
        <v>101.74388</v>
      </c>
      <c r="W412" s="1">
        <f t="shared" si="65"/>
        <v>3.8877590085476294E-3</v>
      </c>
      <c r="Y412" s="4">
        <v>250.00754000000001</v>
      </c>
      <c r="Z412" s="1">
        <v>203</v>
      </c>
      <c r="AA412" s="5">
        <v>105.6191</v>
      </c>
      <c r="AB412" s="3">
        <f t="shared" si="61"/>
        <v>104.01008</v>
      </c>
    </row>
    <row r="413" spans="1:28" x14ac:dyDescent="0.2">
      <c r="A413" s="2">
        <v>200.00996000000001</v>
      </c>
      <c r="B413" s="1">
        <v>203.5</v>
      </c>
      <c r="C413" s="5">
        <v>102.55188</v>
      </c>
      <c r="D413" s="3">
        <f t="shared" si="62"/>
        <v>102.42842999999999</v>
      </c>
      <c r="G413" s="4">
        <v>225.00095999999999</v>
      </c>
      <c r="H413" s="1">
        <v>203.5</v>
      </c>
      <c r="I413" s="5">
        <v>99.438479999999998</v>
      </c>
      <c r="J413" s="3">
        <f t="shared" si="63"/>
        <v>101.02887</v>
      </c>
      <c r="K413" s="1">
        <f t="shared" si="59"/>
        <v>4.1725325045196158E-3</v>
      </c>
      <c r="M413" s="4">
        <v>225.01291000000001</v>
      </c>
      <c r="N413" s="1">
        <v>203.5</v>
      </c>
      <c r="O413" s="5">
        <v>103.82468</v>
      </c>
      <c r="P413" s="3">
        <f t="shared" si="64"/>
        <v>103.03229</v>
      </c>
      <c r="S413" s="4">
        <v>250.00399999999999</v>
      </c>
      <c r="T413" s="1">
        <v>203.5</v>
      </c>
      <c r="U413" s="3">
        <v>98.416409999999999</v>
      </c>
      <c r="V413" s="3">
        <f t="shared" si="60"/>
        <v>101.7401</v>
      </c>
      <c r="W413" s="1">
        <f t="shared" si="65"/>
        <v>3.9251974949113056E-3</v>
      </c>
      <c r="Y413" s="4">
        <v>250.00782000000001</v>
      </c>
      <c r="Z413" s="1">
        <v>203.5</v>
      </c>
      <c r="AA413" s="3">
        <v>105.44926</v>
      </c>
      <c r="AB413" s="3">
        <f t="shared" si="61"/>
        <v>103.84023999999999</v>
      </c>
    </row>
    <row r="414" spans="1:28" x14ac:dyDescent="0.2">
      <c r="A414" s="2">
        <v>200.01402999999999</v>
      </c>
      <c r="B414" s="1">
        <v>204</v>
      </c>
      <c r="C414" s="3">
        <v>102.68217</v>
      </c>
      <c r="D414" s="3">
        <f t="shared" si="62"/>
        <v>102.55871999999999</v>
      </c>
      <c r="G414" s="4">
        <v>225.00702000000001</v>
      </c>
      <c r="H414" s="1">
        <v>204</v>
      </c>
      <c r="I414" s="3">
        <v>99.450379999999996</v>
      </c>
      <c r="J414" s="3">
        <f t="shared" si="63"/>
        <v>101.04076999999999</v>
      </c>
      <c r="K414" s="1">
        <f t="shared" si="59"/>
        <v>4.0538700037936557E-3</v>
      </c>
      <c r="M414" s="4">
        <v>225.01213999999999</v>
      </c>
      <c r="N414" s="1">
        <v>204</v>
      </c>
      <c r="O414" s="3">
        <v>103.80813000000001</v>
      </c>
      <c r="P414" s="3">
        <f t="shared" si="64"/>
        <v>103.01574000000001</v>
      </c>
      <c r="S414" s="4">
        <v>250.00388000000001</v>
      </c>
      <c r="T414" s="1">
        <v>204</v>
      </c>
      <c r="U414" s="5">
        <v>98.432509999999994</v>
      </c>
      <c r="V414" s="3">
        <f t="shared" si="60"/>
        <v>101.75619999999999</v>
      </c>
      <c r="W414" s="1">
        <f t="shared" si="65"/>
        <v>3.765737275214477E-3</v>
      </c>
      <c r="Y414" s="4">
        <v>250.00871000000001</v>
      </c>
      <c r="Z414" s="1">
        <v>204</v>
      </c>
      <c r="AA414" s="5">
        <v>105.60281999999999</v>
      </c>
      <c r="AB414" s="3">
        <f t="shared" si="61"/>
        <v>103.99379999999999</v>
      </c>
    </row>
    <row r="415" spans="1:28" x14ac:dyDescent="0.2">
      <c r="A415" s="2">
        <v>200.01752999999999</v>
      </c>
      <c r="B415" s="1">
        <v>204.5</v>
      </c>
      <c r="C415" s="5">
        <v>102.61897</v>
      </c>
      <c r="D415" s="3">
        <f t="shared" si="62"/>
        <v>102.49552</v>
      </c>
      <c r="G415" s="4">
        <v>225.00207</v>
      </c>
      <c r="H415" s="1">
        <v>204.5</v>
      </c>
      <c r="I415" s="5">
        <v>99.471209999999999</v>
      </c>
      <c r="J415" s="3">
        <f t="shared" si="63"/>
        <v>101.0616</v>
      </c>
      <c r="K415" s="1">
        <f t="shared" si="59"/>
        <v>3.8461607693295553E-3</v>
      </c>
      <c r="M415" s="4">
        <v>225.01244</v>
      </c>
      <c r="N415" s="1">
        <v>204.5</v>
      </c>
      <c r="O415" s="5">
        <v>103.78</v>
      </c>
      <c r="P415" s="3">
        <f t="shared" si="64"/>
        <v>102.98761</v>
      </c>
      <c r="S415" s="4">
        <v>250.001</v>
      </c>
      <c r="T415" s="1">
        <v>204.5</v>
      </c>
      <c r="U415" s="3">
        <v>98.413669999999996</v>
      </c>
      <c r="V415" s="3">
        <f t="shared" si="60"/>
        <v>101.73736</v>
      </c>
      <c r="W415" s="1">
        <f t="shared" si="65"/>
        <v>3.9523354453442202E-3</v>
      </c>
      <c r="Y415" s="4">
        <v>250.01634000000001</v>
      </c>
      <c r="Z415" s="1">
        <v>204.5</v>
      </c>
      <c r="AA415" s="3">
        <v>105.62204</v>
      </c>
      <c r="AB415" s="3">
        <f t="shared" si="61"/>
        <v>104.01302</v>
      </c>
    </row>
    <row r="416" spans="1:28" x14ac:dyDescent="0.2">
      <c r="A416" s="2">
        <v>200.02200999999999</v>
      </c>
      <c r="B416" s="1">
        <v>205</v>
      </c>
      <c r="C416" s="3">
        <v>102.65940999999999</v>
      </c>
      <c r="D416" s="3">
        <f t="shared" si="62"/>
        <v>102.53595999999999</v>
      </c>
      <c r="G416" s="4">
        <v>225.00388000000001</v>
      </c>
      <c r="H416" s="1">
        <v>205</v>
      </c>
      <c r="I416" s="3">
        <v>99.460059999999999</v>
      </c>
      <c r="J416" s="3">
        <f t="shared" si="63"/>
        <v>101.05045</v>
      </c>
      <c r="K416" s="1">
        <f t="shared" si="59"/>
        <v>3.9573445410181988E-3</v>
      </c>
      <c r="M416" s="4">
        <v>225.0136</v>
      </c>
      <c r="N416" s="1">
        <v>205</v>
      </c>
      <c r="O416" s="3">
        <v>103.77307999999999</v>
      </c>
      <c r="P416" s="3">
        <f t="shared" si="64"/>
        <v>102.98069</v>
      </c>
      <c r="S416" s="4">
        <v>250.00591</v>
      </c>
      <c r="T416" s="1">
        <v>205</v>
      </c>
      <c r="U416" s="5">
        <v>98.420699999999997</v>
      </c>
      <c r="V416" s="3">
        <f t="shared" si="60"/>
        <v>101.74439</v>
      </c>
      <c r="W416" s="1">
        <f t="shared" si="65"/>
        <v>3.8827077841970684E-3</v>
      </c>
      <c r="Y416" s="4">
        <v>250.02077</v>
      </c>
      <c r="Z416" s="1">
        <v>205</v>
      </c>
      <c r="AA416" s="5">
        <v>105.56743</v>
      </c>
      <c r="AB416" s="3">
        <f t="shared" si="61"/>
        <v>103.95841</v>
      </c>
    </row>
    <row r="417" spans="1:28" x14ac:dyDescent="0.2">
      <c r="A417" s="2">
        <v>200.02216000000001</v>
      </c>
      <c r="B417" s="1">
        <v>205.5</v>
      </c>
      <c r="C417" s="5">
        <v>102.63361</v>
      </c>
      <c r="D417" s="3">
        <f t="shared" si="62"/>
        <v>102.51016</v>
      </c>
      <c r="G417" s="4">
        <v>225.00308000000001</v>
      </c>
      <c r="H417" s="1">
        <v>205.5</v>
      </c>
      <c r="I417" s="5">
        <v>99.409790000000001</v>
      </c>
      <c r="J417" s="3">
        <f t="shared" si="63"/>
        <v>101.00018</v>
      </c>
      <c r="K417" s="1">
        <f t="shared" si="59"/>
        <v>4.4586188192951058E-3</v>
      </c>
      <c r="M417" s="4">
        <v>225.01639</v>
      </c>
      <c r="N417" s="1">
        <v>205.5</v>
      </c>
      <c r="O417" s="5">
        <v>103.85453</v>
      </c>
      <c r="P417" s="3">
        <f t="shared" si="64"/>
        <v>103.06214</v>
      </c>
      <c r="S417" s="4">
        <v>250.00903</v>
      </c>
      <c r="T417" s="1">
        <v>205.5</v>
      </c>
      <c r="U417" s="3">
        <v>98.403919999999999</v>
      </c>
      <c r="V417" s="3">
        <f t="shared" si="60"/>
        <v>101.72761</v>
      </c>
      <c r="W417" s="1">
        <f t="shared" si="65"/>
        <v>4.0489029696947855E-3</v>
      </c>
      <c r="Y417" s="4">
        <v>250.01927000000001</v>
      </c>
      <c r="Z417" s="1">
        <v>205.5</v>
      </c>
      <c r="AA417" s="3">
        <v>105.53832</v>
      </c>
      <c r="AB417" s="3">
        <f t="shared" si="61"/>
        <v>103.9293</v>
      </c>
    </row>
    <row r="418" spans="1:28" x14ac:dyDescent="0.2">
      <c r="A418" s="2">
        <v>200.02166</v>
      </c>
      <c r="B418" s="1">
        <v>206</v>
      </c>
      <c r="C418" s="3">
        <v>102.62446</v>
      </c>
      <c r="D418" s="3">
        <f t="shared" si="62"/>
        <v>102.50100999999999</v>
      </c>
      <c r="G418" s="4">
        <v>225.00236000000001</v>
      </c>
      <c r="H418" s="1">
        <v>206</v>
      </c>
      <c r="I418" s="3">
        <v>99.493160000000003</v>
      </c>
      <c r="J418" s="3">
        <f t="shared" si="63"/>
        <v>101.08355</v>
      </c>
      <c r="K418" s="1">
        <f t="shared" si="59"/>
        <v>3.6272832995030064E-3</v>
      </c>
      <c r="M418" s="4">
        <v>225.01478</v>
      </c>
      <c r="N418" s="1">
        <v>206</v>
      </c>
      <c r="O418" s="3">
        <v>103.79656</v>
      </c>
      <c r="P418" s="3">
        <f t="shared" si="64"/>
        <v>103.00417</v>
      </c>
      <c r="S418" s="4">
        <v>250.00498999999999</v>
      </c>
      <c r="T418" s="1">
        <v>206</v>
      </c>
      <c r="U418" s="5">
        <v>98.420869999999994</v>
      </c>
      <c r="V418" s="3">
        <f t="shared" si="60"/>
        <v>101.74455999999999</v>
      </c>
      <c r="W418" s="1">
        <f t="shared" si="65"/>
        <v>3.8810240427468814E-3</v>
      </c>
      <c r="Y418" s="4">
        <v>250.02062000000001</v>
      </c>
      <c r="Z418" s="1">
        <v>206</v>
      </c>
      <c r="AA418" s="5">
        <v>105.58432000000001</v>
      </c>
      <c r="AB418" s="3">
        <f t="shared" si="61"/>
        <v>103.9753</v>
      </c>
    </row>
    <row r="419" spans="1:28" x14ac:dyDescent="0.2">
      <c r="A419" s="2">
        <v>200.02458999999999</v>
      </c>
      <c r="B419" s="1">
        <v>206.5</v>
      </c>
      <c r="C419" s="5">
        <v>102.68124</v>
      </c>
      <c r="D419" s="3">
        <f t="shared" si="62"/>
        <v>102.55779</v>
      </c>
      <c r="G419" s="4">
        <v>225.00321</v>
      </c>
      <c r="H419" s="1">
        <v>206.5</v>
      </c>
      <c r="I419" s="5">
        <v>99.448790000000002</v>
      </c>
      <c r="J419" s="3">
        <f t="shared" si="63"/>
        <v>101.03918</v>
      </c>
      <c r="K419" s="1">
        <f t="shared" si="59"/>
        <v>4.069724909352773E-3</v>
      </c>
      <c r="M419" s="4">
        <v>225.01401999999999</v>
      </c>
      <c r="N419" s="1">
        <v>206.5</v>
      </c>
      <c r="O419" s="5">
        <v>103.80862</v>
      </c>
      <c r="P419" s="3">
        <f t="shared" si="64"/>
        <v>103.01623000000001</v>
      </c>
      <c r="S419" s="4">
        <v>250.00907000000001</v>
      </c>
      <c r="T419" s="1">
        <v>206.5</v>
      </c>
      <c r="U419" s="3">
        <v>98.405739999999994</v>
      </c>
      <c r="V419" s="3">
        <f t="shared" si="60"/>
        <v>101.72942999999999</v>
      </c>
      <c r="W419" s="1">
        <f t="shared" si="65"/>
        <v>4.0308770318160572E-3</v>
      </c>
      <c r="Y419" s="4">
        <v>250.02239</v>
      </c>
      <c r="Z419" s="1">
        <v>206.5</v>
      </c>
      <c r="AA419" s="3">
        <v>105.45393</v>
      </c>
      <c r="AB419" s="3">
        <f t="shared" si="61"/>
        <v>103.84491</v>
      </c>
    </row>
    <row r="420" spans="1:28" x14ac:dyDescent="0.2">
      <c r="A420" s="2">
        <v>200.02108000000001</v>
      </c>
      <c r="B420" s="1">
        <v>207</v>
      </c>
      <c r="C420" s="3">
        <v>102.77695</v>
      </c>
      <c r="D420" s="3">
        <f t="shared" si="62"/>
        <v>102.65349999999999</v>
      </c>
      <c r="G420" s="4">
        <v>225.00306</v>
      </c>
      <c r="H420" s="1">
        <v>207</v>
      </c>
      <c r="I420" s="3">
        <v>99.433179999999993</v>
      </c>
      <c r="J420" s="3">
        <f t="shared" si="63"/>
        <v>101.02356999999999</v>
      </c>
      <c r="K420" s="1">
        <f t="shared" si="59"/>
        <v>4.2253821897169598E-3</v>
      </c>
      <c r="M420" s="4">
        <v>225.01209</v>
      </c>
      <c r="N420" s="1">
        <v>207</v>
      </c>
      <c r="O420" s="3">
        <v>103.75151</v>
      </c>
      <c r="P420" s="3">
        <f t="shared" si="64"/>
        <v>102.95912</v>
      </c>
      <c r="S420" s="4">
        <v>250.00591</v>
      </c>
      <c r="T420" s="1">
        <v>207</v>
      </c>
      <c r="U420" s="5">
        <v>98.407740000000004</v>
      </c>
      <c r="V420" s="3">
        <f t="shared" si="60"/>
        <v>101.73143</v>
      </c>
      <c r="W420" s="1">
        <f t="shared" si="65"/>
        <v>4.0110683088722503E-3</v>
      </c>
      <c r="Y420" s="4">
        <v>250.01806999999999</v>
      </c>
      <c r="Z420" s="1">
        <v>207</v>
      </c>
      <c r="AA420" s="5">
        <v>105.53418000000001</v>
      </c>
      <c r="AB420" s="3">
        <f t="shared" si="61"/>
        <v>103.92516000000001</v>
      </c>
    </row>
    <row r="421" spans="1:28" x14ac:dyDescent="0.2">
      <c r="A421" s="2">
        <v>200.01859999999999</v>
      </c>
      <c r="B421" s="1">
        <v>207.5</v>
      </c>
      <c r="C421" s="5">
        <v>102.4937</v>
      </c>
      <c r="D421" s="3">
        <f t="shared" si="62"/>
        <v>102.37025</v>
      </c>
      <c r="G421" s="4">
        <v>225.00915000000001</v>
      </c>
      <c r="H421" s="1">
        <v>207.5</v>
      </c>
      <c r="I421" s="5">
        <v>99.487610000000004</v>
      </c>
      <c r="J421" s="3">
        <f t="shared" si="63"/>
        <v>101.078</v>
      </c>
      <c r="K421" s="1">
        <f t="shared" si="59"/>
        <v>3.6826258943794083E-3</v>
      </c>
      <c r="M421" s="4">
        <v>225.01140000000001</v>
      </c>
      <c r="N421" s="1">
        <v>207.5</v>
      </c>
      <c r="O421" s="5">
        <v>103.83993</v>
      </c>
      <c r="P421" s="3">
        <f t="shared" si="64"/>
        <v>103.04754</v>
      </c>
      <c r="S421" s="4">
        <v>250.00702999999999</v>
      </c>
      <c r="T421" s="1">
        <v>207.5</v>
      </c>
      <c r="U421" s="3">
        <v>98.416229999999999</v>
      </c>
      <c r="V421" s="3">
        <f t="shared" si="60"/>
        <v>101.73992</v>
      </c>
      <c r="W421" s="1">
        <f t="shared" si="65"/>
        <v>3.9269802799762428E-3</v>
      </c>
      <c r="Y421" s="4">
        <v>250.01647</v>
      </c>
      <c r="Z421" s="1">
        <v>207.5</v>
      </c>
      <c r="AA421" s="3">
        <v>105.53922</v>
      </c>
      <c r="AB421" s="3">
        <f t="shared" si="61"/>
        <v>103.9302</v>
      </c>
    </row>
    <row r="422" spans="1:28" x14ac:dyDescent="0.2">
      <c r="A422" s="2">
        <v>200.01465999999999</v>
      </c>
      <c r="B422" s="1">
        <v>208</v>
      </c>
      <c r="C422" s="3">
        <v>102.71823000000001</v>
      </c>
      <c r="D422" s="3">
        <f t="shared" si="62"/>
        <v>102.59478</v>
      </c>
      <c r="G422" s="4">
        <v>225.00781000000001</v>
      </c>
      <c r="H422" s="1">
        <v>208</v>
      </c>
      <c r="I422" s="3">
        <v>99.460530000000006</v>
      </c>
      <c r="J422" s="3">
        <f t="shared" si="63"/>
        <v>101.05092</v>
      </c>
      <c r="K422" s="1">
        <f t="shared" si="59"/>
        <v>3.9526578708213873E-3</v>
      </c>
      <c r="M422" s="4">
        <v>225.01166000000001</v>
      </c>
      <c r="N422" s="1">
        <v>208</v>
      </c>
      <c r="O422" s="3">
        <v>103.85245999999999</v>
      </c>
      <c r="P422" s="3">
        <f t="shared" si="64"/>
        <v>103.06007</v>
      </c>
      <c r="S422" s="4">
        <v>250.00200000000001</v>
      </c>
      <c r="T422" s="1">
        <v>208</v>
      </c>
      <c r="U422" s="5">
        <v>98.409769999999995</v>
      </c>
      <c r="V422" s="3">
        <f t="shared" si="60"/>
        <v>101.73345999999999</v>
      </c>
      <c r="W422" s="1">
        <f t="shared" si="65"/>
        <v>3.9909624550844743E-3</v>
      </c>
      <c r="Y422" s="4">
        <v>250.01660999999999</v>
      </c>
      <c r="Z422" s="1">
        <v>208</v>
      </c>
      <c r="AA422" s="5">
        <v>105.51208</v>
      </c>
      <c r="AB422" s="3">
        <f t="shared" si="61"/>
        <v>103.90306</v>
      </c>
    </row>
    <row r="423" spans="1:28" x14ac:dyDescent="0.2">
      <c r="A423" s="2">
        <v>200.01175000000001</v>
      </c>
      <c r="B423" s="1">
        <v>208.5</v>
      </c>
      <c r="C423" s="5">
        <v>102.64693</v>
      </c>
      <c r="D423" s="3">
        <f t="shared" si="62"/>
        <v>102.52347999999999</v>
      </c>
      <c r="G423" s="4">
        <v>225.00800000000001</v>
      </c>
      <c r="H423" s="1">
        <v>208.5</v>
      </c>
      <c r="I423" s="5">
        <v>99.449740000000006</v>
      </c>
      <c r="J423" s="3">
        <f t="shared" si="63"/>
        <v>101.04013</v>
      </c>
      <c r="K423" s="1">
        <f t="shared" si="59"/>
        <v>4.0602518525720962E-3</v>
      </c>
      <c r="M423" s="4">
        <v>225.01336000000001</v>
      </c>
      <c r="N423" s="1">
        <v>208.5</v>
      </c>
      <c r="O423" s="5">
        <v>103.89104</v>
      </c>
      <c r="P423" s="3">
        <f t="shared" si="64"/>
        <v>103.09865000000001</v>
      </c>
      <c r="S423" s="4">
        <v>250.00502</v>
      </c>
      <c r="T423" s="1">
        <v>208.5</v>
      </c>
      <c r="U423" s="3">
        <v>98.42877</v>
      </c>
      <c r="V423" s="3">
        <f t="shared" si="60"/>
        <v>101.75246</v>
      </c>
      <c r="W423" s="1">
        <f t="shared" si="65"/>
        <v>3.8027795871191537E-3</v>
      </c>
      <c r="Y423" s="4">
        <v>250.01503</v>
      </c>
      <c r="Z423" s="1">
        <v>208.5</v>
      </c>
      <c r="AA423" s="3">
        <v>105.47495000000001</v>
      </c>
      <c r="AB423" s="3">
        <f t="shared" si="61"/>
        <v>103.86593000000001</v>
      </c>
    </row>
    <row r="424" spans="1:28" x14ac:dyDescent="0.2">
      <c r="A424" s="2">
        <v>200.01155</v>
      </c>
      <c r="B424" s="1">
        <v>209</v>
      </c>
      <c r="C424" s="3">
        <v>102.57756999999999</v>
      </c>
      <c r="D424" s="3">
        <f t="shared" si="62"/>
        <v>102.45411999999999</v>
      </c>
      <c r="G424" s="4">
        <v>225.00624999999999</v>
      </c>
      <c r="H424" s="1">
        <v>209</v>
      </c>
      <c r="I424" s="3">
        <v>99.469939999999994</v>
      </c>
      <c r="J424" s="3">
        <f t="shared" si="63"/>
        <v>101.06032999999999</v>
      </c>
      <c r="K424" s="1">
        <f t="shared" si="59"/>
        <v>3.8588247504995235E-3</v>
      </c>
      <c r="M424" s="4">
        <v>225.01947000000001</v>
      </c>
      <c r="N424" s="1">
        <v>209</v>
      </c>
      <c r="O424" s="3">
        <v>103.84433</v>
      </c>
      <c r="P424" s="3">
        <f t="shared" si="64"/>
        <v>103.05194</v>
      </c>
      <c r="S424" s="4">
        <v>250.00398000000001</v>
      </c>
      <c r="T424" s="1">
        <v>209</v>
      </c>
      <c r="U424" s="5">
        <v>98.414450000000002</v>
      </c>
      <c r="V424" s="3">
        <f t="shared" si="60"/>
        <v>101.73814</v>
      </c>
      <c r="W424" s="1">
        <f t="shared" si="65"/>
        <v>3.9446100433961125E-3</v>
      </c>
      <c r="Y424" s="4">
        <v>250.01823999999999</v>
      </c>
      <c r="Z424" s="1">
        <v>209</v>
      </c>
      <c r="AA424" s="5">
        <v>105.5431</v>
      </c>
      <c r="AB424" s="3">
        <f t="shared" si="61"/>
        <v>103.93407999999999</v>
      </c>
    </row>
    <row r="425" spans="1:28" x14ac:dyDescent="0.2">
      <c r="A425" s="2">
        <v>200.01116999999999</v>
      </c>
      <c r="B425" s="1">
        <v>209.5</v>
      </c>
      <c r="C425" s="5">
        <v>102.76071</v>
      </c>
      <c r="D425" s="3">
        <f t="shared" si="62"/>
        <v>102.63726</v>
      </c>
      <c r="G425" s="4">
        <v>225.00603000000001</v>
      </c>
      <c r="H425" s="1">
        <v>209.5</v>
      </c>
      <c r="I425" s="5">
        <v>99.431560000000005</v>
      </c>
      <c r="J425" s="3">
        <f t="shared" si="63"/>
        <v>101.02195</v>
      </c>
      <c r="K425" s="1">
        <f t="shared" si="59"/>
        <v>4.2415362444375247E-3</v>
      </c>
      <c r="M425" s="4">
        <v>225.02313000000001</v>
      </c>
      <c r="N425" s="1">
        <v>209.5</v>
      </c>
      <c r="O425" s="5">
        <v>103.86226000000001</v>
      </c>
      <c r="P425" s="3">
        <f t="shared" si="64"/>
        <v>103.06987000000001</v>
      </c>
      <c r="S425" s="4">
        <v>250.00596999999999</v>
      </c>
      <c r="T425" s="1">
        <v>209.5</v>
      </c>
      <c r="U425" s="3">
        <v>98.4101</v>
      </c>
      <c r="V425" s="3">
        <f t="shared" si="60"/>
        <v>101.73379</v>
      </c>
      <c r="W425" s="1">
        <f t="shared" si="65"/>
        <v>3.9876940157987095E-3</v>
      </c>
      <c r="Y425" s="4">
        <v>250.02071000000001</v>
      </c>
      <c r="Z425" s="1">
        <v>209.5</v>
      </c>
      <c r="AA425" s="3">
        <v>105.40497999999999</v>
      </c>
      <c r="AB425" s="3">
        <f t="shared" si="61"/>
        <v>103.79595999999999</v>
      </c>
    </row>
    <row r="426" spans="1:28" x14ac:dyDescent="0.2">
      <c r="A426" s="2">
        <v>200.01293999999999</v>
      </c>
      <c r="B426" s="1">
        <v>210</v>
      </c>
      <c r="C426" s="3">
        <v>102.67357</v>
      </c>
      <c r="D426" s="3">
        <f t="shared" si="62"/>
        <v>102.55011999999999</v>
      </c>
      <c r="G426" s="4">
        <v>225.00699</v>
      </c>
      <c r="H426" s="1">
        <v>210</v>
      </c>
      <c r="I426" s="3">
        <v>99.471310000000003</v>
      </c>
      <c r="J426" s="3">
        <f t="shared" si="63"/>
        <v>101.0617</v>
      </c>
      <c r="K426" s="1">
        <f t="shared" si="59"/>
        <v>3.8451636054578752E-3</v>
      </c>
      <c r="M426" s="4">
        <v>225.02504999999999</v>
      </c>
      <c r="N426" s="1">
        <v>210</v>
      </c>
      <c r="O426" s="3">
        <v>103.90715</v>
      </c>
      <c r="P426" s="3">
        <f t="shared" si="64"/>
        <v>103.11476</v>
      </c>
      <c r="S426" s="4">
        <v>250.00694999999999</v>
      </c>
      <c r="T426" s="1">
        <v>210</v>
      </c>
      <c r="U426" s="5">
        <v>98.403480000000002</v>
      </c>
      <c r="V426" s="3">
        <f t="shared" si="60"/>
        <v>101.72717</v>
      </c>
      <c r="W426" s="1">
        <f t="shared" si="65"/>
        <v>4.0532608887423787E-3</v>
      </c>
      <c r="Y426" s="4">
        <v>250.01993999999999</v>
      </c>
      <c r="Z426" s="1">
        <v>210</v>
      </c>
      <c r="AA426" s="5">
        <v>105.50116</v>
      </c>
      <c r="AB426" s="3">
        <f t="shared" si="61"/>
        <v>103.89214</v>
      </c>
    </row>
    <row r="427" spans="1:28" x14ac:dyDescent="0.2">
      <c r="A427" s="2">
        <v>200.01553999999999</v>
      </c>
      <c r="B427" s="1">
        <v>210.5</v>
      </c>
      <c r="C427" s="5">
        <v>102.64624999999999</v>
      </c>
      <c r="D427" s="3">
        <f t="shared" si="62"/>
        <v>102.52279999999999</v>
      </c>
      <c r="G427" s="4">
        <v>225.00913</v>
      </c>
      <c r="H427" s="1">
        <v>210.5</v>
      </c>
      <c r="I427" s="5">
        <v>99.460920000000002</v>
      </c>
      <c r="J427" s="3">
        <f t="shared" si="63"/>
        <v>101.05131</v>
      </c>
      <c r="K427" s="1">
        <f t="shared" si="59"/>
        <v>3.9487689317220052E-3</v>
      </c>
      <c r="M427" s="4">
        <v>225.01876999999999</v>
      </c>
      <c r="N427" s="1">
        <v>210.5</v>
      </c>
      <c r="O427" s="5">
        <v>103.88655</v>
      </c>
      <c r="P427" s="3">
        <f t="shared" si="64"/>
        <v>103.09416</v>
      </c>
      <c r="S427" s="4">
        <v>250.005</v>
      </c>
      <c r="T427" s="1">
        <v>210.5</v>
      </c>
      <c r="U427" s="3">
        <v>98.414259999999999</v>
      </c>
      <c r="V427" s="3">
        <f t="shared" si="60"/>
        <v>101.73795</v>
      </c>
      <c r="W427" s="1">
        <f t="shared" si="65"/>
        <v>3.9464918720757995E-3</v>
      </c>
      <c r="Y427" s="4">
        <v>250.02077</v>
      </c>
      <c r="Z427" s="1">
        <v>210.5</v>
      </c>
      <c r="AA427" s="3">
        <v>105.57875</v>
      </c>
      <c r="AB427" s="3">
        <f t="shared" si="61"/>
        <v>103.96973</v>
      </c>
    </row>
    <row r="428" spans="1:28" x14ac:dyDescent="0.2">
      <c r="A428" s="2">
        <v>200.01722000000001</v>
      </c>
      <c r="B428" s="1">
        <v>211</v>
      </c>
      <c r="C428" s="3">
        <v>102.75704</v>
      </c>
      <c r="D428" s="3">
        <f t="shared" si="62"/>
        <v>102.63359</v>
      </c>
      <c r="G428" s="4">
        <v>225.00611000000001</v>
      </c>
      <c r="H428" s="1">
        <v>211</v>
      </c>
      <c r="I428" s="3">
        <v>99.440650000000005</v>
      </c>
      <c r="J428" s="3">
        <f t="shared" si="63"/>
        <v>101.03104</v>
      </c>
      <c r="K428" s="1">
        <f t="shared" si="59"/>
        <v>4.1508940485048109E-3</v>
      </c>
      <c r="M428" s="4">
        <v>225.01687999999999</v>
      </c>
      <c r="N428" s="1">
        <v>211</v>
      </c>
      <c r="O428" s="3">
        <v>103.84175999999999</v>
      </c>
      <c r="P428" s="3">
        <f t="shared" si="64"/>
        <v>103.04937</v>
      </c>
      <c r="S428" s="4">
        <v>250.00801000000001</v>
      </c>
      <c r="T428" s="1">
        <v>211</v>
      </c>
      <c r="U428" s="5">
        <v>98.412080000000003</v>
      </c>
      <c r="V428" s="3">
        <f t="shared" si="60"/>
        <v>101.73577</v>
      </c>
      <c r="W428" s="1">
        <f t="shared" si="65"/>
        <v>3.968083380084403E-3</v>
      </c>
      <c r="Y428" s="4">
        <v>250.02085</v>
      </c>
      <c r="Z428" s="1">
        <v>211</v>
      </c>
      <c r="AA428" s="5">
        <v>105.53662</v>
      </c>
      <c r="AB428" s="3">
        <f t="shared" si="61"/>
        <v>103.9276</v>
      </c>
    </row>
    <row r="429" spans="1:28" x14ac:dyDescent="0.2">
      <c r="A429" s="2">
        <v>200.01958999999999</v>
      </c>
      <c r="B429" s="1">
        <v>211.5</v>
      </c>
      <c r="C429" s="5">
        <v>102.73416</v>
      </c>
      <c r="D429" s="3">
        <f t="shared" si="62"/>
        <v>102.61071</v>
      </c>
      <c r="G429" s="4">
        <v>225.00415000000001</v>
      </c>
      <c r="H429" s="1">
        <v>211.5</v>
      </c>
      <c r="I429" s="5">
        <v>99.428610000000006</v>
      </c>
      <c r="J429" s="3">
        <f t="shared" si="63"/>
        <v>101.01900000000001</v>
      </c>
      <c r="K429" s="1">
        <f t="shared" si="59"/>
        <v>4.2709525786510947E-3</v>
      </c>
      <c r="M429" s="4">
        <v>225.01430999999999</v>
      </c>
      <c r="N429" s="1">
        <v>211.5</v>
      </c>
      <c r="O429" s="5">
        <v>103.83346</v>
      </c>
      <c r="P429" s="3">
        <f t="shared" si="64"/>
        <v>103.04107</v>
      </c>
      <c r="S429" s="4">
        <v>250.00792999999999</v>
      </c>
      <c r="T429" s="1">
        <v>211.5</v>
      </c>
      <c r="U429" s="3">
        <v>98.426969999999997</v>
      </c>
      <c r="V429" s="3">
        <f t="shared" si="60"/>
        <v>101.75066</v>
      </c>
      <c r="W429" s="1">
        <f t="shared" si="65"/>
        <v>3.8206074377685234E-3</v>
      </c>
      <c r="Y429" s="4">
        <v>250.02142000000001</v>
      </c>
      <c r="Z429" s="1">
        <v>211.5</v>
      </c>
      <c r="AA429" s="3">
        <v>105.54951</v>
      </c>
      <c r="AB429" s="3">
        <f t="shared" si="61"/>
        <v>103.94049</v>
      </c>
    </row>
    <row r="430" spans="1:28" x14ac:dyDescent="0.2">
      <c r="A430" s="2">
        <v>200.02105</v>
      </c>
      <c r="B430" s="1">
        <v>212</v>
      </c>
      <c r="C430" s="3">
        <v>102.61169</v>
      </c>
      <c r="D430" s="3">
        <f t="shared" si="62"/>
        <v>102.48823999999999</v>
      </c>
      <c r="G430" s="4">
        <v>225.00396000000001</v>
      </c>
      <c r="H430" s="1">
        <v>212</v>
      </c>
      <c r="I430" s="3">
        <v>99.447519999999997</v>
      </c>
      <c r="J430" s="3">
        <f t="shared" si="63"/>
        <v>101.03791</v>
      </c>
      <c r="K430" s="1">
        <f t="shared" si="59"/>
        <v>4.0823888905227416E-3</v>
      </c>
      <c r="M430" s="4">
        <v>225.01052000000001</v>
      </c>
      <c r="N430" s="1">
        <v>212</v>
      </c>
      <c r="O430" s="3">
        <v>103.81707</v>
      </c>
      <c r="P430" s="3">
        <f t="shared" si="64"/>
        <v>103.02468</v>
      </c>
      <c r="S430" s="4">
        <v>250.00397000000001</v>
      </c>
      <c r="T430" s="1">
        <v>212</v>
      </c>
      <c r="U430" s="5">
        <v>98.387410000000003</v>
      </c>
      <c r="V430" s="3">
        <f t="shared" si="60"/>
        <v>101.7111</v>
      </c>
      <c r="W430" s="1">
        <f t="shared" si="65"/>
        <v>4.2124239775950985E-3</v>
      </c>
      <c r="Y430" s="4">
        <v>250.02518000000001</v>
      </c>
      <c r="Z430" s="1">
        <v>212</v>
      </c>
      <c r="AA430" s="5">
        <v>105.48828</v>
      </c>
      <c r="AB430" s="3">
        <f t="shared" si="61"/>
        <v>103.87926</v>
      </c>
    </row>
    <row r="431" spans="1:28" x14ac:dyDescent="0.2">
      <c r="A431" s="2">
        <v>200.02125000000001</v>
      </c>
      <c r="B431" s="1">
        <v>212.5</v>
      </c>
      <c r="C431" s="5">
        <v>102.52254000000001</v>
      </c>
      <c r="D431" s="3">
        <f t="shared" si="62"/>
        <v>102.39909</v>
      </c>
      <c r="G431" s="4">
        <v>225.00608</v>
      </c>
      <c r="H431" s="1">
        <v>212.5</v>
      </c>
      <c r="I431" s="5">
        <v>99.422200000000004</v>
      </c>
      <c r="J431" s="3">
        <f t="shared" si="63"/>
        <v>101.01259</v>
      </c>
      <c r="K431" s="1">
        <f t="shared" si="59"/>
        <v>4.3348707828236906E-3</v>
      </c>
      <c r="M431" s="4">
        <v>225.01428000000001</v>
      </c>
      <c r="N431" s="1">
        <v>212.5</v>
      </c>
      <c r="O431" s="5">
        <v>103.84547999999999</v>
      </c>
      <c r="P431" s="3">
        <f t="shared" si="64"/>
        <v>103.05309</v>
      </c>
      <c r="S431" s="4">
        <v>249.99799999999999</v>
      </c>
      <c r="T431" s="1">
        <v>212.5</v>
      </c>
      <c r="U431" s="3">
        <v>98.409670000000006</v>
      </c>
      <c r="V431" s="3">
        <f t="shared" si="60"/>
        <v>101.73336</v>
      </c>
      <c r="W431" s="1">
        <f t="shared" si="65"/>
        <v>3.9919528912315521E-3</v>
      </c>
      <c r="Y431" s="4">
        <v>250.02339000000001</v>
      </c>
      <c r="Z431" s="1">
        <v>212.5</v>
      </c>
      <c r="AA431" s="3">
        <v>105.47007000000001</v>
      </c>
      <c r="AB431" s="3">
        <f t="shared" si="61"/>
        <v>103.86105000000001</v>
      </c>
    </row>
    <row r="432" spans="1:28" x14ac:dyDescent="0.2">
      <c r="A432" s="2">
        <v>200.01858999999999</v>
      </c>
      <c r="B432" s="1">
        <v>213</v>
      </c>
      <c r="C432" s="3">
        <v>102.85415</v>
      </c>
      <c r="D432" s="3">
        <f t="shared" si="62"/>
        <v>102.7307</v>
      </c>
      <c r="G432" s="4">
        <v>225.00791000000001</v>
      </c>
      <c r="H432" s="1">
        <v>213</v>
      </c>
      <c r="I432" s="3">
        <v>99.453040000000001</v>
      </c>
      <c r="J432" s="3">
        <f t="shared" si="63"/>
        <v>101.04343</v>
      </c>
      <c r="K432" s="1">
        <f t="shared" si="59"/>
        <v>4.0273454448077877E-3</v>
      </c>
      <c r="M432" s="4">
        <v>225.01274000000001</v>
      </c>
      <c r="N432" s="1">
        <v>213</v>
      </c>
      <c r="O432" s="3">
        <v>103.94165</v>
      </c>
      <c r="P432" s="3">
        <f t="shared" si="64"/>
        <v>103.14926</v>
      </c>
      <c r="S432" s="4">
        <v>250.00103999999999</v>
      </c>
      <c r="T432" s="1">
        <v>213</v>
      </c>
      <c r="U432" s="5">
        <v>98.408079999999998</v>
      </c>
      <c r="V432" s="3">
        <f t="shared" si="60"/>
        <v>101.73177</v>
      </c>
      <c r="W432" s="1">
        <f t="shared" si="65"/>
        <v>4.0077008259718763E-3</v>
      </c>
      <c r="Y432" s="4">
        <v>250.02364</v>
      </c>
      <c r="Z432" s="1">
        <v>213</v>
      </c>
      <c r="AA432" s="5">
        <v>105.56553</v>
      </c>
      <c r="AB432" s="3">
        <f t="shared" si="61"/>
        <v>103.95650999999999</v>
      </c>
    </row>
    <row r="433" spans="1:28" x14ac:dyDescent="0.2">
      <c r="A433" s="2">
        <v>200.01978</v>
      </c>
      <c r="B433" s="1">
        <v>213.5</v>
      </c>
      <c r="C433" s="5">
        <v>102.55013</v>
      </c>
      <c r="D433" s="3">
        <f t="shared" si="62"/>
        <v>102.42667999999999</v>
      </c>
      <c r="G433" s="4">
        <v>225.00086999999999</v>
      </c>
      <c r="H433" s="1">
        <v>213.5</v>
      </c>
      <c r="I433" s="5">
        <v>99.432820000000007</v>
      </c>
      <c r="J433" s="3">
        <f t="shared" si="63"/>
        <v>101.02321000000001</v>
      </c>
      <c r="K433" s="1">
        <f t="shared" si="59"/>
        <v>4.2289719796547529E-3</v>
      </c>
      <c r="M433" s="4">
        <v>225.01027999999999</v>
      </c>
      <c r="N433" s="1">
        <v>213.5</v>
      </c>
      <c r="O433" s="5">
        <v>103.80589999999999</v>
      </c>
      <c r="P433" s="3">
        <f t="shared" si="64"/>
        <v>103.01351</v>
      </c>
      <c r="S433" s="4">
        <v>249.99895000000001</v>
      </c>
      <c r="T433" s="1">
        <v>213.5</v>
      </c>
      <c r="U433" s="3">
        <v>98.395589999999999</v>
      </c>
      <c r="V433" s="3">
        <f t="shared" si="60"/>
        <v>101.71928</v>
      </c>
      <c r="W433" s="1">
        <f t="shared" si="65"/>
        <v>4.1314063007553562E-3</v>
      </c>
      <c r="Y433" s="4">
        <v>250.02429000000001</v>
      </c>
      <c r="Z433" s="1">
        <v>213.5</v>
      </c>
      <c r="AA433" s="3">
        <v>105.50393</v>
      </c>
      <c r="AB433" s="3">
        <f t="shared" si="61"/>
        <v>103.89491</v>
      </c>
    </row>
    <row r="434" spans="1:28" x14ac:dyDescent="0.2">
      <c r="A434" s="2">
        <v>200.02134000000001</v>
      </c>
      <c r="B434" s="1">
        <v>214</v>
      </c>
      <c r="C434" s="3">
        <v>102.67546</v>
      </c>
      <c r="D434" s="3">
        <f t="shared" si="62"/>
        <v>102.55201</v>
      </c>
      <c r="G434" s="4">
        <v>225.01</v>
      </c>
      <c r="H434" s="1">
        <v>214</v>
      </c>
      <c r="I434" s="3">
        <v>99.442329999999998</v>
      </c>
      <c r="J434" s="3">
        <f t="shared" si="63"/>
        <v>101.03272</v>
      </c>
      <c r="K434" s="1">
        <f t="shared" si="59"/>
        <v>4.1341416954612086E-3</v>
      </c>
      <c r="M434" s="4">
        <v>225.01231999999999</v>
      </c>
      <c r="N434" s="1">
        <v>214</v>
      </c>
      <c r="O434" s="3">
        <v>103.79039</v>
      </c>
      <c r="P434" s="3">
        <f t="shared" si="64"/>
        <v>102.998</v>
      </c>
      <c r="S434" s="4">
        <v>250.00308999999999</v>
      </c>
      <c r="T434" s="1">
        <v>214</v>
      </c>
      <c r="U434" s="5">
        <v>98.397779999999997</v>
      </c>
      <c r="V434" s="3">
        <f t="shared" si="60"/>
        <v>101.72147</v>
      </c>
      <c r="W434" s="1">
        <f t="shared" si="65"/>
        <v>4.1097157491320029E-3</v>
      </c>
      <c r="Y434" s="4">
        <v>250.02432999999999</v>
      </c>
      <c r="Z434" s="1">
        <v>214</v>
      </c>
      <c r="AA434" s="5">
        <v>105.58754</v>
      </c>
      <c r="AB434" s="3">
        <f t="shared" si="61"/>
        <v>103.97852</v>
      </c>
    </row>
    <row r="435" spans="1:28" x14ac:dyDescent="0.2">
      <c r="A435" s="2">
        <v>200.01958999999999</v>
      </c>
      <c r="B435" s="1">
        <v>214.5</v>
      </c>
      <c r="C435" s="5">
        <v>102.61903</v>
      </c>
      <c r="D435" s="3">
        <f t="shared" si="62"/>
        <v>102.49557999999999</v>
      </c>
      <c r="G435" s="4">
        <v>225.00724</v>
      </c>
      <c r="H435" s="1">
        <v>214.5</v>
      </c>
      <c r="I435" s="5">
        <v>99.446160000000006</v>
      </c>
      <c r="J435" s="3">
        <f t="shared" si="63"/>
        <v>101.03655000000001</v>
      </c>
      <c r="K435" s="1">
        <f t="shared" si="59"/>
        <v>4.0959503191770521E-3</v>
      </c>
      <c r="M435" s="4">
        <v>225.01879</v>
      </c>
      <c r="N435" s="1">
        <v>214.5</v>
      </c>
      <c r="O435" s="5">
        <v>103.86654</v>
      </c>
      <c r="P435" s="3">
        <f t="shared" si="64"/>
        <v>103.07415</v>
      </c>
      <c r="S435" s="4">
        <v>250.00298000000001</v>
      </c>
      <c r="T435" s="1">
        <v>214.5</v>
      </c>
      <c r="U435" s="3">
        <v>98.385279999999995</v>
      </c>
      <c r="V435" s="3">
        <f t="shared" si="60"/>
        <v>101.70896999999999</v>
      </c>
      <c r="W435" s="1">
        <f t="shared" si="65"/>
        <v>4.2335202675302325E-3</v>
      </c>
      <c r="Y435" s="4">
        <v>250.02513999999999</v>
      </c>
      <c r="Z435" s="1">
        <v>214.5</v>
      </c>
      <c r="AA435" s="3">
        <v>105.5624</v>
      </c>
      <c r="AB435" s="3">
        <f t="shared" si="61"/>
        <v>103.95338</v>
      </c>
    </row>
    <row r="436" spans="1:28" x14ac:dyDescent="0.2">
      <c r="A436" s="2">
        <v>200.01828</v>
      </c>
      <c r="B436" s="1">
        <v>215</v>
      </c>
      <c r="C436" s="3">
        <v>102.62506</v>
      </c>
      <c r="D436" s="3">
        <f t="shared" si="62"/>
        <v>102.50161</v>
      </c>
      <c r="G436" s="4">
        <v>225.01034999999999</v>
      </c>
      <c r="H436" s="1">
        <v>215</v>
      </c>
      <c r="I436" s="3">
        <v>99.489630000000005</v>
      </c>
      <c r="J436" s="3">
        <f t="shared" si="63"/>
        <v>101.08002</v>
      </c>
      <c r="K436" s="1">
        <f t="shared" si="59"/>
        <v>3.6624831841721227E-3</v>
      </c>
      <c r="M436" s="4">
        <v>225.02323999999999</v>
      </c>
      <c r="N436" s="1">
        <v>215</v>
      </c>
      <c r="O436" s="3">
        <v>103.85138999999999</v>
      </c>
      <c r="P436" s="3">
        <f t="shared" si="64"/>
        <v>103.059</v>
      </c>
      <c r="S436" s="4">
        <v>250.00503</v>
      </c>
      <c r="T436" s="1">
        <v>215</v>
      </c>
      <c r="U436" s="5">
        <v>98.395589999999999</v>
      </c>
      <c r="V436" s="3">
        <f t="shared" si="60"/>
        <v>101.71928</v>
      </c>
      <c r="W436" s="1">
        <f t="shared" si="65"/>
        <v>4.1314063007553562E-3</v>
      </c>
      <c r="Y436" s="4">
        <v>250.02206000000001</v>
      </c>
      <c r="Z436" s="1">
        <v>215</v>
      </c>
      <c r="AA436" s="5">
        <v>105.61618</v>
      </c>
      <c r="AB436" s="3">
        <f t="shared" si="61"/>
        <v>104.00716</v>
      </c>
    </row>
    <row r="437" spans="1:28" x14ac:dyDescent="0.2">
      <c r="A437" s="2">
        <v>200.01525000000001</v>
      </c>
      <c r="B437" s="1">
        <v>215.5</v>
      </c>
      <c r="C437" s="5">
        <v>102.60647</v>
      </c>
      <c r="D437" s="3">
        <f t="shared" si="62"/>
        <v>102.48302</v>
      </c>
      <c r="G437" s="4">
        <v>225.00608</v>
      </c>
      <c r="H437" s="1">
        <v>215.5</v>
      </c>
      <c r="I437" s="5">
        <v>99.44735</v>
      </c>
      <c r="J437" s="3">
        <f t="shared" si="63"/>
        <v>101.03774</v>
      </c>
      <c r="K437" s="1">
        <f t="shared" si="59"/>
        <v>4.0840840691045129E-3</v>
      </c>
      <c r="M437" s="4">
        <v>225.02296000000001</v>
      </c>
      <c r="N437" s="1">
        <v>215.5</v>
      </c>
      <c r="O437" s="5">
        <v>103.92169</v>
      </c>
      <c r="P437" s="3">
        <f t="shared" si="64"/>
        <v>103.1293</v>
      </c>
      <c r="S437" s="4">
        <v>250.00502</v>
      </c>
      <c r="T437" s="1">
        <v>215.5</v>
      </c>
      <c r="U437" s="3">
        <v>98.412059999999997</v>
      </c>
      <c r="V437" s="3">
        <f t="shared" si="60"/>
        <v>101.73575</v>
      </c>
      <c r="W437" s="1">
        <f t="shared" si="65"/>
        <v>3.9682814673139026E-3</v>
      </c>
      <c r="Y437" s="4">
        <v>250.01822999999999</v>
      </c>
      <c r="Z437" s="1">
        <v>215.5</v>
      </c>
      <c r="AA437" s="3">
        <v>105.53937999999999</v>
      </c>
      <c r="AB437" s="3">
        <f t="shared" si="61"/>
        <v>103.93035999999999</v>
      </c>
    </row>
    <row r="438" spans="1:28" x14ac:dyDescent="0.2">
      <c r="A438" s="2">
        <v>200.01410000000001</v>
      </c>
      <c r="B438" s="1">
        <v>216</v>
      </c>
      <c r="C438" s="3">
        <v>102.69068</v>
      </c>
      <c r="D438" s="3">
        <f t="shared" si="62"/>
        <v>102.56723</v>
      </c>
      <c r="G438" s="4">
        <v>225.00608</v>
      </c>
      <c r="H438" s="1">
        <v>216</v>
      </c>
      <c r="I438" s="3">
        <v>99.441419999999994</v>
      </c>
      <c r="J438" s="3">
        <f t="shared" si="63"/>
        <v>101.03180999999999</v>
      </c>
      <c r="K438" s="1">
        <f t="shared" si="59"/>
        <v>4.1432158866932427E-3</v>
      </c>
      <c r="M438" s="4">
        <v>225.01805999999999</v>
      </c>
      <c r="N438" s="1">
        <v>216</v>
      </c>
      <c r="O438" s="3">
        <v>103.88521</v>
      </c>
      <c r="P438" s="3">
        <f t="shared" si="64"/>
        <v>103.09282</v>
      </c>
      <c r="S438" s="4">
        <v>250.00904</v>
      </c>
      <c r="T438" s="1">
        <v>216</v>
      </c>
      <c r="U438" s="5">
        <v>98.399770000000004</v>
      </c>
      <c r="V438" s="3">
        <f t="shared" si="60"/>
        <v>101.72346</v>
      </c>
      <c r="W438" s="1">
        <f t="shared" si="65"/>
        <v>4.0900060698029457E-3</v>
      </c>
      <c r="Y438" s="4">
        <v>250.01517000000001</v>
      </c>
      <c r="Z438" s="1">
        <v>216</v>
      </c>
      <c r="AA438" s="5">
        <v>105.53451</v>
      </c>
      <c r="AB438" s="3">
        <f t="shared" si="61"/>
        <v>103.92549</v>
      </c>
    </row>
    <row r="439" spans="1:28" x14ac:dyDescent="0.2">
      <c r="A439" s="2">
        <v>200.01581999999999</v>
      </c>
      <c r="B439" s="1">
        <v>216.5</v>
      </c>
      <c r="C439" s="5">
        <v>102.60039</v>
      </c>
      <c r="D439" s="3">
        <f t="shared" si="62"/>
        <v>102.47694</v>
      </c>
      <c r="G439" s="4">
        <v>225.01113000000001</v>
      </c>
      <c r="H439" s="1">
        <v>216.5</v>
      </c>
      <c r="I439" s="5">
        <v>99.439160000000001</v>
      </c>
      <c r="J439" s="3">
        <f t="shared" si="63"/>
        <v>101.02955</v>
      </c>
      <c r="K439" s="1">
        <f t="shared" ref="K439:K485" si="66">($J$118-J439)/($J$118*(1-$H$1))</f>
        <v>4.1657517901923903E-3</v>
      </c>
      <c r="M439" s="4">
        <v>225.01621</v>
      </c>
      <c r="N439" s="1">
        <v>216.5</v>
      </c>
      <c r="O439" s="5">
        <v>103.84049</v>
      </c>
      <c r="P439" s="3">
        <f t="shared" si="64"/>
        <v>103.04810000000001</v>
      </c>
      <c r="S439" s="4">
        <v>250.00604000000001</v>
      </c>
      <c r="T439" s="1">
        <v>216.5</v>
      </c>
      <c r="U439" s="3">
        <v>98.412049999999994</v>
      </c>
      <c r="V439" s="3">
        <f t="shared" si="60"/>
        <v>101.73573999999999</v>
      </c>
      <c r="W439" s="1">
        <f t="shared" si="65"/>
        <v>3.9683805109286532E-3</v>
      </c>
      <c r="Y439" s="4">
        <v>250.01044999999999</v>
      </c>
      <c r="Z439" s="1">
        <v>216.5</v>
      </c>
      <c r="AA439" s="3">
        <v>105.60398000000001</v>
      </c>
      <c r="AB439" s="3">
        <f t="shared" si="61"/>
        <v>103.99496000000001</v>
      </c>
    </row>
    <row r="440" spans="1:28" x14ac:dyDescent="0.2">
      <c r="A440" s="2">
        <v>200.01692</v>
      </c>
      <c r="B440" s="1">
        <v>217</v>
      </c>
      <c r="C440" s="3">
        <v>102.68912</v>
      </c>
      <c r="D440" s="3">
        <f t="shared" si="62"/>
        <v>102.56567</v>
      </c>
      <c r="G440" s="4">
        <v>225.00201000000001</v>
      </c>
      <c r="H440" s="1">
        <v>217</v>
      </c>
      <c r="I440" s="3">
        <v>99.422669999999997</v>
      </c>
      <c r="J440" s="3">
        <f t="shared" si="63"/>
        <v>101.01306</v>
      </c>
      <c r="K440" s="1">
        <f t="shared" si="66"/>
        <v>4.3301841126270205E-3</v>
      </c>
      <c r="M440" s="4">
        <v>225.01787999999999</v>
      </c>
      <c r="N440" s="1">
        <v>217</v>
      </c>
      <c r="O440" s="3">
        <v>103.96587</v>
      </c>
      <c r="P440" s="3">
        <f t="shared" si="64"/>
        <v>103.17348</v>
      </c>
      <c r="S440" s="4">
        <v>250.00407000000001</v>
      </c>
      <c r="T440" s="1">
        <v>217</v>
      </c>
      <c r="U440" s="5">
        <v>98.408339999999995</v>
      </c>
      <c r="V440" s="3">
        <f t="shared" si="60"/>
        <v>101.73202999999999</v>
      </c>
      <c r="W440" s="1">
        <f t="shared" si="65"/>
        <v>4.0051256919892203E-3</v>
      </c>
      <c r="Y440" s="4">
        <v>250.01075</v>
      </c>
      <c r="Z440" s="1">
        <v>217</v>
      </c>
      <c r="AA440" s="5">
        <v>105.65085999999999</v>
      </c>
      <c r="AB440" s="3">
        <f t="shared" si="61"/>
        <v>104.04183999999999</v>
      </c>
    </row>
    <row r="441" spans="1:28" x14ac:dyDescent="0.2">
      <c r="A441" s="2">
        <v>200.01987</v>
      </c>
      <c r="B441" s="1">
        <v>217.5</v>
      </c>
      <c r="C441" s="5">
        <v>102.60603</v>
      </c>
      <c r="D441" s="3">
        <f t="shared" si="62"/>
        <v>102.48258</v>
      </c>
      <c r="G441" s="4">
        <v>225.00486000000001</v>
      </c>
      <c r="H441" s="1">
        <v>217.5</v>
      </c>
      <c r="I441" s="5">
        <v>99.403570000000002</v>
      </c>
      <c r="J441" s="3">
        <f t="shared" si="63"/>
        <v>100.99396</v>
      </c>
      <c r="K441" s="1">
        <f t="shared" si="66"/>
        <v>4.5206424121115377E-3</v>
      </c>
      <c r="M441" s="4">
        <v>225.01907</v>
      </c>
      <c r="N441" s="1">
        <v>217.5</v>
      </c>
      <c r="O441" s="5">
        <v>103.84502000000001</v>
      </c>
      <c r="P441" s="3">
        <f t="shared" si="64"/>
        <v>103.05263000000001</v>
      </c>
      <c r="S441" s="4">
        <v>250.00703999999999</v>
      </c>
      <c r="T441" s="1">
        <v>217.5</v>
      </c>
      <c r="U441" s="3">
        <v>98.405630000000002</v>
      </c>
      <c r="V441" s="3">
        <f t="shared" si="60"/>
        <v>101.72932</v>
      </c>
      <c r="W441" s="1">
        <f t="shared" si="65"/>
        <v>4.0319665115778848E-3</v>
      </c>
      <c r="Y441" s="4">
        <v>250.01329000000001</v>
      </c>
      <c r="Z441" s="1">
        <v>217.5</v>
      </c>
      <c r="AA441" s="3">
        <v>105.6403</v>
      </c>
      <c r="AB441" s="3">
        <f t="shared" si="61"/>
        <v>104.03128</v>
      </c>
    </row>
    <row r="442" spans="1:28" x14ac:dyDescent="0.2">
      <c r="A442" s="2">
        <v>200.0196</v>
      </c>
      <c r="B442" s="1">
        <v>218</v>
      </c>
      <c r="C442" s="3">
        <v>102.64242</v>
      </c>
      <c r="D442" s="3">
        <f t="shared" si="62"/>
        <v>102.51897</v>
      </c>
      <c r="G442" s="4">
        <v>225.00794999999999</v>
      </c>
      <c r="H442" s="1">
        <v>218</v>
      </c>
      <c r="I442" s="3">
        <v>99.461380000000005</v>
      </c>
      <c r="J442" s="3">
        <f t="shared" si="63"/>
        <v>101.05177</v>
      </c>
      <c r="K442" s="1">
        <f t="shared" si="66"/>
        <v>3.9441819779123906E-3</v>
      </c>
      <c r="M442" s="4">
        <v>225.02047999999999</v>
      </c>
      <c r="N442" s="1">
        <v>218</v>
      </c>
      <c r="O442" s="3">
        <v>103.97138</v>
      </c>
      <c r="P442" s="3">
        <f t="shared" si="64"/>
        <v>103.17899</v>
      </c>
      <c r="S442" s="4">
        <v>250.00702000000001</v>
      </c>
      <c r="T442" s="1">
        <v>218</v>
      </c>
      <c r="U442" s="5">
        <v>98.399739999999994</v>
      </c>
      <c r="V442" s="3">
        <f t="shared" si="60"/>
        <v>101.72342999999999</v>
      </c>
      <c r="W442" s="1">
        <f t="shared" si="65"/>
        <v>4.0903032006471959E-3</v>
      </c>
      <c r="Y442" s="4">
        <v>250.01446000000001</v>
      </c>
      <c r="Z442" s="1">
        <v>218</v>
      </c>
      <c r="AA442" s="5">
        <v>105.55826999999999</v>
      </c>
      <c r="AB442" s="3">
        <f t="shared" si="61"/>
        <v>103.94924999999999</v>
      </c>
    </row>
    <row r="443" spans="1:28" x14ac:dyDescent="0.2">
      <c r="A443" s="2">
        <v>200.01743999999999</v>
      </c>
      <c r="B443" s="1">
        <v>218.5</v>
      </c>
      <c r="C443" s="5">
        <v>102.62387</v>
      </c>
      <c r="D443" s="3">
        <f t="shared" si="62"/>
        <v>102.50041999999999</v>
      </c>
      <c r="G443" s="4">
        <v>225.00527</v>
      </c>
      <c r="H443" s="1">
        <v>218.5</v>
      </c>
      <c r="I443" s="5">
        <v>99.405649999999994</v>
      </c>
      <c r="J443" s="3">
        <f t="shared" si="63"/>
        <v>100.99603999999999</v>
      </c>
      <c r="K443" s="1">
        <f t="shared" si="66"/>
        <v>4.4999014035813573E-3</v>
      </c>
      <c r="M443" s="4">
        <v>225.02019000000001</v>
      </c>
      <c r="N443" s="1">
        <v>218.5</v>
      </c>
      <c r="O443" s="5">
        <v>103.78530000000001</v>
      </c>
      <c r="P443" s="3">
        <f t="shared" si="64"/>
        <v>102.99291000000001</v>
      </c>
      <c r="S443" s="4">
        <v>250.00702999999999</v>
      </c>
      <c r="T443" s="1">
        <v>218.5</v>
      </c>
      <c r="U443" s="3">
        <v>98.405910000000006</v>
      </c>
      <c r="V443" s="3">
        <f t="shared" si="60"/>
        <v>101.7296</v>
      </c>
      <c r="W443" s="1">
        <f t="shared" si="65"/>
        <v>4.0291932903657292E-3</v>
      </c>
      <c r="Y443" s="4">
        <v>250.01240999999999</v>
      </c>
      <c r="Z443" s="1">
        <v>218.5</v>
      </c>
      <c r="AA443" s="3">
        <v>105.54684</v>
      </c>
      <c r="AB443" s="3">
        <f t="shared" si="61"/>
        <v>103.93782</v>
      </c>
    </row>
    <row r="444" spans="1:28" x14ac:dyDescent="0.2">
      <c r="A444" s="2">
        <v>200.01271</v>
      </c>
      <c r="B444" s="1">
        <v>219</v>
      </c>
      <c r="C444" s="3">
        <v>102.61063</v>
      </c>
      <c r="D444" s="3">
        <f t="shared" si="62"/>
        <v>102.48718</v>
      </c>
      <c r="G444" s="4">
        <v>225.00101000000001</v>
      </c>
      <c r="H444" s="1">
        <v>219</v>
      </c>
      <c r="I444" s="3">
        <v>99.361859999999993</v>
      </c>
      <c r="J444" s="3">
        <f t="shared" si="63"/>
        <v>100.95224999999999</v>
      </c>
      <c r="K444" s="1">
        <f t="shared" si="66"/>
        <v>4.9365594629755781E-3</v>
      </c>
      <c r="M444" s="4">
        <v>225.01730000000001</v>
      </c>
      <c r="N444" s="1">
        <v>219</v>
      </c>
      <c r="O444" s="3">
        <v>103.94041</v>
      </c>
      <c r="P444" s="3">
        <f t="shared" si="64"/>
        <v>103.14802</v>
      </c>
      <c r="S444" s="4">
        <v>250.00193999999999</v>
      </c>
      <c r="T444" s="1">
        <v>219</v>
      </c>
      <c r="U444" s="5">
        <v>98.411770000000004</v>
      </c>
      <c r="V444" s="3">
        <f t="shared" si="60"/>
        <v>101.73546</v>
      </c>
      <c r="W444" s="1">
        <f t="shared" si="65"/>
        <v>3.9711537321406674E-3</v>
      </c>
      <c r="Y444" s="4">
        <v>250.01227</v>
      </c>
      <c r="Z444" s="1">
        <v>219</v>
      </c>
      <c r="AA444" s="5">
        <v>105.52576999999999</v>
      </c>
      <c r="AB444" s="3">
        <f t="shared" si="61"/>
        <v>103.91674999999999</v>
      </c>
    </row>
    <row r="445" spans="1:28" x14ac:dyDescent="0.2">
      <c r="A445" s="2">
        <v>200.01044999999999</v>
      </c>
      <c r="B445" s="1">
        <v>219.5</v>
      </c>
      <c r="C445" s="5">
        <v>102.57773</v>
      </c>
      <c r="D445" s="3">
        <f t="shared" si="62"/>
        <v>102.45428</v>
      </c>
      <c r="G445" s="4">
        <v>225.00603000000001</v>
      </c>
      <c r="H445" s="1">
        <v>219.5</v>
      </c>
      <c r="I445" s="5">
        <v>99.410340000000005</v>
      </c>
      <c r="J445" s="3">
        <f t="shared" si="63"/>
        <v>101.00073</v>
      </c>
      <c r="K445" s="1">
        <f t="shared" si="66"/>
        <v>4.4531344180010072E-3</v>
      </c>
      <c r="M445" s="4">
        <v>225.01363000000001</v>
      </c>
      <c r="N445" s="1">
        <v>219.5</v>
      </c>
      <c r="O445" s="5">
        <v>103.96823000000001</v>
      </c>
      <c r="P445" s="3">
        <f t="shared" si="64"/>
        <v>103.17584000000001</v>
      </c>
      <c r="S445" s="4">
        <v>250.00496000000001</v>
      </c>
      <c r="T445" s="1">
        <v>219.5</v>
      </c>
      <c r="U445" s="3">
        <v>98.403829999999999</v>
      </c>
      <c r="V445" s="3">
        <f t="shared" si="60"/>
        <v>101.72752</v>
      </c>
      <c r="W445" s="1">
        <f t="shared" si="65"/>
        <v>4.0497943622272541E-3</v>
      </c>
      <c r="Y445" s="4">
        <v>250.01356999999999</v>
      </c>
      <c r="Z445" s="1">
        <v>219.5</v>
      </c>
      <c r="AA445" s="3">
        <v>105.56859</v>
      </c>
      <c r="AB445" s="3">
        <f t="shared" si="61"/>
        <v>103.95957</v>
      </c>
    </row>
    <row r="446" spans="1:28" x14ac:dyDescent="0.2">
      <c r="A446" s="2">
        <v>200.01282</v>
      </c>
      <c r="B446" s="1">
        <v>220</v>
      </c>
      <c r="C446" s="3">
        <v>102.64833</v>
      </c>
      <c r="D446" s="3">
        <f t="shared" si="62"/>
        <v>102.52488</v>
      </c>
      <c r="G446" s="4">
        <v>225.00602000000001</v>
      </c>
      <c r="H446" s="1">
        <v>220</v>
      </c>
      <c r="I446" s="3">
        <v>99.421539999999993</v>
      </c>
      <c r="J446" s="3">
        <f t="shared" si="63"/>
        <v>101.01192999999999</v>
      </c>
      <c r="K446" s="1">
        <f t="shared" si="66"/>
        <v>4.3414520643766654E-3</v>
      </c>
      <c r="M446" s="4">
        <v>225.01283000000001</v>
      </c>
      <c r="N446" s="1">
        <v>220</v>
      </c>
      <c r="O446" s="3">
        <v>103.96337</v>
      </c>
      <c r="P446" s="3">
        <f t="shared" si="64"/>
        <v>103.17098</v>
      </c>
      <c r="S446" s="4">
        <v>250.00601</v>
      </c>
      <c r="T446" s="1">
        <v>220</v>
      </c>
      <c r="U446" s="5">
        <v>98.415890000000005</v>
      </c>
      <c r="V446" s="3">
        <f t="shared" si="60"/>
        <v>101.73958</v>
      </c>
      <c r="W446" s="1">
        <f t="shared" si="65"/>
        <v>3.9303477628766167E-3</v>
      </c>
      <c r="Y446" s="4">
        <v>250.01777999999999</v>
      </c>
      <c r="Z446" s="1">
        <v>220</v>
      </c>
      <c r="AA446" s="5">
        <v>105.57856</v>
      </c>
      <c r="AB446" s="3">
        <f t="shared" si="61"/>
        <v>103.96953999999999</v>
      </c>
    </row>
    <row r="447" spans="1:28" x14ac:dyDescent="0.2">
      <c r="A447" s="2">
        <v>200.01322999999999</v>
      </c>
      <c r="B447" s="1">
        <v>220.5</v>
      </c>
      <c r="C447" s="5">
        <v>102.51658</v>
      </c>
      <c r="D447" s="3">
        <f t="shared" si="62"/>
        <v>102.39313</v>
      </c>
      <c r="G447" s="4">
        <v>225.01103000000001</v>
      </c>
      <c r="H447" s="1">
        <v>220.5</v>
      </c>
      <c r="I447" s="5">
        <v>99.405850000000001</v>
      </c>
      <c r="J447" s="3">
        <f t="shared" si="63"/>
        <v>100.99624</v>
      </c>
      <c r="K447" s="1">
        <f t="shared" si="66"/>
        <v>4.4979070758379971E-3</v>
      </c>
      <c r="M447" s="4">
        <v>225.01526999999999</v>
      </c>
      <c r="N447" s="1">
        <v>220.5</v>
      </c>
      <c r="O447" s="5">
        <v>103.85382</v>
      </c>
      <c r="P447" s="3">
        <f t="shared" si="64"/>
        <v>103.06143</v>
      </c>
      <c r="S447" s="4">
        <v>250.00291999999999</v>
      </c>
      <c r="T447" s="1">
        <v>220.5</v>
      </c>
      <c r="U447" s="3">
        <v>98.424549999999996</v>
      </c>
      <c r="V447" s="3">
        <f t="shared" si="60"/>
        <v>101.74824</v>
      </c>
      <c r="W447" s="1">
        <f t="shared" si="65"/>
        <v>3.8445759925304231E-3</v>
      </c>
      <c r="Y447" s="4">
        <v>250.0187</v>
      </c>
      <c r="Z447" s="1">
        <v>220.5</v>
      </c>
      <c r="AA447" s="3">
        <v>105.55914</v>
      </c>
      <c r="AB447" s="3">
        <f t="shared" si="61"/>
        <v>103.95012</v>
      </c>
    </row>
    <row r="448" spans="1:28" x14ac:dyDescent="0.2">
      <c r="A448" s="2">
        <v>200.01168000000001</v>
      </c>
      <c r="B448" s="1">
        <v>221</v>
      </c>
      <c r="C448" s="3">
        <v>102.79318000000001</v>
      </c>
      <c r="D448" s="3">
        <f t="shared" si="62"/>
        <v>102.66973</v>
      </c>
      <c r="G448" s="4">
        <v>225.01204999999999</v>
      </c>
      <c r="H448" s="1">
        <v>221</v>
      </c>
      <c r="I448" s="3">
        <v>99.41892</v>
      </c>
      <c r="J448" s="3">
        <f t="shared" si="63"/>
        <v>101.00931</v>
      </c>
      <c r="K448" s="1">
        <f t="shared" si="66"/>
        <v>4.3675777578137476E-3</v>
      </c>
      <c r="M448" s="4">
        <v>225.01822999999999</v>
      </c>
      <c r="N448" s="1">
        <v>221</v>
      </c>
      <c r="O448" s="3">
        <v>103.90916</v>
      </c>
      <c r="P448" s="3">
        <f t="shared" si="64"/>
        <v>103.11677</v>
      </c>
      <c r="S448" s="4">
        <v>250.0009</v>
      </c>
      <c r="T448" s="1">
        <v>221</v>
      </c>
      <c r="U448" s="5">
        <v>98.427070000000001</v>
      </c>
      <c r="V448" s="3">
        <f t="shared" si="60"/>
        <v>101.75076</v>
      </c>
      <c r="W448" s="1">
        <f t="shared" si="65"/>
        <v>3.8196170016213051E-3</v>
      </c>
      <c r="Y448" s="4">
        <v>250.01969</v>
      </c>
      <c r="Z448" s="1">
        <v>221</v>
      </c>
      <c r="AA448" s="5">
        <v>105.58705999999999</v>
      </c>
      <c r="AB448" s="3">
        <f t="shared" si="61"/>
        <v>103.97803999999999</v>
      </c>
    </row>
    <row r="449" spans="1:28" x14ac:dyDescent="0.2">
      <c r="A449" s="2">
        <v>200.0145</v>
      </c>
      <c r="B449" s="1">
        <v>221.5</v>
      </c>
      <c r="C449" s="5">
        <v>102.74075999999999</v>
      </c>
      <c r="D449" s="3">
        <f t="shared" si="62"/>
        <v>102.61730999999999</v>
      </c>
      <c r="G449" s="4">
        <v>225.00871000000001</v>
      </c>
      <c r="H449" s="1">
        <v>221.5</v>
      </c>
      <c r="I449" s="5">
        <v>99.399649999999994</v>
      </c>
      <c r="J449" s="3">
        <f t="shared" si="63"/>
        <v>100.99003999999999</v>
      </c>
      <c r="K449" s="1">
        <f t="shared" si="66"/>
        <v>4.5597312358801774E-3</v>
      </c>
      <c r="M449" s="4">
        <v>225.01942</v>
      </c>
      <c r="N449" s="1">
        <v>221.5</v>
      </c>
      <c r="O449" s="5">
        <v>103.90477</v>
      </c>
      <c r="P449" s="3">
        <f t="shared" si="64"/>
        <v>103.11238</v>
      </c>
      <c r="S449" s="4">
        <v>249.99986000000001</v>
      </c>
      <c r="T449" s="1">
        <v>221.5</v>
      </c>
      <c r="U449" s="3">
        <v>98.434669999999997</v>
      </c>
      <c r="V449" s="3">
        <f t="shared" si="60"/>
        <v>101.75836</v>
      </c>
      <c r="W449" s="1">
        <f t="shared" si="65"/>
        <v>3.7443438544352329E-3</v>
      </c>
      <c r="Y449" s="4">
        <v>250.01831999999999</v>
      </c>
      <c r="Z449" s="1">
        <v>221.5</v>
      </c>
      <c r="AA449" s="3">
        <v>105.51057</v>
      </c>
      <c r="AB449" s="3">
        <f t="shared" si="61"/>
        <v>103.90155</v>
      </c>
    </row>
    <row r="450" spans="1:28" x14ac:dyDescent="0.2">
      <c r="A450" s="2">
        <v>200.01464000000001</v>
      </c>
      <c r="B450" s="1">
        <v>222</v>
      </c>
      <c r="C450" s="3">
        <v>102.60409</v>
      </c>
      <c r="D450" s="3">
        <f t="shared" si="62"/>
        <v>102.48063999999999</v>
      </c>
      <c r="G450" s="4">
        <v>224.99907999999999</v>
      </c>
      <c r="H450" s="1">
        <v>222</v>
      </c>
      <c r="I450" s="3">
        <v>99.336129999999997</v>
      </c>
      <c r="J450" s="3">
        <f t="shared" si="63"/>
        <v>100.92652</v>
      </c>
      <c r="K450" s="1">
        <f t="shared" si="66"/>
        <v>5.1931297271503012E-3</v>
      </c>
      <c r="M450" s="4">
        <v>225.02565000000001</v>
      </c>
      <c r="N450" s="1">
        <v>222</v>
      </c>
      <c r="O450" s="3">
        <v>103.88077</v>
      </c>
      <c r="P450" s="3">
        <f t="shared" si="64"/>
        <v>103.08838</v>
      </c>
      <c r="S450" s="4">
        <v>249.99997999999999</v>
      </c>
      <c r="T450" s="1">
        <v>222</v>
      </c>
      <c r="U450" s="5">
        <v>98.399479999999997</v>
      </c>
      <c r="V450" s="3">
        <f t="shared" si="60"/>
        <v>101.72317</v>
      </c>
      <c r="W450" s="1">
        <f t="shared" si="65"/>
        <v>4.0928783346298511E-3</v>
      </c>
      <c r="Y450" s="4">
        <v>250.02086</v>
      </c>
      <c r="Z450" s="1">
        <v>222</v>
      </c>
      <c r="AA450" s="5">
        <v>105.5699</v>
      </c>
      <c r="AB450" s="3">
        <f t="shared" si="61"/>
        <v>103.96088</v>
      </c>
    </row>
    <row r="451" spans="1:28" x14ac:dyDescent="0.2">
      <c r="A451" s="2">
        <v>200.01372000000001</v>
      </c>
      <c r="B451" s="1">
        <v>222.5</v>
      </c>
      <c r="C451" s="5">
        <v>102.73851999999999</v>
      </c>
      <c r="D451" s="3">
        <f t="shared" si="62"/>
        <v>102.61506999999999</v>
      </c>
      <c r="G451" s="4">
        <v>225.00603000000001</v>
      </c>
      <c r="H451" s="1">
        <v>222.5</v>
      </c>
      <c r="I451" s="5">
        <v>99.407700000000006</v>
      </c>
      <c r="J451" s="3">
        <f t="shared" si="63"/>
        <v>100.99809</v>
      </c>
      <c r="K451" s="1">
        <f t="shared" si="66"/>
        <v>4.4794595442124822E-3</v>
      </c>
      <c r="M451" s="4">
        <v>225.02832000000001</v>
      </c>
      <c r="N451" s="1">
        <v>222.5</v>
      </c>
      <c r="O451" s="5">
        <v>103.92659</v>
      </c>
      <c r="P451" s="3">
        <f t="shared" si="64"/>
        <v>103.13420000000001</v>
      </c>
      <c r="S451" s="4">
        <v>250.00586000000001</v>
      </c>
      <c r="T451" s="1">
        <v>222.5</v>
      </c>
      <c r="U451" s="3">
        <v>98.41816</v>
      </c>
      <c r="V451" s="3">
        <f t="shared" si="60"/>
        <v>101.74185</v>
      </c>
      <c r="W451" s="1">
        <f t="shared" si="65"/>
        <v>3.9078648623355455E-3</v>
      </c>
      <c r="Y451" s="4">
        <v>250.01841999999999</v>
      </c>
      <c r="Z451" s="1">
        <v>222.5</v>
      </c>
      <c r="AA451" s="3">
        <v>105.59111</v>
      </c>
      <c r="AB451" s="3">
        <f t="shared" si="61"/>
        <v>103.98209</v>
      </c>
    </row>
    <row r="452" spans="1:28" x14ac:dyDescent="0.2">
      <c r="A452" s="2">
        <v>200.01183</v>
      </c>
      <c r="B452" s="1">
        <v>223</v>
      </c>
      <c r="C452" s="3">
        <v>102.63108</v>
      </c>
      <c r="D452" s="3">
        <f t="shared" si="62"/>
        <v>102.50762999999999</v>
      </c>
      <c r="G452" s="4">
        <v>225.0103</v>
      </c>
      <c r="H452" s="1">
        <v>223</v>
      </c>
      <c r="I452" s="3">
        <v>99.400459999999995</v>
      </c>
      <c r="J452" s="3">
        <f t="shared" si="63"/>
        <v>100.99084999999999</v>
      </c>
      <c r="K452" s="1">
        <f t="shared" si="66"/>
        <v>4.5516542085198243E-3</v>
      </c>
      <c r="M452" s="4">
        <v>225.02887000000001</v>
      </c>
      <c r="N452" s="1">
        <v>223</v>
      </c>
      <c r="O452" s="3">
        <v>103.96315</v>
      </c>
      <c r="P452" s="3">
        <f t="shared" si="64"/>
        <v>103.17076</v>
      </c>
      <c r="S452" s="4">
        <v>250.00491</v>
      </c>
      <c r="T452" s="1">
        <v>223</v>
      </c>
      <c r="U452" s="5">
        <v>98.420670000000001</v>
      </c>
      <c r="V452" s="3">
        <f t="shared" si="60"/>
        <v>101.74436</v>
      </c>
      <c r="W452" s="1">
        <f t="shared" si="65"/>
        <v>3.8830049150411776E-3</v>
      </c>
      <c r="Y452" s="4">
        <v>250.01848000000001</v>
      </c>
      <c r="Z452" s="1">
        <v>223</v>
      </c>
      <c r="AA452" s="5">
        <v>105.50342999999999</v>
      </c>
      <c r="AB452" s="3">
        <f t="shared" si="61"/>
        <v>103.89440999999999</v>
      </c>
    </row>
    <row r="453" spans="1:28" x14ac:dyDescent="0.2">
      <c r="A453" s="2">
        <v>200.01181</v>
      </c>
      <c r="B453" s="1">
        <v>223.5</v>
      </c>
      <c r="C453" s="5">
        <v>102.72280000000001</v>
      </c>
      <c r="D453" s="3">
        <f t="shared" si="62"/>
        <v>102.59935</v>
      </c>
      <c r="G453" s="4">
        <v>225.00704999999999</v>
      </c>
      <c r="H453" s="1">
        <v>223.5</v>
      </c>
      <c r="I453" s="5">
        <v>99.39913</v>
      </c>
      <c r="J453" s="3">
        <f t="shared" si="63"/>
        <v>100.98952</v>
      </c>
      <c r="K453" s="1">
        <f t="shared" si="66"/>
        <v>4.5649164880126871E-3</v>
      </c>
      <c r="M453" s="4">
        <v>225.02715000000001</v>
      </c>
      <c r="N453" s="1">
        <v>223.5</v>
      </c>
      <c r="O453" s="5">
        <v>103.90398999999999</v>
      </c>
      <c r="P453" s="3">
        <f t="shared" si="64"/>
        <v>103.1116</v>
      </c>
      <c r="S453" s="4">
        <v>250.00904</v>
      </c>
      <c r="T453" s="1">
        <v>223.5</v>
      </c>
      <c r="U453" s="3">
        <v>98.408330000000007</v>
      </c>
      <c r="V453" s="3">
        <f t="shared" si="60"/>
        <v>101.73202000000001</v>
      </c>
      <c r="W453" s="1">
        <f t="shared" si="65"/>
        <v>4.0052247356038295E-3</v>
      </c>
      <c r="Y453" s="4">
        <v>250.02104</v>
      </c>
      <c r="Z453" s="1">
        <v>223.5</v>
      </c>
      <c r="AA453" s="3">
        <v>105.61018</v>
      </c>
      <c r="AB453" s="3">
        <f t="shared" si="61"/>
        <v>104.00116</v>
      </c>
    </row>
    <row r="454" spans="1:28" x14ac:dyDescent="0.2">
      <c r="A454" s="2">
        <v>200.01481000000001</v>
      </c>
      <c r="B454" s="1">
        <v>224</v>
      </c>
      <c r="C454" s="3">
        <v>102.76754</v>
      </c>
      <c r="D454" s="3">
        <f t="shared" si="62"/>
        <v>102.64408999999999</v>
      </c>
      <c r="G454" s="4">
        <v>225.00576000000001</v>
      </c>
      <c r="H454" s="1">
        <v>224</v>
      </c>
      <c r="I454" s="3">
        <v>99.416719999999998</v>
      </c>
      <c r="J454" s="3">
        <f t="shared" si="63"/>
        <v>101.00711</v>
      </c>
      <c r="K454" s="1">
        <f t="shared" si="66"/>
        <v>4.389515362990001E-3</v>
      </c>
      <c r="M454" s="4">
        <v>225.02833999999999</v>
      </c>
      <c r="N454" s="1">
        <v>224</v>
      </c>
      <c r="O454" s="3">
        <v>103.86799999999999</v>
      </c>
      <c r="P454" s="3">
        <f t="shared" si="64"/>
        <v>103.07561</v>
      </c>
      <c r="S454" s="4">
        <v>250.00801999999999</v>
      </c>
      <c r="T454" s="1">
        <v>224</v>
      </c>
      <c r="U454" s="5">
        <v>98.405869999999993</v>
      </c>
      <c r="V454" s="3">
        <f t="shared" si="60"/>
        <v>101.72955999999999</v>
      </c>
      <c r="W454" s="1">
        <f t="shared" si="65"/>
        <v>4.0295894648247291E-3</v>
      </c>
      <c r="Y454" s="4">
        <v>250.01906</v>
      </c>
      <c r="Z454" s="1">
        <v>224</v>
      </c>
      <c r="AA454" s="5">
        <v>105.55287</v>
      </c>
      <c r="AB454" s="3">
        <f t="shared" si="61"/>
        <v>103.94385</v>
      </c>
    </row>
    <row r="455" spans="1:28" x14ac:dyDescent="0.2">
      <c r="A455" s="2">
        <v>200.02042</v>
      </c>
      <c r="B455" s="1">
        <v>224.5</v>
      </c>
      <c r="C455" s="5">
        <v>102.74878</v>
      </c>
      <c r="D455" s="3">
        <f t="shared" si="62"/>
        <v>102.62532999999999</v>
      </c>
      <c r="G455" s="4">
        <v>225.00895</v>
      </c>
      <c r="H455" s="1">
        <v>224.5</v>
      </c>
      <c r="I455" s="5">
        <v>99.398830000000004</v>
      </c>
      <c r="J455" s="3">
        <f t="shared" si="63"/>
        <v>100.98922</v>
      </c>
      <c r="K455" s="1">
        <f t="shared" si="66"/>
        <v>4.567907979627586E-3</v>
      </c>
      <c r="M455" s="4">
        <v>225.02718999999999</v>
      </c>
      <c r="N455" s="1">
        <v>224.5</v>
      </c>
      <c r="O455" s="5">
        <v>103.85808</v>
      </c>
      <c r="P455" s="3">
        <f t="shared" si="64"/>
        <v>103.06569</v>
      </c>
      <c r="S455" s="4">
        <v>250.00389999999999</v>
      </c>
      <c r="T455" s="1">
        <v>224.5</v>
      </c>
      <c r="U455" s="3">
        <v>98.40558</v>
      </c>
      <c r="V455" s="3">
        <f t="shared" ref="V455:V518" si="67">100-($U$6-U455)</f>
        <v>101.72927</v>
      </c>
      <c r="W455" s="1">
        <f t="shared" si="65"/>
        <v>4.0324617296514939E-3</v>
      </c>
      <c r="Y455" s="4">
        <v>250.01571999999999</v>
      </c>
      <c r="Z455" s="1">
        <v>224.5</v>
      </c>
      <c r="AA455" s="3">
        <v>105.77834</v>
      </c>
      <c r="AB455" s="3">
        <f t="shared" ref="AB455:AB518" si="68">100-($AA$6-AA455)</f>
        <v>104.16932</v>
      </c>
    </row>
    <row r="456" spans="1:28" x14ac:dyDescent="0.2">
      <c r="A456" s="2">
        <v>200.02366000000001</v>
      </c>
      <c r="B456" s="1">
        <v>225</v>
      </c>
      <c r="C456" s="3">
        <v>102.61906</v>
      </c>
      <c r="D456" s="3">
        <f t="shared" ref="D456:D485" si="69">100-($C$6-C456)</f>
        <v>102.49561</v>
      </c>
      <c r="G456" s="4">
        <v>225.00905</v>
      </c>
      <c r="H456" s="1">
        <v>225</v>
      </c>
      <c r="I456" s="3">
        <v>99.389070000000004</v>
      </c>
      <c r="J456" s="3">
        <f t="shared" ref="J456:J485" si="70">100-($I$6-I456)</f>
        <v>100.97946</v>
      </c>
      <c r="K456" s="1">
        <f t="shared" si="66"/>
        <v>4.6652311735003301E-3</v>
      </c>
      <c r="M456" s="4">
        <v>225.02191999999999</v>
      </c>
      <c r="N456" s="1">
        <v>225</v>
      </c>
      <c r="O456" s="3">
        <v>103.88915</v>
      </c>
      <c r="P456" s="3">
        <f t="shared" ref="P456:P485" si="71">100-($O$6-O456)</f>
        <v>103.09676</v>
      </c>
      <c r="S456" s="4">
        <v>250.00296</v>
      </c>
      <c r="T456" s="1">
        <v>225</v>
      </c>
      <c r="U456" s="5">
        <v>98.414330000000007</v>
      </c>
      <c r="V456" s="3">
        <f t="shared" si="67"/>
        <v>101.73802000000001</v>
      </c>
      <c r="W456" s="1">
        <f t="shared" ref="W456:W519" si="72">($V$199-V456)/($V$199*(1-$H$1))</f>
        <v>3.9457985667726908E-3</v>
      </c>
      <c r="Y456" s="4">
        <v>250.01568</v>
      </c>
      <c r="Z456" s="1">
        <v>225</v>
      </c>
      <c r="AA456" s="5">
        <v>105.51297</v>
      </c>
      <c r="AB456" s="3">
        <f t="shared" si="68"/>
        <v>103.90394999999999</v>
      </c>
    </row>
    <row r="457" spans="1:28" x14ac:dyDescent="0.2">
      <c r="A457" s="2">
        <v>200.02212</v>
      </c>
      <c r="B457" s="1">
        <v>225.5</v>
      </c>
      <c r="C457" s="5">
        <v>102.86763999999999</v>
      </c>
      <c r="D457" s="3">
        <f t="shared" si="69"/>
        <v>102.74418999999999</v>
      </c>
      <c r="G457" s="4">
        <v>225.006</v>
      </c>
      <c r="H457" s="1">
        <v>225.5</v>
      </c>
      <c r="I457" s="5">
        <v>99.392790000000005</v>
      </c>
      <c r="J457" s="3">
        <f t="shared" si="70"/>
        <v>100.98318</v>
      </c>
      <c r="K457" s="1">
        <f t="shared" si="66"/>
        <v>4.6281366774750497E-3</v>
      </c>
      <c r="M457" s="4">
        <v>225.02249</v>
      </c>
      <c r="N457" s="1">
        <v>225.5</v>
      </c>
      <c r="O457" s="5">
        <v>104.01143</v>
      </c>
      <c r="P457" s="3">
        <f t="shared" si="71"/>
        <v>103.21904000000001</v>
      </c>
      <c r="S457" s="4">
        <v>250.00805</v>
      </c>
      <c r="T457" s="1">
        <v>225.5</v>
      </c>
      <c r="U457" s="3">
        <v>98.414019999999994</v>
      </c>
      <c r="V457" s="3">
        <f t="shared" si="67"/>
        <v>101.73770999999999</v>
      </c>
      <c r="W457" s="1">
        <f t="shared" si="72"/>
        <v>3.9488689188290956E-3</v>
      </c>
      <c r="Y457" s="4">
        <v>250.01658</v>
      </c>
      <c r="Z457" s="1">
        <v>225.5</v>
      </c>
      <c r="AA457" s="3">
        <v>105.57114</v>
      </c>
      <c r="AB457" s="3">
        <f t="shared" si="68"/>
        <v>103.96212</v>
      </c>
    </row>
    <row r="458" spans="1:28" x14ac:dyDescent="0.2">
      <c r="A458" s="2">
        <v>200.02373</v>
      </c>
      <c r="B458" s="1">
        <v>226</v>
      </c>
      <c r="C458" s="3">
        <v>102.8061</v>
      </c>
      <c r="D458" s="3">
        <f t="shared" si="69"/>
        <v>102.68265</v>
      </c>
      <c r="G458" s="4">
        <v>225.00699</v>
      </c>
      <c r="H458" s="1">
        <v>226</v>
      </c>
      <c r="I458" s="3">
        <v>99.361999999999995</v>
      </c>
      <c r="J458" s="3">
        <f t="shared" si="70"/>
        <v>100.95238999999999</v>
      </c>
      <c r="K458" s="1">
        <f t="shared" si="66"/>
        <v>4.9351634335552544E-3</v>
      </c>
      <c r="M458" s="4">
        <v>225.02117999999999</v>
      </c>
      <c r="N458" s="1">
        <v>226</v>
      </c>
      <c r="O458" s="3">
        <v>103.81591</v>
      </c>
      <c r="P458" s="3">
        <f t="shared" si="71"/>
        <v>103.02352</v>
      </c>
      <c r="S458" s="4">
        <v>250.00189</v>
      </c>
      <c r="T458" s="1">
        <v>226</v>
      </c>
      <c r="U458" s="5">
        <v>98.403710000000004</v>
      </c>
      <c r="V458" s="3">
        <f t="shared" si="67"/>
        <v>101.7274</v>
      </c>
      <c r="W458" s="1">
        <f t="shared" si="72"/>
        <v>4.0509828856038323E-3</v>
      </c>
      <c r="Y458" s="4">
        <v>250.01641000000001</v>
      </c>
      <c r="Z458" s="1">
        <v>226</v>
      </c>
      <c r="AA458" s="5">
        <v>105.52124999999999</v>
      </c>
      <c r="AB458" s="3">
        <f t="shared" si="68"/>
        <v>103.91222999999999</v>
      </c>
    </row>
    <row r="459" spans="1:28" x14ac:dyDescent="0.2">
      <c r="A459" s="2">
        <v>200.02169000000001</v>
      </c>
      <c r="B459" s="1">
        <v>226.5</v>
      </c>
      <c r="C459" s="5">
        <v>102.60459</v>
      </c>
      <c r="D459" s="3">
        <f t="shared" si="69"/>
        <v>102.48114</v>
      </c>
      <c r="G459" s="4">
        <v>225.00291000000001</v>
      </c>
      <c r="H459" s="1">
        <v>226.5</v>
      </c>
      <c r="I459" s="5">
        <v>99.366439999999997</v>
      </c>
      <c r="J459" s="3">
        <f t="shared" si="70"/>
        <v>100.95683</v>
      </c>
      <c r="K459" s="1">
        <f t="shared" si="66"/>
        <v>4.8908893576541049E-3</v>
      </c>
      <c r="M459" s="4">
        <v>225.02042</v>
      </c>
      <c r="N459" s="1">
        <v>226.5</v>
      </c>
      <c r="O459" s="5">
        <v>103.92204</v>
      </c>
      <c r="P459" s="3">
        <f t="shared" si="71"/>
        <v>103.12965</v>
      </c>
      <c r="S459" s="4">
        <v>250.00597999999999</v>
      </c>
      <c r="T459" s="1">
        <v>226.5</v>
      </c>
      <c r="U459" s="3">
        <v>98.41</v>
      </c>
      <c r="V459" s="3">
        <f t="shared" si="67"/>
        <v>101.73369</v>
      </c>
      <c r="W459" s="1">
        <f t="shared" si="72"/>
        <v>3.9886844519459279E-3</v>
      </c>
      <c r="Y459" s="4">
        <v>250.01607999999999</v>
      </c>
      <c r="Z459" s="1">
        <v>226.5</v>
      </c>
      <c r="AA459" s="3">
        <v>105.68273000000001</v>
      </c>
      <c r="AB459" s="3">
        <f t="shared" si="68"/>
        <v>104.07371000000001</v>
      </c>
    </row>
    <row r="460" spans="1:28" x14ac:dyDescent="0.2">
      <c r="A460" s="2">
        <v>200.01564999999999</v>
      </c>
      <c r="B460" s="1">
        <v>227</v>
      </c>
      <c r="C460" s="3">
        <v>102.67180999999999</v>
      </c>
      <c r="D460" s="3">
        <f t="shared" si="69"/>
        <v>102.54835999999999</v>
      </c>
      <c r="G460" s="4">
        <v>225.00700000000001</v>
      </c>
      <c r="H460" s="1">
        <v>227</v>
      </c>
      <c r="I460" s="3">
        <v>99.393270000000001</v>
      </c>
      <c r="J460" s="3">
        <f t="shared" si="70"/>
        <v>100.98366</v>
      </c>
      <c r="K460" s="1">
        <f t="shared" si="66"/>
        <v>4.6233502908911836E-3</v>
      </c>
      <c r="M460" s="4">
        <v>225.01972000000001</v>
      </c>
      <c r="N460" s="1">
        <v>227</v>
      </c>
      <c r="O460" s="3">
        <v>103.97871000000001</v>
      </c>
      <c r="P460" s="3">
        <f t="shared" si="71"/>
        <v>103.18632000000001</v>
      </c>
      <c r="S460" s="4">
        <v>250.00398000000001</v>
      </c>
      <c r="T460" s="1">
        <v>227</v>
      </c>
      <c r="U460" s="5">
        <v>98.408060000000006</v>
      </c>
      <c r="V460" s="3">
        <f t="shared" si="67"/>
        <v>101.73175000000001</v>
      </c>
      <c r="W460" s="1">
        <f t="shared" si="72"/>
        <v>4.0078989132012353E-3</v>
      </c>
      <c r="Y460" s="4">
        <v>250.01473999999999</v>
      </c>
      <c r="Z460" s="1">
        <v>227</v>
      </c>
      <c r="AA460" s="5">
        <v>105.66670999999999</v>
      </c>
      <c r="AB460" s="3">
        <f t="shared" si="68"/>
        <v>104.05768999999999</v>
      </c>
    </row>
    <row r="461" spans="1:28" x14ac:dyDescent="0.2">
      <c r="A461" s="2">
        <v>200.01605000000001</v>
      </c>
      <c r="B461" s="1">
        <v>227.5</v>
      </c>
      <c r="C461" s="5">
        <v>102.77614</v>
      </c>
      <c r="D461" s="3">
        <f t="shared" si="69"/>
        <v>102.65268999999999</v>
      </c>
      <c r="G461" s="4">
        <v>225.00693999999999</v>
      </c>
      <c r="H461" s="1">
        <v>227.5</v>
      </c>
      <c r="I461" s="5">
        <v>99.358620000000002</v>
      </c>
      <c r="J461" s="3">
        <f t="shared" si="70"/>
        <v>100.94901</v>
      </c>
      <c r="K461" s="1">
        <f t="shared" si="66"/>
        <v>4.968867572416851E-3</v>
      </c>
      <c r="M461" s="4">
        <v>225.01544000000001</v>
      </c>
      <c r="N461" s="1">
        <v>227.5</v>
      </c>
      <c r="O461" s="5">
        <v>103.93608999999999</v>
      </c>
      <c r="P461" s="3">
        <f t="shared" si="71"/>
        <v>103.1437</v>
      </c>
      <c r="S461" s="4">
        <v>250.00797</v>
      </c>
      <c r="T461" s="1">
        <v>227.5</v>
      </c>
      <c r="U461" s="3">
        <v>98.414289999999994</v>
      </c>
      <c r="V461" s="3">
        <f t="shared" si="67"/>
        <v>101.73797999999999</v>
      </c>
      <c r="W461" s="1">
        <f t="shared" si="72"/>
        <v>3.9461947412316907E-3</v>
      </c>
      <c r="Y461" s="4">
        <v>250.01337000000001</v>
      </c>
      <c r="Z461" s="1">
        <v>227.5</v>
      </c>
      <c r="AA461" s="3">
        <v>105.60856</v>
      </c>
      <c r="AB461" s="3">
        <f t="shared" si="68"/>
        <v>103.99954</v>
      </c>
    </row>
    <row r="462" spans="1:28" x14ac:dyDescent="0.2">
      <c r="A462" s="2">
        <v>200.01962</v>
      </c>
      <c r="B462" s="1">
        <v>228</v>
      </c>
      <c r="C462" s="3">
        <v>102.6786</v>
      </c>
      <c r="D462" s="3">
        <f t="shared" si="69"/>
        <v>102.55515</v>
      </c>
      <c r="G462" s="4">
        <v>225.00299000000001</v>
      </c>
      <c r="H462" s="1">
        <v>228</v>
      </c>
      <c r="I462" s="3">
        <v>99.358469999999997</v>
      </c>
      <c r="J462" s="3">
        <f t="shared" si="70"/>
        <v>100.94886</v>
      </c>
      <c r="K462" s="1">
        <f t="shared" si="66"/>
        <v>4.9703633182243707E-3</v>
      </c>
      <c r="M462" s="4">
        <v>225.01293000000001</v>
      </c>
      <c r="N462" s="1">
        <v>228</v>
      </c>
      <c r="O462" s="3">
        <v>103.83996999999999</v>
      </c>
      <c r="P462" s="3">
        <f t="shared" si="71"/>
        <v>103.04758</v>
      </c>
      <c r="S462" s="4">
        <v>250.00708</v>
      </c>
      <c r="T462" s="1">
        <v>228</v>
      </c>
      <c r="U462" s="5">
        <v>98.405940000000001</v>
      </c>
      <c r="V462" s="3">
        <f t="shared" si="67"/>
        <v>101.72963</v>
      </c>
      <c r="W462" s="1">
        <f t="shared" si="72"/>
        <v>4.0288961595216196E-3</v>
      </c>
      <c r="Y462" s="4">
        <v>250.01271</v>
      </c>
      <c r="Z462" s="1">
        <v>228</v>
      </c>
      <c r="AA462" s="5">
        <v>105.53377</v>
      </c>
      <c r="AB462" s="3">
        <f t="shared" si="68"/>
        <v>103.92475</v>
      </c>
    </row>
    <row r="463" spans="1:28" x14ac:dyDescent="0.2">
      <c r="A463" s="2">
        <v>200.01691</v>
      </c>
      <c r="B463" s="1">
        <v>228.5</v>
      </c>
      <c r="C463" s="5">
        <v>102.76105</v>
      </c>
      <c r="D463" s="3">
        <f t="shared" si="69"/>
        <v>102.63759999999999</v>
      </c>
      <c r="G463" s="4">
        <v>225.00708</v>
      </c>
      <c r="H463" s="1">
        <v>228.5</v>
      </c>
      <c r="I463" s="5">
        <v>99.390789999999996</v>
      </c>
      <c r="J463" s="3">
        <f t="shared" si="70"/>
        <v>100.98117999999999</v>
      </c>
      <c r="K463" s="1">
        <f t="shared" si="66"/>
        <v>4.6480799549080843E-3</v>
      </c>
      <c r="M463" s="4">
        <v>225.01087000000001</v>
      </c>
      <c r="N463" s="1">
        <v>228.5</v>
      </c>
      <c r="O463" s="5">
        <v>103.8365</v>
      </c>
      <c r="P463" s="3">
        <f t="shared" si="71"/>
        <v>103.04411</v>
      </c>
      <c r="S463" s="4">
        <v>250.00693999999999</v>
      </c>
      <c r="T463" s="1">
        <v>228.5</v>
      </c>
      <c r="U463" s="3">
        <v>98.41189</v>
      </c>
      <c r="V463" s="3">
        <f t="shared" si="67"/>
        <v>101.73558</v>
      </c>
      <c r="W463" s="1">
        <f t="shared" si="72"/>
        <v>3.96996520876409E-3</v>
      </c>
      <c r="Y463" s="4">
        <v>250.01109</v>
      </c>
      <c r="Z463" s="1">
        <v>228.5</v>
      </c>
      <c r="AA463" s="3">
        <v>105.5513</v>
      </c>
      <c r="AB463" s="3">
        <f t="shared" si="68"/>
        <v>103.94228</v>
      </c>
    </row>
    <row r="464" spans="1:28" x14ac:dyDescent="0.2">
      <c r="A464" s="2">
        <v>200.01946000000001</v>
      </c>
      <c r="B464" s="1">
        <v>229</v>
      </c>
      <c r="C464" s="3">
        <v>102.75191</v>
      </c>
      <c r="D464" s="3">
        <f t="shared" si="69"/>
        <v>102.62845999999999</v>
      </c>
      <c r="G464" s="4">
        <v>225.00807</v>
      </c>
      <c r="H464" s="1">
        <v>229</v>
      </c>
      <c r="I464" s="3">
        <v>99.370350000000002</v>
      </c>
      <c r="J464" s="3">
        <f t="shared" si="70"/>
        <v>100.96074</v>
      </c>
      <c r="K464" s="1">
        <f t="shared" si="66"/>
        <v>4.8519002502726612E-3</v>
      </c>
      <c r="M464" s="4">
        <v>225.01092</v>
      </c>
      <c r="N464" s="1">
        <v>229</v>
      </c>
      <c r="O464" s="3">
        <v>103.87779</v>
      </c>
      <c r="P464" s="3">
        <f t="shared" si="71"/>
        <v>103.08540000000001</v>
      </c>
      <c r="S464" s="4">
        <v>250.00593000000001</v>
      </c>
      <c r="T464" s="1">
        <v>229</v>
      </c>
      <c r="U464" s="5">
        <v>98.426540000000003</v>
      </c>
      <c r="V464" s="3">
        <f t="shared" si="67"/>
        <v>101.75023</v>
      </c>
      <c r="W464" s="1">
        <f t="shared" si="72"/>
        <v>3.824866313201366E-3</v>
      </c>
      <c r="Y464" s="4">
        <v>250.01402999999999</v>
      </c>
      <c r="Z464" s="1">
        <v>229</v>
      </c>
      <c r="AA464" s="5">
        <v>105.6533</v>
      </c>
      <c r="AB464" s="3">
        <f t="shared" si="68"/>
        <v>104.04428</v>
      </c>
    </row>
    <row r="465" spans="1:28" x14ac:dyDescent="0.2">
      <c r="A465" s="2">
        <v>200.02189999999999</v>
      </c>
      <c r="B465" s="1">
        <v>229.5</v>
      </c>
      <c r="C465" s="5">
        <v>102.71699</v>
      </c>
      <c r="D465" s="3">
        <f t="shared" si="69"/>
        <v>102.59353999999999</v>
      </c>
      <c r="G465" s="4">
        <v>225.01196999999999</v>
      </c>
      <c r="H465" s="1">
        <v>229.5</v>
      </c>
      <c r="I465" s="5">
        <v>99.410319999999999</v>
      </c>
      <c r="J465" s="3">
        <f t="shared" si="70"/>
        <v>101.00071</v>
      </c>
      <c r="K465" s="1">
        <f t="shared" si="66"/>
        <v>4.4533338507754001E-3</v>
      </c>
      <c r="M465" s="4">
        <v>225.01165</v>
      </c>
      <c r="N465" s="1">
        <v>229.5</v>
      </c>
      <c r="O465" s="5">
        <v>103.87183</v>
      </c>
      <c r="P465" s="3">
        <f t="shared" si="71"/>
        <v>103.07944000000001</v>
      </c>
      <c r="S465" s="4">
        <v>250.00695999999999</v>
      </c>
      <c r="T465" s="1">
        <v>229.5</v>
      </c>
      <c r="U465" s="3">
        <v>98.413989999999998</v>
      </c>
      <c r="V465" s="3">
        <f t="shared" si="67"/>
        <v>101.73768</v>
      </c>
      <c r="W465" s="1">
        <f t="shared" si="72"/>
        <v>3.9491660496732053E-3</v>
      </c>
      <c r="Y465" s="4">
        <v>250.01265000000001</v>
      </c>
      <c r="Z465" s="1">
        <v>229.5</v>
      </c>
      <c r="AA465" s="3">
        <v>105.63533</v>
      </c>
      <c r="AB465" s="3">
        <f t="shared" si="68"/>
        <v>104.02631</v>
      </c>
    </row>
    <row r="466" spans="1:28" x14ac:dyDescent="0.2">
      <c r="A466" s="2">
        <v>200.02276000000001</v>
      </c>
      <c r="B466" s="1">
        <v>230</v>
      </c>
      <c r="C466" s="3">
        <v>102.72787</v>
      </c>
      <c r="D466" s="3">
        <f t="shared" si="69"/>
        <v>102.60441999999999</v>
      </c>
      <c r="G466" s="4">
        <v>225.00172000000001</v>
      </c>
      <c r="H466" s="1">
        <v>230</v>
      </c>
      <c r="I466" s="3">
        <v>99.349090000000004</v>
      </c>
      <c r="J466" s="3">
        <f t="shared" si="70"/>
        <v>100.93948</v>
      </c>
      <c r="K466" s="1">
        <f t="shared" si="66"/>
        <v>5.0638972893847873E-3</v>
      </c>
      <c r="M466" s="4">
        <v>225.01149000000001</v>
      </c>
      <c r="N466" s="1">
        <v>230</v>
      </c>
      <c r="O466" s="3">
        <v>104.03023</v>
      </c>
      <c r="P466" s="3">
        <f t="shared" si="71"/>
        <v>103.23784000000001</v>
      </c>
      <c r="S466" s="4">
        <v>250.00396000000001</v>
      </c>
      <c r="T466" s="1">
        <v>230</v>
      </c>
      <c r="U466" s="5">
        <v>98.416300000000007</v>
      </c>
      <c r="V466" s="3">
        <f t="shared" si="67"/>
        <v>101.73999000000001</v>
      </c>
      <c r="W466" s="1">
        <f t="shared" si="72"/>
        <v>3.9262869746731341E-3</v>
      </c>
      <c r="Y466" s="4">
        <v>250.01408000000001</v>
      </c>
      <c r="Z466" s="1">
        <v>230</v>
      </c>
      <c r="AA466" s="5">
        <v>105.61981</v>
      </c>
      <c r="AB466" s="3">
        <f t="shared" si="68"/>
        <v>104.01079</v>
      </c>
    </row>
    <row r="467" spans="1:28" x14ac:dyDescent="0.2">
      <c r="A467" s="2">
        <v>200.02126999999999</v>
      </c>
      <c r="B467" s="1">
        <v>230.5</v>
      </c>
      <c r="C467" s="5">
        <v>102.91567999999999</v>
      </c>
      <c r="D467" s="7">
        <f t="shared" si="69"/>
        <v>102.79222999999999</v>
      </c>
      <c r="E467" s="1">
        <f>($D$467-D467)/($D$467*(1-$H$1))</f>
        <v>0</v>
      </c>
      <c r="G467" s="4">
        <v>225.00584000000001</v>
      </c>
      <c r="H467" s="1">
        <v>230.5</v>
      </c>
      <c r="I467" s="5">
        <v>99.384410000000003</v>
      </c>
      <c r="J467" s="3">
        <f t="shared" si="70"/>
        <v>100.9748</v>
      </c>
      <c r="K467" s="1">
        <f t="shared" si="66"/>
        <v>4.7116990099190905E-3</v>
      </c>
      <c r="M467" s="4">
        <v>225.00995</v>
      </c>
      <c r="N467" s="1">
        <v>230.5</v>
      </c>
      <c r="O467" s="5">
        <v>103.94595</v>
      </c>
      <c r="P467" s="3">
        <f t="shared" si="71"/>
        <v>103.15356</v>
      </c>
      <c r="S467" s="4">
        <v>250.00312</v>
      </c>
      <c r="T467" s="1">
        <v>230.5</v>
      </c>
      <c r="U467" s="3">
        <v>98.401579999999996</v>
      </c>
      <c r="V467" s="3">
        <f t="shared" si="67"/>
        <v>101.72526999999999</v>
      </c>
      <c r="W467" s="1">
        <f t="shared" si="72"/>
        <v>4.0720791755389663E-3</v>
      </c>
      <c r="Y467" s="4">
        <v>250.01750000000001</v>
      </c>
      <c r="Z467" s="1">
        <v>230.5</v>
      </c>
      <c r="AA467" s="3">
        <v>105.5873</v>
      </c>
      <c r="AB467" s="3">
        <f t="shared" si="68"/>
        <v>103.97828</v>
      </c>
    </row>
    <row r="468" spans="1:28" x14ac:dyDescent="0.2">
      <c r="A468" s="2">
        <v>200.02098000000001</v>
      </c>
      <c r="B468" s="1">
        <v>231</v>
      </c>
      <c r="C468" s="3">
        <v>102.87354999999999</v>
      </c>
      <c r="D468" s="3">
        <f t="shared" si="69"/>
        <v>102.75009999999999</v>
      </c>
      <c r="E468" s="1">
        <f t="shared" ref="E468:E485" si="73">($D$467-D468)/($D$467*(1-$H$1))</f>
        <v>4.1460853881070429E-4</v>
      </c>
      <c r="G468" s="4">
        <v>225.00707</v>
      </c>
      <c r="H468" s="1">
        <v>231</v>
      </c>
      <c r="I468" s="3">
        <v>99.364270000000005</v>
      </c>
      <c r="J468" s="3">
        <f t="shared" si="70"/>
        <v>100.95466</v>
      </c>
      <c r="K468" s="1">
        <f t="shared" si="66"/>
        <v>4.9125278136687685E-3</v>
      </c>
      <c r="M468" s="4">
        <v>225.00835000000001</v>
      </c>
      <c r="N468" s="1">
        <v>231</v>
      </c>
      <c r="O468" s="3">
        <v>104.03375</v>
      </c>
      <c r="P468" s="3">
        <f t="shared" si="71"/>
        <v>103.24136</v>
      </c>
      <c r="S468" s="4">
        <v>250.00400999999999</v>
      </c>
      <c r="T468" s="1">
        <v>231</v>
      </c>
      <c r="U468" s="5">
        <v>98.405959999999993</v>
      </c>
      <c r="V468" s="3">
        <f t="shared" si="67"/>
        <v>101.72964999999999</v>
      </c>
      <c r="W468" s="1">
        <f t="shared" si="72"/>
        <v>4.0286980722922605E-3</v>
      </c>
      <c r="Y468" s="4">
        <v>250.02026000000001</v>
      </c>
      <c r="Z468" s="1">
        <v>231</v>
      </c>
      <c r="AA468" s="5">
        <v>105.61223</v>
      </c>
      <c r="AB468" s="3">
        <f t="shared" si="68"/>
        <v>104.00321</v>
      </c>
    </row>
    <row r="469" spans="1:28" x14ac:dyDescent="0.2">
      <c r="A469" s="2">
        <v>200.01907</v>
      </c>
      <c r="B469" s="1">
        <v>231.5</v>
      </c>
      <c r="C469" s="5">
        <v>102.65774999999999</v>
      </c>
      <c r="D469" s="3">
        <f t="shared" si="69"/>
        <v>102.53429999999999</v>
      </c>
      <c r="E469" s="1">
        <f t="shared" si="73"/>
        <v>2.5383332640741781E-3</v>
      </c>
      <c r="G469" s="4">
        <v>225.012</v>
      </c>
      <c r="H469" s="1">
        <v>231.5</v>
      </c>
      <c r="I469" s="5">
        <v>99.347579999999994</v>
      </c>
      <c r="J469" s="3">
        <f t="shared" si="70"/>
        <v>100.93796999999999</v>
      </c>
      <c r="K469" s="1">
        <f t="shared" si="66"/>
        <v>5.0789544638467597E-3</v>
      </c>
      <c r="M469" s="4">
        <v>225.00919999999999</v>
      </c>
      <c r="N469" s="1">
        <v>231.5</v>
      </c>
      <c r="O469" s="5">
        <v>103.93313000000001</v>
      </c>
      <c r="P469" s="3">
        <f t="shared" si="71"/>
        <v>103.14074000000001</v>
      </c>
      <c r="S469" s="4">
        <v>250.00901999999999</v>
      </c>
      <c r="T469" s="1">
        <v>231.5</v>
      </c>
      <c r="U469" s="3">
        <v>98.403679999999994</v>
      </c>
      <c r="V469" s="3">
        <f t="shared" si="67"/>
        <v>101.72736999999999</v>
      </c>
      <c r="W469" s="1">
        <f t="shared" si="72"/>
        <v>4.0512800164480825E-3</v>
      </c>
      <c r="Y469" s="4">
        <v>250.01992000000001</v>
      </c>
      <c r="Z469" s="1">
        <v>231.5</v>
      </c>
      <c r="AA469" s="3">
        <v>105.61048</v>
      </c>
      <c r="AB469" s="3">
        <f t="shared" si="68"/>
        <v>104.00145999999999</v>
      </c>
    </row>
    <row r="470" spans="1:28" x14ac:dyDescent="0.2">
      <c r="A470" s="2">
        <v>200.01651000000001</v>
      </c>
      <c r="B470" s="1">
        <v>232</v>
      </c>
      <c r="C470" s="3">
        <v>102.76006</v>
      </c>
      <c r="D470" s="3">
        <f t="shared" si="69"/>
        <v>102.63660999999999</v>
      </c>
      <c r="E470" s="1">
        <f t="shared" si="73"/>
        <v>1.5314830479402097E-3</v>
      </c>
      <c r="G470" s="4">
        <v>225.01008999999999</v>
      </c>
      <c r="H470" s="1">
        <v>232</v>
      </c>
      <c r="I470" s="3">
        <v>99.339299999999994</v>
      </c>
      <c r="J470" s="3">
        <f t="shared" si="70"/>
        <v>100.92968999999999</v>
      </c>
      <c r="K470" s="1">
        <f t="shared" si="66"/>
        <v>5.1615196324191204E-3</v>
      </c>
      <c r="M470" s="4">
        <v>225.01306</v>
      </c>
      <c r="N470" s="1">
        <v>232</v>
      </c>
      <c r="O470" s="3">
        <v>103.96535</v>
      </c>
      <c r="P470" s="3">
        <f t="shared" si="71"/>
        <v>103.17296</v>
      </c>
      <c r="S470" s="4">
        <v>250.00603000000001</v>
      </c>
      <c r="T470" s="1">
        <v>232</v>
      </c>
      <c r="U470" s="5">
        <v>98.416390000000007</v>
      </c>
      <c r="V470" s="3">
        <f t="shared" si="67"/>
        <v>101.74008000000001</v>
      </c>
      <c r="W470" s="1">
        <f t="shared" si="72"/>
        <v>3.9253955821406655E-3</v>
      </c>
      <c r="Y470" s="4">
        <v>250.01772</v>
      </c>
      <c r="Z470" s="1">
        <v>232</v>
      </c>
      <c r="AA470" s="5">
        <v>105.59387</v>
      </c>
      <c r="AB470" s="3">
        <f t="shared" si="68"/>
        <v>103.98484999999999</v>
      </c>
    </row>
    <row r="471" spans="1:28" x14ac:dyDescent="0.2">
      <c r="A471" s="2">
        <v>200.01500999999999</v>
      </c>
      <c r="B471" s="1">
        <v>232.5</v>
      </c>
      <c r="C471" s="5">
        <v>102.69624</v>
      </c>
      <c r="D471" s="3">
        <f t="shared" si="69"/>
        <v>102.57279</v>
      </c>
      <c r="E471" s="1">
        <f t="shared" si="73"/>
        <v>2.1595465880991454E-3</v>
      </c>
      <c r="G471" s="4">
        <v>225.00889000000001</v>
      </c>
      <c r="H471" s="1">
        <v>232.5</v>
      </c>
      <c r="I471" s="5">
        <v>99.345020000000005</v>
      </c>
      <c r="J471" s="3">
        <f t="shared" si="70"/>
        <v>100.93541</v>
      </c>
      <c r="K471" s="1">
        <f t="shared" si="66"/>
        <v>5.1044818589608054E-3</v>
      </c>
      <c r="M471" s="4">
        <v>225.01527999999999</v>
      </c>
      <c r="N471" s="1">
        <v>232.5</v>
      </c>
      <c r="O471" s="5">
        <v>104.07737</v>
      </c>
      <c r="P471" s="3">
        <f t="shared" si="71"/>
        <v>103.28498</v>
      </c>
      <c r="S471" s="4">
        <v>250.01193000000001</v>
      </c>
      <c r="T471" s="1">
        <v>232.5</v>
      </c>
      <c r="U471" s="3">
        <v>98.41198</v>
      </c>
      <c r="V471" s="3">
        <f t="shared" si="67"/>
        <v>101.73567</v>
      </c>
      <c r="W471" s="1">
        <f t="shared" si="72"/>
        <v>3.9690738162316214E-3</v>
      </c>
      <c r="Y471" s="4">
        <v>250.01528999999999</v>
      </c>
      <c r="Z471" s="1">
        <v>232.5</v>
      </c>
      <c r="AA471" s="3">
        <v>105.58233</v>
      </c>
      <c r="AB471" s="3">
        <f t="shared" si="68"/>
        <v>103.97331</v>
      </c>
    </row>
    <row r="472" spans="1:28" x14ac:dyDescent="0.2">
      <c r="A472" s="2">
        <v>200.01412999999999</v>
      </c>
      <c r="B472" s="1">
        <v>233</v>
      </c>
      <c r="C472" s="3">
        <v>102.80149</v>
      </c>
      <c r="D472" s="3">
        <f t="shared" si="69"/>
        <v>102.67804</v>
      </c>
      <c r="E472" s="1">
        <f t="shared" si="73"/>
        <v>1.1237633289055639E-3</v>
      </c>
      <c r="G472" s="4">
        <v>225.00998999999999</v>
      </c>
      <c r="H472" s="1">
        <v>233</v>
      </c>
      <c r="I472" s="3">
        <v>99.350409999999997</v>
      </c>
      <c r="J472" s="3">
        <f t="shared" si="70"/>
        <v>100.9408</v>
      </c>
      <c r="K472" s="1">
        <f t="shared" si="66"/>
        <v>5.0507347262791205E-3</v>
      </c>
      <c r="M472" s="4">
        <v>225.02067</v>
      </c>
      <c r="N472" s="1">
        <v>233</v>
      </c>
      <c r="O472" s="3">
        <v>103.95325</v>
      </c>
      <c r="P472" s="3">
        <f t="shared" si="71"/>
        <v>103.16086</v>
      </c>
      <c r="S472" s="4">
        <v>250.00692000000001</v>
      </c>
      <c r="T472" s="1">
        <v>233</v>
      </c>
      <c r="U472" s="5">
        <v>98.418270000000007</v>
      </c>
      <c r="V472" s="3">
        <f t="shared" si="67"/>
        <v>101.74196000000001</v>
      </c>
      <c r="W472" s="1">
        <f t="shared" si="72"/>
        <v>3.9067753825735765E-3</v>
      </c>
      <c r="Y472" s="4">
        <v>250.01459</v>
      </c>
      <c r="Z472" s="1">
        <v>233</v>
      </c>
      <c r="AA472" s="5">
        <v>105.55356</v>
      </c>
      <c r="AB472" s="3">
        <f t="shared" si="68"/>
        <v>103.94454</v>
      </c>
    </row>
    <row r="473" spans="1:28" x14ac:dyDescent="0.2">
      <c r="A473" s="2">
        <v>200.01077000000001</v>
      </c>
      <c r="B473" s="1">
        <v>233.5</v>
      </c>
      <c r="C473" s="5">
        <v>102.80013</v>
      </c>
      <c r="D473" s="3">
        <f t="shared" si="69"/>
        <v>102.67667999999999</v>
      </c>
      <c r="E473" s="1">
        <f t="shared" si="73"/>
        <v>1.1371473216134865E-3</v>
      </c>
      <c r="G473" s="4">
        <v>225.00698</v>
      </c>
      <c r="H473" s="1">
        <v>233.5</v>
      </c>
      <c r="I473" s="5">
        <v>99.367260000000002</v>
      </c>
      <c r="J473" s="3">
        <f t="shared" si="70"/>
        <v>100.95765</v>
      </c>
      <c r="K473" s="1">
        <f t="shared" si="66"/>
        <v>4.8827126139065549E-3</v>
      </c>
      <c r="M473" s="4">
        <v>225.01635999999999</v>
      </c>
      <c r="N473" s="1">
        <v>233.5</v>
      </c>
      <c r="O473" s="5">
        <v>103.97714000000001</v>
      </c>
      <c r="P473" s="3">
        <f t="shared" si="71"/>
        <v>103.18475000000001</v>
      </c>
      <c r="S473" s="4">
        <v>250.00399999999999</v>
      </c>
      <c r="T473" s="1">
        <v>233.5</v>
      </c>
      <c r="U473" s="3">
        <v>98.420230000000004</v>
      </c>
      <c r="V473" s="3">
        <f t="shared" si="67"/>
        <v>101.74392</v>
      </c>
      <c r="W473" s="1">
        <f t="shared" si="72"/>
        <v>3.8873628340887699E-3</v>
      </c>
      <c r="Y473" s="4">
        <v>250.01794000000001</v>
      </c>
      <c r="Z473" s="1">
        <v>233.5</v>
      </c>
      <c r="AA473" s="3">
        <v>105.53151</v>
      </c>
      <c r="AB473" s="3">
        <f t="shared" si="68"/>
        <v>103.92249</v>
      </c>
    </row>
    <row r="474" spans="1:28" x14ac:dyDescent="0.2">
      <c r="A474" s="2">
        <v>200.01043000000001</v>
      </c>
      <c r="B474" s="1">
        <v>234</v>
      </c>
      <c r="C474" s="3">
        <v>102.73457999999999</v>
      </c>
      <c r="D474" s="3">
        <f t="shared" si="69"/>
        <v>102.61112999999999</v>
      </c>
      <c r="E474" s="1">
        <f t="shared" si="73"/>
        <v>1.7822360877906111E-3</v>
      </c>
      <c r="G474" s="4">
        <v>225.00896</v>
      </c>
      <c r="H474" s="1">
        <v>234</v>
      </c>
      <c r="I474" s="3">
        <v>99.343209999999999</v>
      </c>
      <c r="J474" s="3">
        <f t="shared" si="70"/>
        <v>100.9336</v>
      </c>
      <c r="K474" s="1">
        <f t="shared" si="66"/>
        <v>5.1225305250376767E-3</v>
      </c>
      <c r="M474" s="4">
        <v>225.01024000000001</v>
      </c>
      <c r="N474" s="1">
        <v>234</v>
      </c>
      <c r="O474" s="3">
        <v>104.10561</v>
      </c>
      <c r="P474" s="7">
        <f t="shared" si="71"/>
        <v>103.31322</v>
      </c>
      <c r="Q474" s="1">
        <f>($P$474-P474)/($P$474*(1-$H$1))</f>
        <v>0</v>
      </c>
      <c r="S474" s="4">
        <v>250.00102999999999</v>
      </c>
      <c r="T474" s="1">
        <v>234</v>
      </c>
      <c r="U474" s="5">
        <v>98.41189</v>
      </c>
      <c r="V474" s="3">
        <f t="shared" si="67"/>
        <v>101.73558</v>
      </c>
      <c r="W474" s="1">
        <f t="shared" si="72"/>
        <v>3.96996520876409E-3</v>
      </c>
      <c r="Y474" s="4">
        <v>250.01613</v>
      </c>
      <c r="Z474" s="1">
        <v>234</v>
      </c>
      <c r="AA474" s="5">
        <v>105.60017000000001</v>
      </c>
      <c r="AB474" s="3">
        <f t="shared" si="68"/>
        <v>103.99115</v>
      </c>
    </row>
    <row r="475" spans="1:28" x14ac:dyDescent="0.2">
      <c r="A475" s="2">
        <v>200.01087000000001</v>
      </c>
      <c r="B475" s="1">
        <v>234.5</v>
      </c>
      <c r="C475" s="5">
        <v>102.78014</v>
      </c>
      <c r="D475" s="3">
        <f t="shared" si="69"/>
        <v>102.65669</v>
      </c>
      <c r="E475" s="1">
        <f t="shared" si="73"/>
        <v>1.3338723320768847E-3</v>
      </c>
      <c r="G475" s="4">
        <v>225.00816</v>
      </c>
      <c r="H475" s="1">
        <v>234.5</v>
      </c>
      <c r="I475" s="5">
        <v>99.351519999999994</v>
      </c>
      <c r="J475" s="3">
        <f t="shared" si="70"/>
        <v>100.94190999999999</v>
      </c>
      <c r="K475" s="1">
        <f t="shared" si="66"/>
        <v>5.0396662073038685E-3</v>
      </c>
      <c r="M475" s="4">
        <v>225.00944999999999</v>
      </c>
      <c r="N475" s="1">
        <v>234.5</v>
      </c>
      <c r="O475" s="5">
        <v>104.09028000000001</v>
      </c>
      <c r="P475" s="3">
        <f t="shared" si="71"/>
        <v>103.29789000000001</v>
      </c>
      <c r="Q475" s="1">
        <f t="shared" ref="Q475:Q485" si="74">($P$474-P475)/($P$474*(1-$H$1))</f>
        <v>1.5010436724460541E-4</v>
      </c>
      <c r="S475" s="4">
        <v>250.00201999999999</v>
      </c>
      <c r="T475" s="1">
        <v>234.5</v>
      </c>
      <c r="U475" s="3">
        <v>98.41592</v>
      </c>
      <c r="V475" s="3">
        <f t="shared" si="67"/>
        <v>101.73961</v>
      </c>
      <c r="W475" s="1">
        <f t="shared" si="72"/>
        <v>3.930050632032508E-3</v>
      </c>
      <c r="Y475" s="4">
        <v>250.01345000000001</v>
      </c>
      <c r="Z475" s="1">
        <v>234.5</v>
      </c>
      <c r="AA475" s="3">
        <v>105.56798000000001</v>
      </c>
      <c r="AB475" s="3">
        <f t="shared" si="68"/>
        <v>103.95896</v>
      </c>
    </row>
    <row r="476" spans="1:28" x14ac:dyDescent="0.2">
      <c r="A476" s="2">
        <v>200.01293999999999</v>
      </c>
      <c r="B476" s="1">
        <v>235</v>
      </c>
      <c r="C476" s="3">
        <v>102.64</v>
      </c>
      <c r="D476" s="3">
        <f t="shared" si="69"/>
        <v>102.51655</v>
      </c>
      <c r="E476" s="1">
        <f t="shared" si="73"/>
        <v>2.7130140512540216E-3</v>
      </c>
      <c r="G476" s="4">
        <v>225.00604999999999</v>
      </c>
      <c r="H476" s="1">
        <v>235</v>
      </c>
      <c r="I476" s="3">
        <v>99.320160000000001</v>
      </c>
      <c r="J476" s="3">
        <f t="shared" si="70"/>
        <v>100.91055</v>
      </c>
      <c r="K476" s="1">
        <f t="shared" si="66"/>
        <v>5.3523767974522811E-3</v>
      </c>
      <c r="M476" s="4">
        <v>225.00624999999999</v>
      </c>
      <c r="N476" s="1">
        <v>235</v>
      </c>
      <c r="O476" s="3">
        <v>103.98164</v>
      </c>
      <c r="P476" s="3">
        <f t="shared" si="71"/>
        <v>103.18925</v>
      </c>
      <c r="Q476" s="1">
        <f t="shared" si="74"/>
        <v>1.2138576912800966E-3</v>
      </c>
      <c r="S476" s="4">
        <v>250.00303</v>
      </c>
      <c r="T476" s="1">
        <v>235</v>
      </c>
      <c r="U476" s="5">
        <v>98.420550000000006</v>
      </c>
      <c r="V476" s="3">
        <f t="shared" si="67"/>
        <v>101.74424</v>
      </c>
      <c r="W476" s="1">
        <f t="shared" si="72"/>
        <v>3.884193438417755E-3</v>
      </c>
      <c r="Y476" s="4">
        <v>250.01319000000001</v>
      </c>
      <c r="Z476" s="1">
        <v>235</v>
      </c>
      <c r="AA476" s="5">
        <v>105.67287</v>
      </c>
      <c r="AB476" s="3">
        <f t="shared" si="68"/>
        <v>104.06385</v>
      </c>
    </row>
    <row r="477" spans="1:28" x14ac:dyDescent="0.2">
      <c r="A477" s="2">
        <v>200.01494</v>
      </c>
      <c r="B477" s="1">
        <v>235.5</v>
      </c>
      <c r="C477" s="5">
        <v>102.84036999999999</v>
      </c>
      <c r="D477" s="3">
        <f t="shared" si="69"/>
        <v>102.71691999999999</v>
      </c>
      <c r="E477" s="1">
        <f t="shared" si="73"/>
        <v>7.4113859619830775E-4</v>
      </c>
      <c r="G477" s="4">
        <v>225.00695999999999</v>
      </c>
      <c r="H477" s="1">
        <v>235.5</v>
      </c>
      <c r="I477" s="5">
        <v>99.352410000000006</v>
      </c>
      <c r="J477" s="3">
        <f t="shared" si="70"/>
        <v>100.94280000000001</v>
      </c>
      <c r="K477" s="1">
        <f t="shared" si="66"/>
        <v>5.0307914488460859E-3</v>
      </c>
      <c r="M477" s="4">
        <v>225.00912</v>
      </c>
      <c r="N477" s="1">
        <v>235.5</v>
      </c>
      <c r="O477" s="5">
        <v>104.05405</v>
      </c>
      <c r="P477" s="3">
        <f t="shared" si="71"/>
        <v>103.26166000000001</v>
      </c>
      <c r="Q477" s="1">
        <f t="shared" si="74"/>
        <v>5.0485200098730092E-4</v>
      </c>
      <c r="S477" s="4">
        <v>250.00094999999999</v>
      </c>
      <c r="T477" s="1">
        <v>235.5</v>
      </c>
      <c r="U477" s="3">
        <v>98.414400000000001</v>
      </c>
      <c r="V477" s="3">
        <f t="shared" si="67"/>
        <v>101.73809</v>
      </c>
      <c r="W477" s="1">
        <f t="shared" si="72"/>
        <v>3.9451052614697217E-3</v>
      </c>
      <c r="Y477" s="4">
        <v>250.01295999999999</v>
      </c>
      <c r="Z477" s="1">
        <v>235.5</v>
      </c>
      <c r="AA477" s="3">
        <v>105.54177</v>
      </c>
      <c r="AB477" s="3">
        <f t="shared" si="68"/>
        <v>103.93275</v>
      </c>
    </row>
    <row r="478" spans="1:28" x14ac:dyDescent="0.2">
      <c r="A478" s="2">
        <v>200.01891000000001</v>
      </c>
      <c r="B478" s="1">
        <v>236</v>
      </c>
      <c r="C478" s="3">
        <v>102.81855</v>
      </c>
      <c r="D478" s="3">
        <f t="shared" si="69"/>
        <v>102.6951</v>
      </c>
      <c r="E478" s="1">
        <f t="shared" si="73"/>
        <v>9.5587294979066037E-4</v>
      </c>
      <c r="G478" s="4">
        <v>225.00416000000001</v>
      </c>
      <c r="H478" s="1">
        <v>236</v>
      </c>
      <c r="I478" s="3">
        <v>99.275729999999996</v>
      </c>
      <c r="J478" s="3">
        <f t="shared" si="70"/>
        <v>100.86612</v>
      </c>
      <c r="K478" s="1">
        <f t="shared" si="66"/>
        <v>5.7954167056250847E-3</v>
      </c>
      <c r="M478" s="4">
        <v>225.01347000000001</v>
      </c>
      <c r="N478" s="1">
        <v>236</v>
      </c>
      <c r="O478" s="3">
        <v>104.05071</v>
      </c>
      <c r="P478" s="3">
        <f t="shared" si="71"/>
        <v>103.25832</v>
      </c>
      <c r="Q478" s="1">
        <f t="shared" si="74"/>
        <v>5.3755575745165446E-4</v>
      </c>
      <c r="S478" s="4">
        <v>250.00397000000001</v>
      </c>
      <c r="T478" s="1">
        <v>236</v>
      </c>
      <c r="U478" s="5">
        <v>98.395309999999995</v>
      </c>
      <c r="V478" s="3">
        <f t="shared" si="67"/>
        <v>101.71899999999999</v>
      </c>
      <c r="W478" s="1">
        <f t="shared" si="72"/>
        <v>4.1341795219675117E-3</v>
      </c>
      <c r="Y478" s="4">
        <v>250.01523</v>
      </c>
      <c r="Z478" s="1">
        <v>236</v>
      </c>
      <c r="AA478" s="5">
        <v>105.57152000000001</v>
      </c>
      <c r="AB478" s="3">
        <f t="shared" si="68"/>
        <v>103.96250000000001</v>
      </c>
    </row>
    <row r="479" spans="1:28" x14ac:dyDescent="0.2">
      <c r="A479" s="2">
        <v>200.02173999999999</v>
      </c>
      <c r="B479" s="1">
        <v>236.5</v>
      </c>
      <c r="C479" s="5">
        <v>102.76982</v>
      </c>
      <c r="D479" s="3">
        <f t="shared" si="69"/>
        <v>102.64636999999999</v>
      </c>
      <c r="E479" s="1">
        <f t="shared" si="73"/>
        <v>1.4354332179190266E-3</v>
      </c>
      <c r="G479" s="4">
        <v>225.00304</v>
      </c>
      <c r="H479" s="1">
        <v>236.5</v>
      </c>
      <c r="I479" s="5">
        <v>99.299440000000004</v>
      </c>
      <c r="J479" s="3">
        <f t="shared" si="70"/>
        <v>100.88983</v>
      </c>
      <c r="K479" s="1">
        <f t="shared" si="66"/>
        <v>5.5589891516575046E-3</v>
      </c>
      <c r="M479" s="4">
        <v>225.01582999999999</v>
      </c>
      <c r="N479" s="1">
        <v>236.5</v>
      </c>
      <c r="O479" s="5">
        <v>104.07033</v>
      </c>
      <c r="P479" s="3">
        <f t="shared" si="71"/>
        <v>103.27794</v>
      </c>
      <c r="Q479" s="1">
        <f t="shared" si="74"/>
        <v>3.4544566708366608E-4</v>
      </c>
      <c r="S479" s="4">
        <v>250.00998000000001</v>
      </c>
      <c r="T479" s="1">
        <v>236.5</v>
      </c>
      <c r="U479" s="3">
        <v>98.426910000000007</v>
      </c>
      <c r="V479" s="3">
        <f t="shared" si="67"/>
        <v>101.75060000000001</v>
      </c>
      <c r="W479" s="1">
        <f t="shared" si="72"/>
        <v>3.8212016994567423E-3</v>
      </c>
      <c r="Y479" s="4">
        <v>250.01306</v>
      </c>
      <c r="Z479" s="1">
        <v>236.5</v>
      </c>
      <c r="AA479" s="3">
        <v>105.64747</v>
      </c>
      <c r="AB479" s="3">
        <f t="shared" si="68"/>
        <v>104.03845</v>
      </c>
    </row>
    <row r="480" spans="1:28" x14ac:dyDescent="0.2">
      <c r="A480" s="2">
        <v>200.02399</v>
      </c>
      <c r="B480" s="1">
        <v>237</v>
      </c>
      <c r="C480" s="3">
        <v>102.73013</v>
      </c>
      <c r="D480" s="3">
        <f t="shared" si="69"/>
        <v>102.60668</v>
      </c>
      <c r="E480" s="1">
        <f t="shared" si="73"/>
        <v>1.8260292992243652E-3</v>
      </c>
      <c r="G480" s="4">
        <v>225.00300999999999</v>
      </c>
      <c r="H480" s="1">
        <v>237</v>
      </c>
      <c r="I480" s="3">
        <v>99.283259999999999</v>
      </c>
      <c r="J480" s="3">
        <f t="shared" si="70"/>
        <v>100.87365</v>
      </c>
      <c r="K480" s="1">
        <f t="shared" si="66"/>
        <v>5.7203302660900407E-3</v>
      </c>
      <c r="M480" s="4">
        <v>225.01793000000001</v>
      </c>
      <c r="N480" s="1">
        <v>237</v>
      </c>
      <c r="O480" s="3">
        <v>103.97257</v>
      </c>
      <c r="P480" s="3">
        <f t="shared" si="71"/>
        <v>103.18018000000001</v>
      </c>
      <c r="Q480" s="1">
        <f t="shared" si="74"/>
        <v>1.3026669940138498E-3</v>
      </c>
      <c r="S480" s="4">
        <v>250.00301999999999</v>
      </c>
      <c r="T480" s="1">
        <v>237</v>
      </c>
      <c r="U480" s="5">
        <v>98.401780000000002</v>
      </c>
      <c r="V480" s="3">
        <f t="shared" si="67"/>
        <v>101.72547</v>
      </c>
      <c r="W480" s="1">
        <f t="shared" si="72"/>
        <v>4.0700983032445296E-3</v>
      </c>
      <c r="Y480" s="4">
        <v>250.00971000000001</v>
      </c>
      <c r="Z480" s="1">
        <v>237</v>
      </c>
      <c r="AA480" s="5">
        <v>105.44207</v>
      </c>
      <c r="AB480" s="3">
        <f t="shared" si="68"/>
        <v>103.83305</v>
      </c>
    </row>
    <row r="481" spans="1:28" x14ac:dyDescent="0.2">
      <c r="A481" s="2">
        <v>200.02434</v>
      </c>
      <c r="B481" s="1">
        <v>237.5</v>
      </c>
      <c r="C481" s="5">
        <v>102.74026000000001</v>
      </c>
      <c r="D481" s="3">
        <f t="shared" si="69"/>
        <v>102.61681</v>
      </c>
      <c r="E481" s="1">
        <f t="shared" si="73"/>
        <v>1.7263382358929157E-3</v>
      </c>
      <c r="G481" s="4">
        <v>225.00689</v>
      </c>
      <c r="H481" s="1">
        <v>237.5</v>
      </c>
      <c r="I481" s="5">
        <v>99.342380000000006</v>
      </c>
      <c r="J481" s="3">
        <f t="shared" si="70"/>
        <v>100.93277</v>
      </c>
      <c r="K481" s="1">
        <f t="shared" si="66"/>
        <v>5.1308069851722813E-3</v>
      </c>
      <c r="M481" s="4">
        <v>225.01571999999999</v>
      </c>
      <c r="N481" s="1">
        <v>237.5</v>
      </c>
      <c r="O481" s="5">
        <v>103.89528</v>
      </c>
      <c r="P481" s="3">
        <f t="shared" si="71"/>
        <v>103.10289</v>
      </c>
      <c r="Q481" s="1">
        <f t="shared" si="74"/>
        <v>2.059455418302345E-3</v>
      </c>
      <c r="S481" s="4">
        <v>250.00398999999999</v>
      </c>
      <c r="T481" s="1">
        <v>237.5</v>
      </c>
      <c r="U481" s="3">
        <v>98.403949999999995</v>
      </c>
      <c r="V481" s="3">
        <f t="shared" si="67"/>
        <v>101.72763999999999</v>
      </c>
      <c r="W481" s="1">
        <f t="shared" si="72"/>
        <v>4.0486058388506767E-3</v>
      </c>
      <c r="Y481" s="4">
        <v>250.01262</v>
      </c>
      <c r="Z481" s="1">
        <v>237.5</v>
      </c>
      <c r="AA481" s="3">
        <v>105.54995</v>
      </c>
      <c r="AB481" s="3">
        <f t="shared" si="68"/>
        <v>103.94092999999999</v>
      </c>
    </row>
    <row r="482" spans="1:28" x14ac:dyDescent="0.2">
      <c r="A482" s="2">
        <v>200.02641</v>
      </c>
      <c r="B482" s="1">
        <v>238</v>
      </c>
      <c r="C482" s="3">
        <v>102.78480999999999</v>
      </c>
      <c r="D482" s="3">
        <f t="shared" si="69"/>
        <v>102.66135999999999</v>
      </c>
      <c r="E482" s="1">
        <f t="shared" si="73"/>
        <v>1.2879140629992226E-3</v>
      </c>
      <c r="G482" s="4">
        <v>225.00586000000001</v>
      </c>
      <c r="H482" s="1">
        <v>238</v>
      </c>
      <c r="I482" s="3">
        <v>99.328850000000003</v>
      </c>
      <c r="J482" s="3">
        <f t="shared" si="70"/>
        <v>100.91924</v>
      </c>
      <c r="K482" s="1">
        <f t="shared" si="66"/>
        <v>5.2657232570061455E-3</v>
      </c>
      <c r="M482" s="4">
        <v>225.0155</v>
      </c>
      <c r="N482" s="1">
        <v>238</v>
      </c>
      <c r="O482" s="3">
        <v>103.97591</v>
      </c>
      <c r="P482" s="3">
        <f t="shared" si="71"/>
        <v>103.18352</v>
      </c>
      <c r="Q482" s="1">
        <f t="shared" si="74"/>
        <v>1.2699632375496354E-3</v>
      </c>
      <c r="S482" s="4">
        <v>250.00301999999999</v>
      </c>
      <c r="T482" s="1">
        <v>238</v>
      </c>
      <c r="U482" s="5">
        <v>98.402029999999996</v>
      </c>
      <c r="V482" s="3">
        <f t="shared" si="67"/>
        <v>101.72572</v>
      </c>
      <c r="W482" s="1">
        <f t="shared" si="72"/>
        <v>4.0676222128766242E-3</v>
      </c>
      <c r="Y482" s="4">
        <v>250.01821000000001</v>
      </c>
      <c r="Z482" s="1">
        <v>238</v>
      </c>
      <c r="AA482" s="5">
        <v>105.61275000000001</v>
      </c>
      <c r="AB482" s="3">
        <f t="shared" si="68"/>
        <v>104.00373</v>
      </c>
    </row>
    <row r="483" spans="1:28" x14ac:dyDescent="0.2">
      <c r="A483" s="2">
        <v>200.02634</v>
      </c>
      <c r="B483" s="1">
        <v>238.5</v>
      </c>
      <c r="C483" s="5">
        <v>102.76912</v>
      </c>
      <c r="D483" s="3">
        <f t="shared" si="69"/>
        <v>102.64567</v>
      </c>
      <c r="E483" s="1">
        <f t="shared" si="73"/>
        <v>1.4423220376950849E-3</v>
      </c>
      <c r="G483" s="4">
        <v>225.00583</v>
      </c>
      <c r="H483" s="1">
        <v>238.5</v>
      </c>
      <c r="I483" s="5">
        <v>99.332790000000003</v>
      </c>
      <c r="J483" s="3">
        <f t="shared" si="70"/>
        <v>100.92318</v>
      </c>
      <c r="K483" s="1">
        <f t="shared" si="66"/>
        <v>5.2264350004632542E-3</v>
      </c>
      <c r="M483" s="4">
        <v>225.0163</v>
      </c>
      <c r="N483" s="1">
        <v>238.5</v>
      </c>
      <c r="O483" s="5">
        <v>103.94089</v>
      </c>
      <c r="P483" s="3">
        <f t="shared" si="71"/>
        <v>103.1485</v>
      </c>
      <c r="Q483" s="1">
        <f t="shared" si="74"/>
        <v>1.612863103231918E-3</v>
      </c>
      <c r="S483" s="4">
        <v>250.00801000000001</v>
      </c>
      <c r="T483" s="1">
        <v>238.5</v>
      </c>
      <c r="U483" s="3">
        <v>98.399829999999994</v>
      </c>
      <c r="V483" s="3">
        <f t="shared" si="67"/>
        <v>101.72351999999999</v>
      </c>
      <c r="W483" s="1">
        <f t="shared" si="72"/>
        <v>4.0894118081147273E-3</v>
      </c>
      <c r="Y483" s="4">
        <v>250.02104</v>
      </c>
      <c r="Z483" s="1">
        <v>238.5</v>
      </c>
      <c r="AA483" s="3">
        <v>105.57398000000001</v>
      </c>
      <c r="AB483" s="3">
        <f t="shared" si="68"/>
        <v>103.96496</v>
      </c>
    </row>
    <row r="484" spans="1:28" x14ac:dyDescent="0.2">
      <c r="A484" s="2">
        <v>200.0215</v>
      </c>
      <c r="B484" s="1">
        <v>239</v>
      </c>
      <c r="C484" s="3">
        <v>102.80472</v>
      </c>
      <c r="D484" s="3">
        <f t="shared" si="69"/>
        <v>102.68127</v>
      </c>
      <c r="E484" s="1">
        <f t="shared" si="73"/>
        <v>1.0919763462243529E-3</v>
      </c>
      <c r="G484" s="4">
        <v>225.00896</v>
      </c>
      <c r="H484" s="1">
        <v>239</v>
      </c>
      <c r="I484" s="3">
        <v>99.331860000000006</v>
      </c>
      <c r="J484" s="3">
        <f t="shared" si="70"/>
        <v>100.92225000000001</v>
      </c>
      <c r="K484" s="1">
        <f t="shared" si="66"/>
        <v>5.235708624469539E-3</v>
      </c>
      <c r="M484" s="4">
        <v>225.01436000000001</v>
      </c>
      <c r="N484" s="1">
        <v>239</v>
      </c>
      <c r="O484" s="3">
        <v>104.05312000000001</v>
      </c>
      <c r="P484" s="3">
        <f t="shared" si="71"/>
        <v>103.26073000000001</v>
      </c>
      <c r="Q484" s="1">
        <f t="shared" si="74"/>
        <v>5.1395813676923658E-4</v>
      </c>
      <c r="S484" s="4">
        <v>250.00308000000001</v>
      </c>
      <c r="T484" s="1">
        <v>239</v>
      </c>
      <c r="U484" s="5">
        <v>98.416049999999998</v>
      </c>
      <c r="V484" s="3">
        <f t="shared" si="67"/>
        <v>101.73974</v>
      </c>
      <c r="W484" s="1">
        <f t="shared" si="72"/>
        <v>3.92876306504118E-3</v>
      </c>
      <c r="Y484" s="4">
        <v>250.02087</v>
      </c>
      <c r="Z484" s="1">
        <v>239</v>
      </c>
      <c r="AA484" s="5">
        <v>105.63273</v>
      </c>
      <c r="AB484" s="3">
        <f t="shared" si="68"/>
        <v>104.02370999999999</v>
      </c>
    </row>
    <row r="485" spans="1:28" x14ac:dyDescent="0.2">
      <c r="A485" s="2">
        <v>200.01562999999999</v>
      </c>
      <c r="B485" s="1">
        <v>239.5</v>
      </c>
      <c r="C485" s="5">
        <v>102.85563999999999</v>
      </c>
      <c r="D485" s="3">
        <f t="shared" si="69"/>
        <v>102.73218999999999</v>
      </c>
      <c r="E485" s="1">
        <f t="shared" si="73"/>
        <v>5.908639133680244E-4</v>
      </c>
      <c r="G485" s="4">
        <v>225.00917000000001</v>
      </c>
      <c r="H485" s="1">
        <v>239.5</v>
      </c>
      <c r="I485" s="5">
        <v>99.340639999999993</v>
      </c>
      <c r="J485" s="3">
        <f t="shared" si="70"/>
        <v>100.93102999999999</v>
      </c>
      <c r="K485" s="1">
        <f t="shared" si="66"/>
        <v>5.1481576365390606E-3</v>
      </c>
      <c r="M485" s="4">
        <v>225.01573999999999</v>
      </c>
      <c r="N485" s="1">
        <v>239.5</v>
      </c>
      <c r="O485" s="5">
        <v>103.88446999999999</v>
      </c>
      <c r="P485" s="3">
        <f t="shared" si="71"/>
        <v>103.09208</v>
      </c>
      <c r="Q485" s="1">
        <f t="shared" si="74"/>
        <v>2.165302007337964E-3</v>
      </c>
      <c r="S485" s="4">
        <v>250.00402</v>
      </c>
      <c r="T485" s="1">
        <v>239.5</v>
      </c>
      <c r="U485" s="3">
        <v>98.403829999999999</v>
      </c>
      <c r="V485" s="3">
        <f t="shared" si="67"/>
        <v>101.72752</v>
      </c>
      <c r="W485" s="1">
        <f t="shared" si="72"/>
        <v>4.0497943622272541E-3</v>
      </c>
      <c r="Y485" s="4">
        <v>250.01593</v>
      </c>
      <c r="Z485" s="1">
        <v>239.5</v>
      </c>
      <c r="AA485" s="3">
        <v>105.59457</v>
      </c>
      <c r="AB485" s="3">
        <f t="shared" si="68"/>
        <v>103.98555</v>
      </c>
    </row>
    <row r="486" spans="1:28" x14ac:dyDescent="0.2">
      <c r="S486" s="4">
        <v>250.00698</v>
      </c>
      <c r="T486" s="1">
        <v>240</v>
      </c>
      <c r="U486" s="5">
        <v>98.40804</v>
      </c>
      <c r="V486" s="3">
        <f t="shared" si="67"/>
        <v>101.73173</v>
      </c>
      <c r="W486" s="1">
        <f t="shared" si="72"/>
        <v>4.0080970004307348E-3</v>
      </c>
      <c r="Y486" s="4">
        <v>250.01701</v>
      </c>
      <c r="Z486" s="1">
        <v>240</v>
      </c>
      <c r="AA486" s="5">
        <v>105.73155</v>
      </c>
      <c r="AB486" s="3">
        <f t="shared" si="68"/>
        <v>104.12253</v>
      </c>
    </row>
    <row r="487" spans="1:28" x14ac:dyDescent="0.2">
      <c r="S487" s="4">
        <v>250.00503</v>
      </c>
      <c r="T487" s="1">
        <v>240.5</v>
      </c>
      <c r="U487" s="3">
        <v>98.405879999999996</v>
      </c>
      <c r="V487" s="3">
        <f t="shared" si="67"/>
        <v>101.72957</v>
      </c>
      <c r="W487" s="1">
        <f t="shared" si="72"/>
        <v>4.0294904212099794E-3</v>
      </c>
      <c r="Y487" s="4">
        <v>250.01804999999999</v>
      </c>
      <c r="Z487" s="1">
        <v>240.5</v>
      </c>
      <c r="AA487" s="3">
        <v>105.61732000000001</v>
      </c>
      <c r="AB487" s="3">
        <f t="shared" si="68"/>
        <v>104.00830000000001</v>
      </c>
    </row>
    <row r="488" spans="1:28" x14ac:dyDescent="0.2">
      <c r="S488" s="4">
        <v>250.00493</v>
      </c>
      <c r="T488" s="1">
        <v>241</v>
      </c>
      <c r="U488" s="5">
        <v>98.409679999999994</v>
      </c>
      <c r="V488" s="3">
        <f t="shared" si="67"/>
        <v>101.73336999999999</v>
      </c>
      <c r="W488" s="1">
        <f t="shared" si="72"/>
        <v>3.9918538476169428E-3</v>
      </c>
      <c r="Y488" s="4">
        <v>250.01602</v>
      </c>
      <c r="Z488" s="1">
        <v>241</v>
      </c>
      <c r="AA488" s="5">
        <v>105.58334000000001</v>
      </c>
      <c r="AB488" s="3">
        <f t="shared" si="68"/>
        <v>103.97432000000001</v>
      </c>
    </row>
    <row r="489" spans="1:28" x14ac:dyDescent="0.2">
      <c r="S489" s="4">
        <v>250.00604000000001</v>
      </c>
      <c r="T489" s="1">
        <v>241.5</v>
      </c>
      <c r="U489" s="3">
        <v>98.416309999999996</v>
      </c>
      <c r="V489" s="3">
        <f t="shared" si="67"/>
        <v>101.74</v>
      </c>
      <c r="W489" s="1">
        <f t="shared" si="72"/>
        <v>3.9261879310585248E-3</v>
      </c>
      <c r="Y489" s="4">
        <v>250.01826</v>
      </c>
      <c r="Z489" s="1">
        <v>241.5</v>
      </c>
      <c r="AA489" s="3">
        <v>105.6724</v>
      </c>
      <c r="AB489" s="3">
        <f t="shared" si="68"/>
        <v>104.06338</v>
      </c>
    </row>
    <row r="490" spans="1:28" x14ac:dyDescent="0.2">
      <c r="S490" s="4">
        <v>250.00908000000001</v>
      </c>
      <c r="T490" s="1">
        <v>242</v>
      </c>
      <c r="U490" s="5">
        <v>98.410179999999997</v>
      </c>
      <c r="V490" s="3">
        <f t="shared" si="67"/>
        <v>101.73387</v>
      </c>
      <c r="W490" s="1">
        <f t="shared" si="72"/>
        <v>3.9869016668809916E-3</v>
      </c>
      <c r="Y490" s="4">
        <v>250.02059</v>
      </c>
      <c r="Z490" s="1">
        <v>242</v>
      </c>
      <c r="AA490" s="5">
        <v>105.58398</v>
      </c>
      <c r="AB490" s="3">
        <f t="shared" si="68"/>
        <v>103.97496</v>
      </c>
    </row>
    <row r="491" spans="1:28" x14ac:dyDescent="0.2">
      <c r="S491" s="4">
        <v>250.00605999999999</v>
      </c>
      <c r="T491" s="1">
        <v>242.5</v>
      </c>
      <c r="U491" s="3">
        <v>98.424729999999997</v>
      </c>
      <c r="V491" s="3">
        <f t="shared" si="67"/>
        <v>101.74842</v>
      </c>
      <c r="W491" s="1">
        <f t="shared" si="72"/>
        <v>3.8427932074654859E-3</v>
      </c>
      <c r="Y491" s="4">
        <v>250.01877999999999</v>
      </c>
      <c r="Z491" s="1">
        <v>242.5</v>
      </c>
      <c r="AA491" s="3">
        <v>105.66228</v>
      </c>
      <c r="AB491" s="3">
        <f t="shared" si="68"/>
        <v>104.05325999999999</v>
      </c>
    </row>
    <row r="492" spans="1:28" x14ac:dyDescent="0.2">
      <c r="S492" s="4">
        <v>250.00294</v>
      </c>
      <c r="T492" s="1">
        <v>243</v>
      </c>
      <c r="U492" s="5">
        <v>98.397570000000002</v>
      </c>
      <c r="V492" s="3">
        <f t="shared" si="67"/>
        <v>101.72126</v>
      </c>
      <c r="W492" s="1">
        <f t="shared" si="72"/>
        <v>4.1117956650410488E-3</v>
      </c>
      <c r="Y492" s="4">
        <v>250.01525000000001</v>
      </c>
      <c r="Z492" s="1">
        <v>243</v>
      </c>
      <c r="AA492" s="5">
        <v>105.61528</v>
      </c>
      <c r="AB492" s="3">
        <f t="shared" si="68"/>
        <v>104.00626</v>
      </c>
    </row>
    <row r="493" spans="1:28" x14ac:dyDescent="0.2">
      <c r="S493" s="4">
        <v>250.00507999999999</v>
      </c>
      <c r="T493" s="1">
        <v>243.5</v>
      </c>
      <c r="U493" s="3">
        <v>98.38937</v>
      </c>
      <c r="V493" s="3">
        <f t="shared" si="67"/>
        <v>101.71306</v>
      </c>
      <c r="W493" s="1">
        <f t="shared" si="72"/>
        <v>4.1930114291102915E-3</v>
      </c>
      <c r="Y493" s="4">
        <v>250.01714999999999</v>
      </c>
      <c r="Z493" s="1">
        <v>243.5</v>
      </c>
      <c r="AA493" s="3">
        <v>105.54738</v>
      </c>
      <c r="AB493" s="3">
        <f t="shared" si="68"/>
        <v>103.93836</v>
      </c>
    </row>
    <row r="494" spans="1:28" x14ac:dyDescent="0.2">
      <c r="S494" s="4">
        <v>250.00597999999999</v>
      </c>
      <c r="T494" s="1">
        <v>244</v>
      </c>
      <c r="U494" s="5">
        <v>98.403940000000006</v>
      </c>
      <c r="V494" s="3">
        <f t="shared" si="67"/>
        <v>101.72763</v>
      </c>
      <c r="W494" s="1">
        <f t="shared" si="72"/>
        <v>4.0487048824652859E-3</v>
      </c>
      <c r="Y494" s="4">
        <v>250.02027000000001</v>
      </c>
      <c r="Z494" s="1">
        <v>244</v>
      </c>
      <c r="AA494" s="5">
        <v>105.57655</v>
      </c>
      <c r="AB494" s="3">
        <f t="shared" si="68"/>
        <v>103.96753</v>
      </c>
    </row>
    <row r="495" spans="1:28" x14ac:dyDescent="0.2">
      <c r="S495" s="4">
        <v>250.00694999999999</v>
      </c>
      <c r="T495" s="1">
        <v>244.5</v>
      </c>
      <c r="U495" s="3">
        <v>98.396249999999995</v>
      </c>
      <c r="V495" s="3">
        <f t="shared" si="67"/>
        <v>101.71993999999999</v>
      </c>
      <c r="W495" s="1">
        <f t="shared" si="72"/>
        <v>4.1248694221839672E-3</v>
      </c>
      <c r="Y495" s="4">
        <v>250.01974000000001</v>
      </c>
      <c r="Z495" s="1">
        <v>244.5</v>
      </c>
      <c r="AA495" s="3">
        <v>105.61488</v>
      </c>
      <c r="AB495" s="3">
        <f t="shared" si="68"/>
        <v>104.00586</v>
      </c>
    </row>
    <row r="496" spans="1:28" x14ac:dyDescent="0.2">
      <c r="S496" s="4">
        <v>250.01095000000001</v>
      </c>
      <c r="T496" s="1">
        <v>245</v>
      </c>
      <c r="U496" s="5">
        <v>98.400090000000006</v>
      </c>
      <c r="V496" s="3">
        <f t="shared" si="67"/>
        <v>101.72378</v>
      </c>
      <c r="W496" s="1">
        <f t="shared" si="72"/>
        <v>4.0868366741319308E-3</v>
      </c>
      <c r="Y496" s="4">
        <v>250.01740000000001</v>
      </c>
      <c r="Z496" s="1">
        <v>245</v>
      </c>
      <c r="AA496" s="5">
        <v>105.59090999999999</v>
      </c>
      <c r="AB496" s="3">
        <f t="shared" si="68"/>
        <v>103.98188999999999</v>
      </c>
    </row>
    <row r="497" spans="19:28" x14ac:dyDescent="0.2">
      <c r="S497" s="4">
        <v>250.00394</v>
      </c>
      <c r="T497" s="1">
        <v>245.5</v>
      </c>
      <c r="U497" s="3">
        <v>98.397379999999998</v>
      </c>
      <c r="V497" s="3">
        <f t="shared" si="67"/>
        <v>101.72107</v>
      </c>
      <c r="W497" s="1">
        <f t="shared" si="72"/>
        <v>4.1136774937207358E-3</v>
      </c>
      <c r="Y497" s="4">
        <v>250.01714000000001</v>
      </c>
      <c r="Z497" s="1">
        <v>245.5</v>
      </c>
      <c r="AA497" s="3">
        <v>105.52849000000001</v>
      </c>
      <c r="AB497" s="3">
        <f t="shared" si="68"/>
        <v>103.91947</v>
      </c>
    </row>
    <row r="498" spans="19:28" x14ac:dyDescent="0.2">
      <c r="S498" s="4">
        <v>250.00994</v>
      </c>
      <c r="T498" s="1">
        <v>246</v>
      </c>
      <c r="U498" s="5">
        <v>98.395390000000006</v>
      </c>
      <c r="V498" s="3">
        <f t="shared" si="67"/>
        <v>101.71908000000001</v>
      </c>
      <c r="W498" s="1">
        <f t="shared" si="72"/>
        <v>4.1333871730496524E-3</v>
      </c>
      <c r="Y498" s="4">
        <v>250.0146</v>
      </c>
      <c r="Z498" s="1">
        <v>246</v>
      </c>
      <c r="AA498" s="5">
        <v>105.6628</v>
      </c>
      <c r="AB498" s="3">
        <f t="shared" si="68"/>
        <v>104.05378</v>
      </c>
    </row>
    <row r="499" spans="19:28" x14ac:dyDescent="0.2">
      <c r="S499" s="4">
        <v>250.01</v>
      </c>
      <c r="T499" s="1">
        <v>246.5</v>
      </c>
      <c r="U499" s="3">
        <v>98.395820000000001</v>
      </c>
      <c r="V499" s="3">
        <f t="shared" si="67"/>
        <v>101.71951</v>
      </c>
      <c r="W499" s="1">
        <f t="shared" si="72"/>
        <v>4.1291282976168098E-3</v>
      </c>
      <c r="Y499" s="4">
        <v>250.01647</v>
      </c>
      <c r="Z499" s="1">
        <v>246.5</v>
      </c>
      <c r="AA499" s="3">
        <v>105.69429</v>
      </c>
      <c r="AB499" s="3">
        <f t="shared" si="68"/>
        <v>104.08526999999999</v>
      </c>
    </row>
    <row r="500" spans="19:28" x14ac:dyDescent="0.2">
      <c r="S500" s="4">
        <v>250.00398000000001</v>
      </c>
      <c r="T500" s="1">
        <v>247</v>
      </c>
      <c r="U500" s="5">
        <v>98.402019999999993</v>
      </c>
      <c r="V500" s="3">
        <f t="shared" si="67"/>
        <v>101.72570999999999</v>
      </c>
      <c r="W500" s="1">
        <f t="shared" si="72"/>
        <v>4.067721256491374E-3</v>
      </c>
      <c r="Y500" s="4">
        <v>250.01559</v>
      </c>
      <c r="Z500" s="1">
        <v>247</v>
      </c>
      <c r="AA500" s="5">
        <v>105.63709</v>
      </c>
      <c r="AB500" s="3">
        <f t="shared" si="68"/>
        <v>104.02807</v>
      </c>
    </row>
    <row r="501" spans="19:28" x14ac:dyDescent="0.2">
      <c r="S501" s="4">
        <v>250.00299999999999</v>
      </c>
      <c r="T501" s="1">
        <v>247.5</v>
      </c>
      <c r="U501" s="3">
        <v>98.385649999999998</v>
      </c>
      <c r="V501" s="3">
        <f t="shared" si="67"/>
        <v>101.70934</v>
      </c>
      <c r="W501" s="1">
        <f t="shared" si="72"/>
        <v>4.2298556537856084E-3</v>
      </c>
      <c r="Y501" s="4">
        <v>250.0119</v>
      </c>
      <c r="Z501" s="1">
        <v>247.5</v>
      </c>
      <c r="AA501" s="3">
        <v>105.65333</v>
      </c>
      <c r="AB501" s="3">
        <f t="shared" si="68"/>
        <v>104.04431</v>
      </c>
    </row>
    <row r="502" spans="19:28" x14ac:dyDescent="0.2">
      <c r="S502" s="4">
        <v>250.00606999999999</v>
      </c>
      <c r="T502" s="1">
        <v>248</v>
      </c>
      <c r="U502" s="5">
        <v>98.381550000000004</v>
      </c>
      <c r="V502" s="3">
        <f t="shared" si="67"/>
        <v>101.70524</v>
      </c>
      <c r="W502" s="1">
        <f t="shared" si="72"/>
        <v>4.2704635358201595E-3</v>
      </c>
      <c r="Y502" s="4">
        <v>250.01127</v>
      </c>
      <c r="Z502" s="1">
        <v>248</v>
      </c>
      <c r="AA502" s="5">
        <v>105.57414</v>
      </c>
      <c r="AB502" s="3">
        <f t="shared" si="68"/>
        <v>103.96512</v>
      </c>
    </row>
    <row r="503" spans="19:28" x14ac:dyDescent="0.2">
      <c r="S503" s="4">
        <v>250.00604000000001</v>
      </c>
      <c r="T503" s="1">
        <v>248.5</v>
      </c>
      <c r="U503" s="3">
        <v>98.389399999999995</v>
      </c>
      <c r="V503" s="3">
        <f t="shared" si="67"/>
        <v>101.71308999999999</v>
      </c>
      <c r="W503" s="1">
        <f t="shared" si="72"/>
        <v>4.1927142982661819E-3</v>
      </c>
      <c r="Y503" s="4">
        <v>250.01510999999999</v>
      </c>
      <c r="Z503" s="1">
        <v>248.5</v>
      </c>
      <c r="AA503" s="3">
        <v>105.68022999999999</v>
      </c>
      <c r="AB503" s="3">
        <f t="shared" si="68"/>
        <v>104.07120999999999</v>
      </c>
    </row>
    <row r="504" spans="19:28" x14ac:dyDescent="0.2">
      <c r="S504" s="4">
        <v>250.00106</v>
      </c>
      <c r="T504" s="1">
        <v>249</v>
      </c>
      <c r="U504" s="5">
        <v>98.374650000000003</v>
      </c>
      <c r="V504" s="3">
        <f t="shared" si="67"/>
        <v>101.69834</v>
      </c>
      <c r="W504" s="1">
        <f t="shared" si="72"/>
        <v>4.3388036299759833E-3</v>
      </c>
      <c r="Y504" s="4">
        <v>250.01767000000001</v>
      </c>
      <c r="Z504" s="1">
        <v>249</v>
      </c>
      <c r="AA504" s="5">
        <v>105.71237000000001</v>
      </c>
      <c r="AB504" s="3">
        <f t="shared" si="68"/>
        <v>104.10335000000001</v>
      </c>
    </row>
    <row r="505" spans="19:28" x14ac:dyDescent="0.2">
      <c r="S505" s="4">
        <v>250.00693999999999</v>
      </c>
      <c r="T505" s="1">
        <v>249.5</v>
      </c>
      <c r="U505" s="3">
        <v>98.391400000000004</v>
      </c>
      <c r="V505" s="3">
        <f t="shared" si="67"/>
        <v>101.71509</v>
      </c>
      <c r="W505" s="1">
        <f t="shared" si="72"/>
        <v>4.172905575322375E-3</v>
      </c>
      <c r="Y505" s="4">
        <v>250.02090000000001</v>
      </c>
      <c r="Z505" s="1">
        <v>249.5</v>
      </c>
      <c r="AA505" s="3">
        <v>105.59514</v>
      </c>
      <c r="AB505" s="3">
        <f t="shared" si="68"/>
        <v>103.98612</v>
      </c>
    </row>
    <row r="506" spans="19:28" x14ac:dyDescent="0.2">
      <c r="S506" s="4">
        <v>250.00501</v>
      </c>
      <c r="T506" s="1">
        <v>250</v>
      </c>
      <c r="U506" s="5">
        <v>98.382729999999995</v>
      </c>
      <c r="V506" s="3">
        <f t="shared" si="67"/>
        <v>101.70641999999999</v>
      </c>
      <c r="W506" s="1">
        <f t="shared" si="72"/>
        <v>4.2587763892834602E-3</v>
      </c>
      <c r="Y506" s="4">
        <v>250.02356</v>
      </c>
      <c r="Z506" s="1">
        <v>250</v>
      </c>
      <c r="AA506" s="5">
        <v>105.58881</v>
      </c>
      <c r="AB506" s="3">
        <f t="shared" si="68"/>
        <v>103.97978999999999</v>
      </c>
    </row>
    <row r="507" spans="19:28" x14ac:dyDescent="0.2">
      <c r="S507" s="4">
        <v>250.00702000000001</v>
      </c>
      <c r="T507" s="1">
        <v>250.5</v>
      </c>
      <c r="U507" s="3">
        <v>98.381180000000001</v>
      </c>
      <c r="V507" s="3">
        <f t="shared" si="67"/>
        <v>101.70487</v>
      </c>
      <c r="W507" s="1">
        <f t="shared" si="72"/>
        <v>4.2741281495647836E-3</v>
      </c>
      <c r="Y507" s="4">
        <v>250.02355</v>
      </c>
      <c r="Z507" s="1">
        <v>250.5</v>
      </c>
      <c r="AA507" s="3">
        <v>105.65534</v>
      </c>
      <c r="AB507" s="3">
        <f t="shared" si="68"/>
        <v>104.04631999999999</v>
      </c>
    </row>
    <row r="508" spans="19:28" x14ac:dyDescent="0.2">
      <c r="S508" s="4">
        <v>250.00505999999999</v>
      </c>
      <c r="T508" s="1">
        <v>251</v>
      </c>
      <c r="U508" s="5">
        <v>98.385210000000001</v>
      </c>
      <c r="V508" s="3">
        <f t="shared" si="67"/>
        <v>101.7089</v>
      </c>
      <c r="W508" s="1">
        <f t="shared" si="72"/>
        <v>4.2342135728332016E-3</v>
      </c>
      <c r="Y508" s="4">
        <v>250.02018000000001</v>
      </c>
      <c r="Z508" s="1">
        <v>251</v>
      </c>
      <c r="AA508" s="5">
        <v>105.58555</v>
      </c>
      <c r="AB508" s="3">
        <f t="shared" si="68"/>
        <v>103.97653</v>
      </c>
    </row>
    <row r="509" spans="19:28" x14ac:dyDescent="0.2">
      <c r="S509" s="4">
        <v>250.005</v>
      </c>
      <c r="T509" s="1">
        <v>251.5</v>
      </c>
      <c r="U509" s="3">
        <v>98.391490000000005</v>
      </c>
      <c r="V509" s="3">
        <f t="shared" si="67"/>
        <v>101.71518</v>
      </c>
      <c r="W509" s="1">
        <f t="shared" si="72"/>
        <v>4.1720141827899064E-3</v>
      </c>
      <c r="Y509" s="4">
        <v>250.01706999999999</v>
      </c>
      <c r="Z509" s="1">
        <v>251.5</v>
      </c>
      <c r="AA509" s="3">
        <v>105.59641000000001</v>
      </c>
      <c r="AB509" s="3">
        <f t="shared" si="68"/>
        <v>103.98739</v>
      </c>
    </row>
    <row r="510" spans="19:28" x14ac:dyDescent="0.2">
      <c r="S510" s="4">
        <v>250.00296</v>
      </c>
      <c r="T510" s="1">
        <v>252</v>
      </c>
      <c r="U510" s="5">
        <v>98.395709999999994</v>
      </c>
      <c r="V510" s="3">
        <f t="shared" si="67"/>
        <v>101.71939999999999</v>
      </c>
      <c r="W510" s="1">
        <f t="shared" si="72"/>
        <v>4.1302177773787779E-3</v>
      </c>
      <c r="Y510" s="4">
        <v>250.01548</v>
      </c>
      <c r="Z510" s="1">
        <v>252</v>
      </c>
      <c r="AA510" s="5">
        <v>105.60551</v>
      </c>
      <c r="AB510" s="3">
        <f t="shared" si="68"/>
        <v>103.99648999999999</v>
      </c>
    </row>
    <row r="511" spans="19:28" x14ac:dyDescent="0.2">
      <c r="S511" s="4">
        <v>250.00103999999999</v>
      </c>
      <c r="T511" s="1">
        <v>252.5</v>
      </c>
      <c r="U511" s="3">
        <v>98.370859999999993</v>
      </c>
      <c r="V511" s="3">
        <f t="shared" si="67"/>
        <v>101.69454999999999</v>
      </c>
      <c r="W511" s="1">
        <f t="shared" si="72"/>
        <v>4.3763411599544106E-3</v>
      </c>
      <c r="Y511" s="4">
        <v>250.01668000000001</v>
      </c>
      <c r="Z511" s="1">
        <v>252.5</v>
      </c>
      <c r="AA511" s="3">
        <v>105.61127</v>
      </c>
      <c r="AB511" s="3">
        <f t="shared" si="68"/>
        <v>104.00225</v>
      </c>
    </row>
    <row r="512" spans="19:28" x14ac:dyDescent="0.2">
      <c r="S512" s="4">
        <v>250.00805</v>
      </c>
      <c r="T512" s="1">
        <v>253</v>
      </c>
      <c r="U512" s="5">
        <v>98.370739999999998</v>
      </c>
      <c r="V512" s="3">
        <f t="shared" si="67"/>
        <v>101.69443</v>
      </c>
      <c r="W512" s="1">
        <f t="shared" si="72"/>
        <v>4.3775296833309879E-3</v>
      </c>
      <c r="Y512" s="4">
        <v>250.01784000000001</v>
      </c>
      <c r="Z512" s="1">
        <v>253</v>
      </c>
      <c r="AA512" s="5">
        <v>105.67507000000001</v>
      </c>
      <c r="AB512" s="3">
        <f t="shared" si="68"/>
        <v>104.06605</v>
      </c>
    </row>
    <row r="513" spans="19:28" x14ac:dyDescent="0.2">
      <c r="S513" s="4">
        <v>250.00194999999999</v>
      </c>
      <c r="T513" s="1">
        <v>253.5</v>
      </c>
      <c r="U513" s="3">
        <v>98.349879999999999</v>
      </c>
      <c r="V513" s="3">
        <f t="shared" si="67"/>
        <v>101.67357</v>
      </c>
      <c r="W513" s="1">
        <f t="shared" si="72"/>
        <v>4.5841346636338971E-3</v>
      </c>
      <c r="Y513" s="4">
        <v>250.01849000000001</v>
      </c>
      <c r="Z513" s="1">
        <v>253.5</v>
      </c>
      <c r="AA513" s="3">
        <v>105.54788000000001</v>
      </c>
      <c r="AB513" s="3">
        <f t="shared" si="68"/>
        <v>103.93886000000001</v>
      </c>
    </row>
    <row r="514" spans="19:28" x14ac:dyDescent="0.2">
      <c r="S514" s="4">
        <v>250.00503</v>
      </c>
      <c r="T514" s="1">
        <v>254</v>
      </c>
      <c r="U514" s="5">
        <v>98.366309999999999</v>
      </c>
      <c r="V514" s="3">
        <f t="shared" si="67"/>
        <v>101.69</v>
      </c>
      <c r="W514" s="1">
        <f t="shared" si="72"/>
        <v>4.4214060046513038E-3</v>
      </c>
      <c r="Y514" s="4">
        <v>250.01516000000001</v>
      </c>
      <c r="Z514" s="1">
        <v>254</v>
      </c>
      <c r="AA514" s="5">
        <v>105.61234</v>
      </c>
      <c r="AB514" s="3">
        <f t="shared" si="68"/>
        <v>104.00332</v>
      </c>
    </row>
    <row r="515" spans="19:28" x14ac:dyDescent="0.2">
      <c r="S515" s="4">
        <v>250.00699</v>
      </c>
      <c r="T515" s="1">
        <v>254.5</v>
      </c>
      <c r="U515" s="3">
        <v>98.381100000000004</v>
      </c>
      <c r="V515" s="3">
        <f t="shared" si="67"/>
        <v>101.70479</v>
      </c>
      <c r="W515" s="1">
        <f t="shared" si="72"/>
        <v>4.2749204984825016E-3</v>
      </c>
      <c r="Y515" s="4">
        <v>250.01573999999999</v>
      </c>
      <c r="Z515" s="1">
        <v>254.5</v>
      </c>
      <c r="AA515" s="3">
        <v>105.63061</v>
      </c>
      <c r="AB515" s="3">
        <f t="shared" si="68"/>
        <v>104.02159</v>
      </c>
    </row>
    <row r="516" spans="19:28" x14ac:dyDescent="0.2">
      <c r="S516" s="4">
        <v>250.00605999999999</v>
      </c>
      <c r="T516" s="1">
        <v>255</v>
      </c>
      <c r="U516" s="5">
        <v>98.354299999999995</v>
      </c>
      <c r="V516" s="3">
        <f t="shared" si="67"/>
        <v>101.67798999999999</v>
      </c>
      <c r="W516" s="1">
        <f t="shared" si="72"/>
        <v>4.5403573859283319E-3</v>
      </c>
      <c r="Y516" s="4">
        <v>250.01917</v>
      </c>
      <c r="Z516" s="1">
        <v>255</v>
      </c>
      <c r="AA516" s="5">
        <v>105.60263</v>
      </c>
      <c r="AB516" s="3">
        <f t="shared" si="68"/>
        <v>103.99361</v>
      </c>
    </row>
    <row r="517" spans="19:28" x14ac:dyDescent="0.2">
      <c r="S517" s="4">
        <v>250.00491</v>
      </c>
      <c r="T517" s="1">
        <v>255.5</v>
      </c>
      <c r="U517" s="3">
        <v>98.381190000000004</v>
      </c>
      <c r="V517" s="3">
        <f t="shared" si="67"/>
        <v>101.70488</v>
      </c>
      <c r="W517" s="1">
        <f t="shared" si="72"/>
        <v>4.2740291059500338E-3</v>
      </c>
      <c r="Y517" s="4">
        <v>250.02118999999999</v>
      </c>
      <c r="Z517" s="1">
        <v>255.5</v>
      </c>
      <c r="AA517" s="3">
        <v>105.6173</v>
      </c>
      <c r="AB517" s="3">
        <f t="shared" si="68"/>
        <v>104.00828</v>
      </c>
    </row>
    <row r="518" spans="19:28" x14ac:dyDescent="0.2">
      <c r="S518" s="4">
        <v>250.00303</v>
      </c>
      <c r="T518" s="1">
        <v>256</v>
      </c>
      <c r="U518" s="5">
        <v>98.375029999999995</v>
      </c>
      <c r="V518" s="3">
        <f t="shared" si="67"/>
        <v>101.69871999999999</v>
      </c>
      <c r="W518" s="1">
        <f t="shared" si="72"/>
        <v>4.3350399726167499E-3</v>
      </c>
      <c r="Y518" s="4">
        <v>250.01822999999999</v>
      </c>
      <c r="Z518" s="1">
        <v>256</v>
      </c>
      <c r="AA518" s="5">
        <v>105.78257000000001</v>
      </c>
      <c r="AB518" s="3">
        <f t="shared" si="68"/>
        <v>104.17355000000001</v>
      </c>
    </row>
    <row r="519" spans="19:28" x14ac:dyDescent="0.2">
      <c r="S519" s="4">
        <v>250.00502</v>
      </c>
      <c r="T519" s="1">
        <v>256.5</v>
      </c>
      <c r="U519" s="3">
        <v>98.364360000000005</v>
      </c>
      <c r="V519" s="3">
        <f t="shared" ref="V519:V582" si="75">100-($U$6-U519)</f>
        <v>101.68805</v>
      </c>
      <c r="W519" s="1">
        <f t="shared" si="72"/>
        <v>4.4407195095213601E-3</v>
      </c>
      <c r="Y519" s="4">
        <v>250.01417000000001</v>
      </c>
      <c r="Z519" s="1">
        <v>256.5</v>
      </c>
      <c r="AA519" s="3">
        <v>105.57083</v>
      </c>
      <c r="AB519" s="3">
        <f t="shared" ref="AB519:AB582" si="76">100-($AA$6-AA519)</f>
        <v>103.96181</v>
      </c>
    </row>
    <row r="520" spans="19:28" x14ac:dyDescent="0.2">
      <c r="S520" s="4">
        <v>250.00800000000001</v>
      </c>
      <c r="T520" s="1">
        <v>257</v>
      </c>
      <c r="U520" s="5">
        <v>98.364909999999995</v>
      </c>
      <c r="V520" s="3">
        <f t="shared" si="75"/>
        <v>101.68859999999999</v>
      </c>
      <c r="W520" s="1">
        <f t="shared" ref="W520:W583" si="77">($V$199-V520)/($V$199*(1-$H$1))</f>
        <v>4.4352721107119401E-3</v>
      </c>
      <c r="Y520" s="4">
        <v>250.01432</v>
      </c>
      <c r="Z520" s="1">
        <v>257</v>
      </c>
      <c r="AA520" s="5">
        <v>105.761</v>
      </c>
      <c r="AB520" s="3">
        <f t="shared" si="76"/>
        <v>104.15197999999999</v>
      </c>
    </row>
    <row r="521" spans="19:28" x14ac:dyDescent="0.2">
      <c r="S521" s="4">
        <v>250.00405000000001</v>
      </c>
      <c r="T521" s="1">
        <v>257.5</v>
      </c>
      <c r="U521" s="3">
        <v>98.354150000000004</v>
      </c>
      <c r="V521" s="3">
        <f t="shared" si="75"/>
        <v>101.67784</v>
      </c>
      <c r="W521" s="1">
        <f t="shared" si="77"/>
        <v>4.5418430401490189E-3</v>
      </c>
      <c r="Y521" s="4">
        <v>250.0179</v>
      </c>
      <c r="Z521" s="1">
        <v>257.5</v>
      </c>
      <c r="AA521" s="3">
        <v>105.77725</v>
      </c>
      <c r="AB521" s="3">
        <f t="shared" si="76"/>
        <v>104.16822999999999</v>
      </c>
    </row>
    <row r="522" spans="19:28" x14ac:dyDescent="0.2">
      <c r="S522" s="4">
        <v>250.00396000000001</v>
      </c>
      <c r="T522" s="1">
        <v>258</v>
      </c>
      <c r="U522" s="5">
        <v>98.364909999999995</v>
      </c>
      <c r="V522" s="3">
        <f t="shared" si="75"/>
        <v>101.68859999999999</v>
      </c>
      <c r="W522" s="1">
        <f t="shared" si="77"/>
        <v>4.4352721107119401E-3</v>
      </c>
      <c r="Y522" s="4">
        <v>250.01582999999999</v>
      </c>
      <c r="Z522" s="1">
        <v>258</v>
      </c>
      <c r="AA522" s="5">
        <v>105.5239</v>
      </c>
      <c r="AB522" s="3">
        <f t="shared" si="76"/>
        <v>103.91488</v>
      </c>
    </row>
    <row r="523" spans="19:28" x14ac:dyDescent="0.2">
      <c r="S523" s="4">
        <v>250.00394</v>
      </c>
      <c r="T523" s="1">
        <v>258.5</v>
      </c>
      <c r="U523" s="3">
        <v>98.373080000000002</v>
      </c>
      <c r="V523" s="3">
        <f t="shared" si="75"/>
        <v>101.69677</v>
      </c>
      <c r="W523" s="1">
        <f t="shared" si="77"/>
        <v>4.3543534774868071E-3</v>
      </c>
      <c r="Y523" s="4">
        <v>250.01913999999999</v>
      </c>
      <c r="Z523" s="1">
        <v>258.5</v>
      </c>
      <c r="AA523" s="3">
        <v>105.62294</v>
      </c>
      <c r="AB523" s="3">
        <f t="shared" si="76"/>
        <v>104.01392</v>
      </c>
    </row>
    <row r="524" spans="19:28" x14ac:dyDescent="0.2">
      <c r="S524" s="4">
        <v>250.00497999999999</v>
      </c>
      <c r="T524" s="1">
        <v>259</v>
      </c>
      <c r="U524" s="5">
        <v>98.385080000000002</v>
      </c>
      <c r="V524" s="3">
        <f t="shared" si="75"/>
        <v>101.70877</v>
      </c>
      <c r="W524" s="1">
        <f t="shared" si="77"/>
        <v>4.2355011398245287E-3</v>
      </c>
      <c r="Y524" s="4">
        <v>250.02146999999999</v>
      </c>
      <c r="Z524" s="1">
        <v>259</v>
      </c>
      <c r="AA524" s="5">
        <v>105.62132</v>
      </c>
      <c r="AB524" s="3">
        <f t="shared" si="76"/>
        <v>104.0123</v>
      </c>
    </row>
    <row r="525" spans="19:28" x14ac:dyDescent="0.2">
      <c r="S525" s="4">
        <v>250.00495000000001</v>
      </c>
      <c r="T525" s="1">
        <v>259.5</v>
      </c>
      <c r="U525" s="3">
        <v>98.368639999999999</v>
      </c>
      <c r="V525" s="3">
        <f t="shared" si="75"/>
        <v>101.69233</v>
      </c>
      <c r="W525" s="1">
        <f t="shared" si="77"/>
        <v>4.3983288424218727E-3</v>
      </c>
      <c r="Y525" s="4">
        <v>250.01894999999999</v>
      </c>
      <c r="Z525" s="1">
        <v>259.5</v>
      </c>
      <c r="AA525" s="3">
        <v>105.60301</v>
      </c>
      <c r="AB525" s="3">
        <f t="shared" si="76"/>
        <v>103.99399</v>
      </c>
    </row>
    <row r="526" spans="19:28" x14ac:dyDescent="0.2">
      <c r="S526" s="4">
        <v>250.00803999999999</v>
      </c>
      <c r="T526" s="1">
        <v>260</v>
      </c>
      <c r="U526" s="5">
        <v>98.358729999999994</v>
      </c>
      <c r="V526" s="3">
        <f t="shared" si="75"/>
        <v>101.68241999999999</v>
      </c>
      <c r="W526" s="1">
        <f t="shared" si="77"/>
        <v>4.4964810646080161E-3</v>
      </c>
      <c r="Y526" s="4">
        <v>250.01704000000001</v>
      </c>
      <c r="Z526" s="1">
        <v>260</v>
      </c>
      <c r="AA526" s="5">
        <v>105.72565</v>
      </c>
      <c r="AB526" s="3">
        <f t="shared" si="76"/>
        <v>104.11663</v>
      </c>
    </row>
    <row r="527" spans="19:28" x14ac:dyDescent="0.2">
      <c r="S527" s="4">
        <v>250.00402</v>
      </c>
      <c r="T527" s="1">
        <v>260.5</v>
      </c>
      <c r="U527" s="3">
        <v>98.370819999999995</v>
      </c>
      <c r="V527" s="3">
        <f t="shared" si="75"/>
        <v>101.69450999999999</v>
      </c>
      <c r="W527" s="1">
        <f t="shared" si="77"/>
        <v>4.3767373344132691E-3</v>
      </c>
      <c r="Y527" s="4">
        <v>250.02016</v>
      </c>
      <c r="Z527" s="1">
        <v>260.5</v>
      </c>
      <c r="AA527" s="3">
        <v>105.76176</v>
      </c>
      <c r="AB527" s="3">
        <f t="shared" si="76"/>
        <v>104.15273999999999</v>
      </c>
    </row>
    <row r="528" spans="19:28" x14ac:dyDescent="0.2">
      <c r="S528" s="4">
        <v>250.005</v>
      </c>
      <c r="T528" s="1">
        <v>261</v>
      </c>
      <c r="U528" s="5">
        <v>98.358339999999998</v>
      </c>
      <c r="V528" s="3">
        <f t="shared" si="75"/>
        <v>101.68203</v>
      </c>
      <c r="W528" s="1">
        <f t="shared" si="77"/>
        <v>4.5003437655819992E-3</v>
      </c>
      <c r="Y528" s="4">
        <v>250.01991000000001</v>
      </c>
      <c r="Z528" s="1">
        <v>261</v>
      </c>
      <c r="AA528" s="5">
        <v>105.66779</v>
      </c>
      <c r="AB528" s="3">
        <f t="shared" si="76"/>
        <v>104.05877</v>
      </c>
    </row>
    <row r="529" spans="19:28" x14ac:dyDescent="0.2">
      <c r="S529" s="4">
        <v>250.006</v>
      </c>
      <c r="T529" s="1">
        <v>261.5</v>
      </c>
      <c r="U529" s="3">
        <v>98.358450000000005</v>
      </c>
      <c r="V529" s="3">
        <f t="shared" si="75"/>
        <v>101.68214</v>
      </c>
      <c r="W529" s="1">
        <f t="shared" si="77"/>
        <v>4.4992542858200311E-3</v>
      </c>
      <c r="Y529" s="4">
        <v>250.01778999999999</v>
      </c>
      <c r="Z529" s="1">
        <v>261.5</v>
      </c>
      <c r="AA529" s="3">
        <v>105.61369999999999</v>
      </c>
      <c r="AB529" s="3">
        <f t="shared" si="76"/>
        <v>104.00467999999999</v>
      </c>
    </row>
    <row r="530" spans="19:28" x14ac:dyDescent="0.2">
      <c r="S530" s="4">
        <v>250.00703999999999</v>
      </c>
      <c r="T530" s="1">
        <v>262</v>
      </c>
      <c r="U530" s="5">
        <v>98.357939999999999</v>
      </c>
      <c r="V530" s="3">
        <f t="shared" si="75"/>
        <v>101.68163</v>
      </c>
      <c r="W530" s="1">
        <f t="shared" si="77"/>
        <v>4.504305510170733E-3</v>
      </c>
      <c r="Y530" s="4">
        <v>250.01739000000001</v>
      </c>
      <c r="Z530" s="1">
        <v>262</v>
      </c>
      <c r="AA530" s="5">
        <v>105.62012</v>
      </c>
      <c r="AB530" s="3">
        <f t="shared" si="76"/>
        <v>104.0111</v>
      </c>
    </row>
    <row r="531" spans="19:28" x14ac:dyDescent="0.2">
      <c r="S531" s="4">
        <v>250.00609</v>
      </c>
      <c r="T531" s="1">
        <v>262.5</v>
      </c>
      <c r="U531" s="3">
        <v>98.362690000000001</v>
      </c>
      <c r="V531" s="3">
        <f t="shared" si="75"/>
        <v>101.68638</v>
      </c>
      <c r="W531" s="1">
        <f t="shared" si="77"/>
        <v>4.4572597931794022E-3</v>
      </c>
      <c r="Y531" s="4">
        <v>250.01678000000001</v>
      </c>
      <c r="Z531" s="1">
        <v>262.5</v>
      </c>
      <c r="AA531" s="3">
        <v>105.6294</v>
      </c>
      <c r="AB531" s="3">
        <f t="shared" si="76"/>
        <v>104.02038</v>
      </c>
    </row>
    <row r="532" spans="19:28" x14ac:dyDescent="0.2">
      <c r="S532" s="4">
        <v>250.00407000000001</v>
      </c>
      <c r="T532" s="1">
        <v>263</v>
      </c>
      <c r="U532" s="5">
        <v>98.353859999999997</v>
      </c>
      <c r="V532" s="3">
        <f t="shared" si="75"/>
        <v>101.67755</v>
      </c>
      <c r="W532" s="1">
        <f t="shared" si="77"/>
        <v>4.5447153049759242E-3</v>
      </c>
      <c r="Y532" s="4">
        <v>250.01553000000001</v>
      </c>
      <c r="Z532" s="1">
        <v>263</v>
      </c>
      <c r="AA532" s="5">
        <v>105.57279</v>
      </c>
      <c r="AB532" s="3">
        <f t="shared" si="76"/>
        <v>103.96377</v>
      </c>
    </row>
    <row r="533" spans="19:28" x14ac:dyDescent="0.2">
      <c r="S533" s="4">
        <v>250.00406000000001</v>
      </c>
      <c r="T533" s="1">
        <v>263.5</v>
      </c>
      <c r="U533" s="3">
        <v>98.351920000000007</v>
      </c>
      <c r="V533" s="3">
        <f t="shared" si="75"/>
        <v>101.67561000000001</v>
      </c>
      <c r="W533" s="1">
        <f t="shared" si="77"/>
        <v>4.5639297662312308E-3</v>
      </c>
      <c r="Y533" s="4">
        <v>250.0187</v>
      </c>
      <c r="Z533" s="1">
        <v>263.5</v>
      </c>
      <c r="AA533" s="3">
        <v>105.60536</v>
      </c>
      <c r="AB533" s="3">
        <f t="shared" si="76"/>
        <v>103.99634</v>
      </c>
    </row>
    <row r="534" spans="19:28" x14ac:dyDescent="0.2">
      <c r="S534" s="4">
        <v>250.00998000000001</v>
      </c>
      <c r="T534" s="1">
        <v>264</v>
      </c>
      <c r="U534" s="5">
        <v>98.366600000000005</v>
      </c>
      <c r="V534" s="3">
        <f t="shared" si="75"/>
        <v>101.69029</v>
      </c>
      <c r="W534" s="1">
        <f t="shared" si="77"/>
        <v>4.4185337398243985E-3</v>
      </c>
      <c r="Y534" s="4">
        <v>250.017</v>
      </c>
      <c r="Z534" s="1">
        <v>264</v>
      </c>
      <c r="AA534" s="5">
        <v>105.5363</v>
      </c>
      <c r="AB534" s="3">
        <f t="shared" si="76"/>
        <v>103.92728</v>
      </c>
    </row>
    <row r="535" spans="19:28" x14ac:dyDescent="0.2">
      <c r="S535" s="4">
        <v>250.00303</v>
      </c>
      <c r="T535" s="1">
        <v>264.5</v>
      </c>
      <c r="U535" s="3">
        <v>98.371070000000003</v>
      </c>
      <c r="V535" s="3">
        <f t="shared" si="75"/>
        <v>101.69476</v>
      </c>
      <c r="W535" s="1">
        <f t="shared" si="77"/>
        <v>4.3742612440452232E-3</v>
      </c>
      <c r="Y535" s="4">
        <v>250.01840999999999</v>
      </c>
      <c r="Z535" s="1">
        <v>264.5</v>
      </c>
      <c r="AA535" s="3">
        <v>105.58364</v>
      </c>
      <c r="AB535" s="3">
        <f t="shared" si="76"/>
        <v>103.97462</v>
      </c>
    </row>
    <row r="536" spans="19:28" x14ac:dyDescent="0.2">
      <c r="S536" s="4">
        <v>250.00694999999999</v>
      </c>
      <c r="T536" s="1">
        <v>265</v>
      </c>
      <c r="U536" s="5">
        <v>98.370339999999999</v>
      </c>
      <c r="V536" s="3">
        <f t="shared" si="75"/>
        <v>101.69403</v>
      </c>
      <c r="W536" s="1">
        <f t="shared" si="77"/>
        <v>4.3814914279197209E-3</v>
      </c>
      <c r="Y536" s="4">
        <v>250.02188000000001</v>
      </c>
      <c r="Z536" s="1">
        <v>265</v>
      </c>
      <c r="AA536" s="5">
        <v>105.6352</v>
      </c>
      <c r="AB536" s="3">
        <f t="shared" si="76"/>
        <v>104.02618</v>
      </c>
    </row>
    <row r="537" spans="19:28" x14ac:dyDescent="0.2">
      <c r="S537" s="4">
        <v>250.00506999999999</v>
      </c>
      <c r="T537" s="1">
        <v>265.5</v>
      </c>
      <c r="U537" s="3">
        <v>98.364800000000002</v>
      </c>
      <c r="V537" s="3">
        <f t="shared" si="75"/>
        <v>101.68849</v>
      </c>
      <c r="W537" s="1">
        <f t="shared" si="77"/>
        <v>4.4363615904737677E-3</v>
      </c>
      <c r="Y537" s="4">
        <v>250.01992000000001</v>
      </c>
      <c r="Z537" s="1">
        <v>265.5</v>
      </c>
      <c r="AA537" s="3">
        <v>105.57437</v>
      </c>
      <c r="AB537" s="3">
        <f t="shared" si="76"/>
        <v>103.96535</v>
      </c>
    </row>
    <row r="538" spans="19:28" x14ac:dyDescent="0.2">
      <c r="S538" s="4">
        <v>250.00407000000001</v>
      </c>
      <c r="T538" s="1">
        <v>266</v>
      </c>
      <c r="U538" s="5">
        <v>98.364769999999993</v>
      </c>
      <c r="V538" s="3">
        <f t="shared" si="75"/>
        <v>101.68845999999999</v>
      </c>
      <c r="W538" s="1">
        <f t="shared" si="77"/>
        <v>4.4366587213180179E-3</v>
      </c>
      <c r="Y538" s="4">
        <v>250.02124000000001</v>
      </c>
      <c r="Z538" s="1">
        <v>266</v>
      </c>
      <c r="AA538" s="5">
        <v>105.75306</v>
      </c>
      <c r="AB538" s="3">
        <f t="shared" si="76"/>
        <v>104.14404</v>
      </c>
    </row>
    <row r="539" spans="19:28" x14ac:dyDescent="0.2">
      <c r="S539" s="4">
        <v>250.00093000000001</v>
      </c>
      <c r="T539" s="1">
        <v>266.5</v>
      </c>
      <c r="U539" s="3">
        <v>98.368750000000006</v>
      </c>
      <c r="V539" s="3">
        <f t="shared" si="75"/>
        <v>101.69244</v>
      </c>
      <c r="W539" s="1">
        <f t="shared" si="77"/>
        <v>4.3972393626599045E-3</v>
      </c>
      <c r="Y539" s="4">
        <v>250.02296999999999</v>
      </c>
      <c r="Z539" s="1">
        <v>266.5</v>
      </c>
      <c r="AA539" s="3">
        <v>105.61268</v>
      </c>
      <c r="AB539" s="3">
        <f t="shared" si="76"/>
        <v>104.00366</v>
      </c>
    </row>
    <row r="540" spans="19:28" x14ac:dyDescent="0.2">
      <c r="S540" s="4">
        <v>250.00403</v>
      </c>
      <c r="T540" s="1">
        <v>267</v>
      </c>
      <c r="U540" s="5">
        <v>98.360249999999994</v>
      </c>
      <c r="V540" s="3">
        <f t="shared" si="75"/>
        <v>101.68393999999999</v>
      </c>
      <c r="W540" s="1">
        <f t="shared" si="77"/>
        <v>4.4814264351708015E-3</v>
      </c>
      <c r="Y540" s="4">
        <v>250.02311</v>
      </c>
      <c r="Z540" s="1">
        <v>267</v>
      </c>
      <c r="AA540" s="5">
        <v>105.62783</v>
      </c>
      <c r="AB540" s="3">
        <f t="shared" si="76"/>
        <v>104.01881</v>
      </c>
    </row>
    <row r="541" spans="19:28" x14ac:dyDescent="0.2">
      <c r="S541" s="4">
        <v>250.00799000000001</v>
      </c>
      <c r="T541" s="1">
        <v>267.5</v>
      </c>
      <c r="U541" s="3">
        <v>98.366730000000004</v>
      </c>
      <c r="V541" s="3">
        <f t="shared" si="75"/>
        <v>101.69042</v>
      </c>
      <c r="W541" s="1">
        <f t="shared" si="77"/>
        <v>4.4172461728330704E-3</v>
      </c>
      <c r="Y541" s="4">
        <v>250.02277000000001</v>
      </c>
      <c r="Z541" s="1">
        <v>267.5</v>
      </c>
      <c r="AA541" s="3">
        <v>105.65044</v>
      </c>
      <c r="AB541" s="3">
        <f t="shared" si="76"/>
        <v>104.04142</v>
      </c>
    </row>
    <row r="542" spans="19:28" x14ac:dyDescent="0.2">
      <c r="S542" s="4">
        <v>250.00895</v>
      </c>
      <c r="T542" s="1">
        <v>268</v>
      </c>
      <c r="U542" s="5">
        <v>98.362219999999994</v>
      </c>
      <c r="V542" s="3">
        <f t="shared" si="75"/>
        <v>101.68590999999999</v>
      </c>
      <c r="W542" s="1">
        <f t="shared" si="77"/>
        <v>4.4619148430712447E-3</v>
      </c>
      <c r="Y542" s="4">
        <v>250.01778999999999</v>
      </c>
      <c r="Z542" s="1">
        <v>268</v>
      </c>
      <c r="AA542" s="5">
        <v>105.60154</v>
      </c>
      <c r="AB542" s="3">
        <f t="shared" si="76"/>
        <v>103.99252</v>
      </c>
    </row>
    <row r="543" spans="19:28" x14ac:dyDescent="0.2">
      <c r="S543" s="4">
        <v>250.00411</v>
      </c>
      <c r="T543" s="1">
        <v>268.5</v>
      </c>
      <c r="U543" s="3">
        <v>98.352149999999995</v>
      </c>
      <c r="V543" s="3">
        <f t="shared" si="75"/>
        <v>101.67583999999999</v>
      </c>
      <c r="W543" s="1">
        <f t="shared" si="77"/>
        <v>4.5616517630928258E-3</v>
      </c>
      <c r="Y543" s="4">
        <v>250.01634000000001</v>
      </c>
      <c r="Z543" s="1">
        <v>268.5</v>
      </c>
      <c r="AA543" s="3">
        <v>105.64914</v>
      </c>
      <c r="AB543" s="3">
        <f t="shared" si="76"/>
        <v>104.04012</v>
      </c>
    </row>
    <row r="544" spans="19:28" x14ac:dyDescent="0.2">
      <c r="S544" s="4">
        <v>249.99995999999999</v>
      </c>
      <c r="T544" s="1">
        <v>269</v>
      </c>
      <c r="U544" s="5">
        <v>98.368889999999993</v>
      </c>
      <c r="V544" s="3">
        <f t="shared" si="75"/>
        <v>101.69257999999999</v>
      </c>
      <c r="W544" s="1">
        <f t="shared" si="77"/>
        <v>4.3958527520539673E-3</v>
      </c>
      <c r="Y544" s="4">
        <v>250.01678999999999</v>
      </c>
      <c r="Z544" s="1">
        <v>269</v>
      </c>
      <c r="AA544" s="5">
        <v>105.60680000000001</v>
      </c>
      <c r="AB544" s="3">
        <f t="shared" si="76"/>
        <v>103.99778000000001</v>
      </c>
    </row>
    <row r="545" spans="19:28" x14ac:dyDescent="0.2">
      <c r="S545" s="4">
        <v>250.00106</v>
      </c>
      <c r="T545" s="1">
        <v>269.5</v>
      </c>
      <c r="U545" s="3">
        <v>98.364570000000001</v>
      </c>
      <c r="V545" s="3">
        <f t="shared" si="75"/>
        <v>101.68826</v>
      </c>
      <c r="W545" s="1">
        <f t="shared" si="77"/>
        <v>4.4386395936123141E-3</v>
      </c>
      <c r="Y545" s="4">
        <v>250.01425</v>
      </c>
      <c r="Z545" s="1">
        <v>269.5</v>
      </c>
      <c r="AA545" s="3">
        <v>105.58942</v>
      </c>
      <c r="AB545" s="3">
        <f t="shared" si="76"/>
        <v>103.9804</v>
      </c>
    </row>
    <row r="546" spans="19:28" x14ac:dyDescent="0.2">
      <c r="S546" s="4">
        <v>250.00793999999999</v>
      </c>
      <c r="T546" s="1">
        <v>270</v>
      </c>
      <c r="U546" s="5">
        <v>98.362409999999997</v>
      </c>
      <c r="V546" s="3">
        <f t="shared" si="75"/>
        <v>101.6861</v>
      </c>
      <c r="W546" s="1">
        <f t="shared" si="77"/>
        <v>4.4600330143915578E-3</v>
      </c>
      <c r="Y546" s="4">
        <v>250.01284000000001</v>
      </c>
      <c r="Z546" s="1">
        <v>270</v>
      </c>
      <c r="AA546" s="5">
        <v>105.64512999999999</v>
      </c>
      <c r="AB546" s="3">
        <f t="shared" si="76"/>
        <v>104.03610999999999</v>
      </c>
    </row>
    <row r="547" spans="19:28" x14ac:dyDescent="0.2">
      <c r="S547" s="4">
        <v>250.00606999999999</v>
      </c>
      <c r="T547" s="1">
        <v>270.5</v>
      </c>
      <c r="U547" s="3">
        <v>98.362549999999999</v>
      </c>
      <c r="V547" s="3">
        <f t="shared" si="75"/>
        <v>101.68624</v>
      </c>
      <c r="W547" s="1">
        <f t="shared" si="77"/>
        <v>4.45864640378548E-3</v>
      </c>
      <c r="Y547" s="4">
        <v>250.01089999999999</v>
      </c>
      <c r="Z547" s="1">
        <v>270.5</v>
      </c>
      <c r="AA547" s="3">
        <v>105.68416999999999</v>
      </c>
      <c r="AB547" s="3">
        <f t="shared" si="76"/>
        <v>104.07514999999999</v>
      </c>
    </row>
    <row r="548" spans="19:28" x14ac:dyDescent="0.2">
      <c r="S548" s="4">
        <v>250.00799000000001</v>
      </c>
      <c r="T548" s="1">
        <v>271</v>
      </c>
      <c r="U548" s="5">
        <v>98.366500000000002</v>
      </c>
      <c r="V548" s="3">
        <f t="shared" si="75"/>
        <v>101.69019</v>
      </c>
      <c r="W548" s="1">
        <f t="shared" si="77"/>
        <v>4.4195241759716168E-3</v>
      </c>
      <c r="Y548" s="4">
        <v>250.01087999999999</v>
      </c>
      <c r="Z548" s="1">
        <v>271</v>
      </c>
      <c r="AA548" s="5">
        <v>105.66226</v>
      </c>
      <c r="AB548" s="3">
        <f t="shared" si="76"/>
        <v>104.05324</v>
      </c>
    </row>
    <row r="549" spans="19:28" x14ac:dyDescent="0.2">
      <c r="S549" s="4">
        <v>250.00704999999999</v>
      </c>
      <c r="T549" s="1">
        <v>271.5</v>
      </c>
      <c r="U549" s="3">
        <v>98.362520000000004</v>
      </c>
      <c r="V549" s="3">
        <f t="shared" si="75"/>
        <v>101.68621</v>
      </c>
      <c r="W549" s="1">
        <f t="shared" si="77"/>
        <v>4.4589435346295897E-3</v>
      </c>
      <c r="Y549" s="4">
        <v>250.01335</v>
      </c>
      <c r="Z549" s="1">
        <v>271.5</v>
      </c>
      <c r="AA549" s="3">
        <v>105.64805</v>
      </c>
      <c r="AB549" s="3">
        <f t="shared" si="76"/>
        <v>104.03903</v>
      </c>
    </row>
    <row r="550" spans="19:28" x14ac:dyDescent="0.2">
      <c r="S550" s="4">
        <v>250.00498999999999</v>
      </c>
      <c r="T550" s="1">
        <v>272</v>
      </c>
      <c r="U550" s="5">
        <v>98.362380000000002</v>
      </c>
      <c r="V550" s="3">
        <f t="shared" si="75"/>
        <v>101.68607</v>
      </c>
      <c r="W550" s="1">
        <f t="shared" si="77"/>
        <v>4.4603301452356674E-3</v>
      </c>
      <c r="Y550" s="4">
        <v>250.01513</v>
      </c>
      <c r="Z550" s="1">
        <v>272</v>
      </c>
      <c r="AA550" s="5">
        <v>105.67185000000001</v>
      </c>
      <c r="AB550" s="3">
        <f t="shared" si="76"/>
        <v>104.06283000000001</v>
      </c>
    </row>
    <row r="551" spans="19:28" x14ac:dyDescent="0.2">
      <c r="S551" s="4">
        <v>250.00495000000001</v>
      </c>
      <c r="T551" s="1">
        <v>272.5</v>
      </c>
      <c r="U551" s="3">
        <v>98.364680000000007</v>
      </c>
      <c r="V551" s="3">
        <f t="shared" si="75"/>
        <v>101.68837000000001</v>
      </c>
      <c r="W551" s="1">
        <f t="shared" si="77"/>
        <v>4.437550113850346E-3</v>
      </c>
      <c r="Y551" s="4">
        <v>250.01730000000001</v>
      </c>
      <c r="Z551" s="1">
        <v>272.5</v>
      </c>
      <c r="AA551" s="3">
        <v>105.65617</v>
      </c>
      <c r="AB551" s="3">
        <f t="shared" si="76"/>
        <v>104.04715</v>
      </c>
    </row>
    <row r="552" spans="19:28" x14ac:dyDescent="0.2">
      <c r="S552" s="4">
        <v>249.99897999999999</v>
      </c>
      <c r="T552" s="1">
        <v>273</v>
      </c>
      <c r="U552" s="5">
        <v>98.348179999999999</v>
      </c>
      <c r="V552" s="3">
        <f t="shared" si="75"/>
        <v>101.67187</v>
      </c>
      <c r="W552" s="1">
        <f t="shared" si="77"/>
        <v>4.6009720781360489E-3</v>
      </c>
      <c r="Y552" s="4">
        <v>250.01544000000001</v>
      </c>
      <c r="Z552" s="1">
        <v>273</v>
      </c>
      <c r="AA552" s="5">
        <v>105.66849999999999</v>
      </c>
      <c r="AB552" s="3">
        <f t="shared" si="76"/>
        <v>104.05947999999999</v>
      </c>
    </row>
    <row r="553" spans="19:28" x14ac:dyDescent="0.2">
      <c r="S553" s="4">
        <v>250.00595999999999</v>
      </c>
      <c r="T553" s="1">
        <v>273.5</v>
      </c>
      <c r="U553" s="3">
        <v>98.37088</v>
      </c>
      <c r="V553" s="3">
        <f t="shared" si="75"/>
        <v>101.69457</v>
      </c>
      <c r="W553" s="1">
        <f t="shared" si="77"/>
        <v>4.3761430727249102E-3</v>
      </c>
      <c r="Y553" s="4">
        <v>250.01533000000001</v>
      </c>
      <c r="Z553" s="1">
        <v>273.5</v>
      </c>
      <c r="AA553" s="3">
        <v>105.68172</v>
      </c>
      <c r="AB553" s="3">
        <f t="shared" si="76"/>
        <v>104.0727</v>
      </c>
    </row>
    <row r="554" spans="19:28" x14ac:dyDescent="0.2">
      <c r="S554" s="4">
        <v>250.00395</v>
      </c>
      <c r="T554" s="1">
        <v>274</v>
      </c>
      <c r="U554" s="5">
        <v>98.364729999999994</v>
      </c>
      <c r="V554" s="3">
        <f t="shared" si="75"/>
        <v>101.68841999999999</v>
      </c>
      <c r="W554" s="1">
        <f t="shared" si="77"/>
        <v>4.4370548957768773E-3</v>
      </c>
      <c r="Y554" s="4">
        <v>250.01353</v>
      </c>
      <c r="Z554" s="1">
        <v>274</v>
      </c>
      <c r="AA554" s="5">
        <v>105.73372999999999</v>
      </c>
      <c r="AB554" s="3">
        <f t="shared" si="76"/>
        <v>104.12470999999999</v>
      </c>
    </row>
    <row r="555" spans="19:28" x14ac:dyDescent="0.2">
      <c r="S555" s="4">
        <v>250.00896</v>
      </c>
      <c r="T555" s="1">
        <v>274.5</v>
      </c>
      <c r="U555" s="3">
        <v>98.364540000000005</v>
      </c>
      <c r="V555" s="3">
        <f t="shared" si="75"/>
        <v>101.68823</v>
      </c>
      <c r="W555" s="1">
        <f t="shared" si="77"/>
        <v>4.4389367244564238E-3</v>
      </c>
      <c r="Y555" s="4">
        <v>250.00358</v>
      </c>
      <c r="Z555" s="1">
        <v>274.5</v>
      </c>
      <c r="AA555" s="3">
        <v>105.59656</v>
      </c>
      <c r="AB555" s="3">
        <f t="shared" si="76"/>
        <v>103.98754</v>
      </c>
    </row>
    <row r="556" spans="19:28" x14ac:dyDescent="0.2">
      <c r="S556" s="4">
        <v>250.00787</v>
      </c>
      <c r="T556" s="1">
        <v>275</v>
      </c>
      <c r="U556" s="5">
        <v>98.327669999999998</v>
      </c>
      <c r="V556" s="3">
        <f t="shared" si="75"/>
        <v>101.65136</v>
      </c>
      <c r="W556" s="1">
        <f t="shared" si="77"/>
        <v>4.8041105319238334E-3</v>
      </c>
      <c r="Y556" s="4">
        <v>250.00190000000001</v>
      </c>
      <c r="Z556" s="1">
        <v>275</v>
      </c>
      <c r="AA556" s="5">
        <v>105.68089000000001</v>
      </c>
      <c r="AB556" s="3">
        <f t="shared" si="76"/>
        <v>104.07187</v>
      </c>
    </row>
    <row r="557" spans="19:28" x14ac:dyDescent="0.2">
      <c r="S557" s="4">
        <v>250.00904</v>
      </c>
      <c r="T557" s="1">
        <v>275.5</v>
      </c>
      <c r="U557" s="3">
        <v>98.34599</v>
      </c>
      <c r="V557" s="3">
        <f t="shared" si="75"/>
        <v>101.66968</v>
      </c>
      <c r="W557" s="1">
        <f t="shared" si="77"/>
        <v>4.6226626297594013E-3</v>
      </c>
      <c r="Y557" s="4">
        <v>250.00910999999999</v>
      </c>
      <c r="Z557" s="1">
        <v>275.5</v>
      </c>
      <c r="AA557" s="3">
        <v>105.5997</v>
      </c>
      <c r="AB557" s="3">
        <f t="shared" si="76"/>
        <v>103.99068</v>
      </c>
    </row>
    <row r="558" spans="19:28" x14ac:dyDescent="0.2">
      <c r="S558" s="4">
        <v>250.00693000000001</v>
      </c>
      <c r="T558" s="1">
        <v>276</v>
      </c>
      <c r="U558" s="5">
        <v>98.339929999999995</v>
      </c>
      <c r="V558" s="3">
        <f t="shared" si="75"/>
        <v>101.66361999999999</v>
      </c>
      <c r="W558" s="1">
        <f t="shared" si="77"/>
        <v>4.6826830602788999E-3</v>
      </c>
      <c r="Y558" s="4">
        <v>250.01517999999999</v>
      </c>
      <c r="Z558" s="1">
        <v>276</v>
      </c>
      <c r="AA558" s="5">
        <v>105.76845</v>
      </c>
      <c r="AB558" s="3">
        <f t="shared" si="76"/>
        <v>104.15943</v>
      </c>
    </row>
    <row r="559" spans="19:28" x14ac:dyDescent="0.2">
      <c r="S559" s="4">
        <v>249.99997999999999</v>
      </c>
      <c r="T559" s="1">
        <v>276.5</v>
      </c>
      <c r="U559" s="3">
        <v>98.342100000000002</v>
      </c>
      <c r="V559" s="3">
        <f t="shared" si="75"/>
        <v>101.66579</v>
      </c>
      <c r="W559" s="1">
        <f t="shared" si="77"/>
        <v>4.6611905958849065E-3</v>
      </c>
      <c r="Y559" s="4">
        <v>250.01766000000001</v>
      </c>
      <c r="Z559" s="1">
        <v>276.5</v>
      </c>
      <c r="AA559" s="3">
        <v>105.68116000000001</v>
      </c>
      <c r="AB559" s="3">
        <f t="shared" si="76"/>
        <v>104.07214</v>
      </c>
    </row>
    <row r="560" spans="19:28" x14ac:dyDescent="0.2">
      <c r="S560" s="4">
        <v>249.99995999999999</v>
      </c>
      <c r="T560" s="1">
        <v>277</v>
      </c>
      <c r="U560" s="5">
        <v>98.33954</v>
      </c>
      <c r="V560" s="3">
        <f t="shared" si="75"/>
        <v>101.66323</v>
      </c>
      <c r="W560" s="1">
        <f t="shared" si="77"/>
        <v>4.6865457612528831E-3</v>
      </c>
      <c r="Y560" s="4">
        <v>250.01518999999999</v>
      </c>
      <c r="Z560" s="1">
        <v>277</v>
      </c>
      <c r="AA560" s="5">
        <v>105.64552999999999</v>
      </c>
      <c r="AB560" s="3">
        <f t="shared" si="76"/>
        <v>104.03650999999999</v>
      </c>
    </row>
    <row r="561" spans="19:28" x14ac:dyDescent="0.2">
      <c r="S561" s="4">
        <v>250.00301999999999</v>
      </c>
      <c r="T561" s="1">
        <v>277.5</v>
      </c>
      <c r="U561" s="3">
        <v>98.335409999999996</v>
      </c>
      <c r="V561" s="3">
        <f t="shared" si="75"/>
        <v>101.6591</v>
      </c>
      <c r="W561" s="1">
        <f t="shared" si="77"/>
        <v>4.7274507741316843E-3</v>
      </c>
      <c r="Y561" s="4">
        <v>250.01642000000001</v>
      </c>
      <c r="Z561" s="1">
        <v>277.5</v>
      </c>
      <c r="AA561" s="3">
        <v>105.66188</v>
      </c>
      <c r="AB561" s="3">
        <f t="shared" si="76"/>
        <v>104.05286</v>
      </c>
    </row>
    <row r="562" spans="19:28" x14ac:dyDescent="0.2">
      <c r="S562" s="4">
        <v>250.00408999999999</v>
      </c>
      <c r="T562" s="1">
        <v>278</v>
      </c>
      <c r="U562" s="5">
        <v>98.329369999999997</v>
      </c>
      <c r="V562" s="3">
        <f t="shared" si="75"/>
        <v>101.65306</v>
      </c>
      <c r="W562" s="1">
        <f t="shared" si="77"/>
        <v>4.7872731174216825E-3</v>
      </c>
      <c r="Y562" s="4">
        <v>250.01911000000001</v>
      </c>
      <c r="Z562" s="1">
        <v>278</v>
      </c>
      <c r="AA562" s="5">
        <v>105.72601</v>
      </c>
      <c r="AB562" s="3">
        <f t="shared" si="76"/>
        <v>104.11699</v>
      </c>
    </row>
    <row r="563" spans="19:28" x14ac:dyDescent="0.2">
      <c r="S563" s="4">
        <v>250.01005000000001</v>
      </c>
      <c r="T563" s="1">
        <v>278.5</v>
      </c>
      <c r="U563" s="3">
        <v>98.333740000000006</v>
      </c>
      <c r="V563" s="3">
        <f t="shared" si="75"/>
        <v>101.65743000000001</v>
      </c>
      <c r="W563" s="1">
        <f t="shared" si="77"/>
        <v>4.7439910577895851E-3</v>
      </c>
      <c r="Y563" s="4">
        <v>250.02166</v>
      </c>
      <c r="Z563" s="1">
        <v>278.5</v>
      </c>
      <c r="AA563" s="3">
        <v>105.73595</v>
      </c>
      <c r="AB563" s="3">
        <f t="shared" si="76"/>
        <v>104.12693</v>
      </c>
    </row>
    <row r="564" spans="19:28" x14ac:dyDescent="0.2">
      <c r="S564" s="4">
        <v>250.00305</v>
      </c>
      <c r="T564" s="1">
        <v>279</v>
      </c>
      <c r="U564" s="5">
        <v>98.329449999999994</v>
      </c>
      <c r="V564" s="3">
        <f t="shared" si="75"/>
        <v>101.65313999999999</v>
      </c>
      <c r="W564" s="1">
        <f t="shared" si="77"/>
        <v>4.7864807685039637E-3</v>
      </c>
      <c r="Y564" s="4">
        <v>250.02211</v>
      </c>
      <c r="Z564" s="1">
        <v>279</v>
      </c>
      <c r="AA564" s="5">
        <v>105.69280000000001</v>
      </c>
      <c r="AB564" s="3">
        <f t="shared" si="76"/>
        <v>104.08378</v>
      </c>
    </row>
    <row r="565" spans="19:28" x14ac:dyDescent="0.2">
      <c r="S565" s="4">
        <v>250.00599</v>
      </c>
      <c r="T565" s="1">
        <v>279.5</v>
      </c>
      <c r="U565" s="3">
        <v>98.337950000000006</v>
      </c>
      <c r="V565" s="3">
        <f t="shared" si="75"/>
        <v>101.66164000000001</v>
      </c>
      <c r="W565" s="1">
        <f t="shared" si="77"/>
        <v>4.7022936959930659E-3</v>
      </c>
      <c r="Y565" s="4">
        <v>250.02190999999999</v>
      </c>
      <c r="Z565" s="1">
        <v>279.5</v>
      </c>
      <c r="AA565" s="3">
        <v>105.7114</v>
      </c>
      <c r="AB565" s="3">
        <f t="shared" si="76"/>
        <v>104.10238</v>
      </c>
    </row>
    <row r="566" spans="19:28" x14ac:dyDescent="0.2">
      <c r="S566" s="4">
        <v>250.00404</v>
      </c>
      <c r="T566" s="1">
        <v>280</v>
      </c>
      <c r="U566" s="5">
        <v>98.323490000000007</v>
      </c>
      <c r="V566" s="3">
        <f t="shared" si="75"/>
        <v>101.64718000000001</v>
      </c>
      <c r="W566" s="1">
        <f t="shared" si="77"/>
        <v>4.8455107628761034E-3</v>
      </c>
      <c r="Y566" s="4">
        <v>250.01891000000001</v>
      </c>
      <c r="Z566" s="1">
        <v>280</v>
      </c>
      <c r="AA566" s="5">
        <v>105.64506</v>
      </c>
      <c r="AB566" s="3">
        <f t="shared" si="76"/>
        <v>104.03604</v>
      </c>
    </row>
    <row r="567" spans="19:28" x14ac:dyDescent="0.2">
      <c r="S567" s="4">
        <v>250.00704999999999</v>
      </c>
      <c r="T567" s="1">
        <v>280.5</v>
      </c>
      <c r="U567" s="3">
        <v>98.333860000000001</v>
      </c>
      <c r="V567" s="3">
        <f t="shared" si="75"/>
        <v>101.65755</v>
      </c>
      <c r="W567" s="1">
        <f t="shared" si="77"/>
        <v>4.7428025344130077E-3</v>
      </c>
      <c r="Y567" s="4">
        <v>250.01711</v>
      </c>
      <c r="Z567" s="1">
        <v>280.5</v>
      </c>
      <c r="AA567" s="3">
        <v>105.62739000000001</v>
      </c>
      <c r="AB567" s="3">
        <f t="shared" si="76"/>
        <v>104.01837</v>
      </c>
    </row>
    <row r="568" spans="19:28" x14ac:dyDescent="0.2">
      <c r="S568" s="4">
        <v>250.00497999999999</v>
      </c>
      <c r="T568" s="1">
        <v>281</v>
      </c>
      <c r="U568" s="5">
        <v>98.319130000000001</v>
      </c>
      <c r="V568" s="3">
        <f t="shared" si="75"/>
        <v>101.64282</v>
      </c>
      <c r="W568" s="1">
        <f t="shared" si="77"/>
        <v>4.8886937788934501E-3</v>
      </c>
      <c r="Y568" s="4">
        <v>250.01808</v>
      </c>
      <c r="Z568" s="1">
        <v>281</v>
      </c>
      <c r="AA568" s="5">
        <v>105.54371999999999</v>
      </c>
      <c r="AB568" s="3">
        <f t="shared" si="76"/>
        <v>103.93469999999999</v>
      </c>
    </row>
    <row r="569" spans="19:28" x14ac:dyDescent="0.2">
      <c r="S569" s="4">
        <v>250.00102999999999</v>
      </c>
      <c r="T569" s="1">
        <v>281.5</v>
      </c>
      <c r="U569" s="3">
        <v>98.333160000000007</v>
      </c>
      <c r="V569" s="3">
        <f t="shared" si="75"/>
        <v>101.65685000000001</v>
      </c>
      <c r="W569" s="1">
        <f t="shared" si="77"/>
        <v>4.7497355874432561E-3</v>
      </c>
      <c r="Y569" s="4">
        <v>250.01794000000001</v>
      </c>
      <c r="Z569" s="1">
        <v>281.5</v>
      </c>
      <c r="AA569" s="3">
        <v>105.70135000000001</v>
      </c>
      <c r="AB569" s="3">
        <f t="shared" si="76"/>
        <v>104.09233</v>
      </c>
    </row>
    <row r="570" spans="19:28" x14ac:dyDescent="0.2">
      <c r="S570" s="4">
        <v>250.00092000000001</v>
      </c>
      <c r="T570" s="1">
        <v>282</v>
      </c>
      <c r="U570" s="5">
        <v>98.316789999999997</v>
      </c>
      <c r="V570" s="3">
        <f t="shared" si="75"/>
        <v>101.64048</v>
      </c>
      <c r="W570" s="1">
        <f t="shared" si="77"/>
        <v>4.911869984737631E-3</v>
      </c>
      <c r="Y570" s="4">
        <v>250.01578000000001</v>
      </c>
      <c r="Z570" s="1">
        <v>282</v>
      </c>
      <c r="AA570" s="5">
        <v>105.65836</v>
      </c>
      <c r="AB570" s="3">
        <f t="shared" si="76"/>
        <v>104.04934</v>
      </c>
    </row>
    <row r="571" spans="19:28" x14ac:dyDescent="0.2">
      <c r="S571" s="4">
        <v>249.99803</v>
      </c>
      <c r="T571" s="1">
        <v>282.5</v>
      </c>
      <c r="U571" s="3">
        <v>98.329520000000002</v>
      </c>
      <c r="V571" s="3">
        <f t="shared" si="75"/>
        <v>101.65321</v>
      </c>
      <c r="W571" s="1">
        <f t="shared" si="77"/>
        <v>4.785787463200855E-3</v>
      </c>
      <c r="Y571" s="4">
        <v>250.01572999999999</v>
      </c>
      <c r="Z571" s="1">
        <v>282.5</v>
      </c>
      <c r="AA571" s="3">
        <v>105.75219</v>
      </c>
      <c r="AB571" s="3">
        <f t="shared" si="76"/>
        <v>104.14317</v>
      </c>
    </row>
    <row r="572" spans="19:28" x14ac:dyDescent="0.2">
      <c r="S572" s="4">
        <v>250.00709000000001</v>
      </c>
      <c r="T572" s="1">
        <v>283</v>
      </c>
      <c r="U572" s="5">
        <v>98.32338</v>
      </c>
      <c r="V572" s="3">
        <f t="shared" si="75"/>
        <v>101.64707</v>
      </c>
      <c r="W572" s="1">
        <f t="shared" si="77"/>
        <v>4.8466002426380715E-3</v>
      </c>
      <c r="Y572" s="4">
        <v>250.01616999999999</v>
      </c>
      <c r="Z572" s="1">
        <v>283</v>
      </c>
      <c r="AA572" s="5">
        <v>105.66501</v>
      </c>
      <c r="AB572" s="3">
        <f t="shared" si="76"/>
        <v>104.05598999999999</v>
      </c>
    </row>
    <row r="573" spans="19:28" x14ac:dyDescent="0.2">
      <c r="S573" s="4">
        <v>250.00797</v>
      </c>
      <c r="T573" s="1">
        <v>283.5</v>
      </c>
      <c r="U573" s="3">
        <v>98.314819999999997</v>
      </c>
      <c r="V573" s="3">
        <f t="shared" si="75"/>
        <v>101.63851</v>
      </c>
      <c r="W573" s="1">
        <f t="shared" si="77"/>
        <v>4.9313815768371877E-3</v>
      </c>
      <c r="Y573" s="4">
        <v>250.01165</v>
      </c>
      <c r="Z573" s="1">
        <v>283.5</v>
      </c>
      <c r="AA573" s="3">
        <v>105.63899000000001</v>
      </c>
      <c r="AB573" s="3">
        <f t="shared" si="76"/>
        <v>104.02997000000001</v>
      </c>
    </row>
    <row r="574" spans="19:28" x14ac:dyDescent="0.2">
      <c r="S574" s="4">
        <v>250.00709000000001</v>
      </c>
      <c r="T574" s="1">
        <v>284</v>
      </c>
      <c r="U574" s="5">
        <v>98.298749999999998</v>
      </c>
      <c r="V574" s="3">
        <f t="shared" si="75"/>
        <v>101.62244</v>
      </c>
      <c r="W574" s="1">
        <f t="shared" si="77"/>
        <v>5.0905446656899075E-3</v>
      </c>
      <c r="Y574" s="4">
        <v>250.01258999999999</v>
      </c>
      <c r="Z574" s="1">
        <v>284</v>
      </c>
      <c r="AA574" s="5">
        <v>105.58647999999999</v>
      </c>
      <c r="AB574" s="3">
        <f t="shared" si="76"/>
        <v>103.97745999999999</v>
      </c>
    </row>
    <row r="575" spans="19:28" x14ac:dyDescent="0.2">
      <c r="S575" s="4">
        <v>250.00798</v>
      </c>
      <c r="T575" s="1">
        <v>284.5</v>
      </c>
      <c r="U575" s="3">
        <v>98.311189999999996</v>
      </c>
      <c r="V575" s="3">
        <f t="shared" si="75"/>
        <v>101.63488</v>
      </c>
      <c r="W575" s="1">
        <f t="shared" si="77"/>
        <v>4.9673344089800368E-3</v>
      </c>
      <c r="Y575" s="4">
        <v>250.01498000000001</v>
      </c>
      <c r="Z575" s="1">
        <v>284.5</v>
      </c>
      <c r="AA575" s="3">
        <v>105.58072</v>
      </c>
      <c r="AB575" s="3">
        <f t="shared" si="76"/>
        <v>103.9717</v>
      </c>
    </row>
    <row r="576" spans="19:28" x14ac:dyDescent="0.2">
      <c r="S576" s="4">
        <v>250.00702000000001</v>
      </c>
      <c r="T576" s="1">
        <v>285</v>
      </c>
      <c r="U576" s="5">
        <v>98.313100000000006</v>
      </c>
      <c r="V576" s="3">
        <f t="shared" si="75"/>
        <v>101.63679</v>
      </c>
      <c r="W576" s="1">
        <f t="shared" si="77"/>
        <v>4.9484170785686985E-3</v>
      </c>
      <c r="Y576" s="4">
        <v>250.01428999999999</v>
      </c>
      <c r="Z576" s="1">
        <v>285</v>
      </c>
      <c r="AA576" s="5">
        <v>105.68291000000001</v>
      </c>
      <c r="AB576" s="3">
        <f t="shared" si="76"/>
        <v>104.07389000000001</v>
      </c>
    </row>
    <row r="577" spans="19:28" x14ac:dyDescent="0.2">
      <c r="S577" s="4">
        <v>250.00792000000001</v>
      </c>
      <c r="T577" s="1">
        <v>285.5</v>
      </c>
      <c r="U577" s="3">
        <v>98.305000000000007</v>
      </c>
      <c r="V577" s="3">
        <f t="shared" si="75"/>
        <v>101.62869000000001</v>
      </c>
      <c r="W577" s="1">
        <f t="shared" si="77"/>
        <v>5.028642406490722E-3</v>
      </c>
      <c r="Y577" s="4">
        <v>250.01527999999999</v>
      </c>
      <c r="Z577" s="1">
        <v>285.5</v>
      </c>
      <c r="AA577" s="3">
        <v>105.64296</v>
      </c>
      <c r="AB577" s="3">
        <f t="shared" si="76"/>
        <v>104.03394</v>
      </c>
    </row>
    <row r="578" spans="19:28" x14ac:dyDescent="0.2">
      <c r="S578" s="4">
        <v>250.00802999999999</v>
      </c>
      <c r="T578" s="1">
        <v>286</v>
      </c>
      <c r="U578" s="5">
        <v>98.316959999999995</v>
      </c>
      <c r="V578" s="3">
        <f t="shared" si="75"/>
        <v>101.64064999999999</v>
      </c>
      <c r="W578" s="1">
        <f t="shared" si="77"/>
        <v>4.9101862432874436E-3</v>
      </c>
      <c r="Y578" s="4">
        <v>250.01539</v>
      </c>
      <c r="Z578" s="1">
        <v>286</v>
      </c>
      <c r="AA578" s="5">
        <v>105.72658</v>
      </c>
      <c r="AB578" s="3">
        <f t="shared" si="76"/>
        <v>104.11756</v>
      </c>
    </row>
    <row r="579" spans="19:28" x14ac:dyDescent="0.2">
      <c r="S579" s="4">
        <v>250.005</v>
      </c>
      <c r="T579" s="1">
        <v>286.5</v>
      </c>
      <c r="U579" s="3">
        <v>98.312899999999999</v>
      </c>
      <c r="V579" s="3">
        <f t="shared" si="75"/>
        <v>101.63659</v>
      </c>
      <c r="W579" s="1">
        <f t="shared" si="77"/>
        <v>4.9503979508631352E-3</v>
      </c>
      <c r="Y579" s="4">
        <v>250.0137</v>
      </c>
      <c r="Z579" s="1">
        <v>286.5</v>
      </c>
      <c r="AA579" s="3">
        <v>105.68158</v>
      </c>
      <c r="AB579" s="3">
        <f t="shared" si="76"/>
        <v>104.07256</v>
      </c>
    </row>
    <row r="580" spans="19:28" x14ac:dyDescent="0.2">
      <c r="S580" s="4">
        <v>250.00200000000001</v>
      </c>
      <c r="T580" s="1">
        <v>287</v>
      </c>
      <c r="U580" s="5">
        <v>98.294380000000004</v>
      </c>
      <c r="V580" s="3">
        <f t="shared" si="75"/>
        <v>101.61807</v>
      </c>
      <c r="W580" s="1">
        <f t="shared" si="77"/>
        <v>5.1338267253218635E-3</v>
      </c>
      <c r="Y580" s="4">
        <v>250.01847000000001</v>
      </c>
      <c r="Z580" s="1">
        <v>287</v>
      </c>
      <c r="AA580" s="5">
        <v>105.69383999999999</v>
      </c>
      <c r="AB580" s="3">
        <f t="shared" si="76"/>
        <v>104.08481999999999</v>
      </c>
    </row>
    <row r="581" spans="19:28" x14ac:dyDescent="0.2">
      <c r="S581" s="4">
        <v>250.00599</v>
      </c>
      <c r="T581" s="1">
        <v>287.5</v>
      </c>
      <c r="U581" s="3">
        <v>98.308980000000005</v>
      </c>
      <c r="V581" s="3">
        <f t="shared" si="75"/>
        <v>101.63267</v>
      </c>
      <c r="W581" s="1">
        <f t="shared" si="77"/>
        <v>4.9892230478327491E-3</v>
      </c>
      <c r="Y581" s="4">
        <v>250.02231</v>
      </c>
      <c r="Z581" s="1">
        <v>287.5</v>
      </c>
      <c r="AA581" s="3">
        <v>105.60642</v>
      </c>
      <c r="AB581" s="3">
        <f t="shared" si="76"/>
        <v>103.9974</v>
      </c>
    </row>
    <row r="582" spans="19:28" x14ac:dyDescent="0.2">
      <c r="S582" s="4">
        <v>250</v>
      </c>
      <c r="T582" s="1">
        <v>288</v>
      </c>
      <c r="U582" s="5">
        <v>98.292720000000003</v>
      </c>
      <c r="V582" s="3">
        <f t="shared" si="75"/>
        <v>101.61641</v>
      </c>
      <c r="W582" s="1">
        <f t="shared" si="77"/>
        <v>5.1502679653651559E-3</v>
      </c>
      <c r="Y582" s="4">
        <v>250.02323999999999</v>
      </c>
      <c r="Z582" s="1">
        <v>288</v>
      </c>
      <c r="AA582" s="5">
        <v>105.71709</v>
      </c>
      <c r="AB582" s="3">
        <f t="shared" si="76"/>
        <v>104.10807</v>
      </c>
    </row>
    <row r="583" spans="19:28" x14ac:dyDescent="0.2">
      <c r="S583" s="4">
        <v>250.00895</v>
      </c>
      <c r="T583" s="1">
        <v>288.5</v>
      </c>
      <c r="U583" s="3">
        <v>98.307180000000002</v>
      </c>
      <c r="V583" s="3">
        <f t="shared" ref="V583:V646" si="78">100-($U$6-U583)</f>
        <v>101.63087</v>
      </c>
      <c r="W583" s="1">
        <f t="shared" si="77"/>
        <v>5.0070508984821193E-3</v>
      </c>
      <c r="Y583" s="4">
        <v>250.02051</v>
      </c>
      <c r="Z583" s="1">
        <v>288.5</v>
      </c>
      <c r="AA583" s="3">
        <v>105.56419</v>
      </c>
      <c r="AB583" s="3">
        <f t="shared" ref="AB583:AB646" si="79">100-($AA$6-AA583)</f>
        <v>103.95517</v>
      </c>
    </row>
    <row r="584" spans="19:28" x14ac:dyDescent="0.2">
      <c r="S584" s="4">
        <v>250.00601</v>
      </c>
      <c r="T584" s="1">
        <v>289</v>
      </c>
      <c r="U584" s="5">
        <v>98.292360000000002</v>
      </c>
      <c r="V584" s="3">
        <f t="shared" si="78"/>
        <v>101.61605</v>
      </c>
      <c r="W584" s="1">
        <f t="shared" ref="W584:W647" si="80">($V$199-V584)/($V$199*(1-$H$1))</f>
        <v>5.1538335354950294E-3</v>
      </c>
      <c r="Y584" s="4">
        <v>250.01840000000001</v>
      </c>
      <c r="Z584" s="1">
        <v>289</v>
      </c>
      <c r="AA584" s="5">
        <v>105.71834</v>
      </c>
      <c r="AB584" s="3">
        <f t="shared" si="79"/>
        <v>104.10932</v>
      </c>
    </row>
    <row r="585" spans="19:28" x14ac:dyDescent="0.2">
      <c r="S585" s="4">
        <v>250.00792000000001</v>
      </c>
      <c r="T585" s="1">
        <v>289.5</v>
      </c>
      <c r="U585" s="3">
        <v>98.292699999999996</v>
      </c>
      <c r="V585" s="3">
        <f t="shared" si="78"/>
        <v>101.61639</v>
      </c>
      <c r="W585" s="1">
        <f t="shared" si="80"/>
        <v>5.1504660525946554E-3</v>
      </c>
      <c r="Y585" s="4">
        <v>250.01797999999999</v>
      </c>
      <c r="Z585" s="1">
        <v>289.5</v>
      </c>
      <c r="AA585" s="3">
        <v>105.66305</v>
      </c>
      <c r="AB585" s="3">
        <f t="shared" si="79"/>
        <v>104.05403</v>
      </c>
    </row>
    <row r="586" spans="19:28" x14ac:dyDescent="0.2">
      <c r="S586" s="4">
        <v>250.00601</v>
      </c>
      <c r="T586" s="1">
        <v>290</v>
      </c>
      <c r="U586" s="5">
        <v>98.292500000000004</v>
      </c>
      <c r="V586" s="3">
        <f t="shared" si="78"/>
        <v>101.61619</v>
      </c>
      <c r="W586" s="1">
        <f t="shared" si="80"/>
        <v>5.1524469248889525E-3</v>
      </c>
      <c r="Y586" s="4">
        <v>250.01664</v>
      </c>
      <c r="Z586" s="1">
        <v>290</v>
      </c>
      <c r="AA586" s="5">
        <v>105.76839</v>
      </c>
      <c r="AB586" s="3">
        <f t="shared" si="79"/>
        <v>104.15937</v>
      </c>
    </row>
    <row r="587" spans="19:28" x14ac:dyDescent="0.2">
      <c r="S587" s="4">
        <v>250.00905</v>
      </c>
      <c r="T587" s="1">
        <v>290.5</v>
      </c>
      <c r="U587" s="3">
        <v>98.294539999999998</v>
      </c>
      <c r="V587" s="3">
        <f t="shared" si="78"/>
        <v>101.61823</v>
      </c>
      <c r="W587" s="1">
        <f t="shared" si="80"/>
        <v>5.1322420274864267E-3</v>
      </c>
      <c r="Y587" s="4">
        <v>250.01441</v>
      </c>
      <c r="Z587" s="1">
        <v>290.5</v>
      </c>
      <c r="AA587" s="3">
        <v>105.59814</v>
      </c>
      <c r="AB587" s="3">
        <f t="shared" si="79"/>
        <v>103.98912</v>
      </c>
    </row>
    <row r="588" spans="19:28" x14ac:dyDescent="0.2">
      <c r="S588" s="4">
        <v>250.00704999999999</v>
      </c>
      <c r="T588" s="1">
        <v>291</v>
      </c>
      <c r="U588" s="5">
        <v>98.298490000000001</v>
      </c>
      <c r="V588" s="3">
        <f t="shared" si="78"/>
        <v>101.62218</v>
      </c>
      <c r="W588" s="1">
        <f t="shared" si="80"/>
        <v>5.0931197996725627E-3</v>
      </c>
      <c r="Y588" s="4">
        <v>250.01504</v>
      </c>
      <c r="Z588" s="1">
        <v>291</v>
      </c>
      <c r="AA588" s="5">
        <v>105.66070000000001</v>
      </c>
      <c r="AB588" s="3">
        <f t="shared" si="79"/>
        <v>104.05168</v>
      </c>
    </row>
    <row r="589" spans="19:28" x14ac:dyDescent="0.2">
      <c r="S589" s="4">
        <v>249.99804</v>
      </c>
      <c r="T589" s="1">
        <v>291.5</v>
      </c>
      <c r="U589" s="3">
        <v>98.312939999999998</v>
      </c>
      <c r="V589" s="3">
        <f t="shared" si="78"/>
        <v>101.63663</v>
      </c>
      <c r="W589" s="1">
        <f t="shared" si="80"/>
        <v>4.9500017764042758E-3</v>
      </c>
      <c r="Y589" s="4">
        <v>250.01381000000001</v>
      </c>
      <c r="Z589" s="1">
        <v>291.5</v>
      </c>
      <c r="AA589" s="3">
        <v>105.70381999999999</v>
      </c>
      <c r="AB589" s="3">
        <f t="shared" si="79"/>
        <v>104.09479999999999</v>
      </c>
    </row>
    <row r="590" spans="19:28" x14ac:dyDescent="0.2">
      <c r="S590" s="4">
        <v>250.00498999999999</v>
      </c>
      <c r="T590" s="1">
        <v>292</v>
      </c>
      <c r="U590" s="5">
        <v>98.286320000000003</v>
      </c>
      <c r="V590" s="3">
        <f t="shared" si="78"/>
        <v>101.61001</v>
      </c>
      <c r="W590" s="1">
        <f t="shared" si="80"/>
        <v>5.2136558787850285E-3</v>
      </c>
      <c r="Y590" s="4">
        <v>250.01596000000001</v>
      </c>
      <c r="Z590" s="1">
        <v>292</v>
      </c>
      <c r="AA590" s="5">
        <v>105.78672</v>
      </c>
      <c r="AB590" s="3">
        <f t="shared" si="79"/>
        <v>104.1777</v>
      </c>
    </row>
    <row r="591" spans="19:28" x14ac:dyDescent="0.2">
      <c r="S591" s="4">
        <v>250.00400999999999</v>
      </c>
      <c r="T591" s="1">
        <v>292.5</v>
      </c>
      <c r="U591" s="3">
        <v>98.296350000000004</v>
      </c>
      <c r="V591" s="3">
        <f t="shared" si="78"/>
        <v>101.62004</v>
      </c>
      <c r="W591" s="1">
        <f t="shared" si="80"/>
        <v>5.1143151332223068E-3</v>
      </c>
      <c r="Y591" s="4">
        <v>250.01650000000001</v>
      </c>
      <c r="Z591" s="1">
        <v>292.5</v>
      </c>
      <c r="AA591" s="3">
        <v>105.64958</v>
      </c>
      <c r="AB591" s="3">
        <f t="shared" si="79"/>
        <v>104.04056</v>
      </c>
    </row>
    <row r="592" spans="19:28" x14ac:dyDescent="0.2">
      <c r="S592" s="4">
        <v>250.01097999999999</v>
      </c>
      <c r="T592" s="1">
        <v>293</v>
      </c>
      <c r="U592" s="5">
        <v>98.292169999999999</v>
      </c>
      <c r="V592" s="3">
        <f t="shared" si="78"/>
        <v>101.61586</v>
      </c>
      <c r="W592" s="1">
        <f t="shared" si="80"/>
        <v>5.1557153641747172E-3</v>
      </c>
      <c r="Y592" s="4">
        <v>250.01738</v>
      </c>
      <c r="Z592" s="1">
        <v>293</v>
      </c>
      <c r="AA592" s="5">
        <v>105.6666</v>
      </c>
      <c r="AB592" s="3">
        <f t="shared" si="79"/>
        <v>104.05758</v>
      </c>
    </row>
    <row r="593" spans="19:29" x14ac:dyDescent="0.2">
      <c r="S593" s="4">
        <v>250.00505999999999</v>
      </c>
      <c r="T593" s="1">
        <v>293.5</v>
      </c>
      <c r="U593" s="3">
        <v>98.282290000000003</v>
      </c>
      <c r="V593" s="3">
        <f t="shared" si="78"/>
        <v>101.60598</v>
      </c>
      <c r="W593" s="1">
        <f t="shared" si="80"/>
        <v>5.2535704555166105E-3</v>
      </c>
      <c r="Y593" s="4">
        <v>250.01998</v>
      </c>
      <c r="Z593" s="1">
        <v>293.5</v>
      </c>
      <c r="AA593" s="3">
        <v>105.69077</v>
      </c>
      <c r="AB593" s="3">
        <f t="shared" si="79"/>
        <v>104.08175</v>
      </c>
    </row>
    <row r="594" spans="19:29" x14ac:dyDescent="0.2">
      <c r="S594" s="4">
        <v>250.00290000000001</v>
      </c>
      <c r="T594" s="1">
        <v>294</v>
      </c>
      <c r="U594" s="5">
        <v>98.278009999999995</v>
      </c>
      <c r="V594" s="3">
        <f t="shared" si="78"/>
        <v>101.60169999999999</v>
      </c>
      <c r="W594" s="1">
        <f t="shared" si="80"/>
        <v>5.2959611226162393E-3</v>
      </c>
      <c r="Y594" s="4">
        <v>250.01850999999999</v>
      </c>
      <c r="Z594" s="1">
        <v>294</v>
      </c>
      <c r="AA594" s="5">
        <v>105.60581000000001</v>
      </c>
      <c r="AB594" s="3">
        <f t="shared" si="79"/>
        <v>103.99679</v>
      </c>
    </row>
    <row r="595" spans="19:29" x14ac:dyDescent="0.2">
      <c r="S595" s="4">
        <v>250.00507999999999</v>
      </c>
      <c r="T595" s="1">
        <v>294.5</v>
      </c>
      <c r="U595" s="3">
        <v>98.28631</v>
      </c>
      <c r="V595" s="3">
        <f t="shared" si="78"/>
        <v>101.61</v>
      </c>
      <c r="W595" s="1">
        <f t="shared" si="80"/>
        <v>5.2137549223997782E-3</v>
      </c>
      <c r="Y595" s="4">
        <v>250.01467</v>
      </c>
      <c r="Z595" s="1">
        <v>294.5</v>
      </c>
      <c r="AA595" s="3">
        <v>105.71838</v>
      </c>
      <c r="AB595" s="3">
        <f t="shared" si="79"/>
        <v>104.10936</v>
      </c>
    </row>
    <row r="596" spans="19:29" x14ac:dyDescent="0.2">
      <c r="S596" s="4">
        <v>250.00200000000001</v>
      </c>
      <c r="T596" s="1">
        <v>295</v>
      </c>
      <c r="U596" s="5">
        <v>98.263189999999994</v>
      </c>
      <c r="V596" s="3">
        <f t="shared" si="78"/>
        <v>101.58687999999999</v>
      </c>
      <c r="W596" s="1">
        <f t="shared" si="80"/>
        <v>5.4427437596291494E-3</v>
      </c>
      <c r="Y596" s="4">
        <v>250.01508000000001</v>
      </c>
      <c r="Z596" s="1">
        <v>295</v>
      </c>
      <c r="AA596" s="5">
        <v>105.75906999999999</v>
      </c>
      <c r="AB596" s="3">
        <f t="shared" si="79"/>
        <v>104.15004999999999</v>
      </c>
    </row>
    <row r="597" spans="19:29" x14ac:dyDescent="0.2">
      <c r="S597" s="4">
        <v>250.00506999999999</v>
      </c>
      <c r="T597" s="1">
        <v>295.5</v>
      </c>
      <c r="U597" s="3">
        <v>98.261139999999997</v>
      </c>
      <c r="V597" s="3">
        <f t="shared" si="78"/>
        <v>101.58483</v>
      </c>
      <c r="W597" s="1">
        <f t="shared" si="80"/>
        <v>5.4630477006464249E-3</v>
      </c>
      <c r="Y597" s="4">
        <v>250.01272</v>
      </c>
      <c r="Z597" s="1">
        <v>295.5</v>
      </c>
      <c r="AA597" s="3">
        <v>105.58891</v>
      </c>
      <c r="AB597" s="3">
        <f t="shared" si="79"/>
        <v>103.97989</v>
      </c>
    </row>
    <row r="598" spans="19:29" x14ac:dyDescent="0.2">
      <c r="S598" s="4">
        <v>250.01003</v>
      </c>
      <c r="T598" s="1">
        <v>296</v>
      </c>
      <c r="U598" s="5">
        <v>98.277910000000006</v>
      </c>
      <c r="V598" s="3">
        <f t="shared" si="78"/>
        <v>101.6016</v>
      </c>
      <c r="W598" s="1">
        <f t="shared" si="80"/>
        <v>5.2969515587633163E-3</v>
      </c>
      <c r="Y598" s="4">
        <v>250.01071999999999</v>
      </c>
      <c r="Z598" s="1">
        <v>296</v>
      </c>
      <c r="AA598" s="5">
        <v>105.69905</v>
      </c>
      <c r="AB598" s="3">
        <f t="shared" si="79"/>
        <v>104.09003</v>
      </c>
    </row>
    <row r="599" spans="19:29" x14ac:dyDescent="0.2">
      <c r="S599" s="4">
        <v>250.00299000000001</v>
      </c>
      <c r="T599" s="1">
        <v>296.5</v>
      </c>
      <c r="U599" s="3">
        <v>98.263040000000004</v>
      </c>
      <c r="V599" s="3">
        <f t="shared" si="78"/>
        <v>101.58673</v>
      </c>
      <c r="W599" s="1">
        <f t="shared" si="80"/>
        <v>5.4442294138498364E-3</v>
      </c>
      <c r="Y599" s="4">
        <v>250.01247000000001</v>
      </c>
      <c r="Z599" s="1">
        <v>296.5</v>
      </c>
      <c r="AA599" s="3">
        <v>105.58975</v>
      </c>
      <c r="AB599" s="3">
        <f t="shared" si="79"/>
        <v>103.98072999999999</v>
      </c>
    </row>
    <row r="600" spans="19:29" x14ac:dyDescent="0.2">
      <c r="S600" s="4">
        <v>250.00611000000001</v>
      </c>
      <c r="T600" s="1">
        <v>297</v>
      </c>
      <c r="U600" s="5">
        <v>98.257469999999998</v>
      </c>
      <c r="V600" s="3">
        <f t="shared" si="78"/>
        <v>101.58116</v>
      </c>
      <c r="W600" s="1">
        <f t="shared" si="80"/>
        <v>5.4993967072481335E-3</v>
      </c>
      <c r="Y600" s="4">
        <v>250.01372000000001</v>
      </c>
      <c r="Z600" s="1">
        <v>297</v>
      </c>
      <c r="AA600" s="5">
        <v>105.70954999999999</v>
      </c>
      <c r="AB600" s="3">
        <f t="shared" si="79"/>
        <v>104.10052999999999</v>
      </c>
    </row>
    <row r="601" spans="19:29" x14ac:dyDescent="0.2">
      <c r="S601" s="4">
        <v>250.00785999999999</v>
      </c>
      <c r="T601" s="1">
        <v>297.5</v>
      </c>
      <c r="U601" s="3">
        <v>98.251019999999997</v>
      </c>
      <c r="V601" s="3">
        <f t="shared" si="78"/>
        <v>101.57471</v>
      </c>
      <c r="W601" s="1">
        <f t="shared" si="80"/>
        <v>5.5632798387416152E-3</v>
      </c>
      <c r="Y601" s="4">
        <v>250.01802000000001</v>
      </c>
      <c r="Z601" s="1">
        <v>297.5</v>
      </c>
      <c r="AA601" s="3">
        <v>105.67699</v>
      </c>
      <c r="AB601" s="3">
        <f t="shared" si="79"/>
        <v>104.06797</v>
      </c>
    </row>
    <row r="602" spans="19:29" x14ac:dyDescent="0.2">
      <c r="S602" s="4">
        <v>250.00298000000001</v>
      </c>
      <c r="T602" s="1">
        <v>298</v>
      </c>
      <c r="U602" s="5">
        <v>98.253290000000007</v>
      </c>
      <c r="V602" s="3">
        <f t="shared" si="78"/>
        <v>101.57698000000001</v>
      </c>
      <c r="W602" s="1">
        <f t="shared" si="80"/>
        <v>5.5407969382004025E-3</v>
      </c>
      <c r="Y602" s="4">
        <v>250.017</v>
      </c>
      <c r="Z602" s="1">
        <v>298</v>
      </c>
      <c r="AA602" s="5">
        <v>105.61221999999999</v>
      </c>
      <c r="AB602" s="3">
        <f t="shared" si="79"/>
        <v>104.00319999999999</v>
      </c>
    </row>
    <row r="603" spans="19:29" x14ac:dyDescent="0.2">
      <c r="S603" s="4">
        <v>250.00104999999999</v>
      </c>
      <c r="T603" s="1">
        <v>298.5</v>
      </c>
      <c r="U603" s="3">
        <v>98.242919999999998</v>
      </c>
      <c r="V603" s="3">
        <f t="shared" si="78"/>
        <v>101.56661</v>
      </c>
      <c r="W603" s="1">
        <f t="shared" si="80"/>
        <v>5.6435051666636387E-3</v>
      </c>
      <c r="Y603" s="4">
        <v>250.01408000000001</v>
      </c>
      <c r="Z603" s="1">
        <v>298.5</v>
      </c>
      <c r="AA603" s="3">
        <v>105.61620000000001</v>
      </c>
      <c r="AB603" s="3">
        <f t="shared" si="79"/>
        <v>104.00718000000001</v>
      </c>
    </row>
    <row r="604" spans="19:29" x14ac:dyDescent="0.2">
      <c r="S604" s="4">
        <v>250.00798</v>
      </c>
      <c r="T604" s="1">
        <v>299</v>
      </c>
      <c r="U604" s="5">
        <v>98.224220000000003</v>
      </c>
      <c r="V604" s="3">
        <f t="shared" si="78"/>
        <v>101.54791</v>
      </c>
      <c r="W604" s="1">
        <f t="shared" si="80"/>
        <v>5.8287167261873041E-3</v>
      </c>
      <c r="Y604" s="4">
        <v>250.01566</v>
      </c>
      <c r="Z604" s="1">
        <v>299</v>
      </c>
      <c r="AA604" s="5">
        <v>105.81036</v>
      </c>
      <c r="AB604" s="7">
        <f t="shared" si="79"/>
        <v>104.20134</v>
      </c>
      <c r="AC604" s="1">
        <f>($AB$604-AB604)/($AB$604*(1-$H$1))</f>
        <v>0</v>
      </c>
    </row>
    <row r="605" spans="19:29" x14ac:dyDescent="0.2">
      <c r="S605" s="4">
        <v>250.00801999999999</v>
      </c>
      <c r="T605" s="1">
        <v>299.5</v>
      </c>
      <c r="U605" s="3">
        <v>98.240970000000004</v>
      </c>
      <c r="V605" s="3">
        <f t="shared" si="78"/>
        <v>101.56466</v>
      </c>
      <c r="W605" s="1">
        <f t="shared" si="80"/>
        <v>5.6628186715336959E-3</v>
      </c>
      <c r="Y605" s="4">
        <v>250.01778999999999</v>
      </c>
      <c r="Z605" s="1">
        <v>299.5</v>
      </c>
      <c r="AA605" s="3">
        <v>105.70925</v>
      </c>
      <c r="AB605" s="3">
        <f t="shared" si="79"/>
        <v>104.10023</v>
      </c>
      <c r="AC605" s="1">
        <f t="shared" ref="AC605:AC668" si="81">($AB$604-AB605)/($AB$604*(1-$H$1))</f>
        <v>9.8158491899914303E-4</v>
      </c>
    </row>
    <row r="606" spans="19:29" x14ac:dyDescent="0.2">
      <c r="S606" s="4">
        <v>250.00995</v>
      </c>
      <c r="T606" s="1">
        <v>300</v>
      </c>
      <c r="U606" s="5">
        <v>98.236279999999994</v>
      </c>
      <c r="V606" s="3">
        <f t="shared" si="78"/>
        <v>101.55996999999999</v>
      </c>
      <c r="W606" s="1">
        <f t="shared" si="80"/>
        <v>5.7092701268368073E-3</v>
      </c>
      <c r="Y606" s="4">
        <v>250.01974999999999</v>
      </c>
      <c r="Z606" s="1">
        <v>300</v>
      </c>
      <c r="AA606" s="5">
        <v>105.74042</v>
      </c>
      <c r="AB606" s="3">
        <f t="shared" si="79"/>
        <v>104.1314</v>
      </c>
      <c r="AC606" s="1">
        <f t="shared" si="81"/>
        <v>6.7898377247353162E-4</v>
      </c>
    </row>
    <row r="607" spans="19:29" x14ac:dyDescent="0.2">
      <c r="S607" s="4">
        <v>250.00797</v>
      </c>
      <c r="T607" s="1">
        <v>300.5</v>
      </c>
      <c r="U607" s="3">
        <v>98.228049999999996</v>
      </c>
      <c r="V607" s="3">
        <f t="shared" si="78"/>
        <v>101.55174</v>
      </c>
      <c r="W607" s="1">
        <f t="shared" si="80"/>
        <v>5.7907830217501588E-3</v>
      </c>
      <c r="Y607" s="4">
        <v>250.02083999999999</v>
      </c>
      <c r="Z607" s="1">
        <v>300.5</v>
      </c>
      <c r="AA607" s="3">
        <v>105.66289</v>
      </c>
      <c r="AB607" s="3">
        <f t="shared" si="79"/>
        <v>104.05387</v>
      </c>
      <c r="AC607" s="1">
        <f t="shared" si="81"/>
        <v>1.4316519434753646E-3</v>
      </c>
    </row>
    <row r="608" spans="19:29" x14ac:dyDescent="0.2">
      <c r="S608" s="4">
        <v>250.005</v>
      </c>
      <c r="T608" s="1">
        <v>301</v>
      </c>
      <c r="U608" s="5">
        <v>98.226439999999997</v>
      </c>
      <c r="V608" s="3">
        <f t="shared" si="78"/>
        <v>101.55013</v>
      </c>
      <c r="W608" s="1">
        <f t="shared" si="80"/>
        <v>5.806729043719842E-3</v>
      </c>
      <c r="Y608" s="4">
        <v>250.02277000000001</v>
      </c>
      <c r="Z608" s="1">
        <v>301</v>
      </c>
      <c r="AA608" s="5">
        <v>105.6296</v>
      </c>
      <c r="AB608" s="3">
        <f t="shared" si="79"/>
        <v>104.02058</v>
      </c>
      <c r="AC608" s="1">
        <f t="shared" si="81"/>
        <v>1.7548342395240992E-3</v>
      </c>
    </row>
    <row r="609" spans="19:29" x14ac:dyDescent="0.2">
      <c r="S609" s="4">
        <v>250.005</v>
      </c>
      <c r="T609" s="1">
        <v>301.5</v>
      </c>
      <c r="U609" s="3">
        <v>98.236789999999999</v>
      </c>
      <c r="V609" s="3">
        <f t="shared" si="78"/>
        <v>101.56048</v>
      </c>
      <c r="W609" s="1">
        <f t="shared" si="80"/>
        <v>5.7042189024861054E-3</v>
      </c>
      <c r="Y609" s="4">
        <v>250.02346</v>
      </c>
      <c r="Z609" s="1">
        <v>301.5</v>
      </c>
      <c r="AA609" s="3">
        <v>105.64979</v>
      </c>
      <c r="AB609" s="3">
        <f t="shared" si="79"/>
        <v>104.04076999999999</v>
      </c>
      <c r="AC609" s="1">
        <f t="shared" si="81"/>
        <v>1.5588279145850119E-3</v>
      </c>
    </row>
    <row r="610" spans="19:29" x14ac:dyDescent="0.2">
      <c r="S610" s="4">
        <v>250.00695999999999</v>
      </c>
      <c r="T610" s="1">
        <v>302</v>
      </c>
      <c r="U610" s="5">
        <v>98.240790000000004</v>
      </c>
      <c r="V610" s="3">
        <f t="shared" si="78"/>
        <v>101.56448</v>
      </c>
      <c r="W610" s="1">
        <f t="shared" si="80"/>
        <v>5.6646014565986322E-3</v>
      </c>
      <c r="Y610" s="4">
        <v>250.01949999999999</v>
      </c>
      <c r="Z610" s="1">
        <v>302</v>
      </c>
      <c r="AA610" s="5">
        <v>105.69301</v>
      </c>
      <c r="AB610" s="3">
        <f t="shared" si="79"/>
        <v>104.08399</v>
      </c>
      <c r="AC610" s="1">
        <f t="shared" si="81"/>
        <v>1.139244290817376E-3</v>
      </c>
    </row>
    <row r="611" spans="19:29" x14ac:dyDescent="0.2">
      <c r="S611" s="4">
        <v>250.00806</v>
      </c>
      <c r="T611" s="1">
        <v>302.5</v>
      </c>
      <c r="U611" s="3">
        <v>98.248800000000003</v>
      </c>
      <c r="V611" s="3">
        <f t="shared" si="78"/>
        <v>101.57249</v>
      </c>
      <c r="W611" s="1">
        <f t="shared" si="80"/>
        <v>5.5852675212090773E-3</v>
      </c>
      <c r="Y611" s="4">
        <v>250.01858999999999</v>
      </c>
      <c r="Z611" s="1">
        <v>302.5</v>
      </c>
      <c r="AA611" s="3">
        <v>105.66059</v>
      </c>
      <c r="AB611" s="3">
        <f t="shared" si="79"/>
        <v>104.05157</v>
      </c>
      <c r="AC611" s="1">
        <f t="shared" si="81"/>
        <v>1.4539805490900724E-3</v>
      </c>
    </row>
    <row r="612" spans="19:29" x14ac:dyDescent="0.2">
      <c r="S612" s="4">
        <v>250.00291000000001</v>
      </c>
      <c r="T612" s="1">
        <v>303</v>
      </c>
      <c r="U612" s="5">
        <v>98.236289999999997</v>
      </c>
      <c r="V612" s="3">
        <f t="shared" si="78"/>
        <v>101.55998</v>
      </c>
      <c r="W612" s="1">
        <f t="shared" si="80"/>
        <v>5.7091710832220576E-3</v>
      </c>
      <c r="Y612" s="4">
        <v>250.02117000000001</v>
      </c>
      <c r="Z612" s="1">
        <v>303</v>
      </c>
      <c r="AA612" s="5">
        <v>105.61593999999999</v>
      </c>
      <c r="AB612" s="3">
        <f t="shared" si="79"/>
        <v>104.00691999999999</v>
      </c>
      <c r="AC612" s="1">
        <f t="shared" si="81"/>
        <v>1.8874467406963778E-3</v>
      </c>
    </row>
    <row r="613" spans="19:29" x14ac:dyDescent="0.2">
      <c r="S613" s="4">
        <v>250.00298000000001</v>
      </c>
      <c r="T613" s="1">
        <v>303.5</v>
      </c>
      <c r="U613" s="3">
        <v>98.242270000000005</v>
      </c>
      <c r="V613" s="3">
        <f t="shared" si="78"/>
        <v>101.56596</v>
      </c>
      <c r="W613" s="1">
        <f t="shared" si="80"/>
        <v>5.649943001620277E-3</v>
      </c>
      <c r="Y613" s="4">
        <v>250.02163999999999</v>
      </c>
      <c r="Z613" s="1">
        <v>303.5</v>
      </c>
      <c r="AA613" s="3">
        <v>105.5919</v>
      </c>
      <c r="AB613" s="3">
        <f t="shared" si="79"/>
        <v>103.98287999999999</v>
      </c>
      <c r="AC613" s="1">
        <f t="shared" si="81"/>
        <v>2.1208292098165191E-3</v>
      </c>
    </row>
    <row r="614" spans="19:29" x14ac:dyDescent="0.2">
      <c r="S614" s="4">
        <v>250.00299999999999</v>
      </c>
      <c r="T614" s="1">
        <v>304</v>
      </c>
      <c r="U614" s="5">
        <v>98.230559999999997</v>
      </c>
      <c r="V614" s="3">
        <f t="shared" si="78"/>
        <v>101.55425</v>
      </c>
      <c r="W614" s="1">
        <f t="shared" si="80"/>
        <v>5.7659230744557905E-3</v>
      </c>
      <c r="Y614" s="4">
        <v>250.01971</v>
      </c>
      <c r="Z614" s="1">
        <v>304</v>
      </c>
      <c r="AA614" s="5">
        <v>105.67247</v>
      </c>
      <c r="AB614" s="3">
        <f t="shared" si="79"/>
        <v>104.06345</v>
      </c>
      <c r="AC614" s="1">
        <f t="shared" si="81"/>
        <v>1.3386484470456249E-3</v>
      </c>
    </row>
    <row r="615" spans="19:29" x14ac:dyDescent="0.2">
      <c r="S615" s="4">
        <v>250.00399999999999</v>
      </c>
      <c r="T615" s="1">
        <v>304.5</v>
      </c>
      <c r="U615" s="3">
        <v>98.232799999999997</v>
      </c>
      <c r="V615" s="3">
        <f t="shared" si="78"/>
        <v>101.55649</v>
      </c>
      <c r="W615" s="1">
        <f t="shared" si="80"/>
        <v>5.7437373047588289E-3</v>
      </c>
      <c r="Y615" s="4">
        <v>250.02153000000001</v>
      </c>
      <c r="Z615" s="1">
        <v>304.5</v>
      </c>
      <c r="AA615" s="3">
        <v>105.67654</v>
      </c>
      <c r="AB615" s="3">
        <f t="shared" si="79"/>
        <v>104.06752</v>
      </c>
      <c r="AC615" s="1">
        <f t="shared" si="81"/>
        <v>1.2991365231970935E-3</v>
      </c>
    </row>
    <row r="616" spans="19:29" x14ac:dyDescent="0.2">
      <c r="S616" s="4">
        <v>250.00503</v>
      </c>
      <c r="T616" s="1">
        <v>305</v>
      </c>
      <c r="U616" s="5">
        <v>98.230599999999995</v>
      </c>
      <c r="V616" s="3">
        <f t="shared" si="78"/>
        <v>101.55428999999999</v>
      </c>
      <c r="W616" s="1">
        <f t="shared" si="80"/>
        <v>5.765526899996932E-3</v>
      </c>
      <c r="Y616" s="4">
        <v>250.02006</v>
      </c>
      <c r="Z616" s="1">
        <v>305</v>
      </c>
      <c r="AA616" s="5">
        <v>105.64915000000001</v>
      </c>
      <c r="AB616" s="3">
        <f t="shared" si="79"/>
        <v>104.04013</v>
      </c>
      <c r="AC616" s="1">
        <f t="shared" si="81"/>
        <v>1.5650410917994277E-3</v>
      </c>
    </row>
    <row r="617" spans="19:29" x14ac:dyDescent="0.2">
      <c r="S617" s="4">
        <v>250.00504000000001</v>
      </c>
      <c r="T617" s="1">
        <v>305.5</v>
      </c>
      <c r="U617" s="3">
        <v>98.201390000000004</v>
      </c>
      <c r="V617" s="3">
        <f t="shared" si="78"/>
        <v>101.52508</v>
      </c>
      <c r="W617" s="1">
        <f t="shared" si="80"/>
        <v>6.05483329858977E-3</v>
      </c>
      <c r="Y617" s="4">
        <v>250.01625999999999</v>
      </c>
      <c r="Z617" s="1">
        <v>305.5</v>
      </c>
      <c r="AA617" s="3">
        <v>105.72880000000001</v>
      </c>
      <c r="AB617" s="3">
        <f t="shared" si="79"/>
        <v>104.11978000000001</v>
      </c>
      <c r="AC617" s="1">
        <f t="shared" si="81"/>
        <v>7.9179177127447183E-4</v>
      </c>
    </row>
    <row r="618" spans="19:29" x14ac:dyDescent="0.2">
      <c r="S618" s="4">
        <v>250.00698</v>
      </c>
      <c r="T618" s="1">
        <v>306</v>
      </c>
      <c r="U618" s="5">
        <v>98.218010000000007</v>
      </c>
      <c r="V618" s="3">
        <f t="shared" si="78"/>
        <v>101.54170000000001</v>
      </c>
      <c r="W618" s="1">
        <f t="shared" si="80"/>
        <v>5.8902228109274897E-3</v>
      </c>
      <c r="Y618" s="4">
        <v>250.01652000000001</v>
      </c>
      <c r="Z618" s="1">
        <v>306</v>
      </c>
      <c r="AA618" s="5">
        <v>105.70752</v>
      </c>
      <c r="AB618" s="3">
        <f t="shared" si="79"/>
        <v>104.0985</v>
      </c>
      <c r="AC618" s="1">
        <f t="shared" si="81"/>
        <v>9.9837991365707424E-4</v>
      </c>
    </row>
    <row r="619" spans="19:29" x14ac:dyDescent="0.2">
      <c r="S619" s="4">
        <v>250.00503</v>
      </c>
      <c r="T619" s="1">
        <v>306.5</v>
      </c>
      <c r="U619" s="3">
        <v>98.217920000000007</v>
      </c>
      <c r="V619" s="3">
        <f t="shared" si="78"/>
        <v>101.54161000000001</v>
      </c>
      <c r="W619" s="1">
        <f t="shared" si="80"/>
        <v>5.8911142034599575E-3</v>
      </c>
      <c r="Y619" s="4">
        <v>250.0189</v>
      </c>
      <c r="Z619" s="1">
        <v>306.5</v>
      </c>
      <c r="AA619" s="3">
        <v>105.74664</v>
      </c>
      <c r="AB619" s="3">
        <f t="shared" si="79"/>
        <v>104.13762</v>
      </c>
      <c r="AC619" s="1">
        <f t="shared" si="81"/>
        <v>6.1859945641999235E-4</v>
      </c>
    </row>
    <row r="620" spans="19:29" x14ac:dyDescent="0.2">
      <c r="S620" s="4">
        <v>250.00506999999999</v>
      </c>
      <c r="T620" s="1">
        <v>307</v>
      </c>
      <c r="U620" s="5">
        <v>98.197249999999997</v>
      </c>
      <c r="V620" s="3">
        <f t="shared" si="78"/>
        <v>101.52094</v>
      </c>
      <c r="W620" s="1">
        <f t="shared" si="80"/>
        <v>6.095837355083321E-3</v>
      </c>
      <c r="Y620" s="4">
        <v>250.01938999999999</v>
      </c>
      <c r="Z620" s="1">
        <v>307</v>
      </c>
      <c r="AA620" s="5">
        <v>105.7298</v>
      </c>
      <c r="AB620" s="3">
        <f t="shared" si="79"/>
        <v>104.12078</v>
      </c>
      <c r="AC620" s="1">
        <f t="shared" si="81"/>
        <v>7.820836818768867E-4</v>
      </c>
    </row>
    <row r="621" spans="19:29" x14ac:dyDescent="0.2">
      <c r="S621" s="4">
        <v>250.00201999999999</v>
      </c>
      <c r="T621" s="1">
        <v>307.5</v>
      </c>
      <c r="U621" s="3">
        <v>98.209969999999998</v>
      </c>
      <c r="V621" s="3">
        <f t="shared" si="78"/>
        <v>101.53366</v>
      </c>
      <c r="W621" s="1">
        <f t="shared" si="80"/>
        <v>5.9698538771612948E-3</v>
      </c>
      <c r="Y621" s="4">
        <v>250.01965000000001</v>
      </c>
      <c r="Z621" s="1">
        <v>307.5</v>
      </c>
      <c r="AA621" s="3">
        <v>105.73649</v>
      </c>
      <c r="AB621" s="3">
        <f t="shared" si="79"/>
        <v>104.12747</v>
      </c>
      <c r="AC621" s="1">
        <f t="shared" si="81"/>
        <v>7.1713656380637078E-4</v>
      </c>
    </row>
    <row r="622" spans="19:29" x14ac:dyDescent="0.2">
      <c r="S622" s="4">
        <v>250.00702999999999</v>
      </c>
      <c r="T622" s="1">
        <v>308</v>
      </c>
      <c r="U622" s="5">
        <v>98.199920000000006</v>
      </c>
      <c r="V622" s="3">
        <f t="shared" si="78"/>
        <v>101.52361000000001</v>
      </c>
      <c r="W622" s="1">
        <f t="shared" si="80"/>
        <v>6.0693927099533754E-3</v>
      </c>
      <c r="Y622" s="4">
        <v>250.02110999999999</v>
      </c>
      <c r="Z622" s="1">
        <v>308</v>
      </c>
      <c r="AA622" s="5">
        <v>105.69914</v>
      </c>
      <c r="AB622" s="3">
        <f t="shared" si="79"/>
        <v>104.09012</v>
      </c>
      <c r="AC622" s="1">
        <f t="shared" si="81"/>
        <v>1.0797337028096291E-3</v>
      </c>
    </row>
    <row r="623" spans="19:29" x14ac:dyDescent="0.2">
      <c r="S623" s="4">
        <v>250.00894</v>
      </c>
      <c r="T623" s="1">
        <v>308.5</v>
      </c>
      <c r="U623" s="3">
        <v>98.191249999999997</v>
      </c>
      <c r="V623" s="3">
        <f t="shared" si="78"/>
        <v>101.51494</v>
      </c>
      <c r="W623" s="1">
        <f t="shared" si="80"/>
        <v>6.1552635239144598E-3</v>
      </c>
      <c r="Y623" s="4">
        <v>250.02118999999999</v>
      </c>
      <c r="Z623" s="1">
        <v>308.5</v>
      </c>
      <c r="AA623" s="3">
        <v>105.67486</v>
      </c>
      <c r="AB623" s="3">
        <f t="shared" si="79"/>
        <v>104.06583999999999</v>
      </c>
      <c r="AC623" s="1">
        <f t="shared" si="81"/>
        <v>1.3154461133852626E-3</v>
      </c>
    </row>
    <row r="624" spans="19:29" x14ac:dyDescent="0.2">
      <c r="S624" s="4">
        <v>250.00489999999999</v>
      </c>
      <c r="T624" s="1">
        <v>309</v>
      </c>
      <c r="U624" s="5">
        <v>98.213970000000003</v>
      </c>
      <c r="V624" s="3">
        <f t="shared" si="78"/>
        <v>101.53766</v>
      </c>
      <c r="W624" s="1">
        <f t="shared" si="80"/>
        <v>5.9302364312738215E-3</v>
      </c>
      <c r="Y624" s="4">
        <v>250.01795999999999</v>
      </c>
      <c r="Z624" s="1">
        <v>309</v>
      </c>
      <c r="AA624" s="5">
        <v>105.68935</v>
      </c>
      <c r="AB624" s="3">
        <f t="shared" si="79"/>
        <v>104.08033</v>
      </c>
      <c r="AC624" s="1">
        <f t="shared" si="81"/>
        <v>1.1747758980128382E-3</v>
      </c>
    </row>
    <row r="625" spans="19:29" x14ac:dyDescent="0.2">
      <c r="S625" s="4">
        <v>249.99893</v>
      </c>
      <c r="T625" s="1">
        <v>309.5</v>
      </c>
      <c r="U625" s="3">
        <v>98.203310000000002</v>
      </c>
      <c r="V625" s="3">
        <f t="shared" si="78"/>
        <v>101.527</v>
      </c>
      <c r="W625" s="1">
        <f t="shared" si="80"/>
        <v>6.0358169245638225E-3</v>
      </c>
      <c r="Y625" s="4">
        <v>250.01794000000001</v>
      </c>
      <c r="Z625" s="1">
        <v>309.5</v>
      </c>
      <c r="AA625" s="3">
        <v>105.66775</v>
      </c>
      <c r="AB625" s="3">
        <f t="shared" si="79"/>
        <v>104.05873</v>
      </c>
      <c r="AC625" s="1">
        <f t="shared" si="81"/>
        <v>1.3844706290027176E-3</v>
      </c>
    </row>
    <row r="626" spans="19:29" x14ac:dyDescent="0.2">
      <c r="S626" s="4">
        <v>250.00200000000001</v>
      </c>
      <c r="T626" s="1">
        <v>310</v>
      </c>
      <c r="U626" s="5">
        <v>98.205290000000005</v>
      </c>
      <c r="V626" s="3">
        <f t="shared" si="78"/>
        <v>101.52898</v>
      </c>
      <c r="W626" s="1">
        <f t="shared" si="80"/>
        <v>6.016206288849516E-3</v>
      </c>
      <c r="Y626" s="4">
        <v>250.01526000000001</v>
      </c>
      <c r="Z626" s="1">
        <v>310</v>
      </c>
      <c r="AA626" s="5">
        <v>105.74226</v>
      </c>
      <c r="AB626" s="3">
        <f t="shared" si="79"/>
        <v>104.13324</v>
      </c>
      <c r="AC626" s="1">
        <f t="shared" si="81"/>
        <v>6.6112088798179298E-4</v>
      </c>
    </row>
    <row r="627" spans="19:29" x14ac:dyDescent="0.2">
      <c r="S627" s="4">
        <v>250.00301999999999</v>
      </c>
      <c r="T627" s="1">
        <v>310.5</v>
      </c>
      <c r="U627" s="3">
        <v>98.192999999999998</v>
      </c>
      <c r="V627" s="3">
        <f t="shared" si="78"/>
        <v>101.51669</v>
      </c>
      <c r="W627" s="1">
        <f t="shared" si="80"/>
        <v>6.1379308913386997E-3</v>
      </c>
      <c r="Y627" s="4">
        <v>250.00909999999999</v>
      </c>
      <c r="Z627" s="1">
        <v>310.5</v>
      </c>
      <c r="AA627" s="3">
        <v>105.7377</v>
      </c>
      <c r="AB627" s="3">
        <f t="shared" si="79"/>
        <v>104.12868</v>
      </c>
      <c r="AC627" s="1">
        <f t="shared" si="81"/>
        <v>7.0538977563517832E-4</v>
      </c>
    </row>
    <row r="628" spans="19:29" x14ac:dyDescent="0.2">
      <c r="S628" s="4">
        <v>250.00702999999999</v>
      </c>
      <c r="T628" s="1">
        <v>311</v>
      </c>
      <c r="U628" s="5">
        <v>98.191019999999995</v>
      </c>
      <c r="V628" s="3">
        <f t="shared" si="78"/>
        <v>101.51470999999999</v>
      </c>
      <c r="W628" s="1">
        <f t="shared" si="80"/>
        <v>6.1575415270530062E-3</v>
      </c>
      <c r="Y628" s="4">
        <v>250.00862000000001</v>
      </c>
      <c r="Z628" s="1">
        <v>311</v>
      </c>
      <c r="AA628" s="5">
        <v>105.70865999999999</v>
      </c>
      <c r="AB628" s="3">
        <f t="shared" si="79"/>
        <v>104.09963999999999</v>
      </c>
      <c r="AC628" s="1">
        <f t="shared" si="81"/>
        <v>9.8731269174379696E-4</v>
      </c>
    </row>
    <row r="629" spans="19:29" x14ac:dyDescent="0.2">
      <c r="S629" s="4">
        <v>250.00785999999999</v>
      </c>
      <c r="T629" s="1">
        <v>311.5</v>
      </c>
      <c r="U629" s="3">
        <v>98.192980000000006</v>
      </c>
      <c r="V629" s="3">
        <f t="shared" si="78"/>
        <v>101.51667</v>
      </c>
      <c r="W629" s="1">
        <f t="shared" si="80"/>
        <v>6.1381289785680587E-3</v>
      </c>
      <c r="Y629" s="4">
        <v>250.00979000000001</v>
      </c>
      <c r="Z629" s="1">
        <v>311.5</v>
      </c>
      <c r="AA629" s="3">
        <v>105.74018</v>
      </c>
      <c r="AB629" s="3">
        <f t="shared" si="79"/>
        <v>104.13115999999999</v>
      </c>
      <c r="AC629" s="1">
        <f t="shared" si="81"/>
        <v>6.8131371392902388E-4</v>
      </c>
    </row>
    <row r="630" spans="19:29" x14ac:dyDescent="0.2">
      <c r="S630" s="4">
        <v>250.00809000000001</v>
      </c>
      <c r="T630" s="1">
        <v>312</v>
      </c>
      <c r="U630" s="5">
        <v>98.193920000000006</v>
      </c>
      <c r="V630" s="3">
        <f t="shared" si="78"/>
        <v>101.51761</v>
      </c>
      <c r="W630" s="1">
        <f t="shared" si="80"/>
        <v>6.1288188787845142E-3</v>
      </c>
      <c r="Y630" s="4">
        <v>250.01249000000001</v>
      </c>
      <c r="Z630" s="1">
        <v>312</v>
      </c>
      <c r="AA630" s="5">
        <v>105.71259000000001</v>
      </c>
      <c r="AB630" s="3">
        <f t="shared" si="79"/>
        <v>104.10357</v>
      </c>
      <c r="AC630" s="1">
        <f t="shared" si="81"/>
        <v>9.4915990041081989E-4</v>
      </c>
    </row>
    <row r="631" spans="19:29" x14ac:dyDescent="0.2">
      <c r="S631" s="4">
        <v>250.01101</v>
      </c>
      <c r="T631" s="1">
        <v>312.5</v>
      </c>
      <c r="U631" s="3">
        <v>98.187190000000001</v>
      </c>
      <c r="V631" s="3">
        <f t="shared" si="78"/>
        <v>101.51088</v>
      </c>
      <c r="W631" s="1">
        <f t="shared" si="80"/>
        <v>6.1954752314901515E-3</v>
      </c>
      <c r="Y631" s="4">
        <v>250.0154</v>
      </c>
      <c r="Z631" s="1">
        <v>312.5</v>
      </c>
      <c r="AA631" s="3">
        <v>105.61926</v>
      </c>
      <c r="AB631" s="3">
        <f t="shared" si="79"/>
        <v>104.01024</v>
      </c>
      <c r="AC631" s="1">
        <f t="shared" si="81"/>
        <v>1.8552158838960697E-3</v>
      </c>
    </row>
    <row r="632" spans="19:29" x14ac:dyDescent="0.2">
      <c r="S632" s="4">
        <v>250.00592</v>
      </c>
      <c r="T632" s="1">
        <v>313</v>
      </c>
      <c r="U632" s="5">
        <v>98.174530000000004</v>
      </c>
      <c r="V632" s="3">
        <f t="shared" si="78"/>
        <v>101.49822</v>
      </c>
      <c r="W632" s="1">
        <f t="shared" si="80"/>
        <v>6.3208644477238188E-3</v>
      </c>
      <c r="Y632" s="4">
        <v>250.01426000000001</v>
      </c>
      <c r="Z632" s="1">
        <v>313</v>
      </c>
      <c r="AA632" s="5">
        <v>105.64379</v>
      </c>
      <c r="AB632" s="3">
        <f t="shared" si="79"/>
        <v>104.03476999999999</v>
      </c>
      <c r="AC632" s="1">
        <f t="shared" si="81"/>
        <v>1.6170764509710743E-3</v>
      </c>
    </row>
    <row r="633" spans="19:29" x14ac:dyDescent="0.2">
      <c r="S633" s="4">
        <v>250.01004</v>
      </c>
      <c r="T633" s="1">
        <v>313.5</v>
      </c>
      <c r="U633" s="3">
        <v>98.178709999999995</v>
      </c>
      <c r="V633" s="3">
        <f t="shared" si="78"/>
        <v>101.50239999999999</v>
      </c>
      <c r="W633" s="1">
        <f t="shared" si="80"/>
        <v>6.2794642167715489E-3</v>
      </c>
      <c r="Y633" s="4">
        <v>250.01698999999999</v>
      </c>
      <c r="Z633" s="1">
        <v>313.5</v>
      </c>
      <c r="AA633" s="3">
        <v>105.63984000000001</v>
      </c>
      <c r="AB633" s="3">
        <f t="shared" si="79"/>
        <v>104.03082000000001</v>
      </c>
      <c r="AC633" s="1">
        <f t="shared" si="81"/>
        <v>1.6554234040917905E-3</v>
      </c>
    </row>
    <row r="634" spans="19:29" x14ac:dyDescent="0.2">
      <c r="S634" s="4">
        <v>250.00704999999999</v>
      </c>
      <c r="T634" s="1">
        <v>314</v>
      </c>
      <c r="U634" s="5">
        <v>98.17689</v>
      </c>
      <c r="V634" s="3">
        <f t="shared" si="78"/>
        <v>101.50058</v>
      </c>
      <c r="W634" s="1">
        <f t="shared" si="80"/>
        <v>6.297490154650278E-3</v>
      </c>
      <c r="Y634" s="4">
        <v>250.01805999999999</v>
      </c>
      <c r="Z634" s="1">
        <v>314</v>
      </c>
      <c r="AA634" s="5">
        <v>105.73952</v>
      </c>
      <c r="AB634" s="3">
        <f t="shared" si="79"/>
        <v>104.1305</v>
      </c>
      <c r="AC634" s="1">
        <f t="shared" si="81"/>
        <v>6.8772105293145476E-4</v>
      </c>
    </row>
    <row r="635" spans="19:29" x14ac:dyDescent="0.2">
      <c r="S635" s="4">
        <v>250.00301999999999</v>
      </c>
      <c r="T635" s="1">
        <v>314.5</v>
      </c>
      <c r="U635" s="3">
        <v>98.162109999999998</v>
      </c>
      <c r="V635" s="3">
        <f t="shared" si="78"/>
        <v>101.4858</v>
      </c>
      <c r="W635" s="1">
        <f t="shared" si="80"/>
        <v>6.4438766172043296E-3</v>
      </c>
      <c r="Y635" s="4">
        <v>250.01546999999999</v>
      </c>
      <c r="Z635" s="1">
        <v>314.5</v>
      </c>
      <c r="AA635" s="3">
        <v>105.7466</v>
      </c>
      <c r="AB635" s="3">
        <f t="shared" si="79"/>
        <v>104.13758</v>
      </c>
      <c r="AC635" s="1">
        <f t="shared" si="81"/>
        <v>6.1898777999588482E-4</v>
      </c>
    </row>
    <row r="636" spans="19:29" x14ac:dyDescent="0.2">
      <c r="S636" s="4">
        <v>250.00391999999999</v>
      </c>
      <c r="T636" s="1">
        <v>315</v>
      </c>
      <c r="U636" s="5">
        <v>98.168549999999996</v>
      </c>
      <c r="V636" s="3">
        <f t="shared" si="78"/>
        <v>101.49224</v>
      </c>
      <c r="W636" s="1">
        <f t="shared" si="80"/>
        <v>6.3800925293255985E-3</v>
      </c>
      <c r="Y636" s="4">
        <v>250.01322999999999</v>
      </c>
      <c r="Z636" s="1">
        <v>315</v>
      </c>
      <c r="AA636" s="5">
        <v>105.75673999999999</v>
      </c>
      <c r="AB636" s="3">
        <f t="shared" si="79"/>
        <v>104.14771999999999</v>
      </c>
      <c r="AC636" s="1">
        <f t="shared" si="81"/>
        <v>5.2054775350351403E-4</v>
      </c>
    </row>
    <row r="637" spans="19:29" x14ac:dyDescent="0.2">
      <c r="S637" s="4">
        <v>250.00407999999999</v>
      </c>
      <c r="T637" s="1">
        <v>315.5</v>
      </c>
      <c r="U637" s="3">
        <v>98.14819</v>
      </c>
      <c r="V637" s="3">
        <f t="shared" si="78"/>
        <v>101.47188</v>
      </c>
      <c r="W637" s="1">
        <f t="shared" si="80"/>
        <v>6.5817453288925555E-3</v>
      </c>
      <c r="Y637" s="4">
        <v>250.01339999999999</v>
      </c>
      <c r="Z637" s="1">
        <v>315.5</v>
      </c>
      <c r="AA637" s="3">
        <v>105.63151999999999</v>
      </c>
      <c r="AB637" s="3">
        <f t="shared" si="79"/>
        <v>104.02249999999999</v>
      </c>
      <c r="AC637" s="1">
        <f t="shared" si="81"/>
        <v>1.7361947078805757E-3</v>
      </c>
    </row>
    <row r="638" spans="19:29" x14ac:dyDescent="0.2">
      <c r="S638" s="4">
        <v>250.00993</v>
      </c>
      <c r="T638" s="1">
        <v>316</v>
      </c>
      <c r="U638" s="5">
        <v>98.154060000000001</v>
      </c>
      <c r="V638" s="3">
        <f t="shared" si="78"/>
        <v>101.47775</v>
      </c>
      <c r="W638" s="1">
        <f t="shared" si="80"/>
        <v>6.5236067270527439E-3</v>
      </c>
      <c r="Y638" s="4">
        <v>250.01499000000001</v>
      </c>
      <c r="Z638" s="1">
        <v>316</v>
      </c>
      <c r="AA638" s="5">
        <v>105.65043</v>
      </c>
      <c r="AB638" s="3">
        <f t="shared" si="79"/>
        <v>104.04141</v>
      </c>
      <c r="AC638" s="1">
        <f t="shared" si="81"/>
        <v>1.5526147373704582E-3</v>
      </c>
    </row>
    <row r="639" spans="19:29" x14ac:dyDescent="0.2">
      <c r="S639" s="4">
        <v>250.00408999999999</v>
      </c>
      <c r="T639" s="1">
        <v>316.5</v>
      </c>
      <c r="U639" s="3">
        <v>98.158569999999997</v>
      </c>
      <c r="V639" s="3">
        <f t="shared" si="78"/>
        <v>101.48226</v>
      </c>
      <c r="W639" s="1">
        <f t="shared" si="80"/>
        <v>6.4789380568147101E-3</v>
      </c>
      <c r="Y639" s="4">
        <v>250.01444000000001</v>
      </c>
      <c r="Z639" s="1">
        <v>316.5</v>
      </c>
      <c r="AA639" s="3">
        <v>105.56795</v>
      </c>
      <c r="AB639" s="3">
        <f t="shared" si="79"/>
        <v>103.95893</v>
      </c>
      <c r="AC639" s="1">
        <f t="shared" si="81"/>
        <v>2.3533379508908683E-3</v>
      </c>
    </row>
    <row r="640" spans="19:29" x14ac:dyDescent="0.2">
      <c r="S640" s="4">
        <v>250.00509</v>
      </c>
      <c r="T640" s="1">
        <v>317</v>
      </c>
      <c r="U640" s="5">
        <v>98.155659999999997</v>
      </c>
      <c r="V640" s="3">
        <f t="shared" si="78"/>
        <v>101.47935</v>
      </c>
      <c r="W640" s="1">
        <f t="shared" si="80"/>
        <v>6.5077597486978113E-3</v>
      </c>
      <c r="Y640" s="4">
        <v>250.01327000000001</v>
      </c>
      <c r="Z640" s="1">
        <v>317</v>
      </c>
      <c r="AA640" s="5">
        <v>105.65764</v>
      </c>
      <c r="AB640" s="3">
        <f t="shared" si="79"/>
        <v>104.04862</v>
      </c>
      <c r="AC640" s="1">
        <f t="shared" si="81"/>
        <v>1.4826194128132035E-3</v>
      </c>
    </row>
    <row r="641" spans="19:29" x14ac:dyDescent="0.2">
      <c r="S641" s="4">
        <v>250.00694999999999</v>
      </c>
      <c r="T641" s="1">
        <v>317.5</v>
      </c>
      <c r="U641" s="3">
        <v>98.153959999999998</v>
      </c>
      <c r="V641" s="3">
        <f t="shared" si="78"/>
        <v>101.47765</v>
      </c>
      <c r="W641" s="1">
        <f t="shared" si="80"/>
        <v>6.5245971631999631E-3</v>
      </c>
      <c r="Y641" s="4">
        <v>250.01468</v>
      </c>
      <c r="Z641" s="1">
        <v>317.5</v>
      </c>
      <c r="AA641" s="3">
        <v>105.69285000000001</v>
      </c>
      <c r="AB641" s="3">
        <f t="shared" si="79"/>
        <v>104.08383000000001</v>
      </c>
      <c r="AC641" s="1">
        <f t="shared" si="81"/>
        <v>1.1407975851209454E-3</v>
      </c>
    </row>
    <row r="642" spans="19:29" x14ac:dyDescent="0.2">
      <c r="S642" s="4">
        <v>250.00704999999999</v>
      </c>
      <c r="T642" s="1">
        <v>318</v>
      </c>
      <c r="U642" s="5">
        <v>98.143529999999998</v>
      </c>
      <c r="V642" s="3">
        <f t="shared" si="78"/>
        <v>101.46722</v>
      </c>
      <c r="W642" s="1">
        <f t="shared" si="80"/>
        <v>6.6278996533514177E-3</v>
      </c>
      <c r="Y642" s="4">
        <v>250.01731000000001</v>
      </c>
      <c r="Z642" s="1">
        <v>318</v>
      </c>
      <c r="AA642" s="5">
        <v>105.74120000000001</v>
      </c>
      <c r="AB642" s="3">
        <f t="shared" si="79"/>
        <v>104.13218000000001</v>
      </c>
      <c r="AC642" s="1">
        <f t="shared" si="81"/>
        <v>6.7141146274328565E-4</v>
      </c>
    </row>
    <row r="643" spans="19:29" x14ac:dyDescent="0.2">
      <c r="S643" s="4">
        <v>250.00609</v>
      </c>
      <c r="T643" s="1">
        <v>318.5</v>
      </c>
      <c r="U643" s="3">
        <v>98.148060000000001</v>
      </c>
      <c r="V643" s="3">
        <f t="shared" si="78"/>
        <v>101.47175</v>
      </c>
      <c r="W643" s="1">
        <f t="shared" si="80"/>
        <v>6.5830328958838835E-3</v>
      </c>
      <c r="Y643" s="4">
        <v>250.02270999999999</v>
      </c>
      <c r="Z643" s="1">
        <v>318.5</v>
      </c>
      <c r="AA643" s="3">
        <v>105.58301</v>
      </c>
      <c r="AB643" s="3">
        <f t="shared" si="79"/>
        <v>103.97399</v>
      </c>
      <c r="AC643" s="1">
        <f t="shared" si="81"/>
        <v>2.2071341245618052E-3</v>
      </c>
    </row>
    <row r="644" spans="19:29" x14ac:dyDescent="0.2">
      <c r="S644" s="4">
        <v>250.00597999999999</v>
      </c>
      <c r="T644" s="1">
        <v>319</v>
      </c>
      <c r="U644" s="5">
        <v>98.145939999999996</v>
      </c>
      <c r="V644" s="3">
        <f t="shared" si="78"/>
        <v>101.46963</v>
      </c>
      <c r="W644" s="1">
        <f t="shared" si="80"/>
        <v>6.6040301422042678E-3</v>
      </c>
      <c r="Y644" s="4">
        <v>250.02521999999999</v>
      </c>
      <c r="Z644" s="1">
        <v>319</v>
      </c>
      <c r="AA644" s="5">
        <v>105.71409</v>
      </c>
      <c r="AB644" s="3">
        <f t="shared" si="79"/>
        <v>104.10507</v>
      </c>
      <c r="AC644" s="1">
        <f t="shared" si="81"/>
        <v>9.345977663143733E-4</v>
      </c>
    </row>
    <row r="645" spans="19:29" x14ac:dyDescent="0.2">
      <c r="S645" s="4">
        <v>250.00493</v>
      </c>
      <c r="T645" s="1">
        <v>319.5</v>
      </c>
      <c r="U645" s="3">
        <v>98.137519999999995</v>
      </c>
      <c r="V645" s="3">
        <f t="shared" si="78"/>
        <v>101.46120999999999</v>
      </c>
      <c r="W645" s="1">
        <f t="shared" si="80"/>
        <v>6.6874248657973062E-3</v>
      </c>
      <c r="Y645" s="4">
        <v>250.02506</v>
      </c>
      <c r="Z645" s="1">
        <v>319.5</v>
      </c>
      <c r="AA645" s="3">
        <v>105.61655</v>
      </c>
      <c r="AB645" s="3">
        <f t="shared" si="79"/>
        <v>104.00753</v>
      </c>
      <c r="AC645" s="1">
        <f t="shared" si="81"/>
        <v>1.8815248061637088E-3</v>
      </c>
    </row>
    <row r="646" spans="19:29" x14ac:dyDescent="0.2">
      <c r="S646" s="4">
        <v>250.00799000000001</v>
      </c>
      <c r="T646" s="1">
        <v>320</v>
      </c>
      <c r="U646" s="5">
        <v>98.143720000000002</v>
      </c>
      <c r="V646" s="3">
        <f t="shared" si="78"/>
        <v>101.46741</v>
      </c>
      <c r="W646" s="1">
        <f t="shared" si="80"/>
        <v>6.6260178246717307E-3</v>
      </c>
      <c r="Y646" s="4">
        <v>250.0266</v>
      </c>
      <c r="Z646" s="1">
        <v>320</v>
      </c>
      <c r="AA646" s="5">
        <v>105.67014</v>
      </c>
      <c r="AB646" s="3">
        <f t="shared" si="79"/>
        <v>104.06112</v>
      </c>
      <c r="AC646" s="1">
        <f t="shared" si="81"/>
        <v>1.3612682953422174E-3</v>
      </c>
    </row>
    <row r="647" spans="19:29" x14ac:dyDescent="0.2">
      <c r="S647" s="4">
        <v>250.00604999999999</v>
      </c>
      <c r="T647" s="1">
        <v>320.5</v>
      </c>
      <c r="U647" s="3">
        <v>98.133420000000001</v>
      </c>
      <c r="V647" s="3">
        <f t="shared" ref="V647:V710" si="82">100-($U$6-U647)</f>
        <v>101.45711</v>
      </c>
      <c r="W647" s="1">
        <f t="shared" si="80"/>
        <v>6.7280327478318573E-3</v>
      </c>
      <c r="Y647" s="4">
        <v>250.02869999999999</v>
      </c>
      <c r="Z647" s="1">
        <v>320.5</v>
      </c>
      <c r="AA647" s="3">
        <v>105.7504</v>
      </c>
      <c r="AB647" s="3">
        <f t="shared" ref="AB647:AB710" si="83">100-($AA$6-AA647)</f>
        <v>104.14138</v>
      </c>
      <c r="AC647" s="1">
        <f t="shared" si="81"/>
        <v>5.8209704028473037E-4</v>
      </c>
    </row>
    <row r="648" spans="19:29" x14ac:dyDescent="0.2">
      <c r="S648" s="4">
        <v>250.00398999999999</v>
      </c>
      <c r="T648" s="1">
        <v>321</v>
      </c>
      <c r="U648" s="5">
        <v>98.127110000000002</v>
      </c>
      <c r="V648" s="3">
        <f t="shared" si="82"/>
        <v>101.4508</v>
      </c>
      <c r="W648" s="1">
        <f t="shared" ref="W648:W711" si="84">($V$199-V648)/($V$199*(1-$H$1))</f>
        <v>6.7905292687192613E-3</v>
      </c>
      <c r="Y648" s="4">
        <v>250.02493999999999</v>
      </c>
      <c r="Z648" s="1">
        <v>321</v>
      </c>
      <c r="AA648" s="5">
        <v>105.69114</v>
      </c>
      <c r="AB648" s="3">
        <f t="shared" si="83"/>
        <v>104.08212</v>
      </c>
      <c r="AC648" s="1">
        <f t="shared" si="81"/>
        <v>1.1573984179909995E-3</v>
      </c>
    </row>
    <row r="649" spans="19:29" x14ac:dyDescent="0.2">
      <c r="S649" s="4">
        <v>250.005</v>
      </c>
      <c r="T649" s="1">
        <v>321.5</v>
      </c>
      <c r="U649" s="3">
        <v>98.147909999999996</v>
      </c>
      <c r="V649" s="3">
        <f t="shared" si="82"/>
        <v>101.4716</v>
      </c>
      <c r="W649" s="1">
        <f t="shared" si="84"/>
        <v>6.5845185501047111E-3</v>
      </c>
      <c r="Y649" s="4">
        <v>250.02665999999999</v>
      </c>
      <c r="Z649" s="1">
        <v>321.5</v>
      </c>
      <c r="AA649" s="3">
        <v>105.57455</v>
      </c>
      <c r="AB649" s="3">
        <f t="shared" si="83"/>
        <v>103.96553</v>
      </c>
      <c r="AC649" s="1">
        <f t="shared" si="81"/>
        <v>2.2892645608661448E-3</v>
      </c>
    </row>
    <row r="650" spans="19:29" x14ac:dyDescent="0.2">
      <c r="S650" s="4">
        <v>250.00904</v>
      </c>
      <c r="T650" s="1">
        <v>322</v>
      </c>
      <c r="U650" s="5">
        <v>98.145790000000005</v>
      </c>
      <c r="V650" s="3">
        <f t="shared" si="82"/>
        <v>101.46948</v>
      </c>
      <c r="W650" s="1">
        <f t="shared" si="84"/>
        <v>6.6055157964249548E-3</v>
      </c>
      <c r="Y650" s="4">
        <v>250.03058999999999</v>
      </c>
      <c r="Z650" s="1">
        <v>322</v>
      </c>
      <c r="AA650" s="5">
        <v>105.57071000000001</v>
      </c>
      <c r="AB650" s="3">
        <f t="shared" si="83"/>
        <v>103.96169</v>
      </c>
      <c r="AC650" s="1">
        <f t="shared" si="81"/>
        <v>2.3265436241531913E-3</v>
      </c>
    </row>
    <row r="651" spans="19:29" x14ac:dyDescent="0.2">
      <c r="S651" s="4">
        <v>250.00507999999999</v>
      </c>
      <c r="T651" s="1">
        <v>322.5</v>
      </c>
      <c r="U651" s="3">
        <v>98.139579999999995</v>
      </c>
      <c r="V651" s="3">
        <f t="shared" si="82"/>
        <v>101.46326999999999</v>
      </c>
      <c r="W651" s="1">
        <f t="shared" si="84"/>
        <v>6.6670218811652809E-3</v>
      </c>
      <c r="Y651" s="4">
        <v>250.02718999999999</v>
      </c>
      <c r="Z651" s="1">
        <v>322.5</v>
      </c>
      <c r="AA651" s="3">
        <v>105.57980999999999</v>
      </c>
      <c r="AB651" s="3">
        <f t="shared" si="83"/>
        <v>103.97078999999999</v>
      </c>
      <c r="AC651" s="1">
        <f t="shared" si="81"/>
        <v>2.2382000106344361E-3</v>
      </c>
    </row>
    <row r="652" spans="19:29" x14ac:dyDescent="0.2">
      <c r="S652" s="4">
        <v>250.00512000000001</v>
      </c>
      <c r="T652" s="1">
        <v>323</v>
      </c>
      <c r="U652" s="5">
        <v>98.131159999999994</v>
      </c>
      <c r="V652" s="3">
        <f t="shared" si="82"/>
        <v>101.45484999999999</v>
      </c>
      <c r="W652" s="1">
        <f t="shared" si="84"/>
        <v>6.7504166047583193E-3</v>
      </c>
      <c r="Y652" s="4">
        <v>250.02287999999999</v>
      </c>
      <c r="Z652" s="1">
        <v>323</v>
      </c>
      <c r="AA652" s="5">
        <v>105.72836</v>
      </c>
      <c r="AB652" s="3">
        <f t="shared" si="83"/>
        <v>104.11933999999999</v>
      </c>
      <c r="AC652" s="1">
        <f t="shared" si="81"/>
        <v>7.9606333060956377E-4</v>
      </c>
    </row>
    <row r="653" spans="19:29" x14ac:dyDescent="0.2">
      <c r="S653" s="4">
        <v>250.00502</v>
      </c>
      <c r="T653" s="1">
        <v>323.5</v>
      </c>
      <c r="U653" s="3">
        <v>98.129249999999999</v>
      </c>
      <c r="V653" s="3">
        <f t="shared" si="82"/>
        <v>101.45294</v>
      </c>
      <c r="W653" s="1">
        <f t="shared" si="84"/>
        <v>6.7693339351695171E-3</v>
      </c>
      <c r="Y653" s="4">
        <v>250.01819</v>
      </c>
      <c r="Z653" s="1">
        <v>323.5</v>
      </c>
      <c r="AA653" s="3">
        <v>105.69694</v>
      </c>
      <c r="AB653" s="3">
        <f t="shared" si="83"/>
        <v>104.08792</v>
      </c>
      <c r="AC653" s="1">
        <f t="shared" si="81"/>
        <v>1.1010914994845371E-3</v>
      </c>
    </row>
    <row r="654" spans="19:29" x14ac:dyDescent="0.2">
      <c r="S654" s="4">
        <v>250.00497999999999</v>
      </c>
      <c r="T654" s="1">
        <v>324</v>
      </c>
      <c r="U654" s="5">
        <v>98.116990000000001</v>
      </c>
      <c r="V654" s="3">
        <f t="shared" si="82"/>
        <v>101.44068</v>
      </c>
      <c r="W654" s="1">
        <f t="shared" si="84"/>
        <v>6.8907614068144506E-3</v>
      </c>
      <c r="Y654" s="4">
        <v>250.01846</v>
      </c>
      <c r="Z654" s="1">
        <v>324</v>
      </c>
      <c r="AA654" s="5">
        <v>105.72107</v>
      </c>
      <c r="AB654" s="3">
        <f t="shared" si="83"/>
        <v>104.11205</v>
      </c>
      <c r="AC654" s="1">
        <f t="shared" si="81"/>
        <v>8.6683530231860325E-4</v>
      </c>
    </row>
    <row r="655" spans="19:29" x14ac:dyDescent="0.2">
      <c r="S655" s="4">
        <v>250.01</v>
      </c>
      <c r="T655" s="1">
        <v>324.5</v>
      </c>
      <c r="U655" s="3">
        <v>98.135310000000004</v>
      </c>
      <c r="V655" s="3">
        <f t="shared" si="82"/>
        <v>101.459</v>
      </c>
      <c r="W655" s="1">
        <f t="shared" si="84"/>
        <v>6.7093135046500186E-3</v>
      </c>
      <c r="Y655" s="4">
        <v>250.01912999999999</v>
      </c>
      <c r="Z655" s="1">
        <v>324.5</v>
      </c>
      <c r="AA655" s="3">
        <v>105.62213</v>
      </c>
      <c r="AB655" s="3">
        <f t="shared" si="83"/>
        <v>104.01311</v>
      </c>
      <c r="AC655" s="1">
        <f t="shared" si="81"/>
        <v>1.8273536673247231E-3</v>
      </c>
    </row>
    <row r="656" spans="19:29" x14ac:dyDescent="0.2">
      <c r="S656" s="4">
        <v>250.00789</v>
      </c>
      <c r="T656" s="1">
        <v>325</v>
      </c>
      <c r="U656" s="5">
        <v>98.129379999999998</v>
      </c>
      <c r="V656" s="3">
        <f t="shared" si="82"/>
        <v>101.45307</v>
      </c>
      <c r="W656" s="1">
        <f t="shared" si="84"/>
        <v>6.7680463681781891E-3</v>
      </c>
      <c r="Y656" s="4">
        <v>250.0213</v>
      </c>
      <c r="Z656" s="1">
        <v>325</v>
      </c>
      <c r="AA656" s="5">
        <v>105.66158</v>
      </c>
      <c r="AB656" s="3">
        <f t="shared" si="83"/>
        <v>104.05256</v>
      </c>
      <c r="AC656" s="1">
        <f t="shared" si="81"/>
        <v>1.444369540586357E-3</v>
      </c>
    </row>
    <row r="657" spans="19:29" x14ac:dyDescent="0.2">
      <c r="S657" s="4">
        <v>250.00507999999999</v>
      </c>
      <c r="T657" s="1">
        <v>325.5</v>
      </c>
      <c r="U657" s="3">
        <v>98.147940000000006</v>
      </c>
      <c r="V657" s="3">
        <f t="shared" si="82"/>
        <v>101.47163</v>
      </c>
      <c r="W657" s="1">
        <f t="shared" si="84"/>
        <v>6.5842214192604609E-3</v>
      </c>
      <c r="Y657" s="4">
        <v>250.01975999999999</v>
      </c>
      <c r="Z657" s="1">
        <v>325.5</v>
      </c>
      <c r="AA657" s="3">
        <v>105.68924</v>
      </c>
      <c r="AB657" s="3">
        <f t="shared" si="83"/>
        <v>104.08022</v>
      </c>
      <c r="AC657" s="1">
        <f t="shared" si="81"/>
        <v>1.1758437878466455E-3</v>
      </c>
    </row>
    <row r="658" spans="19:29" x14ac:dyDescent="0.2">
      <c r="S658" s="4">
        <v>250.00394</v>
      </c>
      <c r="T658" s="1">
        <v>326</v>
      </c>
      <c r="U658" s="5">
        <v>98.127049999999997</v>
      </c>
      <c r="V658" s="3">
        <f t="shared" si="82"/>
        <v>101.45074</v>
      </c>
      <c r="W658" s="1">
        <f t="shared" si="84"/>
        <v>6.7911235304076202E-3</v>
      </c>
      <c r="Y658" s="4">
        <v>250.02038999999999</v>
      </c>
      <c r="Z658" s="1">
        <v>326</v>
      </c>
      <c r="AA658" s="5">
        <v>105.66555</v>
      </c>
      <c r="AB658" s="3">
        <f t="shared" si="83"/>
        <v>104.05653</v>
      </c>
      <c r="AC658" s="1">
        <f t="shared" si="81"/>
        <v>1.4058284256776253E-3</v>
      </c>
    </row>
    <row r="659" spans="19:29" x14ac:dyDescent="0.2">
      <c r="S659" s="4">
        <v>250.00698</v>
      </c>
      <c r="T659" s="1">
        <v>326.5</v>
      </c>
      <c r="U659" s="3">
        <v>98.135260000000002</v>
      </c>
      <c r="V659" s="3">
        <f t="shared" si="82"/>
        <v>101.45895</v>
      </c>
      <c r="W659" s="1">
        <f t="shared" si="84"/>
        <v>6.7098087227236277E-3</v>
      </c>
      <c r="Y659" s="4">
        <v>250.02038999999999</v>
      </c>
      <c r="Z659" s="1">
        <v>326.5</v>
      </c>
      <c r="AA659" s="3">
        <v>105.61568</v>
      </c>
      <c r="AB659" s="3">
        <f t="shared" si="83"/>
        <v>104.00666</v>
      </c>
      <c r="AC659" s="1">
        <f t="shared" si="81"/>
        <v>1.889970843939747E-3</v>
      </c>
    </row>
    <row r="660" spans="19:29" x14ac:dyDescent="0.2">
      <c r="S660" s="4">
        <v>250.00883999999999</v>
      </c>
      <c r="T660" s="1">
        <v>327</v>
      </c>
      <c r="U660" s="5">
        <v>98.122929999999997</v>
      </c>
      <c r="V660" s="3">
        <f t="shared" si="82"/>
        <v>101.44662</v>
      </c>
      <c r="W660" s="1">
        <f t="shared" si="84"/>
        <v>6.8319294996716708E-3</v>
      </c>
      <c r="Y660" s="4">
        <v>250.02297999999999</v>
      </c>
      <c r="Z660" s="1">
        <v>327</v>
      </c>
      <c r="AA660" s="5">
        <v>105.68031000000001</v>
      </c>
      <c r="AB660" s="3">
        <f t="shared" si="83"/>
        <v>104.07129</v>
      </c>
      <c r="AC660" s="1">
        <f t="shared" si="81"/>
        <v>1.262537026167824E-3</v>
      </c>
    </row>
    <row r="661" spans="19:29" x14ac:dyDescent="0.2">
      <c r="S661" s="4">
        <v>250.00604000000001</v>
      </c>
      <c r="T661" s="1">
        <v>327.5</v>
      </c>
      <c r="U661" s="3">
        <v>98.127049999999997</v>
      </c>
      <c r="V661" s="3">
        <f t="shared" si="82"/>
        <v>101.45074</v>
      </c>
      <c r="W661" s="1">
        <f t="shared" si="84"/>
        <v>6.7911235304076202E-3</v>
      </c>
      <c r="Y661" s="4">
        <v>250.02287000000001</v>
      </c>
      <c r="Z661" s="1">
        <v>327.5</v>
      </c>
      <c r="AA661" s="3">
        <v>105.6315</v>
      </c>
      <c r="AB661" s="3">
        <f t="shared" si="83"/>
        <v>104.02248</v>
      </c>
      <c r="AC661" s="1">
        <f t="shared" si="81"/>
        <v>1.7363888696684529E-3</v>
      </c>
    </row>
    <row r="662" spans="19:29" x14ac:dyDescent="0.2">
      <c r="S662" s="4">
        <v>250.00802999999999</v>
      </c>
      <c r="T662" s="1">
        <v>328</v>
      </c>
      <c r="U662" s="5">
        <v>98.108590000000007</v>
      </c>
      <c r="V662" s="3">
        <f t="shared" si="82"/>
        <v>101.43228000000001</v>
      </c>
      <c r="W662" s="1">
        <f t="shared" si="84"/>
        <v>6.9739580431779895E-3</v>
      </c>
      <c r="Y662" s="4">
        <v>250.01928000000001</v>
      </c>
      <c r="Z662" s="1">
        <v>328</v>
      </c>
      <c r="AA662" s="5">
        <v>105.72762</v>
      </c>
      <c r="AB662" s="3">
        <f t="shared" si="83"/>
        <v>104.1186</v>
      </c>
      <c r="AC662" s="1">
        <f t="shared" si="81"/>
        <v>8.0324731676377947E-4</v>
      </c>
    </row>
    <row r="663" spans="19:29" x14ac:dyDescent="0.2">
      <c r="S663" s="4">
        <v>249.99798000000001</v>
      </c>
      <c r="T663" s="1">
        <v>328.5</v>
      </c>
      <c r="U663" s="3">
        <v>98.112210000000005</v>
      </c>
      <c r="V663" s="3">
        <f t="shared" si="82"/>
        <v>101.4359</v>
      </c>
      <c r="W663" s="1">
        <f t="shared" si="84"/>
        <v>6.9381042546498902E-3</v>
      </c>
      <c r="Y663" s="4">
        <v>250.01786999999999</v>
      </c>
      <c r="Z663" s="1">
        <v>328.5</v>
      </c>
      <c r="AA663" s="3">
        <v>105.74294999999999</v>
      </c>
      <c r="AB663" s="3">
        <f t="shared" si="83"/>
        <v>104.13392999999999</v>
      </c>
      <c r="AC663" s="1">
        <f t="shared" si="81"/>
        <v>6.5442230629747728E-4</v>
      </c>
    </row>
    <row r="664" spans="19:29" x14ac:dyDescent="0.2">
      <c r="S664" s="4">
        <v>250.00497999999999</v>
      </c>
      <c r="T664" s="1">
        <v>329</v>
      </c>
      <c r="U664" s="5">
        <v>98.127009999999999</v>
      </c>
      <c r="V664" s="3">
        <f t="shared" si="82"/>
        <v>101.4507</v>
      </c>
      <c r="W664" s="1">
        <f t="shared" si="84"/>
        <v>6.7915197048664796E-3</v>
      </c>
      <c r="Y664" s="4">
        <v>250.01737</v>
      </c>
      <c r="Z664" s="1">
        <v>329</v>
      </c>
      <c r="AA664" s="5">
        <v>105.69828</v>
      </c>
      <c r="AB664" s="3">
        <f t="shared" si="83"/>
        <v>104.08926</v>
      </c>
      <c r="AC664" s="1">
        <f t="shared" si="81"/>
        <v>1.0880826596916598E-3</v>
      </c>
    </row>
    <row r="665" spans="19:29" x14ac:dyDescent="0.2">
      <c r="S665" s="4">
        <v>250.00505999999999</v>
      </c>
      <c r="T665" s="1">
        <v>329.5</v>
      </c>
      <c r="U665" s="3">
        <v>98.104489999999998</v>
      </c>
      <c r="V665" s="3">
        <f t="shared" si="82"/>
        <v>101.42818</v>
      </c>
      <c r="W665" s="1">
        <f t="shared" si="84"/>
        <v>7.0145659252126812E-3</v>
      </c>
      <c r="Y665" s="4">
        <v>250.01714999999999</v>
      </c>
      <c r="Z665" s="1">
        <v>329.5</v>
      </c>
      <c r="AA665" s="3">
        <v>105.79855000000001</v>
      </c>
      <c r="AB665" s="3">
        <f t="shared" si="83"/>
        <v>104.18953</v>
      </c>
      <c r="AC665" s="1">
        <f t="shared" si="81"/>
        <v>1.1465253578653234E-4</v>
      </c>
    </row>
    <row r="666" spans="19:29" x14ac:dyDescent="0.2">
      <c r="S666" s="4">
        <v>250.00398999999999</v>
      </c>
      <c r="T666" s="1">
        <v>330</v>
      </c>
      <c r="U666" s="5">
        <v>98.112380000000002</v>
      </c>
      <c r="V666" s="3">
        <f t="shared" si="82"/>
        <v>101.43607</v>
      </c>
      <c r="W666" s="1">
        <f t="shared" si="84"/>
        <v>6.9364205131997037E-3</v>
      </c>
      <c r="Y666" s="4">
        <v>250.01616999999999</v>
      </c>
      <c r="Z666" s="1">
        <v>330</v>
      </c>
      <c r="AA666" s="5">
        <v>105.75905</v>
      </c>
      <c r="AB666" s="3">
        <f t="shared" si="83"/>
        <v>104.15003</v>
      </c>
      <c r="AC666" s="1">
        <f t="shared" si="81"/>
        <v>4.9812206699479864E-4</v>
      </c>
    </row>
    <row r="667" spans="19:29" x14ac:dyDescent="0.2">
      <c r="S667" s="4">
        <v>250.00405000000001</v>
      </c>
      <c r="T667" s="1">
        <v>330.5</v>
      </c>
      <c r="U667" s="3">
        <v>98.110650000000007</v>
      </c>
      <c r="V667" s="3">
        <f t="shared" si="82"/>
        <v>101.43434000000001</v>
      </c>
      <c r="W667" s="1">
        <f t="shared" si="84"/>
        <v>6.9535550585459642E-3</v>
      </c>
      <c r="Y667" s="4">
        <v>250.01524000000001</v>
      </c>
      <c r="Z667" s="1">
        <v>330.5</v>
      </c>
      <c r="AA667" s="3">
        <v>105.6439</v>
      </c>
      <c r="AB667" s="3">
        <f t="shared" si="83"/>
        <v>104.03488</v>
      </c>
      <c r="AC667" s="1">
        <f t="shared" si="81"/>
        <v>1.6160085611372668E-3</v>
      </c>
    </row>
    <row r="668" spans="19:29" x14ac:dyDescent="0.2">
      <c r="S668" s="4">
        <v>250.00406000000001</v>
      </c>
      <c r="T668" s="1">
        <v>331</v>
      </c>
      <c r="U668" s="5">
        <v>98.100679999999997</v>
      </c>
      <c r="V668" s="3">
        <f t="shared" si="82"/>
        <v>101.42437</v>
      </c>
      <c r="W668" s="1">
        <f t="shared" si="84"/>
        <v>7.0523015424204666E-3</v>
      </c>
      <c r="Y668" s="4">
        <v>250.01474999999999</v>
      </c>
      <c r="Z668" s="1">
        <v>331</v>
      </c>
      <c r="AA668" s="5">
        <v>105.65987</v>
      </c>
      <c r="AB668" s="3">
        <f t="shared" si="83"/>
        <v>104.05085</v>
      </c>
      <c r="AC668" s="1">
        <f t="shared" si="81"/>
        <v>1.4609703734564108E-3</v>
      </c>
    </row>
    <row r="669" spans="19:29" x14ac:dyDescent="0.2">
      <c r="S669" s="4">
        <v>250.00400999999999</v>
      </c>
      <c r="T669" s="1">
        <v>331.5</v>
      </c>
      <c r="U669" s="3">
        <v>98.102590000000006</v>
      </c>
      <c r="V669" s="3">
        <f t="shared" si="82"/>
        <v>101.42628000000001</v>
      </c>
      <c r="W669" s="1">
        <f t="shared" si="84"/>
        <v>7.0333842120091283E-3</v>
      </c>
      <c r="Y669" s="4">
        <v>250.01191</v>
      </c>
      <c r="Z669" s="1">
        <v>331.5</v>
      </c>
      <c r="AA669" s="3">
        <v>105.73408000000001</v>
      </c>
      <c r="AB669" s="3">
        <f t="shared" si="83"/>
        <v>104.12506</v>
      </c>
      <c r="AC669" s="1">
        <f t="shared" ref="AC669:AC732" si="85">($AB$604-AB669)/($AB$604*(1-$H$1))</f>
        <v>7.4053305925474806E-4</v>
      </c>
    </row>
    <row r="670" spans="19:29" x14ac:dyDescent="0.2">
      <c r="S670" s="4">
        <v>250.00494</v>
      </c>
      <c r="T670" s="1">
        <v>332</v>
      </c>
      <c r="U670" s="5">
        <v>98.098150000000004</v>
      </c>
      <c r="V670" s="3">
        <f t="shared" si="82"/>
        <v>101.42184</v>
      </c>
      <c r="W670" s="1">
        <f t="shared" si="84"/>
        <v>7.0773595769441939E-3</v>
      </c>
      <c r="Y670" s="4">
        <v>250.01152999999999</v>
      </c>
      <c r="Z670" s="1">
        <v>332</v>
      </c>
      <c r="AA670" s="5">
        <v>105.61239999999999</v>
      </c>
      <c r="AB670" s="3">
        <f t="shared" si="83"/>
        <v>104.00337999999999</v>
      </c>
      <c r="AC670" s="1">
        <f t="shared" si="85"/>
        <v>1.9218133771641628E-3</v>
      </c>
    </row>
    <row r="671" spans="19:29" x14ac:dyDescent="0.2">
      <c r="S671" s="4">
        <v>250.00291000000001</v>
      </c>
      <c r="T671" s="1">
        <v>332.5</v>
      </c>
      <c r="U671" s="3">
        <v>98.097989999999996</v>
      </c>
      <c r="V671" s="3">
        <f t="shared" si="82"/>
        <v>101.42167999999999</v>
      </c>
      <c r="W671" s="1">
        <f t="shared" si="84"/>
        <v>7.0789442747797721E-3</v>
      </c>
      <c r="Y671" s="4">
        <v>250.01128</v>
      </c>
      <c r="Z671" s="1">
        <v>332.5</v>
      </c>
      <c r="AA671" s="3">
        <v>105.58964</v>
      </c>
      <c r="AB671" s="3">
        <f t="shared" si="83"/>
        <v>103.98062</v>
      </c>
      <c r="AC671" s="1">
        <f t="shared" si="85"/>
        <v>2.1427694918551964E-3</v>
      </c>
    </row>
    <row r="672" spans="19:29" x14ac:dyDescent="0.2">
      <c r="S672" s="4">
        <v>250.00706</v>
      </c>
      <c r="T672" s="1">
        <v>333</v>
      </c>
      <c r="U672" s="5">
        <v>98.083910000000003</v>
      </c>
      <c r="V672" s="3">
        <f t="shared" si="82"/>
        <v>101.4076</v>
      </c>
      <c r="W672" s="1">
        <f t="shared" si="84"/>
        <v>7.2183976843034348E-3</v>
      </c>
      <c r="Y672" s="4">
        <v>250.01536999999999</v>
      </c>
      <c r="Z672" s="1">
        <v>333</v>
      </c>
      <c r="AA672" s="5">
        <v>105.63955</v>
      </c>
      <c r="AB672" s="3">
        <f t="shared" si="83"/>
        <v>104.03053</v>
      </c>
      <c r="AC672" s="1">
        <f t="shared" si="85"/>
        <v>1.6582387500171827E-3</v>
      </c>
    </row>
    <row r="673" spans="19:29" x14ac:dyDescent="0.2">
      <c r="S673" s="4">
        <v>250.00901999999999</v>
      </c>
      <c r="T673" s="1">
        <v>333.5</v>
      </c>
      <c r="U673" s="3">
        <v>98.095690000000005</v>
      </c>
      <c r="V673" s="3">
        <f t="shared" si="82"/>
        <v>101.41938</v>
      </c>
      <c r="W673" s="1">
        <f t="shared" si="84"/>
        <v>7.101724306164953E-3</v>
      </c>
      <c r="Y673" s="4">
        <v>250.01533000000001</v>
      </c>
      <c r="Z673" s="1">
        <v>333.5</v>
      </c>
      <c r="AA673" s="3">
        <v>105.62541</v>
      </c>
      <c r="AB673" s="3">
        <f t="shared" si="83"/>
        <v>104.01639</v>
      </c>
      <c r="AC673" s="1">
        <f t="shared" si="85"/>
        <v>1.7955111341003075E-3</v>
      </c>
    </row>
    <row r="674" spans="19:29" x14ac:dyDescent="0.2">
      <c r="S674" s="4">
        <v>250.00706</v>
      </c>
      <c r="T674" s="1">
        <v>334</v>
      </c>
      <c r="U674" s="5">
        <v>98.090109999999996</v>
      </c>
      <c r="V674" s="3">
        <f t="shared" si="82"/>
        <v>101.41379999999999</v>
      </c>
      <c r="W674" s="1">
        <f t="shared" si="84"/>
        <v>7.1569906431779989E-3</v>
      </c>
      <c r="Y674" s="4">
        <v>250.01013</v>
      </c>
      <c r="Z674" s="1">
        <v>334</v>
      </c>
      <c r="AA674" s="5">
        <v>105.67897000000001</v>
      </c>
      <c r="AB674" s="3">
        <f t="shared" si="83"/>
        <v>104.06995000000001</v>
      </c>
      <c r="AC674" s="1">
        <f t="shared" si="85"/>
        <v>1.275545865960701E-3</v>
      </c>
    </row>
    <row r="675" spans="19:29" x14ac:dyDescent="0.2">
      <c r="S675" s="4">
        <v>250.00900999999999</v>
      </c>
      <c r="T675" s="1">
        <v>334.5</v>
      </c>
      <c r="U675" s="3">
        <v>98.08578</v>
      </c>
      <c r="V675" s="3">
        <f t="shared" si="82"/>
        <v>101.40947</v>
      </c>
      <c r="W675" s="1">
        <f t="shared" si="84"/>
        <v>7.1998765283510964E-3</v>
      </c>
      <c r="Y675" s="4">
        <v>250.01311000000001</v>
      </c>
      <c r="Z675" s="1">
        <v>334.5</v>
      </c>
      <c r="AA675" s="3">
        <v>105.66316</v>
      </c>
      <c r="AB675" s="3">
        <f t="shared" si="83"/>
        <v>104.05414</v>
      </c>
      <c r="AC675" s="1">
        <f t="shared" si="85"/>
        <v>1.4290307593379876E-3</v>
      </c>
    </row>
    <row r="676" spans="19:29" x14ac:dyDescent="0.2">
      <c r="S676" s="4">
        <v>250.00492</v>
      </c>
      <c r="T676" s="1">
        <v>335</v>
      </c>
      <c r="U676" s="5">
        <v>98.067059999999998</v>
      </c>
      <c r="V676" s="3">
        <f t="shared" si="82"/>
        <v>101.39075</v>
      </c>
      <c r="W676" s="1">
        <f t="shared" si="84"/>
        <v>7.3852861751042614E-3</v>
      </c>
      <c r="Y676" s="4">
        <v>250.01356000000001</v>
      </c>
      <c r="Z676" s="1">
        <v>335</v>
      </c>
      <c r="AA676" s="5">
        <v>105.60154</v>
      </c>
      <c r="AB676" s="3">
        <f t="shared" si="83"/>
        <v>103.99252</v>
      </c>
      <c r="AC676" s="1">
        <f t="shared" si="85"/>
        <v>2.027243228022872E-3</v>
      </c>
    </row>
    <row r="677" spans="19:29" x14ac:dyDescent="0.2">
      <c r="S677" s="4">
        <v>250.00504000000001</v>
      </c>
      <c r="T677" s="1">
        <v>335.5</v>
      </c>
      <c r="U677" s="3">
        <v>98.079669999999993</v>
      </c>
      <c r="V677" s="3">
        <f t="shared" si="82"/>
        <v>101.40335999999999</v>
      </c>
      <c r="W677" s="1">
        <f t="shared" si="84"/>
        <v>7.2603921769442041E-3</v>
      </c>
      <c r="Y677" s="4">
        <v>250.01070999999999</v>
      </c>
      <c r="Z677" s="1">
        <v>335.5</v>
      </c>
      <c r="AA677" s="3">
        <v>105.70191</v>
      </c>
      <c r="AB677" s="3">
        <f t="shared" si="83"/>
        <v>104.09289</v>
      </c>
      <c r="AC677" s="1">
        <f t="shared" si="85"/>
        <v>1.0528422951780825E-3</v>
      </c>
    </row>
    <row r="678" spans="19:29" x14ac:dyDescent="0.2">
      <c r="S678" s="4">
        <v>250.00703999999999</v>
      </c>
      <c r="T678" s="1">
        <v>336</v>
      </c>
      <c r="U678" s="5">
        <v>98.063000000000002</v>
      </c>
      <c r="V678" s="3">
        <f t="shared" si="82"/>
        <v>101.38669</v>
      </c>
      <c r="W678" s="1">
        <f t="shared" si="84"/>
        <v>7.4254978826799531E-3</v>
      </c>
      <c r="Y678" s="4">
        <v>250.01025000000001</v>
      </c>
      <c r="Z678" s="1">
        <v>336</v>
      </c>
      <c r="AA678" s="5">
        <v>105.70074</v>
      </c>
      <c r="AB678" s="3">
        <f t="shared" si="83"/>
        <v>104.09172</v>
      </c>
      <c r="AC678" s="1">
        <f t="shared" si="85"/>
        <v>1.0642007597733826E-3</v>
      </c>
    </row>
    <row r="679" spans="19:29" x14ac:dyDescent="0.2">
      <c r="S679" s="4">
        <v>250.00698</v>
      </c>
      <c r="T679" s="1">
        <v>336.5</v>
      </c>
      <c r="U679" s="3">
        <v>98.07741</v>
      </c>
      <c r="V679" s="3">
        <f t="shared" si="82"/>
        <v>101.4011</v>
      </c>
      <c r="W679" s="1">
        <f t="shared" si="84"/>
        <v>7.2827760338705257E-3</v>
      </c>
      <c r="Y679" s="4">
        <v>250.01044999999999</v>
      </c>
      <c r="Z679" s="1">
        <v>336.5</v>
      </c>
      <c r="AA679" s="3">
        <v>105.69036</v>
      </c>
      <c r="AB679" s="3">
        <f t="shared" si="83"/>
        <v>104.08134</v>
      </c>
      <c r="AC679" s="1">
        <f t="shared" si="85"/>
        <v>1.1649707277212454E-3</v>
      </c>
    </row>
    <row r="680" spans="19:29" x14ac:dyDescent="0.2">
      <c r="S680" s="4">
        <v>250.00697</v>
      </c>
      <c r="T680" s="1">
        <v>337</v>
      </c>
      <c r="U680" s="5">
        <v>98.056920000000005</v>
      </c>
      <c r="V680" s="3">
        <f t="shared" si="82"/>
        <v>101.38061</v>
      </c>
      <c r="W680" s="1">
        <f t="shared" si="84"/>
        <v>7.4857164004288107E-3</v>
      </c>
      <c r="Y680" s="4">
        <v>250.01137</v>
      </c>
      <c r="Z680" s="1">
        <v>337</v>
      </c>
      <c r="AA680" s="5">
        <v>105.70716</v>
      </c>
      <c r="AB680" s="3">
        <f t="shared" si="83"/>
        <v>104.09814</v>
      </c>
      <c r="AC680" s="1">
        <f t="shared" si="85"/>
        <v>1.0018748258402434E-3</v>
      </c>
    </row>
    <row r="681" spans="19:29" x14ac:dyDescent="0.2">
      <c r="S681" s="4">
        <v>250.00398000000001</v>
      </c>
      <c r="T681" s="1">
        <v>337.5</v>
      </c>
      <c r="U681" s="3">
        <v>98.05265</v>
      </c>
      <c r="V681" s="3">
        <f t="shared" si="82"/>
        <v>101.37634</v>
      </c>
      <c r="W681" s="1">
        <f t="shared" si="84"/>
        <v>7.5280080239136888E-3</v>
      </c>
      <c r="Y681" s="4">
        <v>250.01168999999999</v>
      </c>
      <c r="Z681" s="1">
        <v>337.5</v>
      </c>
      <c r="AA681" s="3">
        <v>105.55994</v>
      </c>
      <c r="AB681" s="3">
        <f t="shared" si="83"/>
        <v>103.95092</v>
      </c>
      <c r="AC681" s="1">
        <f t="shared" si="85"/>
        <v>2.4310997469662462E-3</v>
      </c>
    </row>
    <row r="682" spans="19:29" x14ac:dyDescent="0.2">
      <c r="S682" s="4">
        <v>250.00603000000001</v>
      </c>
      <c r="T682" s="1">
        <v>338</v>
      </c>
      <c r="U682" s="5">
        <v>98.044700000000006</v>
      </c>
      <c r="V682" s="3">
        <f t="shared" si="82"/>
        <v>101.36839000000001</v>
      </c>
      <c r="W682" s="1">
        <f t="shared" si="84"/>
        <v>7.6067476976148848E-3</v>
      </c>
      <c r="Y682" s="4">
        <v>250.01590999999999</v>
      </c>
      <c r="Z682" s="1">
        <v>338</v>
      </c>
      <c r="AA682" s="5">
        <v>105.66322</v>
      </c>
      <c r="AB682" s="3">
        <f t="shared" si="83"/>
        <v>104.05419999999999</v>
      </c>
      <c r="AC682" s="1">
        <f t="shared" si="85"/>
        <v>1.428448273974218E-3</v>
      </c>
    </row>
    <row r="683" spans="19:29" x14ac:dyDescent="0.2">
      <c r="S683" s="4">
        <v>250.00709000000001</v>
      </c>
      <c r="T683" s="1">
        <v>338.5</v>
      </c>
      <c r="U683" s="3">
        <v>98.05247</v>
      </c>
      <c r="V683" s="3">
        <f t="shared" si="82"/>
        <v>101.37616</v>
      </c>
      <c r="W683" s="1">
        <f t="shared" si="84"/>
        <v>7.529790808978626E-3</v>
      </c>
      <c r="Y683" s="4">
        <v>250.01642000000001</v>
      </c>
      <c r="Z683" s="1">
        <v>338.5</v>
      </c>
      <c r="AA683" s="3">
        <v>105.67982000000001</v>
      </c>
      <c r="AB683" s="3">
        <f t="shared" si="83"/>
        <v>104.07080000000001</v>
      </c>
      <c r="AC683" s="1">
        <f t="shared" si="85"/>
        <v>1.2672939899726779E-3</v>
      </c>
    </row>
    <row r="684" spans="19:29" x14ac:dyDescent="0.2">
      <c r="S684" s="4">
        <v>250.00599</v>
      </c>
      <c r="T684" s="1">
        <v>339</v>
      </c>
      <c r="U684" s="5">
        <v>98.044610000000006</v>
      </c>
      <c r="V684" s="3">
        <f t="shared" si="82"/>
        <v>101.3683</v>
      </c>
      <c r="W684" s="1">
        <f t="shared" si="84"/>
        <v>7.6076390901473534E-3</v>
      </c>
      <c r="Y684" s="4">
        <v>250.01293999999999</v>
      </c>
      <c r="Z684" s="1">
        <v>339</v>
      </c>
      <c r="AA684" s="5">
        <v>105.75767999999999</v>
      </c>
      <c r="AB684" s="3">
        <f t="shared" si="83"/>
        <v>104.14865999999999</v>
      </c>
      <c r="AC684" s="1">
        <f t="shared" si="85"/>
        <v>5.1142214946969854E-4</v>
      </c>
    </row>
    <row r="685" spans="19:29" x14ac:dyDescent="0.2">
      <c r="S685" s="4">
        <v>250.00899000000001</v>
      </c>
      <c r="T685" s="1">
        <v>339.5</v>
      </c>
      <c r="U685" s="3">
        <v>98.051100000000005</v>
      </c>
      <c r="V685" s="3">
        <f t="shared" si="82"/>
        <v>101.37479</v>
      </c>
      <c r="W685" s="1">
        <f t="shared" si="84"/>
        <v>7.5433597841950131E-3</v>
      </c>
      <c r="Y685" s="4">
        <v>250.00906000000001</v>
      </c>
      <c r="Z685" s="1">
        <v>339.5</v>
      </c>
      <c r="AA685" s="3">
        <v>105.53484</v>
      </c>
      <c r="AB685" s="3">
        <f t="shared" si="83"/>
        <v>103.92582</v>
      </c>
      <c r="AC685" s="1">
        <f t="shared" si="85"/>
        <v>2.6747727908478804E-3</v>
      </c>
    </row>
    <row r="686" spans="19:29" x14ac:dyDescent="0.2">
      <c r="S686" s="4">
        <v>250.00301999999999</v>
      </c>
      <c r="T686" s="1">
        <v>340</v>
      </c>
      <c r="U686" s="5">
        <v>98.044579999999996</v>
      </c>
      <c r="V686" s="3">
        <f t="shared" si="82"/>
        <v>101.36827</v>
      </c>
      <c r="W686" s="1">
        <f t="shared" si="84"/>
        <v>7.6079362209916035E-3</v>
      </c>
      <c r="Y686" s="4">
        <v>250.01096999999999</v>
      </c>
      <c r="Z686" s="1">
        <v>340</v>
      </c>
      <c r="AA686" s="5">
        <v>105.54226</v>
      </c>
      <c r="AB686" s="3">
        <f t="shared" si="83"/>
        <v>103.93324</v>
      </c>
      <c r="AC686" s="1">
        <f t="shared" si="85"/>
        <v>2.6027387675171564E-3</v>
      </c>
    </row>
    <row r="687" spans="19:29" x14ac:dyDescent="0.2">
      <c r="S687" s="4">
        <v>250.00098</v>
      </c>
      <c r="T687" s="1">
        <v>340.5</v>
      </c>
      <c r="U687" s="3">
        <v>98.036490000000001</v>
      </c>
      <c r="V687" s="3">
        <f t="shared" si="82"/>
        <v>101.36018</v>
      </c>
      <c r="W687" s="1">
        <f t="shared" si="84"/>
        <v>7.6880625052988772E-3</v>
      </c>
      <c r="Y687" s="4">
        <v>250.01393999999999</v>
      </c>
      <c r="Z687" s="1">
        <v>340.5</v>
      </c>
      <c r="AA687" s="3">
        <v>105.57652</v>
      </c>
      <c r="AB687" s="3">
        <f t="shared" si="83"/>
        <v>103.9675</v>
      </c>
      <c r="AC687" s="1">
        <f t="shared" si="85"/>
        <v>2.2701396247527214E-3</v>
      </c>
    </row>
    <row r="688" spans="19:29" x14ac:dyDescent="0.2">
      <c r="S688" s="4">
        <v>250.00301999999999</v>
      </c>
      <c r="T688" s="1">
        <v>341</v>
      </c>
      <c r="U688" s="5">
        <v>98.044510000000002</v>
      </c>
      <c r="V688" s="3">
        <f t="shared" si="82"/>
        <v>101.3682</v>
      </c>
      <c r="W688" s="1">
        <f t="shared" si="84"/>
        <v>7.6086295262945717E-3</v>
      </c>
      <c r="Y688" s="4">
        <v>250.01402999999999</v>
      </c>
      <c r="Z688" s="1">
        <v>341</v>
      </c>
      <c r="AA688" s="5">
        <v>105.61286</v>
      </c>
      <c r="AB688" s="3">
        <f t="shared" si="83"/>
        <v>104.00384</v>
      </c>
      <c r="AC688" s="1">
        <f t="shared" si="85"/>
        <v>1.9173476560411936E-3</v>
      </c>
    </row>
    <row r="689" spans="19:29" x14ac:dyDescent="0.2">
      <c r="S689" s="4">
        <v>250.00595000000001</v>
      </c>
      <c r="T689" s="1">
        <v>341.5</v>
      </c>
      <c r="U689" s="3">
        <v>98.027699999999996</v>
      </c>
      <c r="V689" s="3">
        <f t="shared" si="82"/>
        <v>101.35138999999999</v>
      </c>
      <c r="W689" s="1">
        <f t="shared" si="84"/>
        <v>7.7751218426365398E-3</v>
      </c>
      <c r="Y689" s="4">
        <v>250.01468</v>
      </c>
      <c r="Z689" s="1">
        <v>341.5</v>
      </c>
      <c r="AA689" s="3">
        <v>105.5823</v>
      </c>
      <c r="AB689" s="3">
        <f t="shared" si="83"/>
        <v>103.97328</v>
      </c>
      <c r="AC689" s="1">
        <f t="shared" si="85"/>
        <v>2.2140268680341359E-3</v>
      </c>
    </row>
    <row r="690" spans="19:29" x14ac:dyDescent="0.2">
      <c r="S690" s="4">
        <v>250.00798</v>
      </c>
      <c r="T690" s="1">
        <v>342</v>
      </c>
      <c r="U690" s="5">
        <v>98.023949999999999</v>
      </c>
      <c r="V690" s="3">
        <f t="shared" si="82"/>
        <v>101.34764</v>
      </c>
      <c r="W690" s="1">
        <f t="shared" si="84"/>
        <v>7.8122631981559663E-3</v>
      </c>
      <c r="Y690" s="4">
        <v>250.01176000000001</v>
      </c>
      <c r="Z690" s="1">
        <v>342</v>
      </c>
      <c r="AA690" s="5">
        <v>105.68849</v>
      </c>
      <c r="AB690" s="3">
        <f t="shared" si="83"/>
        <v>104.07947</v>
      </c>
      <c r="AC690" s="1">
        <f t="shared" si="85"/>
        <v>1.1831248548948689E-3</v>
      </c>
    </row>
    <row r="691" spans="19:29" x14ac:dyDescent="0.2">
      <c r="S691" s="4">
        <v>250.00301999999999</v>
      </c>
      <c r="T691" s="1">
        <v>342.5</v>
      </c>
      <c r="U691" s="3">
        <v>98.025649999999999</v>
      </c>
      <c r="V691" s="3">
        <f t="shared" si="82"/>
        <v>101.34934</v>
      </c>
      <c r="W691" s="1">
        <f t="shared" si="84"/>
        <v>7.7954257836538154E-3</v>
      </c>
      <c r="Y691" s="4">
        <v>250.00955999999999</v>
      </c>
      <c r="Z691" s="1">
        <v>342.5</v>
      </c>
      <c r="AA691" s="3">
        <v>105.7111</v>
      </c>
      <c r="AB691" s="3">
        <f t="shared" si="83"/>
        <v>104.10208</v>
      </c>
      <c r="AC691" s="1">
        <f t="shared" si="85"/>
        <v>9.6362495361339685E-4</v>
      </c>
    </row>
    <row r="692" spans="19:29" x14ac:dyDescent="0.2">
      <c r="S692" s="4">
        <v>250.00699</v>
      </c>
      <c r="T692" s="1">
        <v>343</v>
      </c>
      <c r="U692" s="5">
        <v>98.027860000000004</v>
      </c>
      <c r="V692" s="3">
        <f t="shared" si="82"/>
        <v>101.35155</v>
      </c>
      <c r="W692" s="1">
        <f t="shared" si="84"/>
        <v>7.7735371448009617E-3</v>
      </c>
      <c r="Y692" s="4">
        <v>250.01032000000001</v>
      </c>
      <c r="Z692" s="1">
        <v>343</v>
      </c>
      <c r="AA692" s="5">
        <v>105.55464000000001</v>
      </c>
      <c r="AB692" s="3">
        <f t="shared" si="83"/>
        <v>103.94562000000001</v>
      </c>
      <c r="AC692" s="1">
        <f t="shared" si="85"/>
        <v>2.4825526207738471E-3</v>
      </c>
    </row>
    <row r="693" spans="19:29" x14ac:dyDescent="0.2">
      <c r="S693" s="4">
        <v>250.00695999999999</v>
      </c>
      <c r="T693" s="1">
        <v>343.5</v>
      </c>
      <c r="U693" s="3">
        <v>98.046679999999995</v>
      </c>
      <c r="V693" s="3">
        <f t="shared" si="82"/>
        <v>101.37036999999999</v>
      </c>
      <c r="W693" s="1">
        <f t="shared" si="84"/>
        <v>7.5871370619007188E-3</v>
      </c>
      <c r="Y693" s="4">
        <v>250.01182</v>
      </c>
      <c r="Z693" s="1">
        <v>343.5</v>
      </c>
      <c r="AA693" s="3">
        <v>105.72723000000001</v>
      </c>
      <c r="AB693" s="3">
        <f t="shared" si="83"/>
        <v>104.11821</v>
      </c>
      <c r="AC693" s="1">
        <f t="shared" si="85"/>
        <v>8.070334716288335E-4</v>
      </c>
    </row>
    <row r="694" spans="19:29" x14ac:dyDescent="0.2">
      <c r="S694" s="4">
        <v>250.01003</v>
      </c>
      <c r="T694" s="1">
        <v>344</v>
      </c>
      <c r="U694" s="5">
        <v>98.021659999999997</v>
      </c>
      <c r="V694" s="3">
        <f t="shared" si="82"/>
        <v>101.34535</v>
      </c>
      <c r="W694" s="1">
        <f t="shared" si="84"/>
        <v>7.834944185926538E-3</v>
      </c>
      <c r="Y694" s="4">
        <v>250.01517999999999</v>
      </c>
      <c r="Z694" s="1">
        <v>344</v>
      </c>
      <c r="AA694" s="5">
        <v>105.56777</v>
      </c>
      <c r="AB694" s="3">
        <f t="shared" si="83"/>
        <v>103.95874999999999</v>
      </c>
      <c r="AC694" s="1">
        <f t="shared" si="85"/>
        <v>2.3550854069824528E-3</v>
      </c>
    </row>
    <row r="695" spans="19:29" x14ac:dyDescent="0.2">
      <c r="S695" s="4">
        <v>250.00798</v>
      </c>
      <c r="T695" s="1">
        <v>344.5</v>
      </c>
      <c r="U695" s="3">
        <v>98.030169999999998</v>
      </c>
      <c r="V695" s="3">
        <f t="shared" si="82"/>
        <v>101.35386</v>
      </c>
      <c r="W695" s="1">
        <f t="shared" si="84"/>
        <v>7.750658069801031E-3</v>
      </c>
      <c r="Y695" s="4">
        <v>250.01754</v>
      </c>
      <c r="Z695" s="1">
        <v>344.5</v>
      </c>
      <c r="AA695" s="3">
        <v>105.59232</v>
      </c>
      <c r="AB695" s="3">
        <f t="shared" si="83"/>
        <v>103.9833</v>
      </c>
      <c r="AC695" s="1">
        <f t="shared" si="85"/>
        <v>2.1167518122694423E-3</v>
      </c>
    </row>
    <row r="696" spans="19:29" x14ac:dyDescent="0.2">
      <c r="S696" s="4">
        <v>250.00300999999999</v>
      </c>
      <c r="T696" s="1">
        <v>345</v>
      </c>
      <c r="U696" s="5">
        <v>98.023849999999996</v>
      </c>
      <c r="V696" s="3">
        <f t="shared" si="82"/>
        <v>101.34754</v>
      </c>
      <c r="W696" s="1">
        <f t="shared" si="84"/>
        <v>7.8132536343031855E-3</v>
      </c>
      <c r="Y696" s="4">
        <v>250.02385000000001</v>
      </c>
      <c r="Z696" s="1">
        <v>345</v>
      </c>
      <c r="AA696" s="5">
        <v>105.69726</v>
      </c>
      <c r="AB696" s="3">
        <f t="shared" si="83"/>
        <v>104.08824</v>
      </c>
      <c r="AC696" s="1">
        <f t="shared" si="85"/>
        <v>1.0979849108772601E-3</v>
      </c>
    </row>
    <row r="697" spans="19:29" x14ac:dyDescent="0.2">
      <c r="S697" s="4">
        <v>250.00001</v>
      </c>
      <c r="T697" s="1">
        <v>345.5</v>
      </c>
      <c r="U697" s="3">
        <v>98.011359999999996</v>
      </c>
      <c r="V697" s="3">
        <f t="shared" si="82"/>
        <v>101.33505</v>
      </c>
      <c r="W697" s="1">
        <f t="shared" si="84"/>
        <v>7.9369591090866654E-3</v>
      </c>
      <c r="Y697" s="4">
        <v>250.02324999999999</v>
      </c>
      <c r="Z697" s="1">
        <v>345.5</v>
      </c>
      <c r="AA697" s="3">
        <v>105.74296</v>
      </c>
      <c r="AB697" s="3">
        <f t="shared" si="83"/>
        <v>104.13394</v>
      </c>
      <c r="AC697" s="1">
        <f t="shared" si="85"/>
        <v>6.5432522540346963E-4</v>
      </c>
    </row>
    <row r="698" spans="19:29" x14ac:dyDescent="0.2">
      <c r="S698" s="4">
        <v>250.00201999999999</v>
      </c>
      <c r="T698" s="1">
        <v>346</v>
      </c>
      <c r="U698" s="5">
        <v>98.007630000000006</v>
      </c>
      <c r="V698" s="3">
        <f t="shared" si="82"/>
        <v>101.33132000000001</v>
      </c>
      <c r="W698" s="1">
        <f t="shared" si="84"/>
        <v>7.9739023773765915E-3</v>
      </c>
      <c r="Y698" s="4">
        <v>250.01778999999999</v>
      </c>
      <c r="Z698" s="1">
        <v>346</v>
      </c>
      <c r="AA698" s="5">
        <v>105.69072</v>
      </c>
      <c r="AB698" s="3">
        <f t="shared" si="83"/>
        <v>104.0817</v>
      </c>
      <c r="AC698" s="1">
        <f t="shared" si="85"/>
        <v>1.1614758155380762E-3</v>
      </c>
    </row>
    <row r="699" spans="19:29" x14ac:dyDescent="0.2">
      <c r="S699" s="4">
        <v>250.00298000000001</v>
      </c>
      <c r="T699" s="1">
        <v>346.5</v>
      </c>
      <c r="U699" s="3">
        <v>98.027900000000002</v>
      </c>
      <c r="V699" s="3">
        <f t="shared" si="82"/>
        <v>101.35159</v>
      </c>
      <c r="W699" s="1">
        <f t="shared" si="84"/>
        <v>7.7731409703421031E-3</v>
      </c>
      <c r="Y699" s="4">
        <v>250.01527999999999</v>
      </c>
      <c r="Z699" s="1">
        <v>346.5</v>
      </c>
      <c r="AA699" s="3">
        <v>105.77795</v>
      </c>
      <c r="AB699" s="3">
        <f t="shared" si="83"/>
        <v>104.16893</v>
      </c>
      <c r="AC699" s="1">
        <f t="shared" si="85"/>
        <v>3.1463917737868869E-4</v>
      </c>
    </row>
    <row r="700" spans="19:29" x14ac:dyDescent="0.2">
      <c r="S700" s="4">
        <v>250.00399999999999</v>
      </c>
      <c r="T700" s="1">
        <v>347</v>
      </c>
      <c r="U700" s="5">
        <v>98.011380000000003</v>
      </c>
      <c r="V700" s="3">
        <f t="shared" si="82"/>
        <v>101.33507</v>
      </c>
      <c r="W700" s="1">
        <f t="shared" si="84"/>
        <v>7.9367610218571659E-3</v>
      </c>
      <c r="Y700" s="4">
        <v>250.01667</v>
      </c>
      <c r="Z700" s="1">
        <v>347</v>
      </c>
      <c r="AA700" s="5">
        <v>105.69902</v>
      </c>
      <c r="AB700" s="3">
        <f t="shared" si="83"/>
        <v>104.09</v>
      </c>
      <c r="AC700" s="1">
        <f t="shared" si="85"/>
        <v>1.0808986735373063E-3</v>
      </c>
    </row>
    <row r="701" spans="19:29" x14ac:dyDescent="0.2">
      <c r="S701" s="4">
        <v>250.00900999999999</v>
      </c>
      <c r="T701" s="1">
        <v>347.5</v>
      </c>
      <c r="U701" s="3">
        <v>98.025729999999996</v>
      </c>
      <c r="V701" s="3">
        <f t="shared" si="82"/>
        <v>101.34941999999999</v>
      </c>
      <c r="W701" s="1">
        <f t="shared" si="84"/>
        <v>7.7946334347360965E-3</v>
      </c>
      <c r="Y701" s="4">
        <v>250.01917</v>
      </c>
      <c r="Z701" s="1">
        <v>347.5</v>
      </c>
      <c r="AA701" s="3">
        <v>105.71288</v>
      </c>
      <c r="AB701" s="3">
        <f t="shared" si="83"/>
        <v>104.10386</v>
      </c>
      <c r="AC701" s="1">
        <f t="shared" si="85"/>
        <v>9.4634455448556576E-4</v>
      </c>
    </row>
    <row r="702" spans="19:29" x14ac:dyDescent="0.2">
      <c r="S702" s="4">
        <v>250.00810000000001</v>
      </c>
      <c r="T702" s="1">
        <v>348</v>
      </c>
      <c r="U702" s="5">
        <v>98.013450000000006</v>
      </c>
      <c r="V702" s="3">
        <f t="shared" si="82"/>
        <v>101.33714000000001</v>
      </c>
      <c r="W702" s="1">
        <f t="shared" si="84"/>
        <v>7.9162589936103891E-3</v>
      </c>
      <c r="Y702" s="4">
        <v>250.02303000000001</v>
      </c>
      <c r="Z702" s="1">
        <v>348</v>
      </c>
      <c r="AA702" s="5">
        <v>105.56545</v>
      </c>
      <c r="AB702" s="3">
        <f t="shared" si="83"/>
        <v>103.95643</v>
      </c>
      <c r="AC702" s="1">
        <f t="shared" si="85"/>
        <v>2.3776081743850379E-3</v>
      </c>
    </row>
    <row r="703" spans="19:29" x14ac:dyDescent="0.2">
      <c r="S703" s="4">
        <v>250.01193000000001</v>
      </c>
      <c r="T703" s="1">
        <v>348.5</v>
      </c>
      <c r="U703" s="3">
        <v>98.011279999999999</v>
      </c>
      <c r="V703" s="3">
        <f t="shared" si="82"/>
        <v>101.33497</v>
      </c>
      <c r="W703" s="1">
        <f t="shared" si="84"/>
        <v>7.9377514580043843E-3</v>
      </c>
      <c r="Y703" s="4">
        <v>250.02726999999999</v>
      </c>
      <c r="Z703" s="1">
        <v>348.5</v>
      </c>
      <c r="AA703" s="3">
        <v>105.77517</v>
      </c>
      <c r="AB703" s="3">
        <f t="shared" si="83"/>
        <v>104.16615</v>
      </c>
      <c r="AC703" s="1">
        <f t="shared" si="85"/>
        <v>3.4162766590424283E-4</v>
      </c>
    </row>
    <row r="704" spans="19:29" x14ac:dyDescent="0.2">
      <c r="S704" s="4">
        <v>250.00709000000001</v>
      </c>
      <c r="T704" s="1">
        <v>349</v>
      </c>
      <c r="U704" s="5">
        <v>98.002939999999995</v>
      </c>
      <c r="V704" s="3">
        <f t="shared" si="82"/>
        <v>101.32662999999999</v>
      </c>
      <c r="W704" s="1">
        <f t="shared" si="84"/>
        <v>8.0203538326797039E-3</v>
      </c>
      <c r="Y704" s="4">
        <v>250.02802</v>
      </c>
      <c r="Z704" s="1">
        <v>349</v>
      </c>
      <c r="AA704" s="5">
        <v>105.55409</v>
      </c>
      <c r="AB704" s="3">
        <f t="shared" si="83"/>
        <v>103.94507</v>
      </c>
      <c r="AC704" s="1">
        <f t="shared" si="85"/>
        <v>2.4878920699426088E-3</v>
      </c>
    </row>
    <row r="705" spans="19:29" x14ac:dyDescent="0.2">
      <c r="S705" s="4">
        <v>250.00704999999999</v>
      </c>
      <c r="T705" s="1">
        <v>349.5</v>
      </c>
      <c r="U705" s="3">
        <v>97.988780000000006</v>
      </c>
      <c r="V705" s="3">
        <f t="shared" si="82"/>
        <v>101.31247</v>
      </c>
      <c r="W705" s="1">
        <f t="shared" si="84"/>
        <v>8.1605995911210854E-3</v>
      </c>
      <c r="Y705" s="4">
        <v>250.02475000000001</v>
      </c>
      <c r="Z705" s="1">
        <v>349.5</v>
      </c>
      <c r="AA705" s="3">
        <v>105.66681</v>
      </c>
      <c r="AB705" s="3">
        <f t="shared" si="83"/>
        <v>104.05779</v>
      </c>
      <c r="AC705" s="1">
        <f t="shared" si="85"/>
        <v>1.393596233036533E-3</v>
      </c>
    </row>
    <row r="706" spans="19:29" x14ac:dyDescent="0.2">
      <c r="S706" s="4">
        <v>250.00998000000001</v>
      </c>
      <c r="T706" s="1">
        <v>350</v>
      </c>
      <c r="U706" s="5">
        <v>97.993120000000005</v>
      </c>
      <c r="V706" s="3">
        <f t="shared" si="82"/>
        <v>101.31681</v>
      </c>
      <c r="W706" s="1">
        <f t="shared" si="84"/>
        <v>8.1176146623332373E-3</v>
      </c>
      <c r="Y706" s="4">
        <v>250.02348000000001</v>
      </c>
      <c r="Z706" s="1">
        <v>350</v>
      </c>
      <c r="AA706" s="5">
        <v>105.71014</v>
      </c>
      <c r="AB706" s="3">
        <f t="shared" si="83"/>
        <v>104.10111999999999</v>
      </c>
      <c r="AC706" s="1">
        <f t="shared" si="85"/>
        <v>9.7294471943522754E-4</v>
      </c>
    </row>
    <row r="707" spans="19:29" x14ac:dyDescent="0.2">
      <c r="S707" s="4">
        <v>250.00303</v>
      </c>
      <c r="T707" s="1">
        <v>350.5</v>
      </c>
      <c r="U707" s="3">
        <v>97.992779999999996</v>
      </c>
      <c r="V707" s="3">
        <f t="shared" si="82"/>
        <v>101.31647</v>
      </c>
      <c r="W707" s="1">
        <f t="shared" si="84"/>
        <v>8.1209821452337527E-3</v>
      </c>
      <c r="Y707" s="4">
        <v>250.02379999999999</v>
      </c>
      <c r="Z707" s="1">
        <v>350.5</v>
      </c>
      <c r="AA707" s="3">
        <v>105.63657000000001</v>
      </c>
      <c r="AB707" s="3">
        <f t="shared" si="83"/>
        <v>104.02755000000001</v>
      </c>
      <c r="AC707" s="1">
        <f t="shared" si="85"/>
        <v>1.6871688564221985E-3</v>
      </c>
    </row>
    <row r="708" spans="19:29" x14ac:dyDescent="0.2">
      <c r="S708" s="4">
        <v>250.00586000000001</v>
      </c>
      <c r="T708" s="1">
        <v>351</v>
      </c>
      <c r="U708" s="5">
        <v>97.986660000000001</v>
      </c>
      <c r="V708" s="3">
        <f t="shared" si="82"/>
        <v>101.31035</v>
      </c>
      <c r="W708" s="1">
        <f t="shared" si="84"/>
        <v>8.1815968374414696E-3</v>
      </c>
      <c r="Y708" s="4">
        <v>250.02012999999999</v>
      </c>
      <c r="Z708" s="1">
        <v>351</v>
      </c>
      <c r="AA708" s="5">
        <v>105.7037</v>
      </c>
      <c r="AB708" s="3">
        <f t="shared" si="83"/>
        <v>104.09468</v>
      </c>
      <c r="AC708" s="1">
        <f t="shared" si="85"/>
        <v>1.0354648151562438E-3</v>
      </c>
    </row>
    <row r="709" spans="19:29" x14ac:dyDescent="0.2">
      <c r="S709" s="4">
        <v>250.00703999999999</v>
      </c>
      <c r="T709" s="1">
        <v>351.5</v>
      </c>
      <c r="U709" s="3">
        <v>97.970299999999995</v>
      </c>
      <c r="V709" s="3">
        <f t="shared" si="82"/>
        <v>101.29398999999999</v>
      </c>
      <c r="W709" s="1">
        <f t="shared" si="84"/>
        <v>8.3436321911210948E-3</v>
      </c>
      <c r="Y709" s="4">
        <v>250.01786999999999</v>
      </c>
      <c r="Z709" s="1">
        <v>351.5</v>
      </c>
      <c r="AA709" s="3">
        <v>105.59377000000001</v>
      </c>
      <c r="AB709" s="3">
        <f t="shared" si="83"/>
        <v>103.98475000000001</v>
      </c>
      <c r="AC709" s="1">
        <f t="shared" si="85"/>
        <v>2.1026750826427577E-3</v>
      </c>
    </row>
    <row r="710" spans="19:29" x14ac:dyDescent="0.2">
      <c r="S710" s="4">
        <v>250.00399999999999</v>
      </c>
      <c r="T710" s="1">
        <v>352</v>
      </c>
      <c r="U710" s="5">
        <v>97.968180000000004</v>
      </c>
      <c r="V710" s="3">
        <f t="shared" si="82"/>
        <v>101.29187</v>
      </c>
      <c r="W710" s="1">
        <f t="shared" si="84"/>
        <v>8.3646294374413385E-3</v>
      </c>
      <c r="Y710" s="4">
        <v>250.01725999999999</v>
      </c>
      <c r="Z710" s="1">
        <v>352</v>
      </c>
      <c r="AA710" s="5">
        <v>105.67609</v>
      </c>
      <c r="AB710" s="3">
        <f t="shared" si="83"/>
        <v>104.06707</v>
      </c>
      <c r="AC710" s="1">
        <f t="shared" si="85"/>
        <v>1.3035051634260552E-3</v>
      </c>
    </row>
    <row r="711" spans="19:29" x14ac:dyDescent="0.2">
      <c r="S711" s="4">
        <v>250.00101000000001</v>
      </c>
      <c r="T711" s="1">
        <v>352.5</v>
      </c>
      <c r="U711" s="3">
        <v>97.976380000000006</v>
      </c>
      <c r="V711" s="3">
        <f t="shared" ref="V711:V774" si="86">100-($U$6-U711)</f>
        <v>101.30007000000001</v>
      </c>
      <c r="W711" s="1">
        <f t="shared" si="84"/>
        <v>8.2834136733720958E-3</v>
      </c>
      <c r="Y711" s="4">
        <v>250.01517999999999</v>
      </c>
      <c r="Z711" s="1">
        <v>352.5</v>
      </c>
      <c r="AA711" s="3">
        <v>105.62048</v>
      </c>
      <c r="AB711" s="3">
        <f t="shared" ref="AB711:AB774" si="87">100-($AA$6-AA711)</f>
        <v>104.01146</v>
      </c>
      <c r="AC711" s="1">
        <f t="shared" si="85"/>
        <v>1.8433720148308696E-3</v>
      </c>
    </row>
    <row r="712" spans="19:29" x14ac:dyDescent="0.2">
      <c r="S712" s="4">
        <v>250.00298000000001</v>
      </c>
      <c r="T712" s="1">
        <v>353</v>
      </c>
      <c r="U712" s="5">
        <v>97.980519999999999</v>
      </c>
      <c r="V712" s="3">
        <f t="shared" si="86"/>
        <v>101.30421</v>
      </c>
      <c r="W712" s="1">
        <f t="shared" ref="W712:W775" si="88">($V$199-V712)/($V$199*(1-$H$1))</f>
        <v>8.2424096168786862E-3</v>
      </c>
      <c r="Y712" s="4">
        <v>250.01319000000001</v>
      </c>
      <c r="Z712" s="1">
        <v>353</v>
      </c>
      <c r="AA712" s="5">
        <v>105.64268</v>
      </c>
      <c r="AB712" s="3">
        <f t="shared" si="87"/>
        <v>104.03366</v>
      </c>
      <c r="AC712" s="1">
        <f t="shared" si="85"/>
        <v>1.6278524302024669E-3</v>
      </c>
    </row>
    <row r="713" spans="19:29" x14ac:dyDescent="0.2">
      <c r="S713" s="4">
        <v>250.00197</v>
      </c>
      <c r="T713" s="1">
        <v>353.5</v>
      </c>
      <c r="U713" s="3">
        <v>97.986519999999999</v>
      </c>
      <c r="V713" s="3">
        <f t="shared" si="86"/>
        <v>101.31021</v>
      </c>
      <c r="W713" s="1">
        <f t="shared" si="88"/>
        <v>8.1829834480475466E-3</v>
      </c>
      <c r="Y713" s="4">
        <v>250.01011</v>
      </c>
      <c r="Z713" s="1">
        <v>353.5</v>
      </c>
      <c r="AA713" s="3">
        <v>105.68592</v>
      </c>
      <c r="AB713" s="3">
        <f t="shared" si="87"/>
        <v>104.07689999999999</v>
      </c>
      <c r="AC713" s="1">
        <f t="shared" si="85"/>
        <v>1.2080746446469536E-3</v>
      </c>
    </row>
    <row r="714" spans="19:29" x14ac:dyDescent="0.2">
      <c r="S714" s="4">
        <v>250.00993</v>
      </c>
      <c r="T714" s="1">
        <v>354</v>
      </c>
      <c r="U714" s="5">
        <v>97.982919999999993</v>
      </c>
      <c r="V714" s="3">
        <f t="shared" si="86"/>
        <v>101.30660999999999</v>
      </c>
      <c r="W714" s="1">
        <f t="shared" si="88"/>
        <v>8.2186391493462869E-3</v>
      </c>
      <c r="Y714" s="4">
        <v>250.00398000000001</v>
      </c>
      <c r="Z714" s="1">
        <v>354</v>
      </c>
      <c r="AA714" s="5">
        <v>105.5307</v>
      </c>
      <c r="AB714" s="3">
        <f t="shared" si="87"/>
        <v>103.92167999999999</v>
      </c>
      <c r="AC714" s="1">
        <f t="shared" si="85"/>
        <v>2.7149642809543269E-3</v>
      </c>
    </row>
    <row r="715" spans="19:29" x14ac:dyDescent="0.2">
      <c r="S715" s="4">
        <v>250.00603000000001</v>
      </c>
      <c r="T715" s="1">
        <v>354.5</v>
      </c>
      <c r="U715" s="3">
        <v>97.986760000000004</v>
      </c>
      <c r="V715" s="3">
        <f t="shared" si="86"/>
        <v>101.31045</v>
      </c>
      <c r="W715" s="1">
        <f t="shared" si="88"/>
        <v>8.1806064012942513E-3</v>
      </c>
      <c r="Y715" s="4">
        <v>250.00666000000001</v>
      </c>
      <c r="Z715" s="1">
        <v>354.5</v>
      </c>
      <c r="AA715" s="3">
        <v>105.63367</v>
      </c>
      <c r="AB715" s="3">
        <f t="shared" si="87"/>
        <v>104.02464999999999</v>
      </c>
      <c r="AC715" s="1">
        <f t="shared" si="85"/>
        <v>1.7153223156755677E-3</v>
      </c>
    </row>
    <row r="716" spans="19:29" x14ac:dyDescent="0.2">
      <c r="S716" s="4">
        <v>250.00198</v>
      </c>
      <c r="T716" s="1">
        <v>355</v>
      </c>
      <c r="U716" s="5">
        <v>97.96387</v>
      </c>
      <c r="V716" s="3">
        <f t="shared" si="86"/>
        <v>101.28756</v>
      </c>
      <c r="W716" s="1">
        <f t="shared" si="88"/>
        <v>8.407317235385077E-3</v>
      </c>
      <c r="Y716" s="4">
        <v>250.01050000000001</v>
      </c>
      <c r="Z716" s="1">
        <v>355</v>
      </c>
      <c r="AA716" s="5">
        <v>105.66636</v>
      </c>
      <c r="AB716" s="3">
        <f t="shared" si="87"/>
        <v>104.05734</v>
      </c>
      <c r="AC716" s="1">
        <f t="shared" si="85"/>
        <v>1.3979648732654947E-3</v>
      </c>
    </row>
    <row r="717" spans="19:29" x14ac:dyDescent="0.2">
      <c r="S717" s="4">
        <v>249.99995000000001</v>
      </c>
      <c r="T717" s="1">
        <v>355.5</v>
      </c>
      <c r="U717" s="3">
        <v>97.947789999999998</v>
      </c>
      <c r="V717" s="3">
        <f t="shared" si="86"/>
        <v>101.27148</v>
      </c>
      <c r="W717" s="1">
        <f t="shared" si="88"/>
        <v>8.5665793678525465E-3</v>
      </c>
      <c r="Y717" s="4">
        <v>250.01236</v>
      </c>
      <c r="Z717" s="1">
        <v>355.5</v>
      </c>
      <c r="AA717" s="3">
        <v>105.58685</v>
      </c>
      <c r="AB717" s="3">
        <f t="shared" si="87"/>
        <v>103.97783</v>
      </c>
      <c r="AC717" s="1">
        <f t="shared" si="85"/>
        <v>2.1698550612747583E-3</v>
      </c>
    </row>
    <row r="718" spans="19:29" x14ac:dyDescent="0.2">
      <c r="S718" s="4">
        <v>250.01095000000001</v>
      </c>
      <c r="T718" s="1">
        <v>356</v>
      </c>
      <c r="U718" s="5">
        <v>97.961600000000004</v>
      </c>
      <c r="V718" s="3">
        <f t="shared" si="86"/>
        <v>101.28529</v>
      </c>
      <c r="W718" s="1">
        <f t="shared" si="88"/>
        <v>8.4298001359261483E-3</v>
      </c>
      <c r="Y718" s="4">
        <v>250.01683</v>
      </c>
      <c r="Z718" s="1">
        <v>356</v>
      </c>
      <c r="AA718" s="5">
        <v>105.62004</v>
      </c>
      <c r="AB718" s="3">
        <f t="shared" si="87"/>
        <v>104.01102</v>
      </c>
      <c r="AC718" s="1">
        <f t="shared" si="85"/>
        <v>1.8476435741658236E-3</v>
      </c>
    </row>
    <row r="719" spans="19:29" x14ac:dyDescent="0.2">
      <c r="S719" s="4">
        <v>250.00595999999999</v>
      </c>
      <c r="T719" s="1">
        <v>356.5</v>
      </c>
      <c r="U719" s="3">
        <v>97.962019999999995</v>
      </c>
      <c r="V719" s="3">
        <f t="shared" si="86"/>
        <v>101.28570999999999</v>
      </c>
      <c r="W719" s="1">
        <f t="shared" si="88"/>
        <v>8.4256403041080546E-3</v>
      </c>
      <c r="Y719" s="4">
        <v>250.01748000000001</v>
      </c>
      <c r="Z719" s="1">
        <v>356.5</v>
      </c>
      <c r="AA719" s="3">
        <v>105.63436</v>
      </c>
      <c r="AB719" s="3">
        <f t="shared" si="87"/>
        <v>104.02534</v>
      </c>
      <c r="AC719" s="1">
        <f t="shared" si="85"/>
        <v>1.708623733991114E-3</v>
      </c>
    </row>
    <row r="720" spans="19:29" x14ac:dyDescent="0.2">
      <c r="S720" s="4">
        <v>250.00699</v>
      </c>
      <c r="T720" s="1">
        <v>357</v>
      </c>
      <c r="U720" s="5">
        <v>97.966189999999997</v>
      </c>
      <c r="V720" s="3">
        <f t="shared" si="86"/>
        <v>101.28988</v>
      </c>
      <c r="W720" s="1">
        <f t="shared" si="88"/>
        <v>8.3843391167703948E-3</v>
      </c>
      <c r="Y720" s="4">
        <v>250.01983000000001</v>
      </c>
      <c r="Z720" s="1">
        <v>357</v>
      </c>
      <c r="AA720" s="5">
        <v>105.70805</v>
      </c>
      <c r="AB720" s="3">
        <f t="shared" si="87"/>
        <v>104.09903</v>
      </c>
      <c r="AC720" s="1">
        <f t="shared" si="85"/>
        <v>9.9323462627632806E-4</v>
      </c>
    </row>
    <row r="721" spans="19:29" x14ac:dyDescent="0.2">
      <c r="S721" s="4">
        <v>250.00900999999999</v>
      </c>
      <c r="T721" s="1">
        <v>357.5</v>
      </c>
      <c r="U721" s="3">
        <v>97.972579999999994</v>
      </c>
      <c r="V721" s="3">
        <f t="shared" si="86"/>
        <v>101.29626999999999</v>
      </c>
      <c r="W721" s="1">
        <f t="shared" si="88"/>
        <v>8.3210502469652729E-3</v>
      </c>
      <c r="Y721" s="4">
        <v>250.02188000000001</v>
      </c>
      <c r="Z721" s="1">
        <v>357.5</v>
      </c>
      <c r="AA721" s="3">
        <v>105.57626999999999</v>
      </c>
      <c r="AB721" s="3">
        <f t="shared" si="87"/>
        <v>103.96724999999999</v>
      </c>
      <c r="AC721" s="1">
        <f t="shared" si="85"/>
        <v>2.2725666471022209E-3</v>
      </c>
    </row>
    <row r="722" spans="19:29" x14ac:dyDescent="0.2">
      <c r="S722" s="4">
        <v>250.00906000000001</v>
      </c>
      <c r="T722" s="1">
        <v>358</v>
      </c>
      <c r="U722" s="5">
        <v>97.951819999999998</v>
      </c>
      <c r="V722" s="3">
        <f t="shared" si="86"/>
        <v>101.27551</v>
      </c>
      <c r="W722" s="1">
        <f t="shared" si="88"/>
        <v>8.5266647911209636E-3</v>
      </c>
      <c r="Y722" s="4">
        <v>250.02072999999999</v>
      </c>
      <c r="Z722" s="1">
        <v>358</v>
      </c>
      <c r="AA722" s="5">
        <v>105.59582</v>
      </c>
      <c r="AB722" s="3">
        <f t="shared" si="87"/>
        <v>103.9868</v>
      </c>
      <c r="AC722" s="1">
        <f t="shared" si="85"/>
        <v>2.0827734993775497E-3</v>
      </c>
    </row>
    <row r="723" spans="19:29" x14ac:dyDescent="0.2">
      <c r="S723" s="4">
        <v>250.00694999999999</v>
      </c>
      <c r="T723" s="1">
        <v>358.5</v>
      </c>
      <c r="U723" s="3">
        <v>97.955889999999997</v>
      </c>
      <c r="V723" s="3">
        <f t="shared" si="86"/>
        <v>101.27958</v>
      </c>
      <c r="W723" s="1">
        <f t="shared" si="88"/>
        <v>8.4863540399305222E-3</v>
      </c>
      <c r="Y723" s="4">
        <v>250.01972000000001</v>
      </c>
      <c r="Z723" s="1">
        <v>358.5</v>
      </c>
      <c r="AA723" s="3">
        <v>105.73613</v>
      </c>
      <c r="AB723" s="3">
        <f t="shared" si="87"/>
        <v>104.12711</v>
      </c>
      <c r="AC723" s="1">
        <f t="shared" si="85"/>
        <v>7.2063147598954E-4</v>
      </c>
    </row>
    <row r="724" spans="19:29" x14ac:dyDescent="0.2">
      <c r="S724" s="4">
        <v>250.00403</v>
      </c>
      <c r="T724" s="1">
        <v>359</v>
      </c>
      <c r="U724" s="5">
        <v>97.941389999999998</v>
      </c>
      <c r="V724" s="3">
        <f t="shared" si="86"/>
        <v>101.26508</v>
      </c>
      <c r="W724" s="1">
        <f t="shared" si="88"/>
        <v>8.6299672812724191E-3</v>
      </c>
      <c r="Y724" s="4">
        <v>250.01904999999999</v>
      </c>
      <c r="Z724" s="1">
        <v>359</v>
      </c>
      <c r="AA724" s="5">
        <v>105.71236</v>
      </c>
      <c r="AB724" s="3">
        <f t="shared" si="87"/>
        <v>104.10334</v>
      </c>
      <c r="AC724" s="1">
        <f t="shared" si="85"/>
        <v>9.513927609723045E-4</v>
      </c>
    </row>
    <row r="725" spans="19:29" x14ac:dyDescent="0.2">
      <c r="S725" s="4">
        <v>250.00206</v>
      </c>
      <c r="T725" s="1">
        <v>359.5</v>
      </c>
      <c r="U725" s="3">
        <v>97.943219999999997</v>
      </c>
      <c r="V725" s="3">
        <f t="shared" si="86"/>
        <v>101.26691</v>
      </c>
      <c r="W725" s="1">
        <f t="shared" si="88"/>
        <v>8.6118422997789393E-3</v>
      </c>
      <c r="Y725" s="4">
        <v>250.02135000000001</v>
      </c>
      <c r="Z725" s="1">
        <v>359.5</v>
      </c>
      <c r="AA725" s="3">
        <v>105.70621</v>
      </c>
      <c r="AB725" s="3">
        <f t="shared" si="87"/>
        <v>104.09719</v>
      </c>
      <c r="AC725" s="1">
        <f t="shared" si="85"/>
        <v>1.0110975107680666E-3</v>
      </c>
    </row>
    <row r="726" spans="19:29" x14ac:dyDescent="0.2">
      <c r="S726" s="4">
        <v>250.01096999999999</v>
      </c>
      <c r="T726" s="1">
        <v>360</v>
      </c>
      <c r="U726" s="5">
        <v>97.95778</v>
      </c>
      <c r="V726" s="3">
        <f t="shared" si="86"/>
        <v>101.28147</v>
      </c>
      <c r="W726" s="1">
        <f t="shared" si="88"/>
        <v>8.4676347967486843E-3</v>
      </c>
      <c r="Y726" s="4">
        <v>250.0188</v>
      </c>
      <c r="Z726" s="1">
        <v>360</v>
      </c>
      <c r="AA726" s="5">
        <v>105.56955000000001</v>
      </c>
      <c r="AB726" s="3">
        <f t="shared" si="87"/>
        <v>103.96053000000001</v>
      </c>
      <c r="AC726" s="1">
        <f t="shared" si="85"/>
        <v>2.3378050078544841E-3</v>
      </c>
    </row>
    <row r="727" spans="19:29" x14ac:dyDescent="0.2">
      <c r="S727" s="4">
        <v>250.01304999999999</v>
      </c>
      <c r="T727" s="1">
        <v>360.5</v>
      </c>
      <c r="U727" s="3">
        <v>97.937160000000006</v>
      </c>
      <c r="V727" s="3">
        <f t="shared" si="86"/>
        <v>101.26085</v>
      </c>
      <c r="W727" s="1">
        <f t="shared" si="88"/>
        <v>8.6718627302982965E-3</v>
      </c>
      <c r="Y727" s="4">
        <v>250.01517999999999</v>
      </c>
      <c r="Z727" s="1">
        <v>360.5</v>
      </c>
      <c r="AA727" s="3">
        <v>105.55233</v>
      </c>
      <c r="AB727" s="3">
        <f t="shared" si="87"/>
        <v>103.94331</v>
      </c>
      <c r="AC727" s="1">
        <f t="shared" si="85"/>
        <v>2.5049783072825628E-3</v>
      </c>
    </row>
    <row r="728" spans="19:29" x14ac:dyDescent="0.2">
      <c r="S728" s="4">
        <v>250.00811999999999</v>
      </c>
      <c r="T728" s="1">
        <v>361</v>
      </c>
      <c r="U728" s="5">
        <v>97.937119999999993</v>
      </c>
      <c r="V728" s="3">
        <f t="shared" si="86"/>
        <v>101.26080999999999</v>
      </c>
      <c r="W728" s="1">
        <f t="shared" si="88"/>
        <v>8.6722589047572973E-3</v>
      </c>
      <c r="Y728" s="4">
        <v>250.01410999999999</v>
      </c>
      <c r="Z728" s="1">
        <v>361</v>
      </c>
      <c r="AA728" s="5">
        <v>105.55562999999999</v>
      </c>
      <c r="AB728" s="3">
        <f t="shared" si="87"/>
        <v>103.94660999999999</v>
      </c>
      <c r="AC728" s="1">
        <f t="shared" si="85"/>
        <v>2.4729416122702698E-3</v>
      </c>
    </row>
    <row r="729" spans="19:29" x14ac:dyDescent="0.2">
      <c r="S729" s="4">
        <v>250.00800000000001</v>
      </c>
      <c r="T729" s="1">
        <v>361.5</v>
      </c>
      <c r="U729" s="3">
        <v>97.92268</v>
      </c>
      <c r="V729" s="3">
        <f t="shared" si="86"/>
        <v>101.24637</v>
      </c>
      <c r="W729" s="1">
        <f t="shared" si="88"/>
        <v>8.8152778844108343E-3</v>
      </c>
      <c r="Y729" s="4">
        <v>250.01389</v>
      </c>
      <c r="Z729" s="1">
        <v>361.5</v>
      </c>
      <c r="AA729" s="3">
        <v>105.58189</v>
      </c>
      <c r="AB729" s="3">
        <f t="shared" si="87"/>
        <v>103.97287</v>
      </c>
      <c r="AC729" s="1">
        <f t="shared" si="85"/>
        <v>2.2180071846872053E-3</v>
      </c>
    </row>
    <row r="730" spans="19:29" x14ac:dyDescent="0.2">
      <c r="S730" s="4">
        <v>250.00797</v>
      </c>
      <c r="T730" s="1">
        <v>362</v>
      </c>
      <c r="U730" s="5">
        <v>97.918670000000006</v>
      </c>
      <c r="V730" s="3">
        <f t="shared" si="86"/>
        <v>101.24236000000001</v>
      </c>
      <c r="W730" s="1">
        <f t="shared" si="88"/>
        <v>8.854994373912916E-3</v>
      </c>
      <c r="Y730" s="4">
        <v>250.01483999999999</v>
      </c>
      <c r="Z730" s="1">
        <v>362</v>
      </c>
      <c r="AA730" s="5">
        <v>105.62061</v>
      </c>
      <c r="AB730" s="3">
        <f t="shared" si="87"/>
        <v>104.01159</v>
      </c>
      <c r="AC730" s="1">
        <f t="shared" si="85"/>
        <v>1.8421099632091849E-3</v>
      </c>
    </row>
    <row r="731" spans="19:29" x14ac:dyDescent="0.2">
      <c r="S731" s="4">
        <v>250.00299999999999</v>
      </c>
      <c r="T731" s="1">
        <v>362.5</v>
      </c>
      <c r="U731" s="3">
        <v>97.910129999999995</v>
      </c>
      <c r="V731" s="3">
        <f t="shared" si="86"/>
        <v>101.23381999999999</v>
      </c>
      <c r="W731" s="1">
        <f t="shared" si="88"/>
        <v>8.9395776208826723E-3</v>
      </c>
      <c r="Y731" s="4">
        <v>250.0189</v>
      </c>
      <c r="Z731" s="1">
        <v>362.5</v>
      </c>
      <c r="AA731" s="3">
        <v>105.67350999999999</v>
      </c>
      <c r="AB731" s="3">
        <f t="shared" si="87"/>
        <v>104.06448999999999</v>
      </c>
      <c r="AC731" s="1">
        <f t="shared" si="85"/>
        <v>1.3285520340721474E-3</v>
      </c>
    </row>
    <row r="732" spans="19:29" x14ac:dyDescent="0.2">
      <c r="S732" s="4">
        <v>250.00604000000001</v>
      </c>
      <c r="T732" s="1">
        <v>363</v>
      </c>
      <c r="U732" s="5">
        <v>97.912679999999995</v>
      </c>
      <c r="V732" s="3">
        <f t="shared" si="86"/>
        <v>101.23636999999999</v>
      </c>
      <c r="W732" s="1">
        <f t="shared" si="88"/>
        <v>8.9143214991294455E-3</v>
      </c>
      <c r="Y732" s="4">
        <v>250.0187</v>
      </c>
      <c r="Z732" s="1">
        <v>363</v>
      </c>
      <c r="AA732" s="5">
        <v>105.73285</v>
      </c>
      <c r="AB732" s="3">
        <f t="shared" si="87"/>
        <v>104.12383</v>
      </c>
      <c r="AC732" s="1">
        <f t="shared" si="85"/>
        <v>7.524740092139556E-4</v>
      </c>
    </row>
    <row r="733" spans="19:29" x14ac:dyDescent="0.2">
      <c r="S733" s="4">
        <v>250.00405000000001</v>
      </c>
      <c r="T733" s="1">
        <v>363.5</v>
      </c>
      <c r="U733" s="3">
        <v>97.908690000000007</v>
      </c>
      <c r="V733" s="3">
        <f t="shared" si="86"/>
        <v>101.23238000000001</v>
      </c>
      <c r="W733" s="1">
        <f t="shared" si="88"/>
        <v>8.9538399014020276E-3</v>
      </c>
      <c r="Y733" s="4">
        <v>250.01532</v>
      </c>
      <c r="Z733" s="1">
        <v>363.5</v>
      </c>
      <c r="AA733" s="3">
        <v>105.62107</v>
      </c>
      <c r="AB733" s="3">
        <f t="shared" si="87"/>
        <v>104.01205</v>
      </c>
      <c r="AC733" s="1">
        <f t="shared" ref="AC733:AC796" si="89">($AB$604-AB733)/($AB$604*(1-$H$1))</f>
        <v>1.8376442420862159E-3</v>
      </c>
    </row>
    <row r="734" spans="19:29" x14ac:dyDescent="0.2">
      <c r="S734" s="4">
        <v>250.00306</v>
      </c>
      <c r="T734" s="1">
        <v>364</v>
      </c>
      <c r="U734" s="5">
        <v>97.91619</v>
      </c>
      <c r="V734" s="3">
        <f t="shared" si="86"/>
        <v>101.23988</v>
      </c>
      <c r="W734" s="1">
        <f t="shared" si="88"/>
        <v>8.8795571903631746E-3</v>
      </c>
      <c r="Y734" s="4">
        <v>250.01752999999999</v>
      </c>
      <c r="Z734" s="1">
        <v>364</v>
      </c>
      <c r="AA734" s="5">
        <v>105.58925000000001</v>
      </c>
      <c r="AB734" s="3">
        <f t="shared" si="87"/>
        <v>103.98023000000001</v>
      </c>
      <c r="AC734" s="1">
        <f t="shared" si="89"/>
        <v>2.1465556467202508E-3</v>
      </c>
    </row>
    <row r="735" spans="19:29" x14ac:dyDescent="0.2">
      <c r="S735" s="4">
        <v>250.0051</v>
      </c>
      <c r="T735" s="1">
        <v>364.5</v>
      </c>
      <c r="U735" s="3">
        <v>97.902050000000003</v>
      </c>
      <c r="V735" s="3">
        <f t="shared" si="86"/>
        <v>101.22574</v>
      </c>
      <c r="W735" s="1">
        <f t="shared" si="88"/>
        <v>9.0196048615751971E-3</v>
      </c>
      <c r="Y735" s="4">
        <v>250.02226999999999</v>
      </c>
      <c r="Z735" s="1">
        <v>364.5</v>
      </c>
      <c r="AA735" s="3">
        <v>105.61796</v>
      </c>
      <c r="AB735" s="3">
        <f t="shared" si="87"/>
        <v>104.00894</v>
      </c>
      <c r="AC735" s="1">
        <f t="shared" si="89"/>
        <v>1.8678364001130543E-3</v>
      </c>
    </row>
    <row r="736" spans="19:29" x14ac:dyDescent="0.2">
      <c r="S736" s="4">
        <v>250.00912</v>
      </c>
      <c r="T736" s="1">
        <v>365</v>
      </c>
      <c r="U736" s="5">
        <v>97.921180000000007</v>
      </c>
      <c r="V736" s="3">
        <f t="shared" si="86"/>
        <v>101.24487000000001</v>
      </c>
      <c r="W736" s="1">
        <f t="shared" si="88"/>
        <v>8.8301344266185477E-3</v>
      </c>
      <c r="Y736" s="4">
        <v>250.02440000000001</v>
      </c>
      <c r="Z736" s="1">
        <v>365</v>
      </c>
      <c r="AA736" s="5">
        <v>105.58320000000001</v>
      </c>
      <c r="AB736" s="3">
        <f t="shared" si="87"/>
        <v>103.97418</v>
      </c>
      <c r="AC736" s="1">
        <f t="shared" si="89"/>
        <v>2.205289587576213E-3</v>
      </c>
    </row>
    <row r="737" spans="19:29" x14ac:dyDescent="0.2">
      <c r="S737" s="4">
        <v>250.00904</v>
      </c>
      <c r="T737" s="1">
        <v>365.5</v>
      </c>
      <c r="U737" s="3">
        <v>97.896150000000006</v>
      </c>
      <c r="V737" s="3">
        <f t="shared" si="86"/>
        <v>101.21984</v>
      </c>
      <c r="W737" s="1">
        <f t="shared" si="88"/>
        <v>9.0780405942591166E-3</v>
      </c>
      <c r="Y737" s="4">
        <v>250.02569</v>
      </c>
      <c r="Z737" s="1">
        <v>365.5</v>
      </c>
      <c r="AA737" s="3">
        <v>105.63731</v>
      </c>
      <c r="AB737" s="3">
        <f t="shared" si="87"/>
        <v>104.02829</v>
      </c>
      <c r="AC737" s="1">
        <f t="shared" si="89"/>
        <v>1.6799848702679829E-3</v>
      </c>
    </row>
    <row r="738" spans="19:29" x14ac:dyDescent="0.2">
      <c r="S738" s="4">
        <v>250.00895</v>
      </c>
      <c r="T738" s="1">
        <v>366</v>
      </c>
      <c r="U738" s="5">
        <v>97.887479999999996</v>
      </c>
      <c r="V738" s="3">
        <f t="shared" si="86"/>
        <v>101.21117</v>
      </c>
      <c r="W738" s="1">
        <f t="shared" si="88"/>
        <v>9.1639114082202027E-3</v>
      </c>
      <c r="Y738" s="4">
        <v>250.02182999999999</v>
      </c>
      <c r="Z738" s="1">
        <v>366</v>
      </c>
      <c r="AA738" s="5">
        <v>105.66634999999999</v>
      </c>
      <c r="AB738" s="3">
        <f t="shared" si="87"/>
        <v>104.05732999999999</v>
      </c>
      <c r="AC738" s="1">
        <f t="shared" si="89"/>
        <v>1.3980619541595022E-3</v>
      </c>
    </row>
    <row r="739" spans="19:29" x14ac:dyDescent="0.2">
      <c r="S739" s="4">
        <v>250.00802999999999</v>
      </c>
      <c r="T739" s="1">
        <v>366.5</v>
      </c>
      <c r="U739" s="3">
        <v>97.879220000000004</v>
      </c>
      <c r="V739" s="3">
        <f t="shared" si="86"/>
        <v>101.20291</v>
      </c>
      <c r="W739" s="1">
        <f t="shared" si="88"/>
        <v>9.245721433977663E-3</v>
      </c>
      <c r="Y739" s="4">
        <v>250.01638</v>
      </c>
      <c r="Z739" s="1">
        <v>366.5</v>
      </c>
      <c r="AA739" s="3">
        <v>105.51849</v>
      </c>
      <c r="AB739" s="3">
        <f t="shared" si="87"/>
        <v>103.90947</v>
      </c>
      <c r="AC739" s="1">
        <f t="shared" si="89"/>
        <v>2.8335000524999207E-3</v>
      </c>
    </row>
    <row r="740" spans="19:29" x14ac:dyDescent="0.2">
      <c r="S740" s="4">
        <v>250.00504000000001</v>
      </c>
      <c r="T740" s="1">
        <v>367</v>
      </c>
      <c r="U740" s="5">
        <v>97.887739999999994</v>
      </c>
      <c r="V740" s="3">
        <f t="shared" si="86"/>
        <v>101.21142999999999</v>
      </c>
      <c r="W740" s="1">
        <f t="shared" si="88"/>
        <v>9.1613362742375467E-3</v>
      </c>
      <c r="Y740" s="4">
        <v>250.01416</v>
      </c>
      <c r="Z740" s="1">
        <v>367</v>
      </c>
      <c r="AA740" s="5">
        <v>105.62553</v>
      </c>
      <c r="AB740" s="3">
        <f t="shared" si="87"/>
        <v>104.01651</v>
      </c>
      <c r="AC740" s="1">
        <f t="shared" si="89"/>
        <v>1.7943461633726304E-3</v>
      </c>
    </row>
    <row r="741" spans="19:29" x14ac:dyDescent="0.2">
      <c r="S741" s="4">
        <v>250.00415000000001</v>
      </c>
      <c r="T741" s="1">
        <v>367.5</v>
      </c>
      <c r="U741" s="3">
        <v>97.879270000000005</v>
      </c>
      <c r="V741" s="3">
        <f t="shared" si="86"/>
        <v>101.20296</v>
      </c>
      <c r="W741" s="1">
        <f t="shared" si="88"/>
        <v>9.2452262159040538E-3</v>
      </c>
      <c r="Y741" s="4">
        <v>250.01365999999999</v>
      </c>
      <c r="Z741" s="1">
        <v>367.5</v>
      </c>
      <c r="AA741" s="3">
        <v>105.57865</v>
      </c>
      <c r="AB741" s="3">
        <f t="shared" si="87"/>
        <v>103.96963</v>
      </c>
      <c r="AC741" s="1">
        <f t="shared" si="89"/>
        <v>2.2494613943357285E-3</v>
      </c>
    </row>
    <row r="742" spans="19:29" x14ac:dyDescent="0.2">
      <c r="S742" s="4">
        <v>250.01101</v>
      </c>
      <c r="T742" s="1">
        <v>368</v>
      </c>
      <c r="U742" s="5">
        <v>97.883369999999999</v>
      </c>
      <c r="V742" s="3">
        <f t="shared" si="86"/>
        <v>101.20706</v>
      </c>
      <c r="W742" s="1">
        <f t="shared" si="88"/>
        <v>9.2046183338695027E-3</v>
      </c>
      <c r="Y742" s="4">
        <v>250.01140000000001</v>
      </c>
      <c r="Z742" s="1">
        <v>368</v>
      </c>
      <c r="AA742" s="5">
        <v>105.62342</v>
      </c>
      <c r="AB742" s="3">
        <f t="shared" si="87"/>
        <v>104.01439999999999</v>
      </c>
      <c r="AC742" s="1">
        <f t="shared" si="89"/>
        <v>1.8148302320017461E-3</v>
      </c>
    </row>
    <row r="743" spans="19:29" x14ac:dyDescent="0.2">
      <c r="S743" s="4">
        <v>250.01195999999999</v>
      </c>
      <c r="T743" s="1">
        <v>368.5</v>
      </c>
      <c r="U743" s="3">
        <v>97.879599999999996</v>
      </c>
      <c r="V743" s="3">
        <f t="shared" si="86"/>
        <v>101.20329</v>
      </c>
      <c r="W743" s="1">
        <f t="shared" si="88"/>
        <v>9.2419577766184296E-3</v>
      </c>
      <c r="Y743" s="4">
        <v>250.00991999999999</v>
      </c>
      <c r="Z743" s="1">
        <v>368.5</v>
      </c>
      <c r="AA743" s="3">
        <v>105.66325000000001</v>
      </c>
      <c r="AB743" s="3">
        <f t="shared" si="87"/>
        <v>104.05423</v>
      </c>
      <c r="AC743" s="1">
        <f t="shared" si="89"/>
        <v>1.4281570312921952E-3</v>
      </c>
    </row>
    <row r="744" spans="19:29" x14ac:dyDescent="0.2">
      <c r="S744" s="4">
        <v>250.00602000000001</v>
      </c>
      <c r="T744" s="1">
        <v>369</v>
      </c>
      <c r="U744" s="5">
        <v>97.873220000000003</v>
      </c>
      <c r="V744" s="3">
        <f t="shared" si="86"/>
        <v>101.19691</v>
      </c>
      <c r="W744" s="1">
        <f t="shared" si="88"/>
        <v>9.3051476028088026E-3</v>
      </c>
      <c r="Y744" s="4">
        <v>250.00891999999999</v>
      </c>
      <c r="Z744" s="1">
        <v>369</v>
      </c>
      <c r="AA744" s="5">
        <v>105.74512</v>
      </c>
      <c r="AB744" s="3">
        <f t="shared" si="87"/>
        <v>104.1361</v>
      </c>
      <c r="AC744" s="1">
        <f t="shared" si="89"/>
        <v>6.3335575230445413E-4</v>
      </c>
    </row>
    <row r="745" spans="19:29" x14ac:dyDescent="0.2">
      <c r="S745" s="4">
        <v>250.00595000000001</v>
      </c>
      <c r="T745" s="1">
        <v>369.5</v>
      </c>
      <c r="U745" s="3">
        <v>97.869159999999994</v>
      </c>
      <c r="V745" s="3">
        <f t="shared" si="86"/>
        <v>101.19284999999999</v>
      </c>
      <c r="W745" s="1">
        <f t="shared" si="88"/>
        <v>9.3453593103846339E-3</v>
      </c>
      <c r="Y745" s="4">
        <v>250.00435999999999</v>
      </c>
      <c r="Z745" s="1">
        <v>369.5</v>
      </c>
      <c r="AA745" s="3">
        <v>105.59269</v>
      </c>
      <c r="AB745" s="3">
        <f t="shared" si="87"/>
        <v>103.98367</v>
      </c>
      <c r="AC745" s="1">
        <f t="shared" si="89"/>
        <v>2.1131598191922655E-3</v>
      </c>
    </row>
    <row r="746" spans="19:29" x14ac:dyDescent="0.2">
      <c r="S746" s="4">
        <v>250.00099</v>
      </c>
      <c r="T746" s="1">
        <v>370</v>
      </c>
      <c r="U746" s="5">
        <v>97.877399999999994</v>
      </c>
      <c r="V746" s="3">
        <f t="shared" si="86"/>
        <v>101.20108999999999</v>
      </c>
      <c r="W746" s="1">
        <f t="shared" si="88"/>
        <v>9.2637473718565327E-3</v>
      </c>
      <c r="Y746" s="4">
        <v>250.00315000000001</v>
      </c>
      <c r="Z746" s="1">
        <v>370</v>
      </c>
      <c r="AA746" s="5">
        <v>105.62512</v>
      </c>
      <c r="AB746" s="3">
        <f t="shared" si="87"/>
        <v>104.01609999999999</v>
      </c>
      <c r="AC746" s="1">
        <f t="shared" si="89"/>
        <v>1.7983264800256996E-3</v>
      </c>
    </row>
    <row r="747" spans="19:29" x14ac:dyDescent="0.2">
      <c r="S747" s="4">
        <v>250.00203999999999</v>
      </c>
      <c r="T747" s="1">
        <v>370.5</v>
      </c>
      <c r="U747" s="3">
        <v>97.88749</v>
      </c>
      <c r="V747" s="3">
        <f t="shared" si="86"/>
        <v>101.21118</v>
      </c>
      <c r="W747" s="1">
        <f t="shared" si="88"/>
        <v>9.1638123646054521E-3</v>
      </c>
      <c r="Y747" s="4">
        <v>250.00493</v>
      </c>
      <c r="Z747" s="1">
        <v>370.5</v>
      </c>
      <c r="AA747" s="3">
        <v>105.71643</v>
      </c>
      <c r="AB747" s="3">
        <f t="shared" si="87"/>
        <v>104.10741</v>
      </c>
      <c r="AC747" s="1">
        <f t="shared" si="89"/>
        <v>9.1188083712377319E-4</v>
      </c>
    </row>
    <row r="748" spans="19:29" x14ac:dyDescent="0.2">
      <c r="S748" s="4">
        <v>250.00801000000001</v>
      </c>
      <c r="T748" s="1">
        <v>371</v>
      </c>
      <c r="U748" s="5">
        <v>97.879649999999998</v>
      </c>
      <c r="V748" s="3">
        <f t="shared" si="86"/>
        <v>101.20334</v>
      </c>
      <c r="W748" s="1">
        <f t="shared" si="88"/>
        <v>9.2414625585448204E-3</v>
      </c>
      <c r="Y748" s="4">
        <v>250.00986</v>
      </c>
      <c r="Z748" s="1">
        <v>371</v>
      </c>
      <c r="AA748" s="5">
        <v>105.60897</v>
      </c>
      <c r="AB748" s="3">
        <f t="shared" si="87"/>
        <v>103.99995</v>
      </c>
      <c r="AC748" s="1">
        <f t="shared" si="89"/>
        <v>1.9551121237981403E-3</v>
      </c>
    </row>
    <row r="749" spans="19:29" x14ac:dyDescent="0.2">
      <c r="S749" s="4">
        <v>250.00797</v>
      </c>
      <c r="T749" s="1">
        <v>371.5</v>
      </c>
      <c r="U749" s="3">
        <v>97.871309999999994</v>
      </c>
      <c r="V749" s="3">
        <f t="shared" si="86"/>
        <v>101.19499999999999</v>
      </c>
      <c r="W749" s="1">
        <f t="shared" si="88"/>
        <v>9.32406493322014E-3</v>
      </c>
      <c r="Y749" s="4">
        <v>250.01805999999999</v>
      </c>
      <c r="Z749" s="1">
        <v>371.5</v>
      </c>
      <c r="AA749" s="3">
        <v>105.54817</v>
      </c>
      <c r="AB749" s="3">
        <f t="shared" si="87"/>
        <v>103.93915</v>
      </c>
      <c r="AC749" s="1">
        <f t="shared" si="89"/>
        <v>2.5453639591768861E-3</v>
      </c>
    </row>
    <row r="750" spans="19:29" x14ac:dyDescent="0.2">
      <c r="S750" s="4">
        <v>250.00101000000001</v>
      </c>
      <c r="T750" s="1">
        <v>372</v>
      </c>
      <c r="U750" s="5">
        <v>97.868769999999998</v>
      </c>
      <c r="V750" s="3">
        <f t="shared" si="86"/>
        <v>101.19246</v>
      </c>
      <c r="W750" s="1">
        <f t="shared" si="88"/>
        <v>9.349222011358618E-3</v>
      </c>
      <c r="Y750" s="4">
        <v>250.02137999999999</v>
      </c>
      <c r="Z750" s="1">
        <v>372</v>
      </c>
      <c r="AA750" s="5">
        <v>105.69562000000001</v>
      </c>
      <c r="AB750" s="3">
        <f t="shared" si="87"/>
        <v>104.0866</v>
      </c>
      <c r="AC750" s="1">
        <f t="shared" si="89"/>
        <v>1.1139061774893988E-3</v>
      </c>
    </row>
    <row r="751" spans="19:29" x14ac:dyDescent="0.2">
      <c r="S751" s="4">
        <v>250.00900999999999</v>
      </c>
      <c r="T751" s="1">
        <v>372.5</v>
      </c>
      <c r="U751" s="3">
        <v>97.867080000000001</v>
      </c>
      <c r="V751" s="3">
        <f t="shared" si="86"/>
        <v>101.19077</v>
      </c>
      <c r="W751" s="1">
        <f t="shared" si="88"/>
        <v>9.3659603822460191E-3</v>
      </c>
      <c r="Y751" s="4">
        <v>250.02605</v>
      </c>
      <c r="Z751" s="1">
        <v>372.5</v>
      </c>
      <c r="AA751" s="3">
        <v>105.61395</v>
      </c>
      <c r="AB751" s="3">
        <f t="shared" si="87"/>
        <v>104.00493</v>
      </c>
      <c r="AC751" s="1">
        <f t="shared" si="89"/>
        <v>1.9067658385976782E-3</v>
      </c>
    </row>
    <row r="752" spans="19:29" x14ac:dyDescent="0.2">
      <c r="S752" s="4">
        <v>250.01000999999999</v>
      </c>
      <c r="T752" s="1">
        <v>373</v>
      </c>
      <c r="U752" s="5">
        <v>97.852410000000006</v>
      </c>
      <c r="V752" s="3">
        <f t="shared" si="86"/>
        <v>101.17610000000001</v>
      </c>
      <c r="W752" s="1">
        <f t="shared" si="88"/>
        <v>9.5112573650381026E-3</v>
      </c>
      <c r="Y752" s="4">
        <v>250.03036</v>
      </c>
      <c r="Z752" s="1">
        <v>373</v>
      </c>
      <c r="AA752" s="5">
        <v>105.63281000000001</v>
      </c>
      <c r="AB752" s="3">
        <f t="shared" si="87"/>
        <v>104.02379000000001</v>
      </c>
      <c r="AC752" s="1">
        <f t="shared" si="89"/>
        <v>1.7236712725574607E-3</v>
      </c>
    </row>
    <row r="753" spans="19:29" x14ac:dyDescent="0.2">
      <c r="S753" s="4">
        <v>250.00594000000001</v>
      </c>
      <c r="T753" s="1">
        <v>373.5</v>
      </c>
      <c r="U753" s="3">
        <v>97.84442</v>
      </c>
      <c r="V753" s="3">
        <f t="shared" si="86"/>
        <v>101.16811</v>
      </c>
      <c r="W753" s="1">
        <f t="shared" si="88"/>
        <v>9.5903932131982984E-3</v>
      </c>
      <c r="Y753" s="4">
        <v>250.02803</v>
      </c>
      <c r="Z753" s="1">
        <v>373.5</v>
      </c>
      <c r="AA753" s="3">
        <v>105.68427</v>
      </c>
      <c r="AB753" s="3">
        <f t="shared" si="87"/>
        <v>104.07525</v>
      </c>
      <c r="AC753" s="1">
        <f t="shared" si="89"/>
        <v>1.2240929921531001E-3</v>
      </c>
    </row>
    <row r="754" spans="19:29" x14ac:dyDescent="0.2">
      <c r="S754" s="4">
        <v>250.00603000000001</v>
      </c>
      <c r="T754" s="1">
        <v>374</v>
      </c>
      <c r="U754" s="5">
        <v>97.858329999999995</v>
      </c>
      <c r="V754" s="3">
        <f t="shared" si="86"/>
        <v>101.18201999999999</v>
      </c>
      <c r="W754" s="1">
        <f t="shared" si="88"/>
        <v>9.4526235451248223E-3</v>
      </c>
      <c r="Y754" s="4">
        <v>250.02688000000001</v>
      </c>
      <c r="Z754" s="1">
        <v>374</v>
      </c>
      <c r="AA754" s="5">
        <v>105.65058999999999</v>
      </c>
      <c r="AB754" s="3">
        <f t="shared" si="87"/>
        <v>104.04156999999999</v>
      </c>
      <c r="AC754" s="1">
        <f t="shared" si="89"/>
        <v>1.5510614430668888E-3</v>
      </c>
    </row>
    <row r="755" spans="19:29" x14ac:dyDescent="0.2">
      <c r="S755" s="4">
        <v>250.00497999999999</v>
      </c>
      <c r="T755" s="1">
        <v>374.5</v>
      </c>
      <c r="U755" s="3">
        <v>97.848770000000002</v>
      </c>
      <c r="V755" s="3">
        <f t="shared" si="86"/>
        <v>101.17246</v>
      </c>
      <c r="W755" s="1">
        <f t="shared" si="88"/>
        <v>9.5473092407957014E-3</v>
      </c>
      <c r="Y755" s="4">
        <v>250.02213</v>
      </c>
      <c r="Z755" s="1">
        <v>374.5</v>
      </c>
      <c r="AA755" s="3">
        <v>105.66419999999999</v>
      </c>
      <c r="AB755" s="3">
        <f t="shared" si="87"/>
        <v>104.05517999999999</v>
      </c>
      <c r="AC755" s="1">
        <f t="shared" si="89"/>
        <v>1.4189343463645102E-3</v>
      </c>
    </row>
    <row r="756" spans="19:29" x14ac:dyDescent="0.2">
      <c r="S756" s="4">
        <v>250.00402</v>
      </c>
      <c r="T756" s="1">
        <v>375</v>
      </c>
      <c r="U756" s="5">
        <v>97.841970000000003</v>
      </c>
      <c r="V756" s="3">
        <f t="shared" si="86"/>
        <v>101.16566</v>
      </c>
      <c r="W756" s="1">
        <f t="shared" si="88"/>
        <v>9.6146588988043069E-3</v>
      </c>
      <c r="Y756" s="4">
        <v>250.01886999999999</v>
      </c>
      <c r="Z756" s="1">
        <v>375</v>
      </c>
      <c r="AA756" s="5">
        <v>105.7465</v>
      </c>
      <c r="AB756" s="3">
        <f t="shared" si="87"/>
        <v>104.13748</v>
      </c>
      <c r="AC756" s="1">
        <f t="shared" si="89"/>
        <v>6.1995858893568471E-4</v>
      </c>
    </row>
    <row r="757" spans="19:29" x14ac:dyDescent="0.2">
      <c r="S757" s="4">
        <v>250.00603000000001</v>
      </c>
      <c r="T757" s="1">
        <v>375.5</v>
      </c>
      <c r="U757" s="3">
        <v>97.831909999999993</v>
      </c>
      <c r="V757" s="3">
        <f t="shared" si="86"/>
        <v>101.15559999999999</v>
      </c>
      <c r="W757" s="1">
        <f t="shared" si="88"/>
        <v>9.7142967752112779E-3</v>
      </c>
      <c r="Y757" s="4">
        <v>250.02081000000001</v>
      </c>
      <c r="Z757" s="1">
        <v>375.5</v>
      </c>
      <c r="AA757" s="3">
        <v>105.60032</v>
      </c>
      <c r="AB757" s="3">
        <f t="shared" si="87"/>
        <v>103.9913</v>
      </c>
      <c r="AC757" s="1">
        <f t="shared" si="89"/>
        <v>2.0390870970880721E-3</v>
      </c>
    </row>
    <row r="758" spans="19:29" x14ac:dyDescent="0.2">
      <c r="S758" s="4">
        <v>250.00899999999999</v>
      </c>
      <c r="T758" s="1">
        <v>376</v>
      </c>
      <c r="U758" s="5">
        <v>97.846209999999999</v>
      </c>
      <c r="V758" s="3">
        <f t="shared" si="86"/>
        <v>101.1699</v>
      </c>
      <c r="W758" s="1">
        <f t="shared" si="88"/>
        <v>9.5726644061636772E-3</v>
      </c>
      <c r="Y758" s="4">
        <v>250.01989</v>
      </c>
      <c r="Z758" s="1">
        <v>376</v>
      </c>
      <c r="AA758" s="5">
        <v>105.64257000000001</v>
      </c>
      <c r="AB758" s="3">
        <f t="shared" si="87"/>
        <v>104.03355000000001</v>
      </c>
      <c r="AC758" s="1">
        <f t="shared" si="89"/>
        <v>1.6289203200361363E-3</v>
      </c>
    </row>
    <row r="759" spans="19:29" x14ac:dyDescent="0.2">
      <c r="S759" s="4">
        <v>250.00306</v>
      </c>
      <c r="T759" s="1">
        <v>376.5</v>
      </c>
      <c r="U759" s="3">
        <v>97.838279999999997</v>
      </c>
      <c r="V759" s="3">
        <f t="shared" si="86"/>
        <v>101.16197</v>
      </c>
      <c r="W759" s="1">
        <f t="shared" si="88"/>
        <v>9.651205992635515E-3</v>
      </c>
      <c r="Y759" s="4">
        <v>250.0196</v>
      </c>
      <c r="Z759" s="1">
        <v>376.5</v>
      </c>
      <c r="AA759" s="3">
        <v>105.67461</v>
      </c>
      <c r="AB759" s="3">
        <f t="shared" si="87"/>
        <v>104.06559</v>
      </c>
      <c r="AC759" s="1">
        <f t="shared" si="89"/>
        <v>1.3178731357346245E-3</v>
      </c>
    </row>
    <row r="760" spans="19:29" x14ac:dyDescent="0.2">
      <c r="S760" s="4">
        <v>250.00805</v>
      </c>
      <c r="T760" s="1">
        <v>377</v>
      </c>
      <c r="U760" s="5">
        <v>97.819770000000005</v>
      </c>
      <c r="V760" s="3">
        <f t="shared" si="86"/>
        <v>101.14346</v>
      </c>
      <c r="W760" s="1">
        <f t="shared" si="88"/>
        <v>9.8345357234794935E-3</v>
      </c>
      <c r="Y760" s="4">
        <v>250.0189</v>
      </c>
      <c r="Z760" s="1">
        <v>377</v>
      </c>
      <c r="AA760" s="5">
        <v>105.7911</v>
      </c>
      <c r="AB760" s="3">
        <f t="shared" si="87"/>
        <v>104.18208</v>
      </c>
      <c r="AC760" s="1">
        <f t="shared" si="89"/>
        <v>1.8697780179927922E-4</v>
      </c>
    </row>
    <row r="761" spans="19:29" x14ac:dyDescent="0.2">
      <c r="S761" s="4">
        <v>250.00789</v>
      </c>
      <c r="T761" s="1">
        <v>377.5</v>
      </c>
      <c r="U761" s="3">
        <v>97.831999999999994</v>
      </c>
      <c r="V761" s="3">
        <f t="shared" si="86"/>
        <v>101.15568999999999</v>
      </c>
      <c r="W761" s="1">
        <f t="shared" si="88"/>
        <v>9.7134053826788084E-3</v>
      </c>
      <c r="Y761" s="4">
        <v>250.01719</v>
      </c>
      <c r="Z761" s="1">
        <v>377.5</v>
      </c>
      <c r="AA761" s="3">
        <v>105.60035999999999</v>
      </c>
      <c r="AB761" s="3">
        <f t="shared" si="87"/>
        <v>103.99133999999999</v>
      </c>
      <c r="AC761" s="1">
        <f t="shared" si="89"/>
        <v>2.0386987735121795E-3</v>
      </c>
    </row>
    <row r="762" spans="19:29" x14ac:dyDescent="0.2">
      <c r="S762" s="4">
        <v>250.00295</v>
      </c>
      <c r="T762" s="1">
        <v>378</v>
      </c>
      <c r="U762" s="5">
        <v>97.844560000000001</v>
      </c>
      <c r="V762" s="3">
        <f t="shared" si="86"/>
        <v>101.16825</v>
      </c>
      <c r="W762" s="1">
        <f t="shared" si="88"/>
        <v>9.5890066025922198E-3</v>
      </c>
      <c r="Y762" s="4">
        <v>250.01775000000001</v>
      </c>
      <c r="Z762" s="1">
        <v>378</v>
      </c>
      <c r="AA762" s="5">
        <v>105.59771000000001</v>
      </c>
      <c r="AB762" s="3">
        <f t="shared" si="87"/>
        <v>103.98869000000001</v>
      </c>
      <c r="AC762" s="1">
        <f t="shared" si="89"/>
        <v>2.0644252104159112E-3</v>
      </c>
    </row>
    <row r="763" spans="19:29" x14ac:dyDescent="0.2">
      <c r="S763" s="4">
        <v>250.00498999999999</v>
      </c>
      <c r="T763" s="1">
        <v>378.5</v>
      </c>
      <c r="U763" s="3">
        <v>97.846320000000006</v>
      </c>
      <c r="V763" s="3">
        <f t="shared" si="86"/>
        <v>101.17001</v>
      </c>
      <c r="W763" s="1">
        <f t="shared" si="88"/>
        <v>9.5715749264017099E-3</v>
      </c>
      <c r="Y763" s="4">
        <v>250.01893000000001</v>
      </c>
      <c r="Z763" s="1">
        <v>378.5</v>
      </c>
      <c r="AA763" s="3">
        <v>105.64939</v>
      </c>
      <c r="AB763" s="3">
        <f t="shared" si="87"/>
        <v>104.04037</v>
      </c>
      <c r="AC763" s="1">
        <f t="shared" si="89"/>
        <v>1.5627111503440736E-3</v>
      </c>
    </row>
    <row r="764" spans="19:29" x14ac:dyDescent="0.2">
      <c r="S764" s="4">
        <v>250.00406000000001</v>
      </c>
      <c r="T764" s="1">
        <v>379</v>
      </c>
      <c r="U764" s="5">
        <v>97.819280000000006</v>
      </c>
      <c r="V764" s="3">
        <f t="shared" si="86"/>
        <v>101.14297000000001</v>
      </c>
      <c r="W764" s="1">
        <f t="shared" si="88"/>
        <v>9.8393888606006941E-3</v>
      </c>
      <c r="Y764" s="4">
        <v>250.01579000000001</v>
      </c>
      <c r="Z764" s="1">
        <v>379</v>
      </c>
      <c r="AA764" s="5">
        <v>105.65183</v>
      </c>
      <c r="AB764" s="3">
        <f t="shared" si="87"/>
        <v>104.04281</v>
      </c>
      <c r="AC764" s="1">
        <f t="shared" si="89"/>
        <v>1.5390234122136736E-3</v>
      </c>
    </row>
    <row r="765" spans="19:29" x14ac:dyDescent="0.2">
      <c r="S765" s="4">
        <v>250.00596999999999</v>
      </c>
      <c r="T765" s="1">
        <v>379.5</v>
      </c>
      <c r="U765" s="3">
        <v>97.807180000000002</v>
      </c>
      <c r="V765" s="3">
        <f t="shared" si="86"/>
        <v>101.13087</v>
      </c>
      <c r="W765" s="1">
        <f t="shared" si="88"/>
        <v>9.9592316344101917E-3</v>
      </c>
      <c r="Y765" s="4">
        <v>250.01183</v>
      </c>
      <c r="Z765" s="1">
        <v>379.5</v>
      </c>
      <c r="AA765" s="3">
        <v>105.56693</v>
      </c>
      <c r="AB765" s="3">
        <f t="shared" si="87"/>
        <v>103.95791</v>
      </c>
      <c r="AC765" s="1">
        <f t="shared" si="89"/>
        <v>2.3632402020764684E-3</v>
      </c>
    </row>
    <row r="766" spans="19:29" x14ac:dyDescent="0.2">
      <c r="S766" s="4">
        <v>250.00397000000001</v>
      </c>
      <c r="T766" s="1">
        <v>380</v>
      </c>
      <c r="U766" s="5">
        <v>97.813199999999995</v>
      </c>
      <c r="V766" s="3">
        <f t="shared" si="86"/>
        <v>101.13688999999999</v>
      </c>
      <c r="W766" s="1">
        <f t="shared" si="88"/>
        <v>9.8996073783496931E-3</v>
      </c>
      <c r="Y766" s="4">
        <v>250.00689</v>
      </c>
      <c r="Z766" s="1">
        <v>380</v>
      </c>
      <c r="AA766" s="5">
        <v>105.72024999999999</v>
      </c>
      <c r="AB766" s="3">
        <f t="shared" si="87"/>
        <v>104.11122999999999</v>
      </c>
      <c r="AC766" s="1">
        <f t="shared" si="89"/>
        <v>8.7479593562474157E-4</v>
      </c>
    </row>
    <row r="767" spans="19:29" x14ac:dyDescent="0.2">
      <c r="S767" s="4">
        <v>250.00503</v>
      </c>
      <c r="T767" s="1">
        <v>380.5</v>
      </c>
      <c r="U767" s="3">
        <v>97.811419999999998</v>
      </c>
      <c r="V767" s="3">
        <f t="shared" si="86"/>
        <v>101.13511</v>
      </c>
      <c r="W767" s="1">
        <f t="shared" si="88"/>
        <v>9.9172371417695637E-3</v>
      </c>
      <c r="Y767" s="4">
        <v>250.00513000000001</v>
      </c>
      <c r="Z767" s="1">
        <v>380.5</v>
      </c>
      <c r="AA767" s="3">
        <v>105.70486</v>
      </c>
      <c r="AB767" s="3">
        <f t="shared" si="87"/>
        <v>104.09584</v>
      </c>
      <c r="AC767" s="1">
        <f t="shared" si="89"/>
        <v>1.0242034314549514E-3</v>
      </c>
    </row>
    <row r="768" spans="19:29" x14ac:dyDescent="0.2">
      <c r="S768" s="4">
        <v>250.00301999999999</v>
      </c>
      <c r="T768" s="1">
        <v>381</v>
      </c>
      <c r="U768" s="5">
        <v>97.805090000000007</v>
      </c>
      <c r="V768" s="3">
        <f t="shared" si="86"/>
        <v>101.12878000000001</v>
      </c>
      <c r="W768" s="1">
        <f t="shared" si="88"/>
        <v>9.9799317498863258E-3</v>
      </c>
      <c r="Y768" s="4">
        <v>250.00671</v>
      </c>
      <c r="Z768" s="1">
        <v>381</v>
      </c>
      <c r="AA768" s="5">
        <v>105.72635</v>
      </c>
      <c r="AB768" s="3">
        <f t="shared" si="87"/>
        <v>104.11733</v>
      </c>
      <c r="AC768" s="1">
        <f t="shared" si="89"/>
        <v>8.1557659029887948E-4</v>
      </c>
    </row>
    <row r="769" spans="19:29" x14ac:dyDescent="0.2">
      <c r="S769" s="4">
        <v>250.01309000000001</v>
      </c>
      <c r="T769" s="1">
        <v>381.5</v>
      </c>
      <c r="U769" s="3">
        <v>97.80068</v>
      </c>
      <c r="V769" s="3">
        <f t="shared" si="86"/>
        <v>101.12437</v>
      </c>
      <c r="W769" s="1">
        <f t="shared" si="88"/>
        <v>1.0023609983977283E-2</v>
      </c>
      <c r="Y769" s="4">
        <v>250.00622000000001</v>
      </c>
      <c r="Z769" s="1">
        <v>381.5</v>
      </c>
      <c r="AA769" s="3">
        <v>105.60446</v>
      </c>
      <c r="AB769" s="3">
        <f t="shared" si="87"/>
        <v>103.99544</v>
      </c>
      <c r="AC769" s="1">
        <f t="shared" si="89"/>
        <v>1.9988956069816257E-3</v>
      </c>
    </row>
    <row r="770" spans="19:29" x14ac:dyDescent="0.2">
      <c r="S770" s="4">
        <v>250.00899999999999</v>
      </c>
      <c r="T770" s="1">
        <v>382</v>
      </c>
      <c r="U770" s="5">
        <v>97.796610000000001</v>
      </c>
      <c r="V770" s="3">
        <f t="shared" si="86"/>
        <v>101.1203</v>
      </c>
      <c r="W770" s="1">
        <f t="shared" si="88"/>
        <v>1.0063920735167724E-2</v>
      </c>
      <c r="Y770" s="4">
        <v>250.00373999999999</v>
      </c>
      <c r="Z770" s="1">
        <v>382</v>
      </c>
      <c r="AA770" s="5">
        <v>105.58958</v>
      </c>
      <c r="AB770" s="3">
        <f t="shared" si="87"/>
        <v>103.98056</v>
      </c>
      <c r="AC770" s="1">
        <f t="shared" si="89"/>
        <v>2.1433519772191042E-3</v>
      </c>
    </row>
    <row r="771" spans="19:29" x14ac:dyDescent="0.2">
      <c r="S771" s="4">
        <v>250.00595000000001</v>
      </c>
      <c r="T771" s="1">
        <v>382.5</v>
      </c>
      <c r="U771" s="3">
        <v>97.799040000000005</v>
      </c>
      <c r="V771" s="3">
        <f t="shared" si="86"/>
        <v>101.12273</v>
      </c>
      <c r="W771" s="1">
        <f t="shared" si="88"/>
        <v>1.0039853136791075E-2</v>
      </c>
      <c r="Y771" s="4">
        <v>250.00734</v>
      </c>
      <c r="Z771" s="1">
        <v>382.5</v>
      </c>
      <c r="AA771" s="3">
        <v>105.60259000000001</v>
      </c>
      <c r="AB771" s="3">
        <f t="shared" si="87"/>
        <v>103.99357000000001</v>
      </c>
      <c r="AC771" s="1">
        <f t="shared" si="89"/>
        <v>2.0170497341552491E-3</v>
      </c>
    </row>
    <row r="772" spans="19:29" x14ac:dyDescent="0.2">
      <c r="S772" s="4">
        <v>250.00702000000001</v>
      </c>
      <c r="T772" s="1">
        <v>383</v>
      </c>
      <c r="U772" s="5">
        <v>97.784840000000003</v>
      </c>
      <c r="V772" s="3">
        <f t="shared" si="86"/>
        <v>101.10853</v>
      </c>
      <c r="W772" s="1">
        <f t="shared" si="88"/>
        <v>1.0180495069691455E-2</v>
      </c>
      <c r="Y772" s="4">
        <v>250.01038</v>
      </c>
      <c r="Z772" s="1">
        <v>383</v>
      </c>
      <c r="AA772" s="5">
        <v>105.57841999999999</v>
      </c>
      <c r="AB772" s="3">
        <f t="shared" si="87"/>
        <v>103.96939999999999</v>
      </c>
      <c r="AC772" s="1">
        <f t="shared" si="89"/>
        <v>2.251694254897213E-3</v>
      </c>
    </row>
    <row r="773" spans="19:29" x14ac:dyDescent="0.2">
      <c r="S773" s="4">
        <v>250.00497999999999</v>
      </c>
      <c r="T773" s="1">
        <v>383.5</v>
      </c>
      <c r="U773" s="3">
        <v>97.790419999999997</v>
      </c>
      <c r="V773" s="3">
        <f t="shared" si="86"/>
        <v>101.11411</v>
      </c>
      <c r="W773" s="1">
        <f t="shared" si="88"/>
        <v>1.012522873267855E-2</v>
      </c>
      <c r="Y773" s="4">
        <v>250.01220000000001</v>
      </c>
      <c r="Z773" s="1">
        <v>383.5</v>
      </c>
      <c r="AA773" s="3">
        <v>105.61436999999999</v>
      </c>
      <c r="AB773" s="3">
        <f t="shared" si="87"/>
        <v>104.00534999999999</v>
      </c>
      <c r="AC773" s="1">
        <f t="shared" si="89"/>
        <v>1.9026884410507394E-3</v>
      </c>
    </row>
    <row r="774" spans="19:29" x14ac:dyDescent="0.2">
      <c r="S774" s="4">
        <v>250.00491</v>
      </c>
      <c r="T774" s="1">
        <v>384</v>
      </c>
      <c r="U774" s="5">
        <v>97.796989999999994</v>
      </c>
      <c r="V774" s="3">
        <f t="shared" si="86"/>
        <v>101.12067999999999</v>
      </c>
      <c r="W774" s="1">
        <f t="shared" si="88"/>
        <v>1.0060157077808491E-2</v>
      </c>
      <c r="Y774" s="4">
        <v>250.01322999999999</v>
      </c>
      <c r="Z774" s="1">
        <v>384</v>
      </c>
      <c r="AA774" s="5">
        <v>105.52571</v>
      </c>
      <c r="AB774" s="3">
        <f t="shared" si="87"/>
        <v>103.91669</v>
      </c>
      <c r="AC774" s="1">
        <f t="shared" si="89"/>
        <v>2.7634076470486584E-3</v>
      </c>
    </row>
    <row r="775" spans="19:29" x14ac:dyDescent="0.2">
      <c r="S775" s="4">
        <v>250.00394</v>
      </c>
      <c r="T775" s="1">
        <v>384.5</v>
      </c>
      <c r="U775" s="3">
        <v>97.782030000000006</v>
      </c>
      <c r="V775" s="3">
        <f t="shared" ref="V775:V838" si="90">100-($U$6-U775)</f>
        <v>101.10572000000001</v>
      </c>
      <c r="W775" s="1">
        <f t="shared" si="88"/>
        <v>1.0208326325427338E-2</v>
      </c>
      <c r="Y775" s="4">
        <v>250.01096000000001</v>
      </c>
      <c r="Z775" s="1">
        <v>384.5</v>
      </c>
      <c r="AA775" s="3">
        <v>105.59028000000001</v>
      </c>
      <c r="AB775" s="3">
        <f t="shared" ref="AB775:AB838" si="91">100-($AA$6-AA775)</f>
        <v>103.98126000000001</v>
      </c>
      <c r="AC775" s="1">
        <f t="shared" si="89"/>
        <v>2.1365563146406429E-3</v>
      </c>
    </row>
    <row r="776" spans="19:29" x14ac:dyDescent="0.2">
      <c r="S776" s="4">
        <v>250.00497999999999</v>
      </c>
      <c r="T776" s="1">
        <v>385</v>
      </c>
      <c r="U776" s="5">
        <v>97.780420000000007</v>
      </c>
      <c r="V776" s="3">
        <f t="shared" si="90"/>
        <v>101.10411000000001</v>
      </c>
      <c r="W776" s="1">
        <f t="shared" ref="W776:W839" si="92">($V$199-V776)/($V$199*(1-$H$1))</f>
        <v>1.022427234739702E-2</v>
      </c>
      <c r="Y776" s="4">
        <v>250.01161999999999</v>
      </c>
      <c r="Z776" s="1">
        <v>385</v>
      </c>
      <c r="AA776" s="5">
        <v>105.57894</v>
      </c>
      <c r="AB776" s="3">
        <f t="shared" si="91"/>
        <v>103.96992</v>
      </c>
      <c r="AC776" s="1">
        <f t="shared" si="89"/>
        <v>2.2466460484103362E-3</v>
      </c>
    </row>
    <row r="777" spans="19:29" x14ac:dyDescent="0.2">
      <c r="S777" s="4">
        <v>250.00799000000001</v>
      </c>
      <c r="T777" s="1">
        <v>385.5</v>
      </c>
      <c r="U777" s="3">
        <v>97.765600000000006</v>
      </c>
      <c r="V777" s="3">
        <f t="shared" si="90"/>
        <v>101.08929000000001</v>
      </c>
      <c r="W777" s="1">
        <f t="shared" si="92"/>
        <v>1.0371054984409931E-2</v>
      </c>
      <c r="Y777" s="4">
        <v>250.00987000000001</v>
      </c>
      <c r="Z777" s="1">
        <v>385.5</v>
      </c>
      <c r="AA777" s="3">
        <v>105.58998</v>
      </c>
      <c r="AB777" s="3">
        <f t="shared" si="91"/>
        <v>103.98096</v>
      </c>
      <c r="AC777" s="1">
        <f t="shared" si="89"/>
        <v>2.1394687414600425E-3</v>
      </c>
    </row>
    <row r="778" spans="19:29" x14ac:dyDescent="0.2">
      <c r="S778" s="4">
        <v>250.00604999999999</v>
      </c>
      <c r="T778" s="1">
        <v>386</v>
      </c>
      <c r="U778" s="5">
        <v>97.771789999999996</v>
      </c>
      <c r="V778" s="3">
        <f t="shared" si="90"/>
        <v>101.09547999999999</v>
      </c>
      <c r="W778" s="1">
        <f t="shared" si="92"/>
        <v>1.0309746986899246E-2</v>
      </c>
      <c r="Y778" s="4">
        <v>250.01276999999999</v>
      </c>
      <c r="Z778" s="1">
        <v>386</v>
      </c>
      <c r="AA778" s="5">
        <v>105.57783999999999</v>
      </c>
      <c r="AB778" s="3">
        <f t="shared" si="91"/>
        <v>103.96881999999999</v>
      </c>
      <c r="AC778" s="1">
        <f t="shared" si="89"/>
        <v>2.2573249467478592E-3</v>
      </c>
    </row>
    <row r="779" spans="19:29" x14ac:dyDescent="0.2">
      <c r="S779" s="4">
        <v>250.00899000000001</v>
      </c>
      <c r="T779" s="1">
        <v>386.5</v>
      </c>
      <c r="U779" s="3">
        <v>97.759550000000004</v>
      </c>
      <c r="V779" s="3">
        <f t="shared" si="90"/>
        <v>101.08324</v>
      </c>
      <c r="W779" s="1">
        <f t="shared" si="92"/>
        <v>1.043097637131468E-2</v>
      </c>
      <c r="Y779" s="4">
        <v>250.01447999999999</v>
      </c>
      <c r="Z779" s="1">
        <v>386.5</v>
      </c>
      <c r="AA779" s="3">
        <v>105.6084</v>
      </c>
      <c r="AB779" s="3">
        <f t="shared" si="91"/>
        <v>103.99938</v>
      </c>
      <c r="AC779" s="1">
        <f t="shared" si="89"/>
        <v>1.9606457347547787E-3</v>
      </c>
    </row>
    <row r="780" spans="19:29" x14ac:dyDescent="0.2">
      <c r="S780" s="4">
        <v>250.00501</v>
      </c>
      <c r="T780" s="1">
        <v>387</v>
      </c>
      <c r="U780" s="5">
        <v>97.765829999999994</v>
      </c>
      <c r="V780" s="3">
        <f t="shared" si="90"/>
        <v>101.08951999999999</v>
      </c>
      <c r="W780" s="1">
        <f t="shared" si="92"/>
        <v>1.0368776981271527E-2</v>
      </c>
      <c r="Y780" s="4">
        <v>250.01639</v>
      </c>
      <c r="Z780" s="1">
        <v>387</v>
      </c>
      <c r="AA780" s="5">
        <v>105.65322999999999</v>
      </c>
      <c r="AB780" s="3">
        <f t="shared" si="91"/>
        <v>104.04420999999999</v>
      </c>
      <c r="AC780" s="1">
        <f t="shared" si="89"/>
        <v>1.5254320870570269E-3</v>
      </c>
    </row>
    <row r="781" spans="19:29" x14ac:dyDescent="0.2">
      <c r="S781" s="4">
        <v>250.00997000000001</v>
      </c>
      <c r="T781" s="1">
        <v>387.5</v>
      </c>
      <c r="U781" s="3">
        <v>97.788449999999997</v>
      </c>
      <c r="V781" s="3">
        <f t="shared" si="90"/>
        <v>101.11214</v>
      </c>
      <c r="W781" s="1">
        <f t="shared" si="92"/>
        <v>1.0144740324778106E-2</v>
      </c>
      <c r="Y781" s="4">
        <v>250.01830000000001</v>
      </c>
      <c r="Z781" s="1">
        <v>387.5</v>
      </c>
      <c r="AA781" s="3">
        <v>105.62614000000001</v>
      </c>
      <c r="AB781" s="3">
        <f t="shared" si="91"/>
        <v>104.01712000000001</v>
      </c>
      <c r="AC781" s="1">
        <f t="shared" si="89"/>
        <v>1.7884242288399616E-3</v>
      </c>
    </row>
    <row r="782" spans="19:29" x14ac:dyDescent="0.2">
      <c r="S782" s="4">
        <v>250.00488000000001</v>
      </c>
      <c r="T782" s="1">
        <v>388</v>
      </c>
      <c r="U782" s="5">
        <v>97.776330000000002</v>
      </c>
      <c r="V782" s="3">
        <f t="shared" si="90"/>
        <v>101.10002</v>
      </c>
      <c r="W782" s="1">
        <f t="shared" si="92"/>
        <v>1.0264781185816963E-2</v>
      </c>
      <c r="Y782" s="4">
        <v>250.02055999999999</v>
      </c>
      <c r="Z782" s="1">
        <v>388</v>
      </c>
      <c r="AA782" s="5">
        <v>105.67773</v>
      </c>
      <c r="AB782" s="3">
        <f t="shared" si="91"/>
        <v>104.06871</v>
      </c>
      <c r="AC782" s="1">
        <f t="shared" si="89"/>
        <v>1.2875838968139162E-3</v>
      </c>
    </row>
    <row r="783" spans="19:29" x14ac:dyDescent="0.2">
      <c r="S783" s="4">
        <v>250.00005999999999</v>
      </c>
      <c r="T783" s="1">
        <v>388.5</v>
      </c>
      <c r="U783" s="3">
        <v>97.797129999999996</v>
      </c>
      <c r="V783" s="3">
        <f t="shared" si="90"/>
        <v>101.12081999999999</v>
      </c>
      <c r="W783" s="1">
        <f t="shared" si="92"/>
        <v>1.0058770467202412E-2</v>
      </c>
      <c r="Y783" s="4">
        <v>250.02108000000001</v>
      </c>
      <c r="Z783" s="1">
        <v>388.5</v>
      </c>
      <c r="AA783" s="3">
        <v>105.63735</v>
      </c>
      <c r="AB783" s="3">
        <f t="shared" si="91"/>
        <v>104.02833</v>
      </c>
      <c r="AC783" s="1">
        <f t="shared" si="89"/>
        <v>1.6795965466920905E-3</v>
      </c>
    </row>
    <row r="784" spans="19:29" x14ac:dyDescent="0.2">
      <c r="S784" s="4">
        <v>250.00498999999999</v>
      </c>
      <c r="T784" s="1">
        <v>389</v>
      </c>
      <c r="U784" s="5">
        <v>97.759690000000006</v>
      </c>
      <c r="V784" s="3">
        <f t="shared" si="90"/>
        <v>101.08338000000001</v>
      </c>
      <c r="W784" s="1">
        <f t="shared" si="92"/>
        <v>1.0429589760708603E-2</v>
      </c>
      <c r="Y784" s="4">
        <v>250.02225999999999</v>
      </c>
      <c r="Z784" s="1">
        <v>389</v>
      </c>
      <c r="AA784" s="5">
        <v>105.57289</v>
      </c>
      <c r="AB784" s="3">
        <f t="shared" si="91"/>
        <v>103.96387</v>
      </c>
      <c r="AC784" s="1">
        <f t="shared" si="89"/>
        <v>2.3053799892662988E-3</v>
      </c>
    </row>
    <row r="785" spans="19:29" x14ac:dyDescent="0.2">
      <c r="S785" s="4">
        <v>250.00207</v>
      </c>
      <c r="T785" s="1">
        <v>389.5</v>
      </c>
      <c r="U785" s="3">
        <v>97.766009999999994</v>
      </c>
      <c r="V785" s="3">
        <f t="shared" si="90"/>
        <v>101.08969999999999</v>
      </c>
      <c r="W785" s="1">
        <f t="shared" si="92"/>
        <v>1.036699419620659E-2</v>
      </c>
      <c r="Y785" s="4">
        <v>250.01755</v>
      </c>
      <c r="Z785" s="1">
        <v>389.5</v>
      </c>
      <c r="AA785" s="3">
        <v>105.57993999999999</v>
      </c>
      <c r="AB785" s="3">
        <f t="shared" si="91"/>
        <v>103.97091999999999</v>
      </c>
      <c r="AC785" s="1">
        <f t="shared" si="89"/>
        <v>2.2369379590127512E-3</v>
      </c>
    </row>
    <row r="786" spans="19:29" x14ac:dyDescent="0.2">
      <c r="S786" s="4">
        <v>250.00495000000001</v>
      </c>
      <c r="T786" s="1">
        <v>390</v>
      </c>
      <c r="U786" s="5">
        <v>97.748999999999995</v>
      </c>
      <c r="V786" s="3">
        <f t="shared" si="90"/>
        <v>101.07268999999999</v>
      </c>
      <c r="W786" s="1">
        <f t="shared" si="92"/>
        <v>1.0535467384842854E-2</v>
      </c>
      <c r="Y786" s="4">
        <v>250.01777000000001</v>
      </c>
      <c r="Z786" s="1">
        <v>390</v>
      </c>
      <c r="AA786" s="5">
        <v>105.70645</v>
      </c>
      <c r="AB786" s="3">
        <f t="shared" si="91"/>
        <v>104.09743</v>
      </c>
      <c r="AC786" s="1">
        <f t="shared" si="89"/>
        <v>1.0087675693125746E-3</v>
      </c>
    </row>
    <row r="787" spans="19:29" x14ac:dyDescent="0.2">
      <c r="S787" s="4">
        <v>250.00498999999999</v>
      </c>
      <c r="T787" s="1">
        <v>390.5</v>
      </c>
      <c r="U787" s="3">
        <v>97.742829999999998</v>
      </c>
      <c r="V787" s="3">
        <f t="shared" si="90"/>
        <v>101.06652</v>
      </c>
      <c r="W787" s="1">
        <f t="shared" si="92"/>
        <v>1.059657729512418E-2</v>
      </c>
      <c r="Y787" s="4">
        <v>250.02189000000001</v>
      </c>
      <c r="Z787" s="1">
        <v>390.5</v>
      </c>
      <c r="AA787" s="3">
        <v>105.57765999999999</v>
      </c>
      <c r="AB787" s="3">
        <f t="shared" si="91"/>
        <v>103.96863999999999</v>
      </c>
      <c r="AC787" s="1">
        <f t="shared" si="89"/>
        <v>2.2590724028394441E-3</v>
      </c>
    </row>
    <row r="788" spans="19:29" x14ac:dyDescent="0.2">
      <c r="S788" s="4">
        <v>250.00901999999999</v>
      </c>
      <c r="T788" s="1">
        <v>391</v>
      </c>
      <c r="U788" s="5">
        <v>97.747110000000006</v>
      </c>
      <c r="V788" s="3">
        <f t="shared" si="90"/>
        <v>101.07080000000001</v>
      </c>
      <c r="W788" s="1">
        <f t="shared" si="92"/>
        <v>1.0554186628024551E-2</v>
      </c>
      <c r="Y788" s="4">
        <v>250.02654999999999</v>
      </c>
      <c r="Z788" s="1">
        <v>391</v>
      </c>
      <c r="AA788" s="5">
        <v>105.67694</v>
      </c>
      <c r="AB788" s="3">
        <f t="shared" si="91"/>
        <v>104.06792</v>
      </c>
      <c r="AC788" s="1">
        <f t="shared" si="89"/>
        <v>1.2952532874380318E-3</v>
      </c>
    </row>
    <row r="789" spans="19:29" x14ac:dyDescent="0.2">
      <c r="S789" s="4">
        <v>250.01196999999999</v>
      </c>
      <c r="T789" s="1">
        <v>391.5</v>
      </c>
      <c r="U789" s="3">
        <v>97.763540000000006</v>
      </c>
      <c r="V789" s="3">
        <f t="shared" si="90"/>
        <v>101.08723000000001</v>
      </c>
      <c r="W789" s="1">
        <f t="shared" si="92"/>
        <v>1.0391457969041958E-2</v>
      </c>
      <c r="Y789" s="4">
        <v>250.02741</v>
      </c>
      <c r="Z789" s="1">
        <v>391.5</v>
      </c>
      <c r="AA789" s="3">
        <v>105.61862000000001</v>
      </c>
      <c r="AB789" s="3">
        <f t="shared" si="91"/>
        <v>104.00960000000001</v>
      </c>
      <c r="AC789" s="1">
        <f t="shared" si="89"/>
        <v>1.8614290611104855E-3</v>
      </c>
    </row>
    <row r="790" spans="19:29" x14ac:dyDescent="0.2">
      <c r="S790" s="4">
        <v>250.00504000000001</v>
      </c>
      <c r="T790" s="1">
        <v>392</v>
      </c>
      <c r="U790" s="5">
        <v>97.745829999999998</v>
      </c>
      <c r="V790" s="3">
        <f t="shared" si="90"/>
        <v>101.06952</v>
      </c>
      <c r="W790" s="1">
        <f t="shared" si="92"/>
        <v>1.0566864210708611E-2</v>
      </c>
      <c r="Y790" s="4">
        <v>250.02316999999999</v>
      </c>
      <c r="Z790" s="1">
        <v>392</v>
      </c>
      <c r="AA790" s="5">
        <v>105.62045999999999</v>
      </c>
      <c r="AB790" s="3">
        <f t="shared" si="91"/>
        <v>104.01143999999999</v>
      </c>
      <c r="AC790" s="1">
        <f t="shared" si="89"/>
        <v>1.8435661766188849E-3</v>
      </c>
    </row>
    <row r="791" spans="19:29" x14ac:dyDescent="0.2">
      <c r="S791" s="4">
        <v>250.00702000000001</v>
      </c>
      <c r="T791" s="1">
        <v>392.5</v>
      </c>
      <c r="U791" s="3">
        <v>97.747439999999997</v>
      </c>
      <c r="V791" s="3">
        <f t="shared" si="90"/>
        <v>101.07113</v>
      </c>
      <c r="W791" s="1">
        <f t="shared" si="92"/>
        <v>1.0550918188738927E-2</v>
      </c>
      <c r="Y791" s="4">
        <v>250.01884000000001</v>
      </c>
      <c r="Z791" s="1">
        <v>392.5</v>
      </c>
      <c r="AA791" s="3">
        <v>105.6246</v>
      </c>
      <c r="AB791" s="3">
        <f t="shared" si="91"/>
        <v>104.01558</v>
      </c>
      <c r="AC791" s="1">
        <f t="shared" si="89"/>
        <v>1.8033746865124384E-3</v>
      </c>
    </row>
    <row r="792" spans="19:29" x14ac:dyDescent="0.2">
      <c r="S792" s="4">
        <v>250.00702000000001</v>
      </c>
      <c r="T792" s="1">
        <v>393</v>
      </c>
      <c r="U792" s="5">
        <v>97.763940000000005</v>
      </c>
      <c r="V792" s="3">
        <f t="shared" si="90"/>
        <v>101.08763</v>
      </c>
      <c r="W792" s="1">
        <f t="shared" si="92"/>
        <v>1.0387496224453225E-2</v>
      </c>
      <c r="Y792" s="4">
        <v>250.02070000000001</v>
      </c>
      <c r="Z792" s="1">
        <v>393</v>
      </c>
      <c r="AA792" s="5">
        <v>105.51349</v>
      </c>
      <c r="AB792" s="3">
        <f t="shared" si="91"/>
        <v>103.90447</v>
      </c>
      <c r="AC792" s="1">
        <f t="shared" si="89"/>
        <v>2.88204049948826E-3</v>
      </c>
    </row>
    <row r="793" spans="19:29" x14ac:dyDescent="0.2">
      <c r="S793" s="4">
        <v>250.00402</v>
      </c>
      <c r="T793" s="1">
        <v>393.5</v>
      </c>
      <c r="U793" s="3">
        <v>97.745170000000002</v>
      </c>
      <c r="V793" s="3">
        <f t="shared" si="90"/>
        <v>101.06886</v>
      </c>
      <c r="W793" s="1">
        <f t="shared" si="92"/>
        <v>1.0573401089279998E-2</v>
      </c>
      <c r="Y793" s="4">
        <v>250.01935</v>
      </c>
      <c r="Z793" s="1">
        <v>393.5</v>
      </c>
      <c r="AA793" s="3">
        <v>105.64615000000001</v>
      </c>
      <c r="AB793" s="3">
        <f t="shared" si="91"/>
        <v>104.03713</v>
      </c>
      <c r="AC793" s="1">
        <f t="shared" si="89"/>
        <v>1.5941653599924591E-3</v>
      </c>
    </row>
    <row r="794" spans="19:29" x14ac:dyDescent="0.2">
      <c r="S794" s="4">
        <v>250.006</v>
      </c>
      <c r="T794" s="1">
        <v>394</v>
      </c>
      <c r="U794" s="5">
        <v>97.759720000000002</v>
      </c>
      <c r="V794" s="3">
        <f t="shared" si="90"/>
        <v>101.08341</v>
      </c>
      <c r="W794" s="1">
        <f t="shared" si="92"/>
        <v>1.0429292629864494E-2</v>
      </c>
      <c r="Y794" s="4">
        <v>250.01539</v>
      </c>
      <c r="Z794" s="1">
        <v>394</v>
      </c>
      <c r="AA794" s="5">
        <v>105.52988999999999</v>
      </c>
      <c r="AB794" s="3">
        <f t="shared" si="91"/>
        <v>103.92086999999999</v>
      </c>
      <c r="AC794" s="1">
        <f t="shared" si="89"/>
        <v>2.7228278333664576E-3</v>
      </c>
    </row>
    <row r="795" spans="19:29" x14ac:dyDescent="0.2">
      <c r="S795" s="4">
        <v>250.00394</v>
      </c>
      <c r="T795" s="1">
        <v>394.5</v>
      </c>
      <c r="U795" s="3">
        <v>97.749369999999999</v>
      </c>
      <c r="V795" s="3">
        <f t="shared" si="90"/>
        <v>101.07306</v>
      </c>
      <c r="W795" s="1">
        <f t="shared" si="92"/>
        <v>1.053180277109823E-2</v>
      </c>
      <c r="Y795" s="4">
        <v>250.01740000000001</v>
      </c>
      <c r="Z795" s="1">
        <v>394.5</v>
      </c>
      <c r="AA795" s="3">
        <v>105.65936000000001</v>
      </c>
      <c r="AB795" s="3">
        <f t="shared" si="91"/>
        <v>104.05034000000001</v>
      </c>
      <c r="AC795" s="1">
        <f t="shared" si="89"/>
        <v>1.4659214990491419E-3</v>
      </c>
    </row>
    <row r="796" spans="19:29" x14ac:dyDescent="0.2">
      <c r="S796" s="4">
        <v>250.00805</v>
      </c>
      <c r="T796" s="1">
        <v>395</v>
      </c>
      <c r="U796" s="5">
        <v>97.744990000000001</v>
      </c>
      <c r="V796" s="3">
        <f t="shared" si="90"/>
        <v>101.06868</v>
      </c>
      <c r="W796" s="1">
        <f t="shared" si="92"/>
        <v>1.0575183874344935E-2</v>
      </c>
      <c r="Y796" s="4">
        <v>250.01639</v>
      </c>
      <c r="Z796" s="1">
        <v>395</v>
      </c>
      <c r="AA796" s="5">
        <v>105.55372</v>
      </c>
      <c r="AB796" s="3">
        <f t="shared" si="91"/>
        <v>103.9447</v>
      </c>
      <c r="AC796" s="1">
        <f t="shared" si="89"/>
        <v>2.4914840630197855E-3</v>
      </c>
    </row>
    <row r="797" spans="19:29" x14ac:dyDescent="0.2">
      <c r="S797" s="4">
        <v>250.00301999999999</v>
      </c>
      <c r="T797" s="1">
        <v>395.5</v>
      </c>
      <c r="U797" s="3">
        <v>97.738839999999996</v>
      </c>
      <c r="V797" s="3">
        <f t="shared" si="90"/>
        <v>101.06253</v>
      </c>
      <c r="W797" s="1">
        <f t="shared" si="92"/>
        <v>1.0636095697396902E-2</v>
      </c>
      <c r="Y797" s="4">
        <v>250.01543000000001</v>
      </c>
      <c r="Z797" s="1">
        <v>395.5</v>
      </c>
      <c r="AA797" s="3">
        <v>105.62512</v>
      </c>
      <c r="AB797" s="3">
        <f t="shared" si="91"/>
        <v>104.01609999999999</v>
      </c>
      <c r="AC797" s="1">
        <f t="shared" ref="AC797:AC860" si="93">($AB$604-AB797)/($AB$604*(1-$H$1))</f>
        <v>1.7983264800256996E-3</v>
      </c>
    </row>
    <row r="798" spans="19:29" x14ac:dyDescent="0.2">
      <c r="S798" s="4">
        <v>250.00491</v>
      </c>
      <c r="T798" s="1">
        <v>396</v>
      </c>
      <c r="U798" s="5">
        <v>97.732839999999996</v>
      </c>
      <c r="V798" s="3">
        <f t="shared" si="90"/>
        <v>101.05653</v>
      </c>
      <c r="W798" s="1">
        <f t="shared" si="92"/>
        <v>1.0695521866228042E-2</v>
      </c>
      <c r="Y798" s="4">
        <v>250.01432</v>
      </c>
      <c r="Z798" s="1">
        <v>396</v>
      </c>
      <c r="AA798" s="5">
        <v>105.60332</v>
      </c>
      <c r="AB798" s="3">
        <f t="shared" si="91"/>
        <v>103.9943</v>
      </c>
      <c r="AC798" s="1">
        <f t="shared" si="93"/>
        <v>2.0099628288950408E-3</v>
      </c>
    </row>
    <row r="799" spans="19:29" x14ac:dyDescent="0.2">
      <c r="S799" s="4">
        <v>250.00507999999999</v>
      </c>
      <c r="T799" s="1">
        <v>396.5</v>
      </c>
      <c r="U799" s="3">
        <v>97.739149999999995</v>
      </c>
      <c r="V799" s="3">
        <f t="shared" si="90"/>
        <v>101.06283999999999</v>
      </c>
      <c r="W799" s="1">
        <f t="shared" si="92"/>
        <v>1.0633025345340637E-2</v>
      </c>
      <c r="Y799" s="4">
        <v>250.01549</v>
      </c>
      <c r="Z799" s="1">
        <v>396.5</v>
      </c>
      <c r="AA799" s="3">
        <v>105.58356000000001</v>
      </c>
      <c r="AB799" s="3">
        <f t="shared" si="91"/>
        <v>103.97454</v>
      </c>
      <c r="AC799" s="1">
        <f t="shared" si="93"/>
        <v>2.2017946753930435E-3</v>
      </c>
    </row>
    <row r="800" spans="19:29" x14ac:dyDescent="0.2">
      <c r="S800" s="4">
        <v>250.0061</v>
      </c>
      <c r="T800" s="1">
        <v>397</v>
      </c>
      <c r="U800" s="5">
        <v>97.722610000000003</v>
      </c>
      <c r="V800" s="3">
        <f t="shared" si="90"/>
        <v>101.0463</v>
      </c>
      <c r="W800" s="1">
        <f t="shared" si="92"/>
        <v>1.0796843484085059E-2</v>
      </c>
      <c r="Y800" s="4">
        <v>250.01561000000001</v>
      </c>
      <c r="Z800" s="1">
        <v>397</v>
      </c>
      <c r="AA800" s="5">
        <v>105.64534</v>
      </c>
      <c r="AB800" s="3">
        <f t="shared" si="91"/>
        <v>104.03632</v>
      </c>
      <c r="AC800" s="1">
        <f t="shared" si="93"/>
        <v>1.6020289124045897E-3</v>
      </c>
    </row>
    <row r="801" spans="19:29" x14ac:dyDescent="0.2">
      <c r="S801" s="4">
        <v>250.00903</v>
      </c>
      <c r="T801" s="1">
        <v>397.5</v>
      </c>
      <c r="U801" s="3">
        <v>97.734759999999994</v>
      </c>
      <c r="V801" s="3">
        <f t="shared" si="90"/>
        <v>101.05844999999999</v>
      </c>
      <c r="W801" s="1">
        <f t="shared" si="92"/>
        <v>1.0676505492202094E-2</v>
      </c>
      <c r="Y801" s="4">
        <v>250.01338999999999</v>
      </c>
      <c r="Z801" s="1">
        <v>397.5</v>
      </c>
      <c r="AA801" s="3">
        <v>105.57623</v>
      </c>
      <c r="AB801" s="3">
        <f t="shared" si="91"/>
        <v>103.96720999999999</v>
      </c>
      <c r="AC801" s="1">
        <f t="shared" si="93"/>
        <v>2.2729549706781136E-3</v>
      </c>
    </row>
    <row r="802" spans="19:29" x14ac:dyDescent="0.2">
      <c r="S802" s="4">
        <v>250.00393</v>
      </c>
      <c r="T802" s="1">
        <v>398</v>
      </c>
      <c r="U802" s="5">
        <v>97.734840000000005</v>
      </c>
      <c r="V802" s="3">
        <f t="shared" si="90"/>
        <v>101.05853</v>
      </c>
      <c r="W802" s="1">
        <f t="shared" si="92"/>
        <v>1.0675713143284235E-2</v>
      </c>
      <c r="Y802" s="4">
        <v>250.01472999999999</v>
      </c>
      <c r="Z802" s="1">
        <v>398</v>
      </c>
      <c r="AA802" s="5">
        <v>105.56171000000001</v>
      </c>
      <c r="AB802" s="3">
        <f t="shared" si="91"/>
        <v>103.95269</v>
      </c>
      <c r="AC802" s="1">
        <f t="shared" si="93"/>
        <v>2.4139164287322848E-3</v>
      </c>
    </row>
    <row r="803" spans="19:29" x14ac:dyDescent="0.2">
      <c r="S803" s="4">
        <v>250.00308999999999</v>
      </c>
      <c r="T803" s="1">
        <v>398.5</v>
      </c>
      <c r="U803" s="3">
        <v>97.710059999999999</v>
      </c>
      <c r="V803" s="3">
        <f t="shared" si="90"/>
        <v>101.03375</v>
      </c>
      <c r="W803" s="1">
        <f t="shared" si="92"/>
        <v>1.0921143220556899E-2</v>
      </c>
      <c r="Y803" s="4">
        <v>250.01527999999999</v>
      </c>
      <c r="Z803" s="1">
        <v>398.5</v>
      </c>
      <c r="AA803" s="3">
        <v>105.54098999999999</v>
      </c>
      <c r="AB803" s="3">
        <f t="shared" si="91"/>
        <v>103.93196999999999</v>
      </c>
      <c r="AC803" s="1">
        <f t="shared" si="93"/>
        <v>2.6150680410522561E-3</v>
      </c>
    </row>
    <row r="804" spans="19:29" x14ac:dyDescent="0.2">
      <c r="S804" s="4">
        <v>250.00494</v>
      </c>
      <c r="T804" s="1">
        <v>399</v>
      </c>
      <c r="U804" s="5">
        <v>97.724469999999997</v>
      </c>
      <c r="V804" s="3">
        <f t="shared" si="90"/>
        <v>101.04816</v>
      </c>
      <c r="W804" s="1">
        <f t="shared" si="92"/>
        <v>1.0778421371747471E-2</v>
      </c>
      <c r="Y804" s="4">
        <v>250.01492999999999</v>
      </c>
      <c r="Z804" s="1">
        <v>399</v>
      </c>
      <c r="AA804" s="5">
        <v>105.70003</v>
      </c>
      <c r="AB804" s="3">
        <f t="shared" si="91"/>
        <v>104.09101</v>
      </c>
      <c r="AC804" s="1">
        <f t="shared" si="93"/>
        <v>1.0710935032457135E-3</v>
      </c>
    </row>
    <row r="805" spans="19:29" x14ac:dyDescent="0.2">
      <c r="S805" s="4">
        <v>250.00305</v>
      </c>
      <c r="T805" s="1">
        <v>399.5</v>
      </c>
      <c r="U805" s="3">
        <v>97.712479999999999</v>
      </c>
      <c r="V805" s="3">
        <f t="shared" si="90"/>
        <v>101.03617</v>
      </c>
      <c r="W805" s="1">
        <f t="shared" si="92"/>
        <v>1.0897174665795E-2</v>
      </c>
      <c r="Y805" s="4">
        <v>250.01316</v>
      </c>
      <c r="Z805" s="1">
        <v>399.5</v>
      </c>
      <c r="AA805" s="3">
        <v>105.55924</v>
      </c>
      <c r="AB805" s="3">
        <f t="shared" si="91"/>
        <v>103.95022</v>
      </c>
      <c r="AC805" s="1">
        <f t="shared" si="93"/>
        <v>2.4378954095445695E-3</v>
      </c>
    </row>
    <row r="806" spans="19:29" x14ac:dyDescent="0.2">
      <c r="S806" s="4">
        <v>250.00509</v>
      </c>
      <c r="T806" s="1">
        <v>400</v>
      </c>
      <c r="U806" s="5">
        <v>97.708110000000005</v>
      </c>
      <c r="V806" s="3">
        <f t="shared" si="90"/>
        <v>101.0318</v>
      </c>
      <c r="W806" s="1">
        <f t="shared" si="92"/>
        <v>1.0940456725426956E-2</v>
      </c>
      <c r="Y806" s="4">
        <v>250.01394999999999</v>
      </c>
      <c r="Z806" s="1">
        <v>400</v>
      </c>
      <c r="AA806" s="5">
        <v>105.55464000000001</v>
      </c>
      <c r="AB806" s="3">
        <f t="shared" si="91"/>
        <v>103.94562000000001</v>
      </c>
      <c r="AC806" s="1">
        <f t="shared" si="93"/>
        <v>2.4825526207738471E-3</v>
      </c>
    </row>
    <row r="807" spans="19:29" x14ac:dyDescent="0.2">
      <c r="S807" s="4">
        <v>250.00597999999999</v>
      </c>
      <c r="T807" s="1">
        <v>400.5</v>
      </c>
      <c r="U807" s="3">
        <v>97.703810000000004</v>
      </c>
      <c r="V807" s="3">
        <f t="shared" si="90"/>
        <v>101.0275</v>
      </c>
      <c r="W807" s="1">
        <f t="shared" si="92"/>
        <v>1.0983045479755944E-2</v>
      </c>
      <c r="Y807" s="4">
        <v>250.01255</v>
      </c>
      <c r="Z807" s="1">
        <v>400.5</v>
      </c>
      <c r="AA807" s="3">
        <v>105.64736000000001</v>
      </c>
      <c r="AB807" s="3">
        <f t="shared" si="91"/>
        <v>104.03834000000001</v>
      </c>
      <c r="AC807" s="1">
        <f t="shared" si="93"/>
        <v>1.5824185718212665E-3</v>
      </c>
    </row>
    <row r="808" spans="19:29" x14ac:dyDescent="0.2">
      <c r="S808" s="4">
        <v>250.00097</v>
      </c>
      <c r="T808" s="1">
        <v>401</v>
      </c>
      <c r="U808" s="5">
        <v>97.714110000000005</v>
      </c>
      <c r="V808" s="3">
        <f t="shared" si="90"/>
        <v>101.0378</v>
      </c>
      <c r="W808" s="1">
        <f t="shared" si="92"/>
        <v>1.0881030556595816E-2</v>
      </c>
      <c r="Y808" s="4">
        <v>250.01365999999999</v>
      </c>
      <c r="Z808" s="1">
        <v>401</v>
      </c>
      <c r="AA808" s="5">
        <v>105.66893</v>
      </c>
      <c r="AB808" s="3">
        <f t="shared" si="91"/>
        <v>104.05991</v>
      </c>
      <c r="AC808" s="1">
        <f t="shared" si="93"/>
        <v>1.3730150835134099E-3</v>
      </c>
    </row>
    <row r="809" spans="19:29" x14ac:dyDescent="0.2">
      <c r="S809" s="4">
        <v>250.00399999999999</v>
      </c>
      <c r="T809" s="1">
        <v>401.5</v>
      </c>
      <c r="U809" s="3">
        <v>97.693619999999996</v>
      </c>
      <c r="V809" s="3">
        <f t="shared" si="90"/>
        <v>101.01730999999999</v>
      </c>
      <c r="W809" s="1">
        <f t="shared" si="92"/>
        <v>1.1083970923154243E-2</v>
      </c>
      <c r="Y809" s="4">
        <v>250.01383999999999</v>
      </c>
      <c r="Z809" s="1">
        <v>401.5</v>
      </c>
      <c r="AA809" s="3">
        <v>105.65429</v>
      </c>
      <c r="AB809" s="3">
        <f t="shared" si="91"/>
        <v>104.04527</v>
      </c>
      <c r="AC809" s="1">
        <f t="shared" si="93"/>
        <v>1.5151415122953962E-3</v>
      </c>
    </row>
    <row r="810" spans="19:29" x14ac:dyDescent="0.2">
      <c r="S810" s="4">
        <v>250.005</v>
      </c>
      <c r="T810" s="1">
        <v>402</v>
      </c>
      <c r="U810" s="5">
        <v>97.699569999999994</v>
      </c>
      <c r="V810" s="3">
        <f t="shared" si="90"/>
        <v>101.02325999999999</v>
      </c>
      <c r="W810" s="1">
        <f t="shared" si="92"/>
        <v>1.1025039972396712E-2</v>
      </c>
      <c r="Y810" s="4">
        <v>250.01336000000001</v>
      </c>
      <c r="Z810" s="1">
        <v>402</v>
      </c>
      <c r="AA810" s="5">
        <v>105.53404999999999</v>
      </c>
      <c r="AB810" s="3">
        <f t="shared" si="91"/>
        <v>103.92502999999999</v>
      </c>
      <c r="AC810" s="1">
        <f t="shared" si="93"/>
        <v>2.6824421814721339E-3</v>
      </c>
    </row>
    <row r="811" spans="19:29" x14ac:dyDescent="0.2">
      <c r="S811" s="4">
        <v>250.01105000000001</v>
      </c>
      <c r="T811" s="1">
        <v>402.5</v>
      </c>
      <c r="U811" s="3">
        <v>97.72054</v>
      </c>
      <c r="V811" s="3">
        <f t="shared" si="90"/>
        <v>101.04423</v>
      </c>
      <c r="W811" s="1">
        <f t="shared" si="92"/>
        <v>1.0817345512331834E-2</v>
      </c>
      <c r="Y811" s="4">
        <v>250.01123999999999</v>
      </c>
      <c r="Z811" s="1">
        <v>402.5</v>
      </c>
      <c r="AA811" s="3">
        <v>105.53891</v>
      </c>
      <c r="AB811" s="3">
        <f t="shared" si="91"/>
        <v>103.92989</v>
      </c>
      <c r="AC811" s="1">
        <f t="shared" si="93"/>
        <v>2.635260866999349E-3</v>
      </c>
    </row>
    <row r="812" spans="19:29" x14ac:dyDescent="0.2">
      <c r="S812" s="4">
        <v>250.00703999999999</v>
      </c>
      <c r="T812" s="1">
        <v>403</v>
      </c>
      <c r="U812" s="5">
        <v>97.713719999999995</v>
      </c>
      <c r="V812" s="3">
        <f t="shared" si="90"/>
        <v>101.03740999999999</v>
      </c>
      <c r="W812" s="1">
        <f t="shared" si="92"/>
        <v>1.0884893257569941E-2</v>
      </c>
      <c r="Y812" s="4">
        <v>250.01318000000001</v>
      </c>
      <c r="Z812" s="1">
        <v>403</v>
      </c>
      <c r="AA812" s="5">
        <v>105.54472</v>
      </c>
      <c r="AB812" s="3">
        <f t="shared" si="91"/>
        <v>103.9357</v>
      </c>
      <c r="AC812" s="1">
        <f t="shared" si="93"/>
        <v>2.5788568675988791E-3</v>
      </c>
    </row>
    <row r="813" spans="19:29" x14ac:dyDescent="0.2">
      <c r="S813" s="4">
        <v>250.00711000000001</v>
      </c>
      <c r="T813" s="1">
        <v>403.5</v>
      </c>
      <c r="U813" s="3">
        <v>97.703900000000004</v>
      </c>
      <c r="V813" s="3">
        <f t="shared" si="90"/>
        <v>101.02759</v>
      </c>
      <c r="W813" s="1">
        <f t="shared" si="92"/>
        <v>1.0982154087223474E-2</v>
      </c>
      <c r="Y813" s="4">
        <v>250.01397</v>
      </c>
      <c r="Z813" s="1">
        <v>403.5</v>
      </c>
      <c r="AA813" s="3">
        <v>105.71093</v>
      </c>
      <c r="AB813" s="3">
        <f t="shared" si="91"/>
        <v>104.10191</v>
      </c>
      <c r="AC813" s="1">
        <f t="shared" si="93"/>
        <v>9.6527532881097392E-4</v>
      </c>
    </row>
    <row r="814" spans="19:29" x14ac:dyDescent="0.2">
      <c r="S814" s="4">
        <v>250.00792999999999</v>
      </c>
      <c r="T814" s="1">
        <v>404</v>
      </c>
      <c r="U814" s="5">
        <v>97.711839999999995</v>
      </c>
      <c r="V814" s="3">
        <f t="shared" si="90"/>
        <v>101.03552999999999</v>
      </c>
      <c r="W814" s="1">
        <f t="shared" si="92"/>
        <v>1.0903513457137028E-2</v>
      </c>
      <c r="Y814" s="4">
        <v>250.01158000000001</v>
      </c>
      <c r="Z814" s="1">
        <v>404</v>
      </c>
      <c r="AA814" s="5">
        <v>105.60535</v>
      </c>
      <c r="AB814" s="3">
        <f t="shared" si="91"/>
        <v>103.99633</v>
      </c>
      <c r="AC814" s="1">
        <f t="shared" si="93"/>
        <v>1.99025540741771E-3</v>
      </c>
    </row>
    <row r="815" spans="19:29" x14ac:dyDescent="0.2">
      <c r="S815" s="4">
        <v>250.01205999999999</v>
      </c>
      <c r="T815" s="1">
        <v>404.5</v>
      </c>
      <c r="U815" s="3">
        <v>97.724630000000005</v>
      </c>
      <c r="V815" s="3">
        <f t="shared" si="90"/>
        <v>101.04832</v>
      </c>
      <c r="W815" s="1">
        <f t="shared" si="92"/>
        <v>1.0776836673911893E-2</v>
      </c>
      <c r="Y815" s="4">
        <v>250.01147</v>
      </c>
      <c r="Z815" s="1">
        <v>404.5</v>
      </c>
      <c r="AA815" s="3">
        <v>105.60590000000001</v>
      </c>
      <c r="AB815" s="3">
        <f t="shared" si="91"/>
        <v>103.99688</v>
      </c>
      <c r="AC815" s="1">
        <f t="shared" si="93"/>
        <v>1.9849159582489484E-3</v>
      </c>
    </row>
    <row r="816" spans="19:29" x14ac:dyDescent="0.2">
      <c r="S816" s="4">
        <v>250.00604000000001</v>
      </c>
      <c r="T816" s="1">
        <v>405</v>
      </c>
      <c r="U816" s="5">
        <v>97.707930000000005</v>
      </c>
      <c r="V816" s="3">
        <f t="shared" si="90"/>
        <v>101.03162</v>
      </c>
      <c r="W816" s="1">
        <f t="shared" si="92"/>
        <v>1.0942239510491893E-2</v>
      </c>
      <c r="Y816" s="4">
        <v>250.01023000000001</v>
      </c>
      <c r="Z816" s="1">
        <v>405</v>
      </c>
      <c r="AA816" s="5">
        <v>105.60809999999999</v>
      </c>
      <c r="AB816" s="3">
        <f t="shared" si="91"/>
        <v>103.99907999999999</v>
      </c>
      <c r="AC816" s="1">
        <f t="shared" si="93"/>
        <v>1.9635581615741787E-3</v>
      </c>
    </row>
    <row r="817" spans="19:29" x14ac:dyDescent="0.2">
      <c r="S817" s="4">
        <v>250.01103000000001</v>
      </c>
      <c r="T817" s="1">
        <v>405.5</v>
      </c>
      <c r="U817" s="3">
        <v>97.734449999999995</v>
      </c>
      <c r="V817" s="3">
        <f t="shared" si="90"/>
        <v>101.05813999999999</v>
      </c>
      <c r="W817" s="1">
        <f t="shared" si="92"/>
        <v>1.067957584425836E-2</v>
      </c>
      <c r="Y817" s="4">
        <v>250.00792999999999</v>
      </c>
      <c r="Z817" s="1">
        <v>405.5</v>
      </c>
      <c r="AA817" s="3">
        <v>105.49849</v>
      </c>
      <c r="AB817" s="3">
        <f t="shared" si="91"/>
        <v>103.88947</v>
      </c>
      <c r="AC817" s="1">
        <f t="shared" si="93"/>
        <v>3.0276618404534157E-3</v>
      </c>
    </row>
    <row r="818" spans="19:29" x14ac:dyDescent="0.2">
      <c r="S818" s="4">
        <v>250.00501</v>
      </c>
      <c r="T818" s="1">
        <v>406</v>
      </c>
      <c r="U818" s="5">
        <v>97.709630000000004</v>
      </c>
      <c r="V818" s="3">
        <f t="shared" si="90"/>
        <v>101.03332</v>
      </c>
      <c r="W818" s="1">
        <f t="shared" si="92"/>
        <v>1.0925402095989741E-2</v>
      </c>
      <c r="Y818" s="4">
        <v>250.01164</v>
      </c>
      <c r="Z818" s="1">
        <v>406</v>
      </c>
      <c r="AA818" s="5">
        <v>105.6801</v>
      </c>
      <c r="AB818" s="3">
        <f t="shared" si="91"/>
        <v>104.07107999999999</v>
      </c>
      <c r="AC818" s="1">
        <f t="shared" si="93"/>
        <v>1.2645757249414313E-3</v>
      </c>
    </row>
    <row r="819" spans="19:29" x14ac:dyDescent="0.2">
      <c r="S819" s="4">
        <v>250.00803999999999</v>
      </c>
      <c r="T819" s="1">
        <v>406.5</v>
      </c>
      <c r="U819" s="3">
        <v>97.710030000000003</v>
      </c>
      <c r="V819" s="3">
        <f t="shared" si="90"/>
        <v>101.03372</v>
      </c>
      <c r="W819" s="1">
        <f t="shared" si="92"/>
        <v>1.0921440351401008E-2</v>
      </c>
      <c r="Y819" s="4">
        <v>250.01615000000001</v>
      </c>
      <c r="Z819" s="1">
        <v>406.5</v>
      </c>
      <c r="AA819" s="3">
        <v>105.5106</v>
      </c>
      <c r="AB819" s="3">
        <f t="shared" si="91"/>
        <v>103.90158</v>
      </c>
      <c r="AC819" s="1">
        <f t="shared" si="93"/>
        <v>2.9100968778476215E-3</v>
      </c>
    </row>
    <row r="820" spans="19:29" x14ac:dyDescent="0.2">
      <c r="S820" s="4">
        <v>250.00495000000001</v>
      </c>
      <c r="T820" s="1">
        <v>407</v>
      </c>
      <c r="U820" s="5">
        <v>97.707970000000003</v>
      </c>
      <c r="V820" s="3">
        <f t="shared" si="90"/>
        <v>101.03166</v>
      </c>
      <c r="W820" s="1">
        <f t="shared" si="92"/>
        <v>1.0941843336033033E-2</v>
      </c>
      <c r="Y820" s="4">
        <v>250.02114</v>
      </c>
      <c r="Z820" s="1">
        <v>407</v>
      </c>
      <c r="AA820" s="5">
        <v>105.46639</v>
      </c>
      <c r="AB820" s="3">
        <f t="shared" si="91"/>
        <v>103.85737</v>
      </c>
      <c r="AC820" s="1">
        <f t="shared" si="93"/>
        <v>3.3392915101188351E-3</v>
      </c>
    </row>
    <row r="821" spans="19:29" x14ac:dyDescent="0.2">
      <c r="S821" s="4">
        <v>250.00402</v>
      </c>
      <c r="T821" s="1">
        <v>407.5</v>
      </c>
      <c r="U821" s="3">
        <v>97.716200000000001</v>
      </c>
      <c r="V821" s="3">
        <f t="shared" si="90"/>
        <v>101.03989</v>
      </c>
      <c r="W821" s="1">
        <f t="shared" si="92"/>
        <v>1.0860330441119682E-2</v>
      </c>
      <c r="Y821" s="4">
        <v>250.01799</v>
      </c>
      <c r="Z821" s="1">
        <v>407.5</v>
      </c>
      <c r="AA821" s="3">
        <v>105.60785</v>
      </c>
      <c r="AB821" s="3">
        <f t="shared" si="91"/>
        <v>103.99883</v>
      </c>
      <c r="AC821" s="1">
        <f t="shared" si="93"/>
        <v>1.9659851839235404E-3</v>
      </c>
    </row>
    <row r="822" spans="19:29" x14ac:dyDescent="0.2">
      <c r="S822" s="4">
        <v>250.00701000000001</v>
      </c>
      <c r="T822" s="1">
        <v>408</v>
      </c>
      <c r="U822" s="5">
        <v>97.716390000000004</v>
      </c>
      <c r="V822" s="3">
        <f t="shared" si="90"/>
        <v>101.04008</v>
      </c>
      <c r="W822" s="1">
        <f t="shared" si="92"/>
        <v>1.0858448612439994E-2</v>
      </c>
      <c r="Y822" s="4">
        <v>250.01617999999999</v>
      </c>
      <c r="Z822" s="1">
        <v>408</v>
      </c>
      <c r="AA822" s="5">
        <v>105.54132</v>
      </c>
      <c r="AB822" s="3">
        <f t="shared" si="91"/>
        <v>103.9323</v>
      </c>
      <c r="AC822" s="1">
        <f t="shared" si="93"/>
        <v>2.6118643715509716E-3</v>
      </c>
    </row>
    <row r="823" spans="19:29" x14ac:dyDescent="0.2">
      <c r="S823" s="4">
        <v>249.99995000000001</v>
      </c>
      <c r="T823" s="1">
        <v>408.5</v>
      </c>
      <c r="U823" s="3">
        <v>97.697760000000002</v>
      </c>
      <c r="V823" s="3">
        <f t="shared" si="90"/>
        <v>101.02145</v>
      </c>
      <c r="W823" s="1">
        <f t="shared" si="92"/>
        <v>1.1042966866660691E-2</v>
      </c>
      <c r="Y823" s="4">
        <v>250.01348999999999</v>
      </c>
      <c r="Z823" s="1">
        <v>408.5</v>
      </c>
      <c r="AA823" s="3">
        <v>105.59211999999999</v>
      </c>
      <c r="AB823" s="3">
        <f t="shared" si="91"/>
        <v>103.98309999999999</v>
      </c>
      <c r="AC823" s="1">
        <f t="shared" si="93"/>
        <v>2.1186934301490423E-3</v>
      </c>
    </row>
    <row r="824" spans="19:29" x14ac:dyDescent="0.2">
      <c r="S824" s="4">
        <v>249.99995999999999</v>
      </c>
      <c r="T824" s="1">
        <v>409</v>
      </c>
      <c r="U824" s="5">
        <v>97.706029999999998</v>
      </c>
      <c r="V824" s="3">
        <f t="shared" si="90"/>
        <v>101.02972</v>
      </c>
      <c r="W824" s="1">
        <f t="shared" si="92"/>
        <v>1.0961057797288482E-2</v>
      </c>
      <c r="Y824" s="4">
        <v>250.01150000000001</v>
      </c>
      <c r="Z824" s="1">
        <v>409</v>
      </c>
      <c r="AA824" s="5">
        <v>105.50035</v>
      </c>
      <c r="AB824" s="3">
        <f t="shared" si="91"/>
        <v>103.89133</v>
      </c>
      <c r="AC824" s="1">
        <f t="shared" si="93"/>
        <v>3.0096047941738E-3</v>
      </c>
    </row>
    <row r="825" spans="19:29" x14ac:dyDescent="0.2">
      <c r="S825" s="4">
        <v>250.00194999999999</v>
      </c>
      <c r="T825" s="1">
        <v>409.5</v>
      </c>
      <c r="U825" s="3">
        <v>97.726569999999995</v>
      </c>
      <c r="V825" s="3">
        <f t="shared" si="90"/>
        <v>101.05025999999999</v>
      </c>
      <c r="W825" s="1">
        <f t="shared" si="92"/>
        <v>1.0757622212656586E-2</v>
      </c>
      <c r="Y825" s="4">
        <v>250.01387</v>
      </c>
      <c r="Z825" s="1">
        <v>409.5</v>
      </c>
      <c r="AA825" s="3">
        <v>105.56477</v>
      </c>
      <c r="AB825" s="3">
        <f t="shared" si="91"/>
        <v>103.95574999999999</v>
      </c>
      <c r="AC825" s="1">
        <f t="shared" si="93"/>
        <v>2.3842096751754841E-3</v>
      </c>
    </row>
    <row r="826" spans="19:29" x14ac:dyDescent="0.2">
      <c r="S826" s="4">
        <v>250.00299999999999</v>
      </c>
      <c r="T826" s="1">
        <v>410</v>
      </c>
      <c r="U826" s="5">
        <v>97.708209999999994</v>
      </c>
      <c r="V826" s="3">
        <f t="shared" si="90"/>
        <v>101.03189999999999</v>
      </c>
      <c r="W826" s="1">
        <f t="shared" si="92"/>
        <v>1.0939466289279878E-2</v>
      </c>
      <c r="Y826" s="4">
        <v>250.01604</v>
      </c>
      <c r="Z826" s="1">
        <v>410</v>
      </c>
      <c r="AA826" s="5">
        <v>105.54004</v>
      </c>
      <c r="AB826" s="3">
        <f t="shared" si="91"/>
        <v>103.93102</v>
      </c>
      <c r="AC826" s="1">
        <f t="shared" si="93"/>
        <v>2.6242907259799411E-3</v>
      </c>
    </row>
    <row r="827" spans="19:29" x14ac:dyDescent="0.2">
      <c r="S827" s="4">
        <v>250.00701000000001</v>
      </c>
      <c r="T827" s="1">
        <v>410.5</v>
      </c>
      <c r="U827" s="3">
        <v>97.703580000000002</v>
      </c>
      <c r="V827" s="3">
        <f t="shared" si="90"/>
        <v>101.02727</v>
      </c>
      <c r="W827" s="1">
        <f t="shared" si="92"/>
        <v>1.098532348289449E-2</v>
      </c>
      <c r="Y827" s="4">
        <v>250.01704000000001</v>
      </c>
      <c r="Z827" s="1">
        <v>410.5</v>
      </c>
      <c r="AA827" s="3">
        <v>105.59685</v>
      </c>
      <c r="AB827" s="3">
        <f t="shared" si="91"/>
        <v>103.98783</v>
      </c>
      <c r="AC827" s="1">
        <f t="shared" si="93"/>
        <v>2.0727741672979419E-3</v>
      </c>
    </row>
    <row r="828" spans="19:29" x14ac:dyDescent="0.2">
      <c r="S828" s="4">
        <v>250.00603000000001</v>
      </c>
      <c r="T828" s="1">
        <v>411</v>
      </c>
      <c r="U828" s="5">
        <v>97.700069999999997</v>
      </c>
      <c r="V828" s="3">
        <f t="shared" si="90"/>
        <v>101.02376</v>
      </c>
      <c r="W828" s="1">
        <f t="shared" si="92"/>
        <v>1.1020087791660761E-2</v>
      </c>
      <c r="Y828" s="4">
        <v>250.01885999999999</v>
      </c>
      <c r="Z828" s="1">
        <v>411</v>
      </c>
      <c r="AA828" s="5">
        <v>105.62721000000001</v>
      </c>
      <c r="AB828" s="3">
        <f t="shared" si="91"/>
        <v>104.01819</v>
      </c>
      <c r="AC828" s="1">
        <f t="shared" si="93"/>
        <v>1.7780365731844612E-3</v>
      </c>
    </row>
    <row r="829" spans="19:29" x14ac:dyDescent="0.2">
      <c r="S829" s="4">
        <v>250.00397000000001</v>
      </c>
      <c r="T829" s="1">
        <v>411.5</v>
      </c>
      <c r="U829" s="3">
        <v>97.713890000000006</v>
      </c>
      <c r="V829" s="3">
        <f t="shared" si="90"/>
        <v>101.03758000000001</v>
      </c>
      <c r="W829" s="1">
        <f t="shared" si="92"/>
        <v>1.0883209516119612E-2</v>
      </c>
      <c r="Y829" s="4">
        <v>250.01752999999999</v>
      </c>
      <c r="Z829" s="1">
        <v>411.5</v>
      </c>
      <c r="AA829" s="3">
        <v>105.53936</v>
      </c>
      <c r="AB829" s="3">
        <f t="shared" si="91"/>
        <v>103.93034</v>
      </c>
      <c r="AC829" s="1">
        <f t="shared" si="93"/>
        <v>2.6308922267703873E-3</v>
      </c>
    </row>
    <row r="830" spans="19:29" x14ac:dyDescent="0.2">
      <c r="S830" s="4">
        <v>250.01095000000001</v>
      </c>
      <c r="T830" s="1">
        <v>412</v>
      </c>
      <c r="U830" s="5">
        <v>97.699820000000003</v>
      </c>
      <c r="V830" s="3">
        <f t="shared" si="90"/>
        <v>101.02351</v>
      </c>
      <c r="W830" s="1">
        <f t="shared" si="92"/>
        <v>1.1022563882028666E-2</v>
      </c>
      <c r="Y830" s="4">
        <v>250.01775000000001</v>
      </c>
      <c r="Z830" s="1">
        <v>412</v>
      </c>
      <c r="AA830" s="5">
        <v>105.61914</v>
      </c>
      <c r="AB830" s="3">
        <f t="shared" si="91"/>
        <v>104.01012</v>
      </c>
      <c r="AC830" s="1">
        <f t="shared" si="93"/>
        <v>1.8563808546237467E-3</v>
      </c>
    </row>
    <row r="831" spans="19:29" x14ac:dyDescent="0.2">
      <c r="S831" s="4">
        <v>250.00894</v>
      </c>
      <c r="T831" s="1">
        <v>412.5</v>
      </c>
      <c r="U831" s="3">
        <v>97.681100000000001</v>
      </c>
      <c r="V831" s="3">
        <f t="shared" si="90"/>
        <v>101.00479</v>
      </c>
      <c r="W831" s="1">
        <f t="shared" si="92"/>
        <v>1.1207973528781832E-2</v>
      </c>
      <c r="Y831" s="4">
        <v>250.01749000000001</v>
      </c>
      <c r="Z831" s="1">
        <v>412.5</v>
      </c>
      <c r="AA831" s="3">
        <v>105.57163</v>
      </c>
      <c r="AB831" s="3">
        <f t="shared" si="91"/>
        <v>103.96261</v>
      </c>
      <c r="AC831" s="1">
        <f t="shared" si="93"/>
        <v>2.3176121819073912E-3</v>
      </c>
    </row>
    <row r="832" spans="19:29" x14ac:dyDescent="0.2">
      <c r="S832" s="4">
        <v>250.00596999999999</v>
      </c>
      <c r="T832" s="1">
        <v>413</v>
      </c>
      <c r="U832" s="5">
        <v>97.703999999999994</v>
      </c>
      <c r="V832" s="3">
        <f t="shared" si="90"/>
        <v>101.02768999999999</v>
      </c>
      <c r="W832" s="1">
        <f t="shared" si="92"/>
        <v>1.0981163651076396E-2</v>
      </c>
      <c r="Y832" s="4">
        <v>250.02127999999999</v>
      </c>
      <c r="Z832" s="1">
        <v>413</v>
      </c>
      <c r="AA832" s="5">
        <v>105.5508</v>
      </c>
      <c r="AB832" s="3">
        <f t="shared" si="91"/>
        <v>103.94177999999999</v>
      </c>
      <c r="AC832" s="1">
        <f t="shared" si="93"/>
        <v>2.5198316840610319E-3</v>
      </c>
    </row>
    <row r="833" spans="19:29" x14ac:dyDescent="0.2">
      <c r="S833" s="4">
        <v>250.00596999999999</v>
      </c>
      <c r="T833" s="1">
        <v>413.5</v>
      </c>
      <c r="U833" s="3">
        <v>97.675309999999996</v>
      </c>
      <c r="V833" s="3">
        <f t="shared" si="90"/>
        <v>100.999</v>
      </c>
      <c r="W833" s="1">
        <f t="shared" si="92"/>
        <v>1.1265319781703925E-2</v>
      </c>
      <c r="Y833" s="4">
        <v>250.02305000000001</v>
      </c>
      <c r="Z833" s="1">
        <v>413.5</v>
      </c>
      <c r="AA833" s="3">
        <v>105.60088</v>
      </c>
      <c r="AB833" s="3">
        <f t="shared" si="91"/>
        <v>103.99186</v>
      </c>
      <c r="AC833" s="1">
        <f t="shared" si="93"/>
        <v>2.0336505670253031E-3</v>
      </c>
    </row>
    <row r="834" spans="19:29" x14ac:dyDescent="0.2">
      <c r="S834" s="4">
        <v>250.00797</v>
      </c>
      <c r="T834" s="1">
        <v>414</v>
      </c>
      <c r="U834" s="5">
        <v>97.689279999999997</v>
      </c>
      <c r="V834" s="3">
        <f t="shared" si="90"/>
        <v>101.01297</v>
      </c>
      <c r="W834" s="1">
        <f t="shared" si="92"/>
        <v>1.1126955851942089E-2</v>
      </c>
      <c r="Y834" s="4">
        <v>250.02542</v>
      </c>
      <c r="Z834" s="1">
        <v>414</v>
      </c>
      <c r="AA834" s="5">
        <v>105.51442</v>
      </c>
      <c r="AB834" s="3">
        <f t="shared" si="91"/>
        <v>103.9054</v>
      </c>
      <c r="AC834" s="1">
        <f t="shared" si="93"/>
        <v>2.8730119763484521E-3</v>
      </c>
    </row>
    <row r="835" spans="19:29" x14ac:dyDescent="0.2">
      <c r="S835" s="4">
        <v>250.00498999999999</v>
      </c>
      <c r="T835" s="1">
        <v>414.5</v>
      </c>
      <c r="U835" s="3">
        <v>97.695909999999998</v>
      </c>
      <c r="V835" s="3">
        <f t="shared" si="90"/>
        <v>101.0196</v>
      </c>
      <c r="W835" s="1">
        <f t="shared" si="92"/>
        <v>1.106128993538367E-2</v>
      </c>
      <c r="Y835" s="4">
        <v>250.02599000000001</v>
      </c>
      <c r="Z835" s="1">
        <v>414.5</v>
      </c>
      <c r="AA835" s="3">
        <v>105.59045</v>
      </c>
      <c r="AB835" s="3">
        <f t="shared" si="91"/>
        <v>103.98143</v>
      </c>
      <c r="AC835" s="1">
        <f t="shared" si="93"/>
        <v>2.1349059394430657E-3</v>
      </c>
    </row>
    <row r="836" spans="19:29" x14ac:dyDescent="0.2">
      <c r="S836" s="4">
        <v>250.00305</v>
      </c>
      <c r="T836" s="1">
        <v>415</v>
      </c>
      <c r="U836" s="5">
        <v>97.691159999999996</v>
      </c>
      <c r="V836" s="3">
        <f t="shared" si="90"/>
        <v>101.01485</v>
      </c>
      <c r="W836" s="1">
        <f t="shared" si="92"/>
        <v>1.1108335652375E-2</v>
      </c>
      <c r="Y836" s="4">
        <v>250.02139</v>
      </c>
      <c r="Z836" s="1">
        <v>415</v>
      </c>
      <c r="AA836" s="5">
        <v>105.54791</v>
      </c>
      <c r="AB836" s="3">
        <f t="shared" si="91"/>
        <v>103.93889</v>
      </c>
      <c r="AC836" s="1">
        <f t="shared" si="93"/>
        <v>2.5478880624202555E-3</v>
      </c>
    </row>
    <row r="837" spans="19:29" x14ac:dyDescent="0.2">
      <c r="S837" s="4">
        <v>250.00304</v>
      </c>
      <c r="T837" s="1">
        <v>415.5</v>
      </c>
      <c r="U837" s="3">
        <v>97.69117</v>
      </c>
      <c r="V837" s="3">
        <f t="shared" si="90"/>
        <v>101.01486</v>
      </c>
      <c r="W837" s="1">
        <f t="shared" si="92"/>
        <v>1.1108236608760251E-2</v>
      </c>
      <c r="Y837" s="4">
        <v>250.01828</v>
      </c>
      <c r="Z837" s="1">
        <v>415.5</v>
      </c>
      <c r="AA837" s="3">
        <v>105.60231</v>
      </c>
      <c r="AB837" s="3">
        <f t="shared" si="91"/>
        <v>103.99329</v>
      </c>
      <c r="AC837" s="1">
        <f t="shared" si="93"/>
        <v>2.0197679991866336E-3</v>
      </c>
    </row>
    <row r="838" spans="19:29" x14ac:dyDescent="0.2">
      <c r="S838" s="4">
        <v>250.00003000000001</v>
      </c>
      <c r="T838" s="1">
        <v>416</v>
      </c>
      <c r="U838" s="5">
        <v>97.67286</v>
      </c>
      <c r="V838" s="3">
        <f t="shared" si="90"/>
        <v>100.99655</v>
      </c>
      <c r="W838" s="1">
        <f t="shared" si="92"/>
        <v>1.1289585467309933E-2</v>
      </c>
      <c r="Y838" s="4">
        <v>250.01285999999999</v>
      </c>
      <c r="Z838" s="1">
        <v>416</v>
      </c>
      <c r="AA838" s="5">
        <v>105.52727</v>
      </c>
      <c r="AB838" s="3">
        <f t="shared" si="91"/>
        <v>103.91825</v>
      </c>
      <c r="AC838" s="1">
        <f t="shared" si="93"/>
        <v>2.7482630275883044E-3</v>
      </c>
    </row>
    <row r="839" spans="19:29" x14ac:dyDescent="0.2">
      <c r="S839" s="4">
        <v>250.00699</v>
      </c>
      <c r="T839" s="1">
        <v>416.5</v>
      </c>
      <c r="U839" s="3">
        <v>97.67304</v>
      </c>
      <c r="V839" s="3">
        <f t="shared" ref="V839:V902" si="94">100-($U$6-U839)</f>
        <v>100.99673</v>
      </c>
      <c r="W839" s="1">
        <f t="shared" si="92"/>
        <v>1.1287802682244996E-2</v>
      </c>
      <c r="Y839" s="4">
        <v>250.00898000000001</v>
      </c>
      <c r="Z839" s="1">
        <v>416.5</v>
      </c>
      <c r="AA839" s="3">
        <v>105.58893</v>
      </c>
      <c r="AB839" s="3">
        <f t="shared" ref="AB839:AB902" si="95">100-($AA$6-AA839)</f>
        <v>103.97991</v>
      </c>
      <c r="AC839" s="1">
        <f t="shared" si="93"/>
        <v>2.1496622353275275E-3</v>
      </c>
    </row>
    <row r="840" spans="19:29" x14ac:dyDescent="0.2">
      <c r="S840" s="4">
        <v>250.00700000000001</v>
      </c>
      <c r="T840" s="1">
        <v>417</v>
      </c>
      <c r="U840" s="5">
        <v>97.680980000000005</v>
      </c>
      <c r="V840" s="3">
        <f t="shared" si="94"/>
        <v>101.00467</v>
      </c>
      <c r="W840" s="1">
        <f t="shared" ref="W840:W903" si="96">($V$199-V840)/($V$199*(1-$H$1))</f>
        <v>1.1209162052158409E-2</v>
      </c>
      <c r="Y840" s="4">
        <v>250.00912</v>
      </c>
      <c r="Z840" s="1">
        <v>417</v>
      </c>
      <c r="AA840" s="5">
        <v>105.5291</v>
      </c>
      <c r="AB840" s="3">
        <f t="shared" si="95"/>
        <v>103.92008</v>
      </c>
      <c r="AC840" s="1">
        <f t="shared" si="93"/>
        <v>2.7304972239905732E-3</v>
      </c>
    </row>
    <row r="841" spans="19:29" x14ac:dyDescent="0.2">
      <c r="S841" s="4">
        <v>250.00800000000001</v>
      </c>
      <c r="T841" s="1">
        <v>417.5</v>
      </c>
      <c r="U841" s="3">
        <v>97.662629999999993</v>
      </c>
      <c r="V841" s="3">
        <f t="shared" si="94"/>
        <v>100.98631999999999</v>
      </c>
      <c r="W841" s="1">
        <f t="shared" si="96"/>
        <v>1.1390907085167091E-2</v>
      </c>
      <c r="Y841" s="4">
        <v>250.00989999999999</v>
      </c>
      <c r="Z841" s="1">
        <v>417.5</v>
      </c>
      <c r="AA841" s="3">
        <v>105.57496999999999</v>
      </c>
      <c r="AB841" s="3">
        <f t="shared" si="95"/>
        <v>103.96594999999999</v>
      </c>
      <c r="AC841" s="1">
        <f t="shared" si="93"/>
        <v>2.285187163319206E-3</v>
      </c>
    </row>
    <row r="842" spans="19:29" x14ac:dyDescent="0.2">
      <c r="S842" s="4">
        <v>250.00699</v>
      </c>
      <c r="T842" s="1">
        <v>418</v>
      </c>
      <c r="U842" s="5">
        <v>97.668809999999993</v>
      </c>
      <c r="V842" s="3">
        <f t="shared" si="94"/>
        <v>100.99249999999999</v>
      </c>
      <c r="W842" s="1">
        <f t="shared" si="96"/>
        <v>1.1329698131271016E-2</v>
      </c>
      <c r="Y842" s="4">
        <v>250.00952000000001</v>
      </c>
      <c r="Z842" s="1">
        <v>418</v>
      </c>
      <c r="AA842" s="5">
        <v>105.56368000000001</v>
      </c>
      <c r="AB842" s="3">
        <f t="shared" si="95"/>
        <v>103.95466</v>
      </c>
      <c r="AC842" s="1">
        <f t="shared" si="93"/>
        <v>2.3947914926188613E-3</v>
      </c>
    </row>
    <row r="843" spans="19:29" x14ac:dyDescent="0.2">
      <c r="S843" s="4">
        <v>250.00801999999999</v>
      </c>
      <c r="T843" s="1">
        <v>418.5</v>
      </c>
      <c r="U843" s="3">
        <v>97.666730000000001</v>
      </c>
      <c r="V843" s="3">
        <f t="shared" si="94"/>
        <v>100.99042</v>
      </c>
      <c r="W843" s="1">
        <f t="shared" si="96"/>
        <v>1.1350299203132399E-2</v>
      </c>
      <c r="Y843" s="4">
        <v>250.01185000000001</v>
      </c>
      <c r="Z843" s="1">
        <v>418.5</v>
      </c>
      <c r="AA843" s="3">
        <v>105.51056</v>
      </c>
      <c r="AB843" s="3">
        <f t="shared" si="95"/>
        <v>103.90154</v>
      </c>
      <c r="AC843" s="1">
        <f t="shared" si="93"/>
        <v>2.9104852014235141E-3</v>
      </c>
    </row>
    <row r="844" spans="19:29" x14ac:dyDescent="0.2">
      <c r="S844" s="4">
        <v>250.00700000000001</v>
      </c>
      <c r="T844" s="1">
        <v>419</v>
      </c>
      <c r="U844" s="5">
        <v>97.666650000000004</v>
      </c>
      <c r="V844" s="3">
        <f t="shared" si="94"/>
        <v>100.99034</v>
      </c>
      <c r="W844" s="1">
        <f t="shared" si="96"/>
        <v>1.1351091552050118E-2</v>
      </c>
      <c r="Y844" s="4">
        <v>250.01410000000001</v>
      </c>
      <c r="Z844" s="1">
        <v>419</v>
      </c>
      <c r="AA844" s="5">
        <v>105.54338</v>
      </c>
      <c r="AB844" s="3">
        <f t="shared" si="95"/>
        <v>103.93436</v>
      </c>
      <c r="AC844" s="1">
        <f t="shared" si="93"/>
        <v>2.5918657073917559E-3</v>
      </c>
    </row>
    <row r="845" spans="19:29" x14ac:dyDescent="0.2">
      <c r="S845" s="4">
        <v>250.00998000000001</v>
      </c>
      <c r="T845" s="1">
        <v>419.5</v>
      </c>
      <c r="U845" s="3">
        <v>97.654079999999993</v>
      </c>
      <c r="V845" s="3">
        <f t="shared" si="94"/>
        <v>100.97776999999999</v>
      </c>
      <c r="W845" s="1">
        <f t="shared" si="96"/>
        <v>1.1475589375751457E-2</v>
      </c>
      <c r="Y845" s="4">
        <v>250.01552000000001</v>
      </c>
      <c r="Z845" s="1">
        <v>419.5</v>
      </c>
      <c r="AA845" s="3">
        <v>105.64314</v>
      </c>
      <c r="AB845" s="3">
        <f t="shared" si="95"/>
        <v>104.03412</v>
      </c>
      <c r="AC845" s="1">
        <f t="shared" si="93"/>
        <v>1.6233867090794977E-3</v>
      </c>
    </row>
    <row r="846" spans="19:29" x14ac:dyDescent="0.2">
      <c r="S846" s="4">
        <v>250.00498999999999</v>
      </c>
      <c r="T846" s="1">
        <v>420</v>
      </c>
      <c r="U846" s="5">
        <v>97.680970000000002</v>
      </c>
      <c r="V846" s="3">
        <f t="shared" si="94"/>
        <v>101.00466</v>
      </c>
      <c r="W846" s="1">
        <f t="shared" si="96"/>
        <v>1.1209261095773158E-2</v>
      </c>
      <c r="Y846" s="4">
        <v>250.01830000000001</v>
      </c>
      <c r="Z846" s="1">
        <v>420</v>
      </c>
      <c r="AA846" s="5">
        <v>105.56164</v>
      </c>
      <c r="AB846" s="3">
        <f t="shared" si="95"/>
        <v>103.95262</v>
      </c>
      <c r="AC846" s="1">
        <f t="shared" si="93"/>
        <v>2.4145959949901999E-3</v>
      </c>
    </row>
    <row r="847" spans="19:29" x14ac:dyDescent="0.2">
      <c r="S847" s="4">
        <v>250.00694999999999</v>
      </c>
      <c r="T847" s="1">
        <v>420.5</v>
      </c>
      <c r="U847" s="3">
        <v>97.660550000000001</v>
      </c>
      <c r="V847" s="3">
        <f t="shared" si="94"/>
        <v>100.98424</v>
      </c>
      <c r="W847" s="1">
        <f t="shared" si="96"/>
        <v>1.1411508157028476E-2</v>
      </c>
      <c r="Y847" s="4">
        <v>250.01847000000001</v>
      </c>
      <c r="Z847" s="1">
        <v>420.5</v>
      </c>
      <c r="AA847" s="3">
        <v>105.51900999999999</v>
      </c>
      <c r="AB847" s="3">
        <f t="shared" si="95"/>
        <v>103.90998999999999</v>
      </c>
      <c r="AC847" s="1">
        <f t="shared" si="93"/>
        <v>2.8284518460131819E-3</v>
      </c>
    </row>
    <row r="848" spans="19:29" x14ac:dyDescent="0.2">
      <c r="S848" s="4">
        <v>250.00703999999999</v>
      </c>
      <c r="T848" s="1">
        <v>421</v>
      </c>
      <c r="U848" s="5">
        <v>97.641760000000005</v>
      </c>
      <c r="V848" s="3">
        <f t="shared" si="94"/>
        <v>100.96545</v>
      </c>
      <c r="W848" s="1">
        <f t="shared" si="96"/>
        <v>1.159761110908461E-2</v>
      </c>
      <c r="Y848" s="4">
        <v>250.01535999999999</v>
      </c>
      <c r="Z848" s="1">
        <v>421</v>
      </c>
      <c r="AA848" s="5">
        <v>105.68300000000001</v>
      </c>
      <c r="AB848" s="3">
        <f t="shared" si="95"/>
        <v>104.07398000000001</v>
      </c>
      <c r="AC848" s="1">
        <f t="shared" si="93"/>
        <v>1.2364222656880621E-3</v>
      </c>
    </row>
    <row r="849" spans="19:29" x14ac:dyDescent="0.2">
      <c r="S849" s="4">
        <v>250.00504000000001</v>
      </c>
      <c r="T849" s="1">
        <v>421.5</v>
      </c>
      <c r="U849" s="3">
        <v>97.651939999999996</v>
      </c>
      <c r="V849" s="3">
        <f t="shared" si="94"/>
        <v>100.97563</v>
      </c>
      <c r="W849" s="1">
        <f t="shared" si="96"/>
        <v>1.1496784709301201E-2</v>
      </c>
      <c r="Y849" s="4">
        <v>250.01410000000001</v>
      </c>
      <c r="Z849" s="1">
        <v>421.5</v>
      </c>
      <c r="AA849" s="3">
        <v>105.54145</v>
      </c>
      <c r="AB849" s="3">
        <f t="shared" si="95"/>
        <v>103.93243</v>
      </c>
      <c r="AC849" s="1">
        <f t="shared" si="93"/>
        <v>2.6106023199292871E-3</v>
      </c>
    </row>
    <row r="850" spans="19:29" x14ac:dyDescent="0.2">
      <c r="S850" s="4">
        <v>250.00899000000001</v>
      </c>
      <c r="T850" s="1">
        <v>422</v>
      </c>
      <c r="U850" s="5">
        <v>97.655940000000001</v>
      </c>
      <c r="V850" s="3">
        <f t="shared" si="94"/>
        <v>100.97963</v>
      </c>
      <c r="W850" s="1">
        <f t="shared" si="96"/>
        <v>1.1457167263413729E-2</v>
      </c>
      <c r="Y850" s="4">
        <v>250.01464999999999</v>
      </c>
      <c r="Z850" s="1">
        <v>422</v>
      </c>
      <c r="AA850" s="5">
        <v>105.56663</v>
      </c>
      <c r="AB850" s="3">
        <f t="shared" si="95"/>
        <v>103.95761</v>
      </c>
      <c r="AC850" s="1">
        <f t="shared" si="93"/>
        <v>2.3661526288957305E-3</v>
      </c>
    </row>
    <row r="851" spans="19:29" x14ac:dyDescent="0.2">
      <c r="S851" s="4">
        <v>250.00900999999999</v>
      </c>
      <c r="T851" s="1">
        <v>422.5</v>
      </c>
      <c r="U851" s="3">
        <v>97.652249999999995</v>
      </c>
      <c r="V851" s="3">
        <f t="shared" si="94"/>
        <v>100.97593999999999</v>
      </c>
      <c r="W851" s="1">
        <f t="shared" si="96"/>
        <v>1.1493714357244937E-2</v>
      </c>
      <c r="Y851" s="4">
        <v>250.01705999999999</v>
      </c>
      <c r="Z851" s="1">
        <v>422.5</v>
      </c>
      <c r="AA851" s="3">
        <v>105.59778</v>
      </c>
      <c r="AB851" s="3">
        <f t="shared" si="95"/>
        <v>103.98876</v>
      </c>
      <c r="AC851" s="1">
        <f t="shared" si="93"/>
        <v>2.063745644158134E-3</v>
      </c>
    </row>
    <row r="852" spans="19:29" x14ac:dyDescent="0.2">
      <c r="S852" s="4">
        <v>250.00498999999999</v>
      </c>
      <c r="T852" s="1">
        <v>423</v>
      </c>
      <c r="U852" s="5">
        <v>97.642110000000002</v>
      </c>
      <c r="V852" s="3">
        <f t="shared" si="94"/>
        <v>100.9658</v>
      </c>
      <c r="W852" s="1">
        <f t="shared" si="96"/>
        <v>1.1594144582569486E-2</v>
      </c>
      <c r="Y852" s="4">
        <v>250.01966999999999</v>
      </c>
      <c r="Z852" s="1">
        <v>423</v>
      </c>
      <c r="AA852" s="5">
        <v>105.47744</v>
      </c>
      <c r="AB852" s="3">
        <f t="shared" si="95"/>
        <v>103.86842</v>
      </c>
      <c r="AC852" s="1">
        <f t="shared" si="93"/>
        <v>3.2320171222745336E-3</v>
      </c>
    </row>
    <row r="853" spans="19:29" x14ac:dyDescent="0.2">
      <c r="S853" s="4">
        <v>250.00103999999999</v>
      </c>
      <c r="T853" s="1">
        <v>423.5</v>
      </c>
      <c r="U853" s="3">
        <v>97.646159999999995</v>
      </c>
      <c r="V853" s="3">
        <f t="shared" si="94"/>
        <v>100.96984999999999</v>
      </c>
      <c r="W853" s="1">
        <f t="shared" si="96"/>
        <v>1.1554031918608544E-2</v>
      </c>
      <c r="Y853" s="4">
        <v>250.02108999999999</v>
      </c>
      <c r="Z853" s="1">
        <v>423.5</v>
      </c>
      <c r="AA853" s="3">
        <v>105.54809</v>
      </c>
      <c r="AB853" s="3">
        <f t="shared" si="95"/>
        <v>103.93907</v>
      </c>
      <c r="AC853" s="1">
        <f t="shared" si="93"/>
        <v>2.546140606328671E-3</v>
      </c>
    </row>
    <row r="854" spans="19:29" x14ac:dyDescent="0.2">
      <c r="S854" s="4">
        <v>250.00502</v>
      </c>
      <c r="T854" s="1">
        <v>424</v>
      </c>
      <c r="U854" s="5">
        <v>97.650049999999993</v>
      </c>
      <c r="V854" s="3">
        <f t="shared" si="94"/>
        <v>100.97373999999999</v>
      </c>
      <c r="W854" s="1">
        <f t="shared" si="96"/>
        <v>1.151550395248304E-2</v>
      </c>
      <c r="Y854" s="4">
        <v>250.01875000000001</v>
      </c>
      <c r="Z854" s="1">
        <v>424</v>
      </c>
      <c r="AA854" s="5">
        <v>105.55255</v>
      </c>
      <c r="AB854" s="3">
        <f t="shared" si="95"/>
        <v>103.94353</v>
      </c>
      <c r="AC854" s="1">
        <f t="shared" si="93"/>
        <v>2.5028425276150857E-3</v>
      </c>
    </row>
    <row r="855" spans="19:29" x14ac:dyDescent="0.2">
      <c r="S855" s="4">
        <v>250.00597999999999</v>
      </c>
      <c r="T855" s="1">
        <v>424.5</v>
      </c>
      <c r="U855" s="3">
        <v>97.668620000000004</v>
      </c>
      <c r="V855" s="3">
        <f t="shared" si="94"/>
        <v>100.99231</v>
      </c>
      <c r="W855" s="1">
        <f t="shared" si="96"/>
        <v>1.1331579959950561E-2</v>
      </c>
      <c r="Y855" s="4">
        <v>250.01958999999999</v>
      </c>
      <c r="Z855" s="1">
        <v>424.5</v>
      </c>
      <c r="AA855" s="3">
        <v>105.60254</v>
      </c>
      <c r="AB855" s="3">
        <f t="shared" si="95"/>
        <v>103.99352</v>
      </c>
      <c r="AC855" s="1">
        <f t="shared" si="93"/>
        <v>2.0175351386251491E-3</v>
      </c>
    </row>
    <row r="856" spans="19:29" x14ac:dyDescent="0.2">
      <c r="S856" s="4">
        <v>250.01103000000001</v>
      </c>
      <c r="T856" s="1">
        <v>425</v>
      </c>
      <c r="U856" s="5">
        <v>97.656260000000003</v>
      </c>
      <c r="V856" s="3">
        <f t="shared" si="94"/>
        <v>100.97995</v>
      </c>
      <c r="W856" s="1">
        <f t="shared" si="96"/>
        <v>1.1453997867742713E-2</v>
      </c>
      <c r="Y856" s="4">
        <v>250.01795999999999</v>
      </c>
      <c r="Z856" s="1">
        <v>425</v>
      </c>
      <c r="AA856" s="5">
        <v>105.36906999999999</v>
      </c>
      <c r="AB856" s="3">
        <f t="shared" si="95"/>
        <v>103.76004999999999</v>
      </c>
      <c r="AC856" s="1">
        <f t="shared" si="93"/>
        <v>4.2840827703008316E-3</v>
      </c>
    </row>
    <row r="857" spans="19:29" x14ac:dyDescent="0.2">
      <c r="S857" s="4">
        <v>250.00897000000001</v>
      </c>
      <c r="T857" s="1">
        <v>425.5</v>
      </c>
      <c r="U857" s="3">
        <v>97.664739999999995</v>
      </c>
      <c r="V857" s="3">
        <f t="shared" si="94"/>
        <v>100.98842999999999</v>
      </c>
      <c r="W857" s="1">
        <f t="shared" si="96"/>
        <v>1.1370008882461457E-2</v>
      </c>
      <c r="Y857" s="4">
        <v>250.01993999999999</v>
      </c>
      <c r="Z857" s="1">
        <v>425.5</v>
      </c>
      <c r="AA857" s="3">
        <v>105.57871</v>
      </c>
      <c r="AB857" s="3">
        <f t="shared" si="95"/>
        <v>103.96969</v>
      </c>
      <c r="AC857" s="1">
        <f t="shared" si="93"/>
        <v>2.2488789089718212E-3</v>
      </c>
    </row>
    <row r="858" spans="19:29" x14ac:dyDescent="0.2">
      <c r="S858" s="4">
        <v>250.00707</v>
      </c>
      <c r="T858" s="1">
        <v>426</v>
      </c>
      <c r="U858" s="5">
        <v>97.65813</v>
      </c>
      <c r="V858" s="3">
        <f t="shared" si="94"/>
        <v>100.98182</v>
      </c>
      <c r="W858" s="1">
        <f t="shared" si="96"/>
        <v>1.1435476711790375E-2</v>
      </c>
      <c r="Y858" s="4">
        <v>250.02180999999999</v>
      </c>
      <c r="Z858" s="1">
        <v>426</v>
      </c>
      <c r="AA858" s="5">
        <v>105.56115</v>
      </c>
      <c r="AB858" s="3">
        <f t="shared" si="95"/>
        <v>103.95213</v>
      </c>
      <c r="AC858" s="1">
        <f t="shared" si="93"/>
        <v>2.4193529587950538E-3</v>
      </c>
    </row>
    <row r="859" spans="19:29" x14ac:dyDescent="0.2">
      <c r="S859" s="4">
        <v>250.01105999999999</v>
      </c>
      <c r="T859" s="1">
        <v>426.5</v>
      </c>
      <c r="U859" s="3">
        <v>97.670559999999995</v>
      </c>
      <c r="V859" s="3">
        <f t="shared" si="94"/>
        <v>100.99424999999999</v>
      </c>
      <c r="W859" s="1">
        <f t="shared" si="96"/>
        <v>1.1312365498695255E-2</v>
      </c>
      <c r="Y859" s="4">
        <v>250.02053000000001</v>
      </c>
      <c r="Z859" s="1">
        <v>426.5</v>
      </c>
      <c r="AA859" s="3">
        <v>105.60001</v>
      </c>
      <c r="AB859" s="3">
        <f t="shared" si="95"/>
        <v>103.99099</v>
      </c>
      <c r="AC859" s="1">
        <f t="shared" si="93"/>
        <v>2.0420966048013411E-3</v>
      </c>
    </row>
    <row r="860" spans="19:29" x14ac:dyDescent="0.2">
      <c r="S860" s="4">
        <v>250.00800000000001</v>
      </c>
      <c r="T860" s="1">
        <v>427</v>
      </c>
      <c r="U860" s="5">
        <v>97.683279999999996</v>
      </c>
      <c r="V860" s="3">
        <f t="shared" si="94"/>
        <v>101.00697</v>
      </c>
      <c r="W860" s="1">
        <f t="shared" si="96"/>
        <v>1.1186382020773229E-2</v>
      </c>
      <c r="Y860" s="4">
        <v>250.02034</v>
      </c>
      <c r="Z860" s="1">
        <v>427</v>
      </c>
      <c r="AA860" s="5">
        <v>105.53598</v>
      </c>
      <c r="AB860" s="3">
        <f t="shared" si="95"/>
        <v>103.92695999999999</v>
      </c>
      <c r="AC860" s="1">
        <f t="shared" si="93"/>
        <v>2.6637055689346031E-3</v>
      </c>
    </row>
    <row r="861" spans="19:29" x14ac:dyDescent="0.2">
      <c r="S861" s="4">
        <v>250.00595000000001</v>
      </c>
      <c r="T861" s="1">
        <v>427.5</v>
      </c>
      <c r="U861" s="3">
        <v>97.664559999999994</v>
      </c>
      <c r="V861" s="3">
        <f t="shared" si="94"/>
        <v>100.98824999999999</v>
      </c>
      <c r="W861" s="1">
        <f t="shared" si="96"/>
        <v>1.1371791667526394E-2</v>
      </c>
      <c r="Y861" s="4">
        <v>250.01835</v>
      </c>
      <c r="Z861" s="1">
        <v>427.5</v>
      </c>
      <c r="AA861" s="3">
        <v>105.44079000000001</v>
      </c>
      <c r="AB861" s="3">
        <f t="shared" si="95"/>
        <v>103.83177000000001</v>
      </c>
      <c r="AC861" s="1">
        <f t="shared" ref="AC861:AC924" si="97">($AB$604-AB861)/($AB$604*(1-$H$1))</f>
        <v>3.5878185986993306E-3</v>
      </c>
    </row>
    <row r="862" spans="19:29" x14ac:dyDescent="0.2">
      <c r="S862" s="4">
        <v>250.00502</v>
      </c>
      <c r="T862" s="1">
        <v>428</v>
      </c>
      <c r="U862" s="5">
        <v>97.668700000000001</v>
      </c>
      <c r="V862" s="3">
        <f t="shared" si="94"/>
        <v>100.99239</v>
      </c>
      <c r="W862" s="1">
        <f t="shared" si="96"/>
        <v>1.1330787611032843E-2</v>
      </c>
      <c r="Y862" s="4">
        <v>250.01793000000001</v>
      </c>
      <c r="Z862" s="1">
        <v>428</v>
      </c>
      <c r="AA862" s="5">
        <v>105.53928999999999</v>
      </c>
      <c r="AB862" s="3">
        <f t="shared" si="95"/>
        <v>103.93026999999999</v>
      </c>
      <c r="AC862" s="1">
        <f t="shared" si="97"/>
        <v>2.6315717930283024E-3</v>
      </c>
    </row>
    <row r="863" spans="19:29" x14ac:dyDescent="0.2">
      <c r="S863" s="4">
        <v>250.00596999999999</v>
      </c>
      <c r="T863" s="1">
        <v>428.5</v>
      </c>
      <c r="U863" s="3">
        <v>97.660259999999994</v>
      </c>
      <c r="V863" s="3">
        <f t="shared" si="94"/>
        <v>100.98394999999999</v>
      </c>
      <c r="W863" s="1">
        <f t="shared" si="96"/>
        <v>1.1414380421855381E-2</v>
      </c>
      <c r="Y863" s="4">
        <v>250.01714000000001</v>
      </c>
      <c r="Z863" s="1">
        <v>428.5</v>
      </c>
      <c r="AA863" s="3">
        <v>105.61319</v>
      </c>
      <c r="AB863" s="3">
        <f t="shared" si="95"/>
        <v>104.00417</v>
      </c>
      <c r="AC863" s="1">
        <f t="shared" si="97"/>
        <v>1.9141439865399091E-3</v>
      </c>
    </row>
    <row r="864" spans="19:29" x14ac:dyDescent="0.2">
      <c r="S864" s="4">
        <v>250.00597999999999</v>
      </c>
      <c r="T864" s="1">
        <v>429</v>
      </c>
      <c r="U864" s="5">
        <v>97.673050000000003</v>
      </c>
      <c r="V864" s="3">
        <f t="shared" si="94"/>
        <v>100.99674</v>
      </c>
      <c r="W864" s="1">
        <f t="shared" si="96"/>
        <v>1.1287703638630246E-2</v>
      </c>
      <c r="Y864" s="4">
        <v>250.01606000000001</v>
      </c>
      <c r="Z864" s="1">
        <v>429</v>
      </c>
      <c r="AA864" s="5">
        <v>105.47425</v>
      </c>
      <c r="AB864" s="3">
        <f t="shared" si="95"/>
        <v>103.86523</v>
      </c>
      <c r="AC864" s="1">
        <f t="shared" si="97"/>
        <v>3.2629859274531567E-3</v>
      </c>
    </row>
    <row r="865" spans="19:29" x14ac:dyDescent="0.2">
      <c r="S865" s="4">
        <v>250.00497999999999</v>
      </c>
      <c r="T865" s="1">
        <v>429.5</v>
      </c>
      <c r="U865" s="3">
        <v>97.645880000000005</v>
      </c>
      <c r="V865" s="3">
        <f t="shared" si="94"/>
        <v>100.96957</v>
      </c>
      <c r="W865" s="1">
        <f t="shared" si="96"/>
        <v>1.1556805139820559E-2</v>
      </c>
      <c r="Y865" s="4">
        <v>250.01573999999999</v>
      </c>
      <c r="Z865" s="1">
        <v>429.5</v>
      </c>
      <c r="AA865" s="3">
        <v>105.51758</v>
      </c>
      <c r="AB865" s="3">
        <f t="shared" si="95"/>
        <v>103.90855999999999</v>
      </c>
      <c r="AC865" s="1">
        <f t="shared" si="97"/>
        <v>2.8423344138518514E-3</v>
      </c>
    </row>
    <row r="866" spans="19:29" x14ac:dyDescent="0.2">
      <c r="S866" s="4">
        <v>250.00706</v>
      </c>
      <c r="T866" s="1">
        <v>430</v>
      </c>
      <c r="U866" s="5">
        <v>97.672629999999998</v>
      </c>
      <c r="V866" s="3">
        <f t="shared" si="94"/>
        <v>100.99632</v>
      </c>
      <c r="W866" s="1">
        <f t="shared" si="96"/>
        <v>1.129186347044848E-2</v>
      </c>
      <c r="Y866" s="4">
        <v>250.01575</v>
      </c>
      <c r="Z866" s="1">
        <v>430</v>
      </c>
      <c r="AA866" s="5">
        <v>105.58014</v>
      </c>
      <c r="AB866" s="3">
        <f t="shared" si="95"/>
        <v>103.97112</v>
      </c>
      <c r="AC866" s="1">
        <f t="shared" si="97"/>
        <v>2.2349963411331516E-3</v>
      </c>
    </row>
    <row r="867" spans="19:29" x14ac:dyDescent="0.2">
      <c r="S867" s="4">
        <v>250.00398999999999</v>
      </c>
      <c r="T867" s="1">
        <v>430.5</v>
      </c>
      <c r="U867" s="3">
        <v>97.656419999999997</v>
      </c>
      <c r="V867" s="3">
        <f t="shared" si="94"/>
        <v>100.98011</v>
      </c>
      <c r="W867" s="1">
        <f t="shared" si="96"/>
        <v>1.1452413169907277E-2</v>
      </c>
      <c r="Y867" s="4">
        <v>250.01990000000001</v>
      </c>
      <c r="Z867" s="1">
        <v>430.5</v>
      </c>
      <c r="AA867" s="3">
        <v>105.60554999999999</v>
      </c>
      <c r="AB867" s="3">
        <f t="shared" si="95"/>
        <v>103.99652999999999</v>
      </c>
      <c r="AC867" s="1">
        <f t="shared" si="97"/>
        <v>1.9883137895382484E-3</v>
      </c>
    </row>
    <row r="868" spans="19:29" x14ac:dyDescent="0.2">
      <c r="S868" s="4">
        <v>250.00710000000001</v>
      </c>
      <c r="T868" s="1">
        <v>431</v>
      </c>
      <c r="U868" s="5">
        <v>97.67277</v>
      </c>
      <c r="V868" s="3">
        <f t="shared" si="94"/>
        <v>100.99646</v>
      </c>
      <c r="W868" s="1">
        <f t="shared" si="96"/>
        <v>1.1290476859842401E-2</v>
      </c>
      <c r="Y868" s="4">
        <v>250.02067</v>
      </c>
      <c r="Z868" s="1">
        <v>431</v>
      </c>
      <c r="AA868" s="5">
        <v>105.51298</v>
      </c>
      <c r="AB868" s="3">
        <f t="shared" si="95"/>
        <v>103.90396</v>
      </c>
      <c r="AC868" s="1">
        <f t="shared" si="97"/>
        <v>2.886991625081129E-3</v>
      </c>
    </row>
    <row r="869" spans="19:29" x14ac:dyDescent="0.2">
      <c r="S869" s="4">
        <v>250.00695999999999</v>
      </c>
      <c r="T869" s="1">
        <v>431.5</v>
      </c>
      <c r="U869" s="3">
        <v>97.664230000000003</v>
      </c>
      <c r="V869" s="3">
        <f t="shared" si="94"/>
        <v>100.98792</v>
      </c>
      <c r="W869" s="1">
        <f t="shared" si="96"/>
        <v>1.1375060106812017E-2</v>
      </c>
      <c r="Y869" s="4">
        <v>250.01843</v>
      </c>
      <c r="Z869" s="1">
        <v>431.5</v>
      </c>
      <c r="AA869" s="3">
        <v>105.58014</v>
      </c>
      <c r="AB869" s="3">
        <f t="shared" si="95"/>
        <v>103.97112</v>
      </c>
      <c r="AC869" s="1">
        <f t="shared" si="97"/>
        <v>2.2349963411331516E-3</v>
      </c>
    </row>
    <row r="870" spans="19:29" x14ac:dyDescent="0.2">
      <c r="S870" s="4">
        <v>250.00397000000001</v>
      </c>
      <c r="T870" s="1">
        <v>432</v>
      </c>
      <c r="U870" s="5">
        <v>97.666589999999999</v>
      </c>
      <c r="V870" s="3">
        <f t="shared" si="94"/>
        <v>100.99028</v>
      </c>
      <c r="W870" s="1">
        <f t="shared" si="96"/>
        <v>1.1351685813738478E-2</v>
      </c>
      <c r="Y870" s="4">
        <v>250.01657</v>
      </c>
      <c r="Z870" s="1">
        <v>432</v>
      </c>
      <c r="AA870" s="5">
        <v>105.578</v>
      </c>
      <c r="AB870" s="3">
        <f t="shared" si="95"/>
        <v>103.96898</v>
      </c>
      <c r="AC870" s="1">
        <f t="shared" si="97"/>
        <v>2.2557716524441518E-3</v>
      </c>
    </row>
    <row r="871" spans="19:29" x14ac:dyDescent="0.2">
      <c r="S871" s="4">
        <v>250.01002</v>
      </c>
      <c r="T871" s="1">
        <v>432.5</v>
      </c>
      <c r="U871" s="3">
        <v>97.658410000000003</v>
      </c>
      <c r="V871" s="3">
        <f t="shared" si="94"/>
        <v>100.9821</v>
      </c>
      <c r="W871" s="1">
        <f t="shared" si="96"/>
        <v>1.1432703490578219E-2</v>
      </c>
      <c r="Y871" s="4">
        <v>250.01997</v>
      </c>
      <c r="Z871" s="1">
        <v>432.5</v>
      </c>
      <c r="AA871" s="3">
        <v>105.60107000000001</v>
      </c>
      <c r="AB871" s="3">
        <f t="shared" si="95"/>
        <v>103.99205000000001</v>
      </c>
      <c r="AC871" s="1">
        <f t="shared" si="97"/>
        <v>2.0318060300397109E-3</v>
      </c>
    </row>
    <row r="872" spans="19:29" x14ac:dyDescent="0.2">
      <c r="S872" s="4">
        <v>250.00682</v>
      </c>
      <c r="T872" s="1">
        <v>433</v>
      </c>
      <c r="U872" s="5">
        <v>97.673109999999994</v>
      </c>
      <c r="V872" s="3">
        <f t="shared" si="94"/>
        <v>100.99679999999999</v>
      </c>
      <c r="W872" s="1">
        <f t="shared" si="96"/>
        <v>1.1287109376942028E-2</v>
      </c>
      <c r="Y872" s="4">
        <v>250.02488</v>
      </c>
      <c r="Z872" s="1">
        <v>433</v>
      </c>
      <c r="AA872" s="5">
        <v>105.50214</v>
      </c>
      <c r="AB872" s="3">
        <f t="shared" si="95"/>
        <v>103.89312</v>
      </c>
      <c r="AC872" s="1">
        <f t="shared" si="97"/>
        <v>2.992227314151961E-3</v>
      </c>
    </row>
    <row r="873" spans="19:29" x14ac:dyDescent="0.2">
      <c r="S873" s="4">
        <v>250.00608</v>
      </c>
      <c r="T873" s="1">
        <v>433.5</v>
      </c>
      <c r="U873" s="3">
        <v>97.67277</v>
      </c>
      <c r="V873" s="3">
        <f t="shared" si="94"/>
        <v>100.99646</v>
      </c>
      <c r="W873" s="1">
        <f t="shared" si="96"/>
        <v>1.1290476859842401E-2</v>
      </c>
      <c r="Y873" s="4">
        <v>250.02634</v>
      </c>
      <c r="Z873" s="1">
        <v>433.5</v>
      </c>
      <c r="AA873" s="3">
        <v>105.53198</v>
      </c>
      <c r="AB873" s="3">
        <f t="shared" si="95"/>
        <v>103.92296</v>
      </c>
      <c r="AC873" s="1">
        <f t="shared" si="97"/>
        <v>2.702537926525219E-3</v>
      </c>
    </row>
    <row r="874" spans="19:29" x14ac:dyDescent="0.2">
      <c r="S874" s="4">
        <v>250.00899000000001</v>
      </c>
      <c r="T874" s="1">
        <v>434</v>
      </c>
      <c r="U874" s="5">
        <v>97.654060000000001</v>
      </c>
      <c r="V874" s="3">
        <f t="shared" si="94"/>
        <v>100.97775</v>
      </c>
      <c r="W874" s="1">
        <f t="shared" si="96"/>
        <v>1.1475787462980816E-2</v>
      </c>
      <c r="Y874" s="4">
        <v>250.02418</v>
      </c>
      <c r="Z874" s="1">
        <v>434</v>
      </c>
      <c r="AA874" s="5">
        <v>105.52714</v>
      </c>
      <c r="AB874" s="3">
        <f t="shared" si="95"/>
        <v>103.91812</v>
      </c>
      <c r="AC874" s="1">
        <f t="shared" si="97"/>
        <v>2.7495250792099889E-3</v>
      </c>
    </row>
    <row r="875" spans="19:29" x14ac:dyDescent="0.2">
      <c r="S875" s="4">
        <v>250.00389000000001</v>
      </c>
      <c r="T875" s="1">
        <v>434.5</v>
      </c>
      <c r="U875" s="3">
        <v>97.633600000000001</v>
      </c>
      <c r="V875" s="3">
        <f t="shared" si="94"/>
        <v>100.95729</v>
      </c>
      <c r="W875" s="1">
        <f t="shared" si="96"/>
        <v>1.1678430698694993E-2</v>
      </c>
      <c r="Y875" s="4">
        <v>250.02109999999999</v>
      </c>
      <c r="Z875" s="1">
        <v>434.5</v>
      </c>
      <c r="AA875" s="3">
        <v>105.52134</v>
      </c>
      <c r="AB875" s="3">
        <f t="shared" si="95"/>
        <v>103.91231999999999</v>
      </c>
      <c r="AC875" s="1">
        <f t="shared" si="97"/>
        <v>2.8058319977165894E-3</v>
      </c>
    </row>
    <row r="876" spans="19:29" x14ac:dyDescent="0.2">
      <c r="S876" s="4">
        <v>250.00103999999999</v>
      </c>
      <c r="T876" s="1">
        <v>435</v>
      </c>
      <c r="U876" s="5">
        <v>97.664580000000001</v>
      </c>
      <c r="V876" s="3">
        <f t="shared" si="94"/>
        <v>100.98827</v>
      </c>
      <c r="W876" s="1">
        <f t="shared" si="96"/>
        <v>1.1371593580296893E-2</v>
      </c>
      <c r="Y876" s="4">
        <v>250.01857000000001</v>
      </c>
      <c r="Z876" s="1">
        <v>435</v>
      </c>
      <c r="AA876" s="5">
        <v>105.5488</v>
      </c>
      <c r="AB876" s="3">
        <f t="shared" si="95"/>
        <v>103.93978</v>
      </c>
      <c r="AC876" s="1">
        <f t="shared" si="97"/>
        <v>2.5392478628563399E-3</v>
      </c>
    </row>
    <row r="877" spans="19:29" x14ac:dyDescent="0.2">
      <c r="S877" s="4">
        <v>250.00102999999999</v>
      </c>
      <c r="T877" s="1">
        <v>435.5</v>
      </c>
      <c r="U877" s="3">
        <v>97.648049999999998</v>
      </c>
      <c r="V877" s="3">
        <f t="shared" si="94"/>
        <v>100.97174</v>
      </c>
      <c r="W877" s="1">
        <f t="shared" si="96"/>
        <v>1.1535312675426707E-2</v>
      </c>
      <c r="Y877" s="4">
        <v>250.01467</v>
      </c>
      <c r="Z877" s="1">
        <v>435.5</v>
      </c>
      <c r="AA877" s="3">
        <v>105.63446999999999</v>
      </c>
      <c r="AB877" s="3">
        <f t="shared" si="95"/>
        <v>104.02544999999999</v>
      </c>
      <c r="AC877" s="1">
        <f t="shared" si="97"/>
        <v>1.7075558441574446E-3</v>
      </c>
    </row>
    <row r="878" spans="19:29" x14ac:dyDescent="0.2">
      <c r="S878" s="4">
        <v>250.00400999999999</v>
      </c>
      <c r="T878" s="1">
        <v>436</v>
      </c>
      <c r="U878" s="5">
        <v>97.641589999999994</v>
      </c>
      <c r="V878" s="3">
        <f t="shared" si="94"/>
        <v>100.96527999999999</v>
      </c>
      <c r="W878" s="1">
        <f t="shared" si="96"/>
        <v>1.1599294850534937E-2</v>
      </c>
      <c r="Y878" s="4">
        <v>250.01261</v>
      </c>
      <c r="Z878" s="1">
        <v>436</v>
      </c>
      <c r="AA878" s="5">
        <v>105.52843</v>
      </c>
      <c r="AB878" s="3">
        <f t="shared" si="95"/>
        <v>103.91941</v>
      </c>
      <c r="AC878" s="1">
        <f t="shared" si="97"/>
        <v>2.737001643887012E-3</v>
      </c>
    </row>
    <row r="879" spans="19:29" x14ac:dyDescent="0.2">
      <c r="S879" s="4">
        <v>250.00405000000001</v>
      </c>
      <c r="T879" s="1">
        <v>436.5</v>
      </c>
      <c r="U879" s="3">
        <v>97.643789999999996</v>
      </c>
      <c r="V879" s="3">
        <f t="shared" si="94"/>
        <v>100.96747999999999</v>
      </c>
      <c r="W879" s="1">
        <f t="shared" si="96"/>
        <v>1.1577505255296834E-2</v>
      </c>
      <c r="Y879" s="4">
        <v>250.01148000000001</v>
      </c>
      <c r="Z879" s="1">
        <v>436.5</v>
      </c>
      <c r="AA879" s="3">
        <v>105.50409999999999</v>
      </c>
      <c r="AB879" s="3">
        <f t="shared" si="95"/>
        <v>103.89507999999999</v>
      </c>
      <c r="AC879" s="1">
        <f t="shared" si="97"/>
        <v>2.9731994589325453E-3</v>
      </c>
    </row>
    <row r="880" spans="19:29" x14ac:dyDescent="0.2">
      <c r="S880" s="4">
        <v>250.00898000000001</v>
      </c>
      <c r="T880" s="1">
        <v>437</v>
      </c>
      <c r="U880" s="5">
        <v>97.62979</v>
      </c>
      <c r="V880" s="3">
        <f t="shared" si="94"/>
        <v>100.95348</v>
      </c>
      <c r="W880" s="1">
        <f t="shared" si="96"/>
        <v>1.1716166315902778E-2</v>
      </c>
      <c r="Y880" s="4">
        <v>250.0127</v>
      </c>
      <c r="Z880" s="1">
        <v>437</v>
      </c>
      <c r="AA880" s="5">
        <v>105.532</v>
      </c>
      <c r="AB880" s="3">
        <f t="shared" si="95"/>
        <v>103.92298</v>
      </c>
      <c r="AC880" s="1">
        <f t="shared" si="97"/>
        <v>2.7023437647373419E-3</v>
      </c>
    </row>
    <row r="881" spans="19:29" x14ac:dyDescent="0.2">
      <c r="S881" s="4">
        <v>250.0069</v>
      </c>
      <c r="T881" s="1">
        <v>437.5</v>
      </c>
      <c r="U881" s="3">
        <v>97.648340000000005</v>
      </c>
      <c r="V881" s="3">
        <f t="shared" si="94"/>
        <v>100.97203</v>
      </c>
      <c r="W881" s="1">
        <f t="shared" si="96"/>
        <v>1.15324404105998E-2</v>
      </c>
      <c r="Y881" s="4">
        <v>250.01779999999999</v>
      </c>
      <c r="Z881" s="1">
        <v>437.5</v>
      </c>
      <c r="AA881" s="3">
        <v>105.59935</v>
      </c>
      <c r="AB881" s="3">
        <f t="shared" si="95"/>
        <v>103.99033</v>
      </c>
      <c r="AC881" s="1">
        <f t="shared" si="97"/>
        <v>2.0485039438037722E-3</v>
      </c>
    </row>
    <row r="882" spans="19:29" x14ac:dyDescent="0.2">
      <c r="S882" s="4">
        <v>250.00993</v>
      </c>
      <c r="T882" s="1">
        <v>438</v>
      </c>
      <c r="U882" s="5">
        <v>97.643969999999996</v>
      </c>
      <c r="V882" s="3">
        <f t="shared" si="94"/>
        <v>100.96766</v>
      </c>
      <c r="W882" s="1">
        <f t="shared" si="96"/>
        <v>1.1575722470231897E-2</v>
      </c>
      <c r="Y882" s="4">
        <v>250.018</v>
      </c>
      <c r="Z882" s="1">
        <v>438</v>
      </c>
      <c r="AA882" s="5">
        <v>105.51559</v>
      </c>
      <c r="AB882" s="3">
        <f t="shared" si="95"/>
        <v>103.90657</v>
      </c>
      <c r="AC882" s="1">
        <f t="shared" si="97"/>
        <v>2.861653511753152E-3</v>
      </c>
    </row>
    <row r="883" spans="19:29" x14ac:dyDescent="0.2">
      <c r="S883" s="4">
        <v>250.00295</v>
      </c>
      <c r="T883" s="1">
        <v>438.5</v>
      </c>
      <c r="U883" s="3">
        <v>97.643950000000004</v>
      </c>
      <c r="V883" s="3">
        <f t="shared" si="94"/>
        <v>100.96764</v>
      </c>
      <c r="W883" s="1">
        <f t="shared" si="96"/>
        <v>1.1575920557461256E-2</v>
      </c>
      <c r="Y883" s="4">
        <v>250.01687999999999</v>
      </c>
      <c r="Z883" s="1">
        <v>438.5</v>
      </c>
      <c r="AA883" s="3">
        <v>105.52038</v>
      </c>
      <c r="AB883" s="3">
        <f t="shared" si="95"/>
        <v>103.91136</v>
      </c>
      <c r="AC883" s="1">
        <f t="shared" si="97"/>
        <v>2.8151517635382822E-3</v>
      </c>
    </row>
    <row r="884" spans="19:29" x14ac:dyDescent="0.2">
      <c r="S884" s="4">
        <v>250.00489999999999</v>
      </c>
      <c r="T884" s="1">
        <v>439</v>
      </c>
      <c r="U884" s="5">
        <v>97.637540000000001</v>
      </c>
      <c r="V884" s="3">
        <f t="shared" si="94"/>
        <v>100.96123</v>
      </c>
      <c r="W884" s="1">
        <f t="shared" si="96"/>
        <v>1.1639407514495879E-2</v>
      </c>
      <c r="Y884" s="4">
        <v>250.01736</v>
      </c>
      <c r="Z884" s="1">
        <v>439</v>
      </c>
      <c r="AA884" s="5">
        <v>105.49338</v>
      </c>
      <c r="AB884" s="3">
        <f t="shared" si="95"/>
        <v>103.88436</v>
      </c>
      <c r="AC884" s="1">
        <f t="shared" si="97"/>
        <v>3.0772701772755623E-3</v>
      </c>
    </row>
    <row r="885" spans="19:29" x14ac:dyDescent="0.2">
      <c r="S885" s="4">
        <v>250.00497999999999</v>
      </c>
      <c r="T885" s="1">
        <v>439.5</v>
      </c>
      <c r="U885" s="3">
        <v>97.654349999999994</v>
      </c>
      <c r="V885" s="3">
        <f t="shared" si="94"/>
        <v>100.97803999999999</v>
      </c>
      <c r="W885" s="1">
        <f t="shared" si="96"/>
        <v>1.1472915198154052E-2</v>
      </c>
      <c r="Y885" s="4">
        <v>250.01714000000001</v>
      </c>
      <c r="Z885" s="1">
        <v>439.5</v>
      </c>
      <c r="AA885" s="3">
        <v>105.42274</v>
      </c>
      <c r="AB885" s="3">
        <f t="shared" si="95"/>
        <v>103.81372</v>
      </c>
      <c r="AC885" s="1">
        <f t="shared" si="97"/>
        <v>3.7630496123274176E-3</v>
      </c>
    </row>
    <row r="886" spans="19:29" x14ac:dyDescent="0.2">
      <c r="S886" s="4">
        <v>250.00890999999999</v>
      </c>
      <c r="T886" s="1">
        <v>440</v>
      </c>
      <c r="U886" s="5">
        <v>97.647949999999994</v>
      </c>
      <c r="V886" s="3">
        <f t="shared" si="94"/>
        <v>100.97163999999999</v>
      </c>
      <c r="W886" s="1">
        <f t="shared" si="96"/>
        <v>1.1536303111573925E-2</v>
      </c>
      <c r="Y886" s="4">
        <v>250.01776000000001</v>
      </c>
      <c r="Z886" s="1">
        <v>440</v>
      </c>
      <c r="AA886" s="5">
        <v>105.58405999999999</v>
      </c>
      <c r="AB886" s="3">
        <f t="shared" si="95"/>
        <v>103.97503999999999</v>
      </c>
      <c r="AC886" s="1">
        <f t="shared" si="97"/>
        <v>2.1969406306943202E-3</v>
      </c>
    </row>
    <row r="887" spans="19:29" x14ac:dyDescent="0.2">
      <c r="S887" s="4">
        <v>250.00301999999999</v>
      </c>
      <c r="T887" s="1">
        <v>440.5</v>
      </c>
      <c r="U887" s="3">
        <v>97.642030000000005</v>
      </c>
      <c r="V887" s="3">
        <f t="shared" si="94"/>
        <v>100.96572</v>
      </c>
      <c r="W887" s="1">
        <f t="shared" si="96"/>
        <v>1.1594936931487203E-2</v>
      </c>
      <c r="Y887" s="4">
        <v>250.01644999999999</v>
      </c>
      <c r="Z887" s="1">
        <v>440.5</v>
      </c>
      <c r="AA887" s="3">
        <v>105.46124</v>
      </c>
      <c r="AB887" s="3">
        <f t="shared" si="95"/>
        <v>103.85222</v>
      </c>
      <c r="AC887" s="1">
        <f t="shared" si="97"/>
        <v>3.3892881705168743E-3</v>
      </c>
    </row>
    <row r="888" spans="19:29" x14ac:dyDescent="0.2">
      <c r="S888" s="4">
        <v>250.00398999999999</v>
      </c>
      <c r="T888" s="1">
        <v>441</v>
      </c>
      <c r="U888" s="5">
        <v>97.643889999999999</v>
      </c>
      <c r="V888" s="3">
        <f t="shared" si="94"/>
        <v>100.96758</v>
      </c>
      <c r="W888" s="1">
        <f t="shared" si="96"/>
        <v>1.1576514819149616E-2</v>
      </c>
      <c r="Y888" s="4">
        <v>250.01391000000001</v>
      </c>
      <c r="Z888" s="1">
        <v>441</v>
      </c>
      <c r="AA888" s="5">
        <v>105.49301</v>
      </c>
      <c r="AB888" s="3">
        <f t="shared" si="95"/>
        <v>103.88399</v>
      </c>
      <c r="AC888" s="1">
        <f t="shared" si="97"/>
        <v>3.080862170352739E-3</v>
      </c>
    </row>
    <row r="889" spans="19:29" x14ac:dyDescent="0.2">
      <c r="S889" s="4">
        <v>250.00908000000001</v>
      </c>
      <c r="T889" s="1">
        <v>441.5</v>
      </c>
      <c r="U889" s="3">
        <v>97.641900000000007</v>
      </c>
      <c r="V889" s="3">
        <f t="shared" si="94"/>
        <v>100.96559000000001</v>
      </c>
      <c r="W889" s="1">
        <f t="shared" si="96"/>
        <v>1.1596224498478531E-2</v>
      </c>
      <c r="Y889" s="4">
        <v>250.01492999999999</v>
      </c>
      <c r="Z889" s="1">
        <v>441.5</v>
      </c>
      <c r="AA889" s="3">
        <v>105.45455</v>
      </c>
      <c r="AB889" s="3">
        <f t="shared" si="95"/>
        <v>103.84553</v>
      </c>
      <c r="AC889" s="1">
        <f t="shared" si="97"/>
        <v>3.45423528858739E-3</v>
      </c>
    </row>
    <row r="890" spans="19:29" x14ac:dyDescent="0.2">
      <c r="S890" s="4">
        <v>250.01297</v>
      </c>
      <c r="T890" s="1">
        <v>442</v>
      </c>
      <c r="U890" s="5">
        <v>97.639899999999997</v>
      </c>
      <c r="V890" s="3">
        <f t="shared" si="94"/>
        <v>100.96359</v>
      </c>
      <c r="W890" s="1">
        <f t="shared" si="96"/>
        <v>1.1616033221422338E-2</v>
      </c>
      <c r="Y890" s="4">
        <v>250.00981999999999</v>
      </c>
      <c r="Z890" s="1">
        <v>442</v>
      </c>
      <c r="AA890" s="5">
        <v>105.48649</v>
      </c>
      <c r="AB890" s="3">
        <f t="shared" si="95"/>
        <v>103.87747</v>
      </c>
      <c r="AC890" s="1">
        <f t="shared" si="97"/>
        <v>3.1441589132255401E-3</v>
      </c>
    </row>
    <row r="891" spans="19:29" x14ac:dyDescent="0.2">
      <c r="S891" s="4">
        <v>250.00703999999999</v>
      </c>
      <c r="T891" s="1">
        <v>442.5</v>
      </c>
      <c r="U891" s="3">
        <v>97.633769999999998</v>
      </c>
      <c r="V891" s="3">
        <f t="shared" si="94"/>
        <v>100.95746</v>
      </c>
      <c r="W891" s="1">
        <f t="shared" si="96"/>
        <v>1.1676746957244806E-2</v>
      </c>
      <c r="Y891" s="4">
        <v>250.00923</v>
      </c>
      <c r="Z891" s="1">
        <v>442.5</v>
      </c>
      <c r="AA891" s="3">
        <v>105.4774</v>
      </c>
      <c r="AB891" s="3">
        <f t="shared" si="95"/>
        <v>103.86838</v>
      </c>
      <c r="AC891" s="1">
        <f t="shared" si="97"/>
        <v>3.2324054458504258E-3</v>
      </c>
    </row>
    <row r="892" spans="19:29" x14ac:dyDescent="0.2">
      <c r="S892" s="4">
        <v>250.00609</v>
      </c>
      <c r="T892" s="1">
        <v>443</v>
      </c>
      <c r="U892" s="5">
        <v>97.63109</v>
      </c>
      <c r="V892" s="3">
        <f t="shared" si="94"/>
        <v>100.95478</v>
      </c>
      <c r="W892" s="1">
        <f t="shared" si="96"/>
        <v>1.1703290645989361E-2</v>
      </c>
      <c r="Y892" s="4">
        <v>250.01158000000001</v>
      </c>
      <c r="Z892" s="1">
        <v>443</v>
      </c>
      <c r="AA892" s="5">
        <v>105.62786</v>
      </c>
      <c r="AB892" s="3">
        <f t="shared" si="95"/>
        <v>104.01884</v>
      </c>
      <c r="AC892" s="1">
        <f t="shared" si="97"/>
        <v>1.7717263150760379E-3</v>
      </c>
    </row>
    <row r="893" spans="19:29" x14ac:dyDescent="0.2">
      <c r="S893" s="4">
        <v>250.00899999999999</v>
      </c>
      <c r="T893" s="1">
        <v>443.5</v>
      </c>
      <c r="U893" s="3">
        <v>97.617059999999995</v>
      </c>
      <c r="V893" s="3">
        <f t="shared" si="94"/>
        <v>100.94074999999999</v>
      </c>
      <c r="W893" s="1">
        <f t="shared" si="96"/>
        <v>1.1842248837439555E-2</v>
      </c>
      <c r="Y893" s="4">
        <v>250.01136</v>
      </c>
      <c r="Z893" s="1">
        <v>443.5</v>
      </c>
      <c r="AA893" s="3">
        <v>105.61154999999999</v>
      </c>
      <c r="AB893" s="3">
        <f t="shared" si="95"/>
        <v>104.00252999999999</v>
      </c>
      <c r="AC893" s="1">
        <f t="shared" si="97"/>
        <v>1.930065253152186E-3</v>
      </c>
    </row>
    <row r="894" spans="19:29" x14ac:dyDescent="0.2">
      <c r="S894" s="4">
        <v>250.00996000000001</v>
      </c>
      <c r="T894" s="1">
        <v>444</v>
      </c>
      <c r="U894" s="5">
        <v>97.610969999999995</v>
      </c>
      <c r="V894" s="3">
        <f t="shared" si="94"/>
        <v>100.93465999999999</v>
      </c>
      <c r="W894" s="1">
        <f t="shared" si="96"/>
        <v>1.1902566398803162E-2</v>
      </c>
      <c r="Y894" s="4">
        <v>250.00935999999999</v>
      </c>
      <c r="Z894" s="1">
        <v>444</v>
      </c>
      <c r="AA894" s="5">
        <v>105.47963</v>
      </c>
      <c r="AB894" s="3">
        <f t="shared" si="95"/>
        <v>103.87061</v>
      </c>
      <c r="AC894" s="1">
        <f t="shared" si="97"/>
        <v>3.2107564064936334E-3</v>
      </c>
    </row>
    <row r="895" spans="19:29" x14ac:dyDescent="0.2">
      <c r="S895" s="4">
        <v>250.00303</v>
      </c>
      <c r="T895" s="1">
        <v>444.5</v>
      </c>
      <c r="U895" s="3">
        <v>97.617379999999997</v>
      </c>
      <c r="V895" s="3">
        <f t="shared" si="94"/>
        <v>100.94107</v>
      </c>
      <c r="W895" s="1">
        <f t="shared" si="96"/>
        <v>1.1839079441768541E-2</v>
      </c>
      <c r="Y895" s="4">
        <v>250.01079999999999</v>
      </c>
      <c r="Z895" s="1">
        <v>444.5</v>
      </c>
      <c r="AA895" s="3">
        <v>105.59693</v>
      </c>
      <c r="AB895" s="3">
        <f t="shared" si="95"/>
        <v>103.98791</v>
      </c>
      <c r="AC895" s="1">
        <f t="shared" si="97"/>
        <v>2.0719975201461574E-3</v>
      </c>
    </row>
    <row r="896" spans="19:29" x14ac:dyDescent="0.2">
      <c r="S896" s="4">
        <v>250.00389999999999</v>
      </c>
      <c r="T896" s="1">
        <v>445</v>
      </c>
      <c r="U896" s="5">
        <v>97.616969999999995</v>
      </c>
      <c r="V896" s="3">
        <f t="shared" si="94"/>
        <v>100.94065999999999</v>
      </c>
      <c r="W896" s="1">
        <f t="shared" si="96"/>
        <v>1.1843140229972023E-2</v>
      </c>
      <c r="Y896" s="4">
        <v>250.01526999999999</v>
      </c>
      <c r="Z896" s="1">
        <v>445</v>
      </c>
      <c r="AA896" s="5">
        <v>105.52124999999999</v>
      </c>
      <c r="AB896" s="3">
        <f t="shared" si="95"/>
        <v>103.91222999999999</v>
      </c>
      <c r="AC896" s="1">
        <f t="shared" si="97"/>
        <v>2.8067057257623817E-3</v>
      </c>
    </row>
    <row r="897" spans="19:29" x14ac:dyDescent="0.2">
      <c r="S897" s="4">
        <v>250.00594000000001</v>
      </c>
      <c r="T897" s="1">
        <v>445.5</v>
      </c>
      <c r="U897" s="3">
        <v>97.641869999999997</v>
      </c>
      <c r="V897" s="3">
        <f t="shared" si="94"/>
        <v>100.96556</v>
      </c>
      <c r="W897" s="1">
        <f t="shared" si="96"/>
        <v>1.1596521629322782E-2</v>
      </c>
      <c r="Y897" s="4">
        <v>250.01343</v>
      </c>
      <c r="Z897" s="1">
        <v>445.5</v>
      </c>
      <c r="AA897" s="3">
        <v>105.46965</v>
      </c>
      <c r="AB897" s="3">
        <f t="shared" si="95"/>
        <v>103.86063</v>
      </c>
      <c r="AC897" s="1">
        <f t="shared" si="97"/>
        <v>3.3076431386824348E-3</v>
      </c>
    </row>
    <row r="898" spans="19:29" x14ac:dyDescent="0.2">
      <c r="S898" s="4">
        <v>250.00594000000001</v>
      </c>
      <c r="T898" s="1">
        <v>446</v>
      </c>
      <c r="U898" s="5">
        <v>97.631730000000005</v>
      </c>
      <c r="V898" s="3">
        <f t="shared" si="94"/>
        <v>100.95542</v>
      </c>
      <c r="W898" s="1">
        <f t="shared" si="96"/>
        <v>1.1696951854647331E-2</v>
      </c>
      <c r="Y898" s="4">
        <v>250.01544999999999</v>
      </c>
      <c r="Z898" s="1">
        <v>446</v>
      </c>
      <c r="AA898" s="5">
        <v>105.53924000000001</v>
      </c>
      <c r="AB898" s="3">
        <f t="shared" si="95"/>
        <v>103.93022000000001</v>
      </c>
      <c r="AC898" s="1">
        <f t="shared" si="97"/>
        <v>2.6320571974980645E-3</v>
      </c>
    </row>
    <row r="899" spans="19:29" x14ac:dyDescent="0.2">
      <c r="S899" s="4">
        <v>250.00507999999999</v>
      </c>
      <c r="T899" s="1">
        <v>446.5</v>
      </c>
      <c r="U899" s="3">
        <v>97.633859999999999</v>
      </c>
      <c r="V899" s="3">
        <f t="shared" si="94"/>
        <v>100.95755</v>
      </c>
      <c r="W899" s="1">
        <f t="shared" si="96"/>
        <v>1.1675855564712337E-2</v>
      </c>
      <c r="Y899" s="4">
        <v>250.01949999999999</v>
      </c>
      <c r="Z899" s="1">
        <v>446.5</v>
      </c>
      <c r="AA899" s="3">
        <v>105.43449</v>
      </c>
      <c r="AB899" s="3">
        <f t="shared" si="95"/>
        <v>103.82547</v>
      </c>
      <c r="AC899" s="1">
        <f t="shared" si="97"/>
        <v>3.6489795619047928E-3</v>
      </c>
    </row>
    <row r="900" spans="19:29" x14ac:dyDescent="0.2">
      <c r="S900" s="4">
        <v>250.00791000000001</v>
      </c>
      <c r="T900" s="1">
        <v>447</v>
      </c>
      <c r="U900" s="5">
        <v>97.623329999999996</v>
      </c>
      <c r="V900" s="3">
        <f t="shared" si="94"/>
        <v>100.94701999999999</v>
      </c>
      <c r="W900" s="1">
        <f t="shared" si="96"/>
        <v>1.178014849101101E-2</v>
      </c>
      <c r="Y900" s="4">
        <v>250.02134000000001</v>
      </c>
      <c r="Z900" s="1">
        <v>447</v>
      </c>
      <c r="AA900" s="5">
        <v>105.44067</v>
      </c>
      <c r="AB900" s="3">
        <f t="shared" si="95"/>
        <v>103.83165</v>
      </c>
      <c r="AC900" s="1">
        <f t="shared" si="97"/>
        <v>3.5889835694271456E-3</v>
      </c>
    </row>
    <row r="901" spans="19:29" x14ac:dyDescent="0.2">
      <c r="S901" s="4">
        <v>250.00399999999999</v>
      </c>
      <c r="T901" s="1">
        <v>447.5</v>
      </c>
      <c r="U901" s="3">
        <v>97.619119999999995</v>
      </c>
      <c r="V901" s="3">
        <f t="shared" si="94"/>
        <v>100.94280999999999</v>
      </c>
      <c r="W901" s="1">
        <f t="shared" si="96"/>
        <v>1.1821845852807529E-2</v>
      </c>
      <c r="Y901" s="4">
        <v>250.02204</v>
      </c>
      <c r="Z901" s="1">
        <v>447.5</v>
      </c>
      <c r="AA901" s="3">
        <v>105.50309</v>
      </c>
      <c r="AB901" s="3">
        <f t="shared" si="95"/>
        <v>103.89407</v>
      </c>
      <c r="AC901" s="1">
        <f t="shared" si="97"/>
        <v>2.9830046292241381E-3</v>
      </c>
    </row>
    <row r="902" spans="19:29" x14ac:dyDescent="0.2">
      <c r="S902" s="4">
        <v>250.00998999999999</v>
      </c>
      <c r="T902" s="1">
        <v>448</v>
      </c>
      <c r="U902" s="5">
        <v>97.637879999999996</v>
      </c>
      <c r="V902" s="3">
        <f t="shared" si="94"/>
        <v>100.96156999999999</v>
      </c>
      <c r="W902" s="1">
        <f t="shared" si="96"/>
        <v>1.1636040031595504E-2</v>
      </c>
      <c r="Y902" s="4">
        <v>250.0232</v>
      </c>
      <c r="Z902" s="1">
        <v>448</v>
      </c>
      <c r="AA902" s="5">
        <v>105.3783</v>
      </c>
      <c r="AB902" s="3">
        <f t="shared" si="95"/>
        <v>103.76927999999999</v>
      </c>
      <c r="AC902" s="1">
        <f t="shared" si="97"/>
        <v>4.1944771051602532E-3</v>
      </c>
    </row>
    <row r="903" spans="19:29" x14ac:dyDescent="0.2">
      <c r="S903" s="4">
        <v>250.00597999999999</v>
      </c>
      <c r="T903" s="1">
        <v>448.5</v>
      </c>
      <c r="U903" s="3">
        <v>97.639740000000003</v>
      </c>
      <c r="V903" s="3">
        <f t="shared" ref="V903:V966" si="98">100-($U$6-U903)</f>
        <v>100.96343</v>
      </c>
      <c r="W903" s="1">
        <f t="shared" si="96"/>
        <v>1.1617617919257776E-2</v>
      </c>
      <c r="Y903" s="4">
        <v>250.02429000000001</v>
      </c>
      <c r="Z903" s="1">
        <v>448.5</v>
      </c>
      <c r="AA903" s="3">
        <v>105.3818</v>
      </c>
      <c r="AB903" s="3">
        <f t="shared" ref="AB903:AB966" si="99">100-($AA$6-AA903)</f>
        <v>103.77278</v>
      </c>
      <c r="AC903" s="1">
        <f t="shared" si="97"/>
        <v>4.1604987922683606E-3</v>
      </c>
    </row>
    <row r="904" spans="19:29" x14ac:dyDescent="0.2">
      <c r="S904" s="4">
        <v>250.01</v>
      </c>
      <c r="T904" s="1">
        <v>449</v>
      </c>
      <c r="U904" s="5">
        <v>97.635930000000002</v>
      </c>
      <c r="V904" s="3">
        <f t="shared" si="98"/>
        <v>100.95962</v>
      </c>
      <c r="W904" s="1">
        <f t="shared" ref="W904:W967" si="100">($V$199-V904)/($V$199*(1-$H$1))</f>
        <v>1.1655353536465561E-2</v>
      </c>
      <c r="Y904" s="4">
        <v>250.02476999999999</v>
      </c>
      <c r="Z904" s="1">
        <v>449</v>
      </c>
      <c r="AA904" s="5">
        <v>105.45587</v>
      </c>
      <c r="AB904" s="3">
        <f t="shared" si="99"/>
        <v>103.84685</v>
      </c>
      <c r="AC904" s="1">
        <f t="shared" si="97"/>
        <v>3.4414206105823904E-3</v>
      </c>
    </row>
    <row r="905" spans="19:29" x14ac:dyDescent="0.2">
      <c r="S905" s="4">
        <v>250.00913</v>
      </c>
      <c r="T905" s="1">
        <v>449.5</v>
      </c>
      <c r="U905" s="3">
        <v>97.635819999999995</v>
      </c>
      <c r="V905" s="3">
        <f t="shared" si="98"/>
        <v>100.95950999999999</v>
      </c>
      <c r="W905" s="1">
        <f t="shared" si="100"/>
        <v>1.165644301622753E-2</v>
      </c>
      <c r="Y905" s="4">
        <v>250.02137999999999</v>
      </c>
      <c r="Z905" s="1">
        <v>449.5</v>
      </c>
      <c r="AA905" s="3">
        <v>105.46259000000001</v>
      </c>
      <c r="AB905" s="3">
        <f t="shared" si="99"/>
        <v>103.85357</v>
      </c>
      <c r="AC905" s="1">
        <f t="shared" si="97"/>
        <v>3.3761822498299893E-3</v>
      </c>
    </row>
    <row r="906" spans="19:29" x14ac:dyDescent="0.2">
      <c r="S906" s="4">
        <v>250.00692000000001</v>
      </c>
      <c r="T906" s="1">
        <v>450</v>
      </c>
      <c r="U906" s="5">
        <v>97.639790000000005</v>
      </c>
      <c r="V906" s="3">
        <f t="shared" si="98"/>
        <v>100.96348</v>
      </c>
      <c r="W906" s="1">
        <f t="shared" si="100"/>
        <v>1.1617122701184167E-2</v>
      </c>
      <c r="Y906" s="4">
        <v>250.02142000000001</v>
      </c>
      <c r="Z906" s="1">
        <v>450</v>
      </c>
      <c r="AA906" s="5">
        <v>105.49303</v>
      </c>
      <c r="AB906" s="3">
        <f t="shared" si="99"/>
        <v>103.88401</v>
      </c>
      <c r="AC906" s="1">
        <f t="shared" si="97"/>
        <v>3.080668008564724E-3</v>
      </c>
    </row>
    <row r="907" spans="19:29" x14ac:dyDescent="0.2">
      <c r="S907" s="4">
        <v>250.00595000000001</v>
      </c>
      <c r="T907" s="1">
        <v>450.5</v>
      </c>
      <c r="U907" s="3">
        <v>97.61909</v>
      </c>
      <c r="V907" s="3">
        <f t="shared" si="98"/>
        <v>100.94278</v>
      </c>
      <c r="W907" s="1">
        <f t="shared" si="100"/>
        <v>1.1822142983651638E-2</v>
      </c>
      <c r="Y907" s="4">
        <v>250.02007</v>
      </c>
      <c r="Z907" s="1">
        <v>450.5</v>
      </c>
      <c r="AA907" s="3">
        <v>105.51461999999999</v>
      </c>
      <c r="AB907" s="3">
        <f t="shared" si="99"/>
        <v>103.90559999999999</v>
      </c>
      <c r="AC907" s="1">
        <f t="shared" si="97"/>
        <v>2.87107035846899E-3</v>
      </c>
    </row>
    <row r="908" spans="19:29" x14ac:dyDescent="0.2">
      <c r="S908" s="4">
        <v>250.00594000000001</v>
      </c>
      <c r="T908" s="1">
        <v>451</v>
      </c>
      <c r="U908" s="5">
        <v>97.633319999999998</v>
      </c>
      <c r="V908" s="3">
        <f t="shared" si="98"/>
        <v>100.95701</v>
      </c>
      <c r="W908" s="1">
        <f t="shared" si="100"/>
        <v>1.1681203919907148E-2</v>
      </c>
      <c r="Y908" s="4">
        <v>250.01787999999999</v>
      </c>
      <c r="Z908" s="1">
        <v>451</v>
      </c>
      <c r="AA908" s="5">
        <v>105.49381</v>
      </c>
      <c r="AB908" s="3">
        <f t="shared" si="99"/>
        <v>103.88479</v>
      </c>
      <c r="AC908" s="1">
        <f t="shared" si="97"/>
        <v>3.0730956988346161E-3</v>
      </c>
    </row>
    <row r="909" spans="19:29" x14ac:dyDescent="0.2">
      <c r="S909" s="4">
        <v>250.00099</v>
      </c>
      <c r="T909" s="1">
        <v>451.5</v>
      </c>
      <c r="U909" s="3">
        <v>97.606049999999996</v>
      </c>
      <c r="V909" s="3">
        <f t="shared" si="98"/>
        <v>100.92974</v>
      </c>
      <c r="W909" s="1">
        <f t="shared" si="100"/>
        <v>1.195129585724468E-2</v>
      </c>
      <c r="Y909" s="4">
        <v>250.01545999999999</v>
      </c>
      <c r="Z909" s="1">
        <v>451.5</v>
      </c>
      <c r="AA909" s="3">
        <v>105.42189</v>
      </c>
      <c r="AB909" s="3">
        <f t="shared" si="99"/>
        <v>103.81287</v>
      </c>
      <c r="AC909" s="1">
        <f t="shared" si="97"/>
        <v>3.7713014883154405E-3</v>
      </c>
    </row>
    <row r="910" spans="19:29" x14ac:dyDescent="0.2">
      <c r="S910" s="4">
        <v>250.00304</v>
      </c>
      <c r="T910" s="1">
        <v>452</v>
      </c>
      <c r="U910" s="5">
        <v>97.617429999999999</v>
      </c>
      <c r="V910" s="3">
        <f t="shared" si="98"/>
        <v>100.94112</v>
      </c>
      <c r="W910" s="1">
        <f t="shared" si="100"/>
        <v>1.1838584223694932E-2</v>
      </c>
      <c r="Y910" s="4">
        <v>250.01498000000001</v>
      </c>
      <c r="Z910" s="1">
        <v>452</v>
      </c>
      <c r="AA910" s="5">
        <v>105.51634</v>
      </c>
      <c r="AB910" s="3">
        <f t="shared" si="99"/>
        <v>103.90732</v>
      </c>
      <c r="AC910" s="1">
        <f t="shared" si="97"/>
        <v>2.8543724447049287E-3</v>
      </c>
    </row>
    <row r="911" spans="19:29" x14ac:dyDescent="0.2">
      <c r="S911" s="4">
        <v>250.00595000000001</v>
      </c>
      <c r="T911" s="1">
        <v>452.5</v>
      </c>
      <c r="U911" s="3">
        <v>97.616780000000006</v>
      </c>
      <c r="V911" s="3">
        <f t="shared" si="98"/>
        <v>100.94047</v>
      </c>
      <c r="W911" s="1">
        <f t="shared" si="100"/>
        <v>1.184502205865157E-2</v>
      </c>
      <c r="Y911" s="4">
        <v>250.01391000000001</v>
      </c>
      <c r="Z911" s="1">
        <v>452.5</v>
      </c>
      <c r="AA911" s="3">
        <v>105.48766999999999</v>
      </c>
      <c r="AB911" s="3">
        <f t="shared" si="99"/>
        <v>103.87864999999999</v>
      </c>
      <c r="AC911" s="1">
        <f t="shared" si="97"/>
        <v>3.1327033677363706E-3</v>
      </c>
    </row>
    <row r="912" spans="19:29" x14ac:dyDescent="0.2">
      <c r="S912" s="4">
        <v>250.00504000000001</v>
      </c>
      <c r="T912" s="1">
        <v>453</v>
      </c>
      <c r="U912" s="5">
        <v>97.620999999999995</v>
      </c>
      <c r="V912" s="3">
        <f t="shared" si="98"/>
        <v>100.94468999999999</v>
      </c>
      <c r="W912" s="1">
        <f t="shared" si="100"/>
        <v>1.1803225653240441E-2</v>
      </c>
      <c r="Y912" s="4">
        <v>250.01204000000001</v>
      </c>
      <c r="Z912" s="1">
        <v>453</v>
      </c>
      <c r="AA912" s="5">
        <v>105.45971</v>
      </c>
      <c r="AB912" s="3">
        <f t="shared" si="99"/>
        <v>103.85069</v>
      </c>
      <c r="AC912" s="1">
        <f t="shared" si="97"/>
        <v>3.4041415472953434E-3</v>
      </c>
    </row>
    <row r="913" spans="19:29" x14ac:dyDescent="0.2">
      <c r="S913" s="4">
        <v>250.00305</v>
      </c>
      <c r="T913" s="1">
        <v>453.5</v>
      </c>
      <c r="U913" s="3">
        <v>97.611050000000006</v>
      </c>
      <c r="V913" s="3">
        <f t="shared" si="98"/>
        <v>100.93474000000001</v>
      </c>
      <c r="W913" s="1">
        <f t="shared" si="100"/>
        <v>1.1901774049885303E-2</v>
      </c>
      <c r="Y913" s="4">
        <v>250.01170999999999</v>
      </c>
      <c r="Z913" s="1">
        <v>453.5</v>
      </c>
      <c r="AA913" s="3">
        <v>105.50848999999999</v>
      </c>
      <c r="AB913" s="3">
        <f t="shared" si="99"/>
        <v>103.89946999999999</v>
      </c>
      <c r="AC913" s="1">
        <f t="shared" si="97"/>
        <v>2.9305809464767372E-3</v>
      </c>
    </row>
    <row r="914" spans="19:29" x14ac:dyDescent="0.2">
      <c r="S914" s="4">
        <v>250.00799000000001</v>
      </c>
      <c r="T914" s="1">
        <v>454</v>
      </c>
      <c r="U914" s="5">
        <v>97.615139999999997</v>
      </c>
      <c r="V914" s="3">
        <f t="shared" si="98"/>
        <v>100.93883</v>
      </c>
      <c r="W914" s="1">
        <f t="shared" si="100"/>
        <v>1.1861265211465502E-2</v>
      </c>
      <c r="Y914" s="4">
        <v>250.0112</v>
      </c>
      <c r="Z914" s="1">
        <v>454</v>
      </c>
      <c r="AA914" s="5">
        <v>105.48541</v>
      </c>
      <c r="AB914" s="3">
        <f t="shared" si="99"/>
        <v>103.87639</v>
      </c>
      <c r="AC914" s="1">
        <f t="shared" si="97"/>
        <v>3.1546436497750479E-3</v>
      </c>
    </row>
    <row r="915" spans="19:29" x14ac:dyDescent="0.2">
      <c r="S915" s="4">
        <v>250.00695999999999</v>
      </c>
      <c r="T915" s="1">
        <v>454.5</v>
      </c>
      <c r="U915" s="3">
        <v>97.602739999999997</v>
      </c>
      <c r="V915" s="3">
        <f t="shared" si="98"/>
        <v>100.92643</v>
      </c>
      <c r="W915" s="1">
        <f t="shared" si="100"/>
        <v>1.1984079293716515E-2</v>
      </c>
      <c r="Y915" s="4">
        <v>250.0104</v>
      </c>
      <c r="Z915" s="1">
        <v>454.5</v>
      </c>
      <c r="AA915" s="3">
        <v>105.48642</v>
      </c>
      <c r="AB915" s="3">
        <f t="shared" si="99"/>
        <v>103.87739999999999</v>
      </c>
      <c r="AC915" s="1">
        <f t="shared" si="97"/>
        <v>3.1448384794834552E-3</v>
      </c>
    </row>
    <row r="916" spans="19:29" x14ac:dyDescent="0.2">
      <c r="S916" s="4">
        <v>250.00497999999999</v>
      </c>
      <c r="T916" s="1">
        <v>455</v>
      </c>
      <c r="U916" s="5">
        <v>97.617270000000005</v>
      </c>
      <c r="V916" s="3">
        <f t="shared" si="98"/>
        <v>100.94096</v>
      </c>
      <c r="W916" s="1">
        <f t="shared" si="100"/>
        <v>1.1840168921530368E-2</v>
      </c>
      <c r="Y916" s="4">
        <v>250.01338000000001</v>
      </c>
      <c r="Z916" s="1">
        <v>455</v>
      </c>
      <c r="AA916" s="5">
        <v>105.46977</v>
      </c>
      <c r="AB916" s="3">
        <f t="shared" si="99"/>
        <v>103.86075</v>
      </c>
      <c r="AC916" s="1">
        <f t="shared" si="97"/>
        <v>3.3064781679547576E-3</v>
      </c>
    </row>
    <row r="917" spans="19:29" x14ac:dyDescent="0.2">
      <c r="S917" s="4">
        <v>250.00407999999999</v>
      </c>
      <c r="T917" s="1">
        <v>455.5</v>
      </c>
      <c r="U917" s="3">
        <v>97.614859999999993</v>
      </c>
      <c r="V917" s="3">
        <f t="shared" si="98"/>
        <v>100.93854999999999</v>
      </c>
      <c r="W917" s="1">
        <f t="shared" si="100"/>
        <v>1.1864038432677658E-2</v>
      </c>
      <c r="Y917" s="4">
        <v>250.01634999999999</v>
      </c>
      <c r="Z917" s="1">
        <v>455.5</v>
      </c>
      <c r="AA917" s="3">
        <v>105.40022999999999</v>
      </c>
      <c r="AB917" s="3">
        <f t="shared" si="99"/>
        <v>103.79120999999999</v>
      </c>
      <c r="AC917" s="1">
        <f t="shared" si="97"/>
        <v>3.9815787046692279E-3</v>
      </c>
    </row>
    <row r="918" spans="19:29" x14ac:dyDescent="0.2">
      <c r="S918" s="4">
        <v>250.00706</v>
      </c>
      <c r="T918" s="1">
        <v>456</v>
      </c>
      <c r="U918" s="5">
        <v>97.633960000000002</v>
      </c>
      <c r="V918" s="3">
        <f t="shared" si="98"/>
        <v>100.95765</v>
      </c>
      <c r="W918" s="1">
        <f t="shared" si="100"/>
        <v>1.1674865128565118E-2</v>
      </c>
      <c r="Y918" s="4">
        <v>250.01937000000001</v>
      </c>
      <c r="Z918" s="1">
        <v>456</v>
      </c>
      <c r="AA918" s="5">
        <v>105.45757</v>
      </c>
      <c r="AB918" s="3">
        <f t="shared" si="99"/>
        <v>103.84855</v>
      </c>
      <c r="AC918" s="1">
        <f t="shared" si="97"/>
        <v>3.4249168586063436E-3</v>
      </c>
    </row>
    <row r="919" spans="19:29" x14ac:dyDescent="0.2">
      <c r="S919" s="4">
        <v>250.006</v>
      </c>
      <c r="T919" s="1">
        <v>456.5</v>
      </c>
      <c r="U919" s="3">
        <v>97.606759999999994</v>
      </c>
      <c r="V919" s="3">
        <f t="shared" si="98"/>
        <v>100.93044999999999</v>
      </c>
      <c r="W919" s="1">
        <f t="shared" si="100"/>
        <v>1.1944263760599682E-2</v>
      </c>
      <c r="Y919" s="4">
        <v>250.01714000000001</v>
      </c>
      <c r="Z919" s="1">
        <v>456.5</v>
      </c>
      <c r="AA919" s="3">
        <v>105.49030999999999</v>
      </c>
      <c r="AB919" s="3">
        <f t="shared" si="99"/>
        <v>103.88128999999999</v>
      </c>
      <c r="AC919" s="1">
        <f t="shared" si="97"/>
        <v>3.1070740117265087E-3</v>
      </c>
    </row>
    <row r="920" spans="19:29" x14ac:dyDescent="0.2">
      <c r="S920" s="4">
        <v>250.00603000000001</v>
      </c>
      <c r="T920" s="1">
        <v>457</v>
      </c>
      <c r="U920" s="5">
        <v>97.629480000000001</v>
      </c>
      <c r="V920" s="3">
        <f t="shared" si="98"/>
        <v>100.95317</v>
      </c>
      <c r="W920" s="1">
        <f t="shared" si="100"/>
        <v>1.1719236667959043E-2</v>
      </c>
      <c r="Y920" s="4">
        <v>250.0164</v>
      </c>
      <c r="Z920" s="1">
        <v>457</v>
      </c>
      <c r="AA920" s="5">
        <v>105.47274</v>
      </c>
      <c r="AB920" s="3">
        <f t="shared" si="99"/>
        <v>103.86372</v>
      </c>
      <c r="AC920" s="1">
        <f t="shared" si="97"/>
        <v>3.2776451424436112E-3</v>
      </c>
    </row>
    <row r="921" spans="19:29" x14ac:dyDescent="0.2">
      <c r="S921" s="4">
        <v>250.00093000000001</v>
      </c>
      <c r="T921" s="1">
        <v>457.5</v>
      </c>
      <c r="U921" s="3">
        <v>97.629310000000004</v>
      </c>
      <c r="V921" s="3">
        <f t="shared" si="98"/>
        <v>100.953</v>
      </c>
      <c r="W921" s="1">
        <f t="shared" si="100"/>
        <v>1.172092040940923E-2</v>
      </c>
      <c r="Y921" s="4">
        <v>250.01809</v>
      </c>
      <c r="Z921" s="1">
        <v>457.5</v>
      </c>
      <c r="AA921" s="3">
        <v>105.45603</v>
      </c>
      <c r="AB921" s="3">
        <f t="shared" si="99"/>
        <v>103.84701</v>
      </c>
      <c r="AC921" s="1">
        <f t="shared" si="97"/>
        <v>3.4398673162788209E-3</v>
      </c>
    </row>
    <row r="922" spans="19:29" x14ac:dyDescent="0.2">
      <c r="S922" s="4">
        <v>250.00102000000001</v>
      </c>
      <c r="T922" s="1">
        <v>458</v>
      </c>
      <c r="U922" s="5">
        <v>97.613020000000006</v>
      </c>
      <c r="V922" s="3">
        <f t="shared" si="98"/>
        <v>100.93671000000001</v>
      </c>
      <c r="W922" s="1">
        <f t="shared" si="100"/>
        <v>1.1882262457785746E-2</v>
      </c>
      <c r="Y922" s="4">
        <v>250.01963000000001</v>
      </c>
      <c r="Z922" s="1">
        <v>458</v>
      </c>
      <c r="AA922" s="5">
        <v>105.41240000000001</v>
      </c>
      <c r="AB922" s="3">
        <f t="shared" si="99"/>
        <v>103.80338</v>
      </c>
      <c r="AC922" s="1">
        <f t="shared" si="97"/>
        <v>3.8634312566993879E-3</v>
      </c>
    </row>
    <row r="923" spans="19:29" x14ac:dyDescent="0.2">
      <c r="S923" s="4">
        <v>250.00308000000001</v>
      </c>
      <c r="T923" s="1">
        <v>458.5</v>
      </c>
      <c r="U923" s="3">
        <v>97.607129999999998</v>
      </c>
      <c r="V923" s="3">
        <f t="shared" si="98"/>
        <v>100.93082</v>
      </c>
      <c r="W923" s="1">
        <f t="shared" si="100"/>
        <v>1.1940599146855057E-2</v>
      </c>
      <c r="Y923" s="4">
        <v>250.01832999999999</v>
      </c>
      <c r="Z923" s="1">
        <v>458.5</v>
      </c>
      <c r="AA923" s="3">
        <v>105.49875</v>
      </c>
      <c r="AB923" s="3">
        <f t="shared" si="99"/>
        <v>103.88973</v>
      </c>
      <c r="AC923" s="1">
        <f t="shared" si="97"/>
        <v>3.0251377372100463E-3</v>
      </c>
    </row>
    <row r="924" spans="19:29" x14ac:dyDescent="0.2">
      <c r="S924" s="4">
        <v>250.00908000000001</v>
      </c>
      <c r="T924" s="1">
        <v>459</v>
      </c>
      <c r="U924" s="5">
        <v>97.645610000000005</v>
      </c>
      <c r="V924" s="3">
        <f t="shared" si="98"/>
        <v>100.9693</v>
      </c>
      <c r="W924" s="1">
        <f t="shared" si="100"/>
        <v>1.1559479317417964E-2</v>
      </c>
      <c r="Y924" s="4">
        <v>250.01500999999999</v>
      </c>
      <c r="Z924" s="1">
        <v>459</v>
      </c>
      <c r="AA924" s="5">
        <v>105.37220000000001</v>
      </c>
      <c r="AB924" s="3">
        <f t="shared" si="99"/>
        <v>103.76318000000001</v>
      </c>
      <c r="AC924" s="1">
        <f t="shared" si="97"/>
        <v>4.2536964504859779E-3</v>
      </c>
    </row>
    <row r="925" spans="19:29" x14ac:dyDescent="0.2">
      <c r="S925" s="4">
        <v>249.99891</v>
      </c>
      <c r="T925" s="1">
        <v>459.5</v>
      </c>
      <c r="U925" s="3">
        <v>97.621359999999996</v>
      </c>
      <c r="V925" s="3">
        <f t="shared" si="98"/>
        <v>100.94504999999999</v>
      </c>
      <c r="W925" s="1">
        <f t="shared" si="100"/>
        <v>1.1799660083110567E-2</v>
      </c>
      <c r="Y925" s="4">
        <v>250.01291000000001</v>
      </c>
      <c r="Z925" s="1">
        <v>459.5</v>
      </c>
      <c r="AA925" s="3">
        <v>105.52193</v>
      </c>
      <c r="AB925" s="3">
        <f t="shared" si="99"/>
        <v>103.91291</v>
      </c>
      <c r="AC925" s="1">
        <f t="shared" ref="AC925:AC988" si="101">($AB$604-AB925)/($AB$604*(1-$H$1))</f>
        <v>2.8001042249719355E-3</v>
      </c>
    </row>
    <row r="926" spans="19:29" x14ac:dyDescent="0.2">
      <c r="S926" s="4">
        <v>250.00197</v>
      </c>
      <c r="T926" s="1">
        <v>460</v>
      </c>
      <c r="U926" s="5">
        <v>97.629660000000001</v>
      </c>
      <c r="V926" s="3">
        <f t="shared" si="98"/>
        <v>100.95335</v>
      </c>
      <c r="W926" s="1">
        <f t="shared" si="100"/>
        <v>1.1717453882894106E-2</v>
      </c>
      <c r="Y926" s="4">
        <v>250.01553000000001</v>
      </c>
      <c r="Z926" s="1">
        <v>460</v>
      </c>
      <c r="AA926" s="5">
        <v>105.42296</v>
      </c>
      <c r="AB926" s="3">
        <f t="shared" si="99"/>
        <v>103.81394</v>
      </c>
      <c r="AC926" s="1">
        <f t="shared" si="101"/>
        <v>3.7609138326599404E-3</v>
      </c>
    </row>
    <row r="927" spans="19:29" x14ac:dyDescent="0.2">
      <c r="S927" s="4">
        <v>250.00901999999999</v>
      </c>
      <c r="T927" s="1">
        <v>460.5</v>
      </c>
      <c r="U927" s="3">
        <v>97.627570000000006</v>
      </c>
      <c r="V927" s="3">
        <f t="shared" si="98"/>
        <v>100.95126</v>
      </c>
      <c r="W927" s="1">
        <f t="shared" si="100"/>
        <v>1.1738153998370242E-2</v>
      </c>
      <c r="Y927" s="4">
        <v>250.01516000000001</v>
      </c>
      <c r="Z927" s="1">
        <v>460.5</v>
      </c>
      <c r="AA927" s="3">
        <v>105.48857</v>
      </c>
      <c r="AB927" s="3">
        <f t="shared" si="99"/>
        <v>103.87954999999999</v>
      </c>
      <c r="AC927" s="1">
        <f t="shared" si="101"/>
        <v>3.1239660872784472E-3</v>
      </c>
    </row>
    <row r="928" spans="19:29" x14ac:dyDescent="0.2">
      <c r="S928" s="4">
        <v>250.00507999999999</v>
      </c>
      <c r="T928" s="1">
        <v>461</v>
      </c>
      <c r="U928" s="5">
        <v>97.623289999999997</v>
      </c>
      <c r="V928" s="3">
        <f t="shared" si="98"/>
        <v>100.94698</v>
      </c>
      <c r="W928" s="1">
        <f t="shared" si="100"/>
        <v>1.1780544665469869E-2</v>
      </c>
      <c r="Y928" s="4">
        <v>250.01458</v>
      </c>
      <c r="Z928" s="1">
        <v>461</v>
      </c>
      <c r="AA928" s="5">
        <v>105.42643</v>
      </c>
      <c r="AB928" s="3">
        <f t="shared" si="99"/>
        <v>103.81741</v>
      </c>
      <c r="AC928" s="1">
        <f t="shared" si="101"/>
        <v>3.7272267624500707E-3</v>
      </c>
    </row>
    <row r="929" spans="19:29" x14ac:dyDescent="0.2">
      <c r="S929" s="4">
        <v>250.00698</v>
      </c>
      <c r="T929" s="1">
        <v>461.5</v>
      </c>
      <c r="U929" s="3">
        <v>97.613150000000005</v>
      </c>
      <c r="V929" s="3">
        <f t="shared" si="98"/>
        <v>100.93684</v>
      </c>
      <c r="W929" s="1">
        <f t="shared" si="100"/>
        <v>1.1880974890794418E-2</v>
      </c>
      <c r="Y929" s="4">
        <v>250.01673</v>
      </c>
      <c r="Z929" s="1">
        <v>461.5</v>
      </c>
      <c r="AA929" s="3">
        <v>105.48736</v>
      </c>
      <c r="AB929" s="3">
        <f t="shared" si="99"/>
        <v>103.87833999999999</v>
      </c>
      <c r="AC929" s="1">
        <f t="shared" si="101"/>
        <v>3.13571287544964E-3</v>
      </c>
    </row>
    <row r="930" spans="19:29" x14ac:dyDescent="0.2">
      <c r="S930" s="4">
        <v>250.00595000000001</v>
      </c>
      <c r="T930" s="1">
        <v>462</v>
      </c>
      <c r="U930" s="5">
        <v>97.635649999999998</v>
      </c>
      <c r="V930" s="3">
        <f t="shared" si="98"/>
        <v>100.95934</v>
      </c>
      <c r="W930" s="1">
        <f t="shared" si="100"/>
        <v>1.1658126757677717E-2</v>
      </c>
      <c r="Y930" s="4">
        <v>250.01787999999999</v>
      </c>
      <c r="Z930" s="1">
        <v>462</v>
      </c>
      <c r="AA930" s="5">
        <v>105.51443999999999</v>
      </c>
      <c r="AB930" s="3">
        <f t="shared" si="99"/>
        <v>103.90541999999999</v>
      </c>
      <c r="AC930" s="1">
        <f t="shared" si="101"/>
        <v>2.872817814560575E-3</v>
      </c>
    </row>
    <row r="931" spans="19:29" x14ac:dyDescent="0.2">
      <c r="S931" s="4">
        <v>250.00699</v>
      </c>
      <c r="T931" s="1">
        <v>462.5</v>
      </c>
      <c r="U931" s="3">
        <v>97.629249999999999</v>
      </c>
      <c r="V931" s="3">
        <f t="shared" si="98"/>
        <v>100.95294</v>
      </c>
      <c r="W931" s="1">
        <f t="shared" si="100"/>
        <v>1.172151467109759E-2</v>
      </c>
      <c r="Y931" s="4">
        <v>250.01293000000001</v>
      </c>
      <c r="Z931" s="1">
        <v>462.5</v>
      </c>
      <c r="AA931" s="3">
        <v>105.50954</v>
      </c>
      <c r="AB931" s="3">
        <f t="shared" si="99"/>
        <v>103.90052</v>
      </c>
      <c r="AC931" s="1">
        <f t="shared" si="101"/>
        <v>2.9203874526091142E-3</v>
      </c>
    </row>
    <row r="932" spans="19:29" x14ac:dyDescent="0.2">
      <c r="S932" s="4">
        <v>250.00503</v>
      </c>
      <c r="T932" s="1">
        <v>463</v>
      </c>
      <c r="U932" s="5">
        <v>97.643860000000004</v>
      </c>
      <c r="V932" s="3">
        <f t="shared" si="98"/>
        <v>100.96755</v>
      </c>
      <c r="W932" s="1">
        <f t="shared" si="100"/>
        <v>1.1576811949993725E-2</v>
      </c>
      <c r="Y932" s="4">
        <v>250.00979000000001</v>
      </c>
      <c r="Z932" s="1">
        <v>463</v>
      </c>
      <c r="AA932" s="5">
        <v>105.51169</v>
      </c>
      <c r="AB932" s="3">
        <f t="shared" si="99"/>
        <v>103.90267</v>
      </c>
      <c r="AC932" s="1">
        <f t="shared" si="101"/>
        <v>2.8995150604041063E-3</v>
      </c>
    </row>
    <row r="933" spans="19:29" x14ac:dyDescent="0.2">
      <c r="S933" s="4">
        <v>250.00605999999999</v>
      </c>
      <c r="T933" s="1">
        <v>463.5</v>
      </c>
      <c r="U933" s="3">
        <v>97.646109999999993</v>
      </c>
      <c r="V933" s="3">
        <f t="shared" si="98"/>
        <v>100.96979999999999</v>
      </c>
      <c r="W933" s="1">
        <f t="shared" si="100"/>
        <v>1.1554527136682154E-2</v>
      </c>
      <c r="Y933" s="4">
        <v>250.00894</v>
      </c>
      <c r="Z933" s="1">
        <v>463.5</v>
      </c>
      <c r="AA933" s="3">
        <v>105.43155</v>
      </c>
      <c r="AB933" s="3">
        <f t="shared" si="99"/>
        <v>103.82253</v>
      </c>
      <c r="AC933" s="1">
        <f t="shared" si="101"/>
        <v>3.6775213447339163E-3</v>
      </c>
    </row>
    <row r="934" spans="19:29" x14ac:dyDescent="0.2">
      <c r="S934" s="4">
        <v>250.00787</v>
      </c>
      <c r="T934" s="1">
        <v>464</v>
      </c>
      <c r="U934" s="5">
        <v>97.644080000000002</v>
      </c>
      <c r="V934" s="3">
        <f t="shared" si="98"/>
        <v>100.96777</v>
      </c>
      <c r="W934" s="1">
        <f t="shared" si="100"/>
        <v>1.157463299046993E-2</v>
      </c>
      <c r="Y934" s="4">
        <v>250.01031</v>
      </c>
      <c r="Z934" s="1">
        <v>464</v>
      </c>
      <c r="AA934" s="5">
        <v>105.4834</v>
      </c>
      <c r="AB934" s="3">
        <f t="shared" si="99"/>
        <v>103.87438</v>
      </c>
      <c r="AC934" s="1">
        <f t="shared" si="101"/>
        <v>3.1741569094643637E-3</v>
      </c>
    </row>
    <row r="935" spans="19:29" x14ac:dyDescent="0.2">
      <c r="S935" s="4">
        <v>250.00493</v>
      </c>
      <c r="T935" s="1">
        <v>464.5</v>
      </c>
      <c r="U935" s="3">
        <v>97.641720000000007</v>
      </c>
      <c r="V935" s="3">
        <f t="shared" si="98"/>
        <v>100.96541000000001</v>
      </c>
      <c r="W935" s="1">
        <f t="shared" si="100"/>
        <v>1.1598007283543469E-2</v>
      </c>
      <c r="Y935" s="4">
        <v>250.00997000000001</v>
      </c>
      <c r="Z935" s="1">
        <v>464.5</v>
      </c>
      <c r="AA935" s="3">
        <v>105.49858999999999</v>
      </c>
      <c r="AB935" s="3">
        <f t="shared" si="99"/>
        <v>103.88956999999999</v>
      </c>
      <c r="AC935" s="1">
        <f t="shared" si="101"/>
        <v>3.0266910315137536E-3</v>
      </c>
    </row>
    <row r="936" spans="19:29" x14ac:dyDescent="0.2">
      <c r="S936" s="4">
        <v>250.00501</v>
      </c>
      <c r="T936" s="1">
        <v>465</v>
      </c>
      <c r="U936" s="5">
        <v>97.643990000000002</v>
      </c>
      <c r="V936" s="3">
        <f t="shared" si="98"/>
        <v>100.96768</v>
      </c>
      <c r="W936" s="1">
        <f t="shared" si="100"/>
        <v>1.1575524383002397E-2</v>
      </c>
      <c r="Y936" s="4">
        <v>250.00964999999999</v>
      </c>
      <c r="Z936" s="1">
        <v>465</v>
      </c>
      <c r="AA936" s="5">
        <v>105.53376</v>
      </c>
      <c r="AB936" s="3">
        <f t="shared" si="99"/>
        <v>103.92474</v>
      </c>
      <c r="AC936" s="1">
        <f t="shared" si="101"/>
        <v>2.6852575273973883E-3</v>
      </c>
    </row>
    <row r="937" spans="19:29" x14ac:dyDescent="0.2">
      <c r="S937" s="4">
        <v>250.00697</v>
      </c>
      <c r="T937" s="1">
        <v>465.5</v>
      </c>
      <c r="U937" s="3">
        <v>97.63373</v>
      </c>
      <c r="V937" s="3">
        <f t="shared" si="98"/>
        <v>100.95742</v>
      </c>
      <c r="W937" s="1">
        <f t="shared" si="100"/>
        <v>1.1677143131703665E-2</v>
      </c>
      <c r="Y937" s="4">
        <v>250.01115999999999</v>
      </c>
      <c r="Z937" s="1">
        <v>465.5</v>
      </c>
      <c r="AA937" s="3">
        <v>105.45497</v>
      </c>
      <c r="AB937" s="3">
        <f t="shared" si="99"/>
        <v>103.84595</v>
      </c>
      <c r="AC937" s="1">
        <f t="shared" si="101"/>
        <v>3.4501578910403133E-3</v>
      </c>
    </row>
    <row r="938" spans="19:29" x14ac:dyDescent="0.2">
      <c r="S938" s="4">
        <v>250.00702999999999</v>
      </c>
      <c r="T938" s="1">
        <v>466</v>
      </c>
      <c r="U938" s="5">
        <v>97.629279999999994</v>
      </c>
      <c r="V938" s="3">
        <f t="shared" si="98"/>
        <v>100.95296999999999</v>
      </c>
      <c r="W938" s="1">
        <f t="shared" si="100"/>
        <v>1.172121754025348E-2</v>
      </c>
      <c r="Y938" s="4">
        <v>250.00776999999999</v>
      </c>
      <c r="Z938" s="1">
        <v>466</v>
      </c>
      <c r="AA938" s="5">
        <v>105.35824</v>
      </c>
      <c r="AB938" s="3">
        <f t="shared" si="99"/>
        <v>103.74921999999999</v>
      </c>
      <c r="AC938" s="1">
        <f t="shared" si="101"/>
        <v>4.3892213784776559E-3</v>
      </c>
    </row>
    <row r="939" spans="19:29" x14ac:dyDescent="0.2">
      <c r="S939" s="4">
        <v>250.00498999999999</v>
      </c>
      <c r="T939" s="1">
        <v>466.5</v>
      </c>
      <c r="U939" s="3">
        <v>97.631749999999997</v>
      </c>
      <c r="V939" s="3">
        <f t="shared" si="98"/>
        <v>100.95544</v>
      </c>
      <c r="W939" s="1">
        <f t="shared" si="100"/>
        <v>1.1696753767417972E-2</v>
      </c>
      <c r="Y939" s="4">
        <v>250.00834</v>
      </c>
      <c r="Z939" s="1">
        <v>466.5</v>
      </c>
      <c r="AA939" s="3">
        <v>105.48007</v>
      </c>
      <c r="AB939" s="3">
        <f t="shared" si="99"/>
        <v>103.87105</v>
      </c>
      <c r="AC939" s="1">
        <f t="shared" si="101"/>
        <v>3.2064848471586795E-3</v>
      </c>
    </row>
    <row r="940" spans="19:29" x14ac:dyDescent="0.2">
      <c r="S940" s="4">
        <v>250.00694999999999</v>
      </c>
      <c r="T940" s="1">
        <v>467</v>
      </c>
      <c r="U940" s="5">
        <v>97.625209999999996</v>
      </c>
      <c r="V940" s="3">
        <f t="shared" si="98"/>
        <v>100.94889999999999</v>
      </c>
      <c r="W940" s="1">
        <f t="shared" si="100"/>
        <v>1.1761528291443921E-2</v>
      </c>
      <c r="Y940" s="4">
        <v>250.01587000000001</v>
      </c>
      <c r="Z940" s="1">
        <v>467</v>
      </c>
      <c r="AA940" s="5">
        <v>105.34260999999999</v>
      </c>
      <c r="AB940" s="3">
        <f t="shared" si="99"/>
        <v>103.73358999999999</v>
      </c>
      <c r="AC940" s="1">
        <f t="shared" si="101"/>
        <v>4.5409588157633574E-3</v>
      </c>
    </row>
    <row r="941" spans="19:29" x14ac:dyDescent="0.2">
      <c r="S941" s="4">
        <v>250.00907000000001</v>
      </c>
      <c r="T941" s="1">
        <v>467.5</v>
      </c>
      <c r="U941" s="3">
        <v>97.635850000000005</v>
      </c>
      <c r="V941" s="3">
        <f t="shared" si="98"/>
        <v>100.95954</v>
      </c>
      <c r="W941" s="1">
        <f t="shared" si="100"/>
        <v>1.165614588538328E-2</v>
      </c>
      <c r="Y941" s="4">
        <v>250.02015</v>
      </c>
      <c r="Z941" s="1">
        <v>467.5</v>
      </c>
      <c r="AA941" s="3">
        <v>105.40038</v>
      </c>
      <c r="AB941" s="3">
        <f t="shared" si="99"/>
        <v>103.79136</v>
      </c>
      <c r="AC941" s="1">
        <f t="shared" si="101"/>
        <v>3.9801224912595278E-3</v>
      </c>
    </row>
    <row r="942" spans="19:29" x14ac:dyDescent="0.2">
      <c r="S942" s="4">
        <v>250.00703999999999</v>
      </c>
      <c r="T942" s="1">
        <v>468</v>
      </c>
      <c r="U942" s="5">
        <v>97.64</v>
      </c>
      <c r="V942" s="3">
        <f t="shared" si="98"/>
        <v>100.96369</v>
      </c>
      <c r="W942" s="1">
        <f t="shared" si="100"/>
        <v>1.161504278527512E-2</v>
      </c>
      <c r="Y942" s="4">
        <v>250.01946000000001</v>
      </c>
      <c r="Z942" s="1">
        <v>468</v>
      </c>
      <c r="AA942" s="5">
        <v>105.48438</v>
      </c>
      <c r="AB942" s="3">
        <f t="shared" si="99"/>
        <v>103.87536</v>
      </c>
      <c r="AC942" s="1">
        <f t="shared" si="101"/>
        <v>3.1646429818546558E-3</v>
      </c>
    </row>
    <row r="943" spans="19:29" x14ac:dyDescent="0.2">
      <c r="S943" s="4">
        <v>250.00604000000001</v>
      </c>
      <c r="T943" s="1">
        <v>468.5</v>
      </c>
      <c r="U943" s="3">
        <v>97.633189999999999</v>
      </c>
      <c r="V943" s="3">
        <f t="shared" si="98"/>
        <v>100.95688</v>
      </c>
      <c r="W943" s="1">
        <f t="shared" si="100"/>
        <v>1.1682491486898476E-2</v>
      </c>
      <c r="Y943" s="4">
        <v>250.017</v>
      </c>
      <c r="Z943" s="1">
        <v>468.5</v>
      </c>
      <c r="AA943" s="3">
        <v>105.376</v>
      </c>
      <c r="AB943" s="3">
        <f t="shared" si="99"/>
        <v>103.76698</v>
      </c>
      <c r="AC943" s="1">
        <f t="shared" si="101"/>
        <v>4.2168057107748232E-3</v>
      </c>
    </row>
    <row r="944" spans="19:29" x14ac:dyDescent="0.2">
      <c r="S944" s="4">
        <v>250.00402</v>
      </c>
      <c r="T944" s="1">
        <v>469</v>
      </c>
      <c r="U944" s="5">
        <v>97.640010000000004</v>
      </c>
      <c r="V944" s="3">
        <f t="shared" si="98"/>
        <v>100.9637</v>
      </c>
      <c r="W944" s="1">
        <f t="shared" si="100"/>
        <v>1.1614943741660371E-2</v>
      </c>
      <c r="Y944" s="4">
        <v>250.01589999999999</v>
      </c>
      <c r="Z944" s="1">
        <v>469</v>
      </c>
      <c r="AA944" s="5">
        <v>105.43848</v>
      </c>
      <c r="AB944" s="3">
        <f t="shared" si="99"/>
        <v>103.82946</v>
      </c>
      <c r="AC944" s="1">
        <f t="shared" si="101"/>
        <v>3.6102442852080458E-3</v>
      </c>
    </row>
    <row r="945" spans="19:29" x14ac:dyDescent="0.2">
      <c r="S945" s="4">
        <v>250.00697</v>
      </c>
      <c r="T945" s="1">
        <v>469.5</v>
      </c>
      <c r="U945" s="3">
        <v>97.637829999999994</v>
      </c>
      <c r="V945" s="3">
        <f t="shared" si="98"/>
        <v>100.96151999999999</v>
      </c>
      <c r="W945" s="1">
        <f t="shared" si="100"/>
        <v>1.1636535249669113E-2</v>
      </c>
      <c r="Y945" s="4">
        <v>250.01406</v>
      </c>
      <c r="Z945" s="1">
        <v>469.5</v>
      </c>
      <c r="AA945" s="3">
        <v>105.45153000000001</v>
      </c>
      <c r="AB945" s="3">
        <f t="shared" si="99"/>
        <v>103.84251</v>
      </c>
      <c r="AC945" s="1">
        <f t="shared" si="101"/>
        <v>3.4835537185682985E-3</v>
      </c>
    </row>
    <row r="946" spans="19:29" x14ac:dyDescent="0.2">
      <c r="S946" s="4">
        <v>250.00897000000001</v>
      </c>
      <c r="T946" s="1">
        <v>470</v>
      </c>
      <c r="U946" s="5">
        <v>97.627600000000001</v>
      </c>
      <c r="V946" s="3">
        <f t="shared" si="98"/>
        <v>100.95129</v>
      </c>
      <c r="W946" s="1">
        <f t="shared" si="100"/>
        <v>1.1737856867526132E-2</v>
      </c>
      <c r="Y946" s="4">
        <v>250.00955999999999</v>
      </c>
      <c r="Z946" s="1">
        <v>470</v>
      </c>
      <c r="AA946" s="5">
        <v>105.53531</v>
      </c>
      <c r="AB946" s="3">
        <f t="shared" si="99"/>
        <v>103.92628999999999</v>
      </c>
      <c r="AC946" s="1">
        <f t="shared" si="101"/>
        <v>2.6702099888310416E-3</v>
      </c>
    </row>
    <row r="947" spans="19:29" x14ac:dyDescent="0.2">
      <c r="S947" s="4">
        <v>250.00601</v>
      </c>
      <c r="T947" s="1">
        <v>470.5</v>
      </c>
      <c r="U947" s="3">
        <v>97.615009999999998</v>
      </c>
      <c r="V947" s="3">
        <f t="shared" si="98"/>
        <v>100.9387</v>
      </c>
      <c r="W947" s="1">
        <f t="shared" si="100"/>
        <v>1.186255277845683E-2</v>
      </c>
      <c r="Y947" s="4">
        <v>250.01107999999999</v>
      </c>
      <c r="Z947" s="1">
        <v>470.5</v>
      </c>
      <c r="AA947" s="3">
        <v>105.43383</v>
      </c>
      <c r="AB947" s="3">
        <f t="shared" si="99"/>
        <v>103.82481</v>
      </c>
      <c r="AC947" s="1">
        <f t="shared" si="101"/>
        <v>3.6553869009072234E-3</v>
      </c>
    </row>
    <row r="948" spans="19:29" x14ac:dyDescent="0.2">
      <c r="S948" s="4">
        <v>250.00694999999999</v>
      </c>
      <c r="T948" s="1">
        <v>471</v>
      </c>
      <c r="U948" s="5">
        <v>97.612679999999997</v>
      </c>
      <c r="V948" s="3">
        <f t="shared" si="98"/>
        <v>100.93637</v>
      </c>
      <c r="W948" s="1">
        <f t="shared" si="100"/>
        <v>1.1885629940686262E-2</v>
      </c>
      <c r="Y948" s="4">
        <v>250.01</v>
      </c>
      <c r="Z948" s="1">
        <v>471</v>
      </c>
      <c r="AA948" s="5">
        <v>105.44302999999999</v>
      </c>
      <c r="AB948" s="3">
        <f t="shared" si="99"/>
        <v>103.83400999999999</v>
      </c>
      <c r="AC948" s="1">
        <f t="shared" si="101"/>
        <v>3.5660724784486683E-3</v>
      </c>
    </row>
    <row r="949" spans="19:29" x14ac:dyDescent="0.2">
      <c r="S949" s="4">
        <v>250.00308999999999</v>
      </c>
      <c r="T949" s="1">
        <v>471.5</v>
      </c>
      <c r="U949" s="3">
        <v>97.621269999999996</v>
      </c>
      <c r="V949" s="3">
        <f t="shared" si="98"/>
        <v>100.94495999999999</v>
      </c>
      <c r="W949" s="1">
        <f t="shared" si="100"/>
        <v>1.1800551475643035E-2</v>
      </c>
      <c r="Y949" s="4">
        <v>250.01084</v>
      </c>
      <c r="Z949" s="1">
        <v>471.5</v>
      </c>
      <c r="AA949" s="3">
        <v>105.54474999999999</v>
      </c>
      <c r="AB949" s="3">
        <f t="shared" si="99"/>
        <v>103.93572999999999</v>
      </c>
      <c r="AC949" s="1">
        <f t="shared" si="101"/>
        <v>2.5785656249169941E-3</v>
      </c>
    </row>
    <row r="950" spans="19:29" x14ac:dyDescent="0.2">
      <c r="S950" s="4">
        <v>250.00402</v>
      </c>
      <c r="T950" s="1">
        <v>472</v>
      </c>
      <c r="U950" s="5">
        <v>97.633499999999998</v>
      </c>
      <c r="V950" s="3">
        <f t="shared" si="98"/>
        <v>100.95719</v>
      </c>
      <c r="W950" s="1">
        <f t="shared" si="100"/>
        <v>1.1679421134842211E-2</v>
      </c>
      <c r="Y950" s="4">
        <v>250.01495</v>
      </c>
      <c r="Z950" s="1">
        <v>472</v>
      </c>
      <c r="AA950" s="5">
        <v>105.43216</v>
      </c>
      <c r="AB950" s="3">
        <f t="shared" si="99"/>
        <v>103.82314</v>
      </c>
      <c r="AC950" s="1">
        <f t="shared" si="101"/>
        <v>3.6715994102013852E-3</v>
      </c>
    </row>
    <row r="951" spans="19:29" x14ac:dyDescent="0.2">
      <c r="S951" s="4">
        <v>250.00496999999999</v>
      </c>
      <c r="T951" s="1">
        <v>472.5</v>
      </c>
      <c r="U951" s="3">
        <v>97.607050000000001</v>
      </c>
      <c r="V951" s="3">
        <f t="shared" si="98"/>
        <v>100.93074</v>
      </c>
      <c r="W951" s="1">
        <f t="shared" si="100"/>
        <v>1.1941391495772776E-2</v>
      </c>
      <c r="Y951" s="4">
        <v>250.01468</v>
      </c>
      <c r="Z951" s="1">
        <v>472.5</v>
      </c>
      <c r="AA951" s="3">
        <v>105.46426</v>
      </c>
      <c r="AB951" s="3">
        <f t="shared" si="99"/>
        <v>103.85523999999999</v>
      </c>
      <c r="AC951" s="1">
        <f t="shared" si="101"/>
        <v>3.3599697405359659E-3</v>
      </c>
    </row>
    <row r="952" spans="19:29" x14ac:dyDescent="0.2">
      <c r="S952" s="4">
        <v>250.00396000000001</v>
      </c>
      <c r="T952" s="1">
        <v>473</v>
      </c>
      <c r="U952" s="5">
        <v>97.62124</v>
      </c>
      <c r="V952" s="3">
        <f t="shared" si="98"/>
        <v>100.94493</v>
      </c>
      <c r="W952" s="1">
        <f t="shared" si="100"/>
        <v>1.1800848606487144E-2</v>
      </c>
      <c r="Y952" s="4">
        <v>250.01427000000001</v>
      </c>
      <c r="Z952" s="1">
        <v>473</v>
      </c>
      <c r="AA952" s="5">
        <v>105.43823</v>
      </c>
      <c r="AB952" s="3">
        <f t="shared" si="99"/>
        <v>103.82921</v>
      </c>
      <c r="AC952" s="1">
        <f t="shared" si="101"/>
        <v>3.612671307557408E-3</v>
      </c>
    </row>
    <row r="953" spans="19:29" x14ac:dyDescent="0.2">
      <c r="S953" s="4">
        <v>249.999</v>
      </c>
      <c r="T953" s="1">
        <v>473.5</v>
      </c>
      <c r="U953" s="3">
        <v>97.623130000000003</v>
      </c>
      <c r="V953" s="3">
        <f t="shared" si="98"/>
        <v>100.94682</v>
      </c>
      <c r="W953" s="1">
        <f t="shared" si="100"/>
        <v>1.1782129363305307E-2</v>
      </c>
      <c r="Y953" s="4">
        <v>250.01742999999999</v>
      </c>
      <c r="Z953" s="1">
        <v>473.5</v>
      </c>
      <c r="AA953" s="3">
        <v>105.4824</v>
      </c>
      <c r="AB953" s="3">
        <f t="shared" si="99"/>
        <v>103.87338</v>
      </c>
      <c r="AC953" s="1">
        <f t="shared" si="101"/>
        <v>3.1838649988620866E-3</v>
      </c>
    </row>
    <row r="954" spans="19:29" x14ac:dyDescent="0.2">
      <c r="S954" s="4">
        <v>250.00808000000001</v>
      </c>
      <c r="T954" s="1">
        <v>474</v>
      </c>
      <c r="U954" s="5">
        <v>97.61721</v>
      </c>
      <c r="V954" s="3">
        <f t="shared" si="98"/>
        <v>100.9409</v>
      </c>
      <c r="W954" s="1">
        <f t="shared" si="100"/>
        <v>1.1840763183218727E-2</v>
      </c>
      <c r="Y954" s="4">
        <v>250.02068</v>
      </c>
      <c r="Z954" s="1">
        <v>474</v>
      </c>
      <c r="AA954" s="5">
        <v>105.35435</v>
      </c>
      <c r="AB954" s="3">
        <f t="shared" si="99"/>
        <v>103.74533</v>
      </c>
      <c r="AC954" s="1">
        <f t="shared" si="101"/>
        <v>4.4269858462346028E-3</v>
      </c>
    </row>
    <row r="955" spans="19:29" x14ac:dyDescent="0.2">
      <c r="S955" s="4">
        <v>250.00898000000001</v>
      </c>
      <c r="T955" s="1">
        <v>474.5</v>
      </c>
      <c r="U955" s="3">
        <v>97.623170000000002</v>
      </c>
      <c r="V955" s="3">
        <f t="shared" si="98"/>
        <v>100.94686</v>
      </c>
      <c r="W955" s="1">
        <f t="shared" si="100"/>
        <v>1.1781733188846448E-2</v>
      </c>
      <c r="Y955" s="4">
        <v>250.02269000000001</v>
      </c>
      <c r="Z955" s="1">
        <v>474.5</v>
      </c>
      <c r="AA955" s="3">
        <v>105.45041000000001</v>
      </c>
      <c r="AB955" s="3">
        <f t="shared" si="99"/>
        <v>103.84139</v>
      </c>
      <c r="AC955" s="1">
        <f t="shared" si="101"/>
        <v>3.4944267786936986E-3</v>
      </c>
    </row>
    <row r="956" spans="19:29" x14ac:dyDescent="0.2">
      <c r="S956" s="4">
        <v>250.00792999999999</v>
      </c>
      <c r="T956" s="1">
        <v>475</v>
      </c>
      <c r="U956" s="5">
        <v>97.625470000000007</v>
      </c>
      <c r="V956" s="3">
        <f t="shared" si="98"/>
        <v>100.94916000000001</v>
      </c>
      <c r="W956" s="1">
        <f t="shared" si="100"/>
        <v>1.1758953157461125E-2</v>
      </c>
      <c r="Y956" s="4">
        <v>250.02011999999999</v>
      </c>
      <c r="Z956" s="1">
        <v>475</v>
      </c>
      <c r="AA956" s="5">
        <v>105.50475</v>
      </c>
      <c r="AB956" s="3">
        <f t="shared" si="99"/>
        <v>103.89573</v>
      </c>
      <c r="AC956" s="1">
        <f t="shared" si="101"/>
        <v>2.9668892008239841E-3</v>
      </c>
    </row>
    <row r="957" spans="19:29" x14ac:dyDescent="0.2">
      <c r="S957" s="4">
        <v>250.00791000000001</v>
      </c>
      <c r="T957" s="1">
        <v>475.5</v>
      </c>
      <c r="U957" s="3">
        <v>97.627629999999996</v>
      </c>
      <c r="V957" s="3">
        <f t="shared" si="98"/>
        <v>100.95132</v>
      </c>
      <c r="W957" s="1">
        <f t="shared" si="100"/>
        <v>1.1737559736682023E-2</v>
      </c>
      <c r="Y957" s="4">
        <v>250.01597000000001</v>
      </c>
      <c r="Z957" s="1">
        <v>475.5</v>
      </c>
      <c r="AA957" s="3">
        <v>105.3764</v>
      </c>
      <c r="AB957" s="3">
        <f t="shared" si="99"/>
        <v>103.76738</v>
      </c>
      <c r="AC957" s="1">
        <f t="shared" si="101"/>
        <v>4.212922475015762E-3</v>
      </c>
    </row>
    <row r="958" spans="19:29" x14ac:dyDescent="0.2">
      <c r="S958" s="4">
        <v>250.00304</v>
      </c>
      <c r="T958" s="1">
        <v>476</v>
      </c>
      <c r="U958" s="5">
        <v>97.64631</v>
      </c>
      <c r="V958" s="3">
        <f t="shared" si="98"/>
        <v>100.97</v>
      </c>
      <c r="W958" s="1">
        <f t="shared" si="100"/>
        <v>1.1552546264387717E-2</v>
      </c>
      <c r="Y958" s="4">
        <v>250.01593</v>
      </c>
      <c r="Z958" s="1">
        <v>476</v>
      </c>
      <c r="AA958" s="5">
        <v>105.40387</v>
      </c>
      <c r="AB958" s="3">
        <f t="shared" si="99"/>
        <v>103.79485</v>
      </c>
      <c r="AC958" s="1">
        <f t="shared" si="101"/>
        <v>3.9462412592616422E-3</v>
      </c>
    </row>
    <row r="959" spans="19:29" x14ac:dyDescent="0.2">
      <c r="S959" s="4">
        <v>250.00602000000001</v>
      </c>
      <c r="T959" s="1">
        <v>476.5</v>
      </c>
      <c r="U959" s="3">
        <v>97.610770000000002</v>
      </c>
      <c r="V959" s="3">
        <f t="shared" si="98"/>
        <v>100.93446</v>
      </c>
      <c r="W959" s="1">
        <f t="shared" si="100"/>
        <v>1.1904547271097458E-2</v>
      </c>
      <c r="Y959" s="4">
        <v>250.01965999999999</v>
      </c>
      <c r="Z959" s="1">
        <v>476.5</v>
      </c>
      <c r="AA959" s="3">
        <v>105.34343</v>
      </c>
      <c r="AB959" s="3">
        <f t="shared" si="99"/>
        <v>103.73441</v>
      </c>
      <c r="AC959" s="1">
        <f t="shared" si="101"/>
        <v>4.5329981824572194E-3</v>
      </c>
    </row>
    <row r="960" spans="19:29" x14ac:dyDescent="0.2">
      <c r="S960" s="4">
        <v>250.00299000000001</v>
      </c>
      <c r="T960" s="1">
        <v>477</v>
      </c>
      <c r="U960" s="5">
        <v>97.602789999999999</v>
      </c>
      <c r="V960" s="3">
        <f t="shared" si="98"/>
        <v>100.92648</v>
      </c>
      <c r="W960" s="1">
        <f t="shared" si="100"/>
        <v>1.1983584075642905E-2</v>
      </c>
      <c r="Y960" s="4">
        <v>250.02402000000001</v>
      </c>
      <c r="Z960" s="1">
        <v>477</v>
      </c>
      <c r="AA960" s="5">
        <v>105.42713000000001</v>
      </c>
      <c r="AB960" s="3">
        <f t="shared" si="99"/>
        <v>103.81811</v>
      </c>
      <c r="AC960" s="1">
        <f t="shared" si="101"/>
        <v>3.7204310998716094E-3</v>
      </c>
    </row>
    <row r="961" spans="19:29" x14ac:dyDescent="0.2">
      <c r="S961" s="4">
        <v>250.00292999999999</v>
      </c>
      <c r="T961" s="1">
        <v>477.5</v>
      </c>
      <c r="U961" s="3">
        <v>97.635900000000007</v>
      </c>
      <c r="V961" s="3">
        <f t="shared" si="98"/>
        <v>100.95959000000001</v>
      </c>
      <c r="W961" s="1">
        <f t="shared" si="100"/>
        <v>1.1655650667309671E-2</v>
      </c>
      <c r="Y961" s="4">
        <v>250.02795</v>
      </c>
      <c r="Z961" s="1">
        <v>477.5</v>
      </c>
      <c r="AA961" s="3">
        <v>105.31475</v>
      </c>
      <c r="AB961" s="3">
        <f t="shared" si="99"/>
        <v>103.70573</v>
      </c>
      <c r="AC961" s="1">
        <f t="shared" si="101"/>
        <v>4.8114261863825307E-3</v>
      </c>
    </row>
    <row r="962" spans="19:29" x14ac:dyDescent="0.2">
      <c r="S962" s="4">
        <v>250.00603000000001</v>
      </c>
      <c r="T962" s="1">
        <v>478</v>
      </c>
      <c r="U962" s="5">
        <v>97.606960000000001</v>
      </c>
      <c r="V962" s="3">
        <f t="shared" si="98"/>
        <v>100.93065</v>
      </c>
      <c r="W962" s="1">
        <f t="shared" si="100"/>
        <v>1.1942282888305244E-2</v>
      </c>
      <c r="Y962" s="4">
        <v>250.02377000000001</v>
      </c>
      <c r="Z962" s="1">
        <v>478</v>
      </c>
      <c r="AA962" s="5">
        <v>105.44086</v>
      </c>
      <c r="AB962" s="3">
        <f t="shared" si="99"/>
        <v>103.83184</v>
      </c>
      <c r="AC962" s="1">
        <f t="shared" si="101"/>
        <v>3.5871390324415534E-3</v>
      </c>
    </row>
    <row r="963" spans="19:29" x14ac:dyDescent="0.2">
      <c r="S963" s="4">
        <v>250.00701000000001</v>
      </c>
      <c r="T963" s="1">
        <v>478.5</v>
      </c>
      <c r="U963" s="3">
        <v>97.629930000000002</v>
      </c>
      <c r="V963" s="3">
        <f t="shared" si="98"/>
        <v>100.95362</v>
      </c>
      <c r="W963" s="1">
        <f t="shared" si="100"/>
        <v>1.1714779705296701E-2</v>
      </c>
      <c r="Y963" s="4">
        <v>250.01648</v>
      </c>
      <c r="Z963" s="1">
        <v>478.5</v>
      </c>
      <c r="AA963" s="3">
        <v>105.36651999999999</v>
      </c>
      <c r="AB963" s="3">
        <f t="shared" si="99"/>
        <v>103.75749999999999</v>
      </c>
      <c r="AC963" s="1">
        <f t="shared" si="101"/>
        <v>4.3088383982649008E-3</v>
      </c>
    </row>
    <row r="964" spans="19:29" x14ac:dyDescent="0.2">
      <c r="S964" s="4">
        <v>250.00793999999999</v>
      </c>
      <c r="T964" s="1">
        <v>479</v>
      </c>
      <c r="U964" s="5">
        <v>97.62527</v>
      </c>
      <c r="V964" s="3">
        <f t="shared" si="98"/>
        <v>100.94896</v>
      </c>
      <c r="W964" s="1">
        <f t="shared" si="100"/>
        <v>1.1760934029755563E-2</v>
      </c>
      <c r="Y964" s="4">
        <v>250.01750000000001</v>
      </c>
      <c r="Z964" s="1">
        <v>479</v>
      </c>
      <c r="AA964" s="5">
        <v>105.25247</v>
      </c>
      <c r="AB964" s="3">
        <f t="shared" si="99"/>
        <v>103.64345</v>
      </c>
      <c r="AC964" s="1">
        <f t="shared" si="101"/>
        <v>5.4160459940698459E-3</v>
      </c>
    </row>
    <row r="965" spans="19:29" x14ac:dyDescent="0.2">
      <c r="S965" s="4">
        <v>250.00792999999999</v>
      </c>
      <c r="T965" s="1">
        <v>479.5</v>
      </c>
      <c r="U965" s="3">
        <v>97.629310000000004</v>
      </c>
      <c r="V965" s="3">
        <f t="shared" si="98"/>
        <v>100.953</v>
      </c>
      <c r="W965" s="1">
        <f t="shared" si="100"/>
        <v>1.172092040940923E-2</v>
      </c>
      <c r="Y965" s="4">
        <v>250.0172</v>
      </c>
      <c r="Z965" s="1">
        <v>479.5</v>
      </c>
      <c r="AA965" s="3">
        <v>105.43075</v>
      </c>
      <c r="AB965" s="3">
        <f t="shared" si="99"/>
        <v>103.82173</v>
      </c>
      <c r="AC965" s="1">
        <f t="shared" si="101"/>
        <v>3.6852878162520392E-3</v>
      </c>
    </row>
    <row r="966" spans="19:29" x14ac:dyDescent="0.2">
      <c r="S966" s="4">
        <v>250.01098999999999</v>
      </c>
      <c r="T966" s="1">
        <v>480</v>
      </c>
      <c r="U966" s="5">
        <v>97.616969999999995</v>
      </c>
      <c r="V966" s="3">
        <f t="shared" si="98"/>
        <v>100.94065999999999</v>
      </c>
      <c r="W966" s="1">
        <f t="shared" si="100"/>
        <v>1.1843140229972023E-2</v>
      </c>
      <c r="Y966" s="4">
        <v>250.01876999999999</v>
      </c>
      <c r="Z966" s="1">
        <v>480</v>
      </c>
      <c r="AA966" s="5">
        <v>105.3848</v>
      </c>
      <c r="AB966" s="3">
        <f t="shared" si="99"/>
        <v>103.77578</v>
      </c>
      <c r="AC966" s="1">
        <f t="shared" si="101"/>
        <v>4.1313745240753293E-3</v>
      </c>
    </row>
    <row r="967" spans="19:29" x14ac:dyDescent="0.2">
      <c r="S967" s="4">
        <v>250.00906000000001</v>
      </c>
      <c r="T967" s="1">
        <v>480.5</v>
      </c>
      <c r="U967" s="3">
        <v>97.613010000000003</v>
      </c>
      <c r="V967" s="3">
        <f t="shared" ref="V967:V1030" si="102">100-($U$6-U967)</f>
        <v>100.9367</v>
      </c>
      <c r="W967" s="1">
        <f t="shared" si="100"/>
        <v>1.1882361501400497E-2</v>
      </c>
      <c r="Y967" s="4">
        <v>250.02098000000001</v>
      </c>
      <c r="Z967" s="1">
        <v>480.5</v>
      </c>
      <c r="AA967" s="3">
        <v>105.51806000000001</v>
      </c>
      <c r="AB967" s="3">
        <f t="shared" ref="AB967:AB1030" si="103">100-($AA$6-AA967)</f>
        <v>103.90904</v>
      </c>
      <c r="AC967" s="1">
        <f t="shared" si="101"/>
        <v>2.8376745309408673E-3</v>
      </c>
    </row>
    <row r="968" spans="19:29" x14ac:dyDescent="0.2">
      <c r="S968" s="4">
        <v>250.00306</v>
      </c>
      <c r="T968" s="1">
        <v>481</v>
      </c>
      <c r="U968" s="5">
        <v>97.621210000000005</v>
      </c>
      <c r="V968" s="3">
        <f t="shared" si="102"/>
        <v>100.9449</v>
      </c>
      <c r="W968" s="1">
        <f t="shared" ref="W968:W1031" si="104">($V$199-V968)/($V$199*(1-$H$1))</f>
        <v>1.1801145737331254E-2</v>
      </c>
      <c r="Y968" s="4">
        <v>250.01647</v>
      </c>
      <c r="Z968" s="1">
        <v>481</v>
      </c>
      <c r="AA968" s="5">
        <v>105.52518999999999</v>
      </c>
      <c r="AB968" s="3">
        <f t="shared" si="103"/>
        <v>103.91616999999999</v>
      </c>
      <c r="AC968" s="1">
        <f t="shared" si="101"/>
        <v>2.7684558535355352E-3</v>
      </c>
    </row>
    <row r="969" spans="19:29" x14ac:dyDescent="0.2">
      <c r="S969" s="4">
        <v>250.00196</v>
      </c>
      <c r="T969" s="1">
        <v>481.5</v>
      </c>
      <c r="U969" s="3">
        <v>97.63355</v>
      </c>
      <c r="V969" s="3">
        <f t="shared" si="102"/>
        <v>100.95724</v>
      </c>
      <c r="W969" s="1">
        <f t="shared" si="104"/>
        <v>1.1678925916768602E-2</v>
      </c>
      <c r="Y969" s="4">
        <v>250.01935</v>
      </c>
      <c r="Z969" s="1">
        <v>481.5</v>
      </c>
      <c r="AA969" s="3">
        <v>105.46633</v>
      </c>
      <c r="AB969" s="3">
        <f t="shared" si="103"/>
        <v>103.85731</v>
      </c>
      <c r="AC969" s="1">
        <f t="shared" si="101"/>
        <v>3.3398739954827424E-3</v>
      </c>
    </row>
    <row r="970" spans="19:29" x14ac:dyDescent="0.2">
      <c r="S970" s="4">
        <v>250.00504000000001</v>
      </c>
      <c r="T970" s="1">
        <v>482</v>
      </c>
      <c r="U970" s="5">
        <v>97.617199999999997</v>
      </c>
      <c r="V970" s="3">
        <f t="shared" si="102"/>
        <v>100.94089</v>
      </c>
      <c r="W970" s="1">
        <f t="shared" si="104"/>
        <v>1.1840862226833478E-2</v>
      </c>
      <c r="Y970" s="4">
        <v>250.02052</v>
      </c>
      <c r="Z970" s="1">
        <v>482</v>
      </c>
      <c r="AA970" s="5">
        <v>105.33418</v>
      </c>
      <c r="AB970" s="3">
        <f t="shared" si="103"/>
        <v>103.72516</v>
      </c>
      <c r="AC970" s="1">
        <f t="shared" si="101"/>
        <v>4.6227980093856745E-3</v>
      </c>
    </row>
    <row r="971" spans="19:29" x14ac:dyDescent="0.2">
      <c r="S971" s="4">
        <v>250.00202999999999</v>
      </c>
      <c r="T971" s="1">
        <v>482.5</v>
      </c>
      <c r="U971" s="3">
        <v>97.623549999999994</v>
      </c>
      <c r="V971" s="3">
        <f t="shared" si="102"/>
        <v>100.94723999999999</v>
      </c>
      <c r="W971" s="1">
        <f t="shared" si="104"/>
        <v>1.1777969531487215E-2</v>
      </c>
      <c r="Y971" s="4">
        <v>250.01532</v>
      </c>
      <c r="Z971" s="1">
        <v>482.5</v>
      </c>
      <c r="AA971" s="3">
        <v>105.45367</v>
      </c>
      <c r="AB971" s="3">
        <f t="shared" si="103"/>
        <v>103.84465</v>
      </c>
      <c r="AC971" s="1">
        <f t="shared" si="101"/>
        <v>3.4627784072572983E-3</v>
      </c>
    </row>
    <row r="972" spans="19:29" x14ac:dyDescent="0.2">
      <c r="S972" s="4">
        <v>250.01101</v>
      </c>
      <c r="T972" s="1">
        <v>483</v>
      </c>
      <c r="U972" s="5">
        <v>97.623459999999994</v>
      </c>
      <c r="V972" s="3">
        <f t="shared" si="102"/>
        <v>100.94714999999999</v>
      </c>
      <c r="W972" s="1">
        <f t="shared" si="104"/>
        <v>1.1778860924019682E-2</v>
      </c>
      <c r="Y972" s="4">
        <v>250.01136</v>
      </c>
      <c r="Z972" s="1">
        <v>483</v>
      </c>
      <c r="AA972" s="5">
        <v>105.35984999999999</v>
      </c>
      <c r="AB972" s="3">
        <f t="shared" si="103"/>
        <v>103.75082999999999</v>
      </c>
      <c r="AC972" s="1">
        <f t="shared" si="101"/>
        <v>4.3735913545474014E-3</v>
      </c>
    </row>
    <row r="973" spans="19:29" x14ac:dyDescent="0.2">
      <c r="S973" s="4">
        <v>250.00693000000001</v>
      </c>
      <c r="T973" s="1">
        <v>483.5</v>
      </c>
      <c r="U973" s="3">
        <v>97.627399999999994</v>
      </c>
      <c r="V973" s="3">
        <f t="shared" si="102"/>
        <v>100.95108999999999</v>
      </c>
      <c r="W973" s="1">
        <f t="shared" si="104"/>
        <v>1.1739837739820569E-2</v>
      </c>
      <c r="Y973" s="4">
        <v>250.00832</v>
      </c>
      <c r="Z973" s="1">
        <v>483.5</v>
      </c>
      <c r="AA973" s="3">
        <v>105.49417</v>
      </c>
      <c r="AB973" s="3">
        <f t="shared" si="103"/>
        <v>103.88515</v>
      </c>
      <c r="AC973" s="1">
        <f t="shared" si="101"/>
        <v>3.0696007866514467E-3</v>
      </c>
    </row>
    <row r="974" spans="19:29" x14ac:dyDescent="0.2">
      <c r="S974" s="4">
        <v>250.01101</v>
      </c>
      <c r="T974" s="1">
        <v>484</v>
      </c>
      <c r="U974" s="5">
        <v>97.62518</v>
      </c>
      <c r="V974" s="3">
        <f t="shared" si="102"/>
        <v>100.94887</v>
      </c>
      <c r="W974" s="1">
        <f t="shared" si="104"/>
        <v>1.1761825422288031E-2</v>
      </c>
      <c r="Y974" s="4">
        <v>250.01302000000001</v>
      </c>
      <c r="Z974" s="1">
        <v>484</v>
      </c>
      <c r="AA974" s="5">
        <v>105.35153</v>
      </c>
      <c r="AB974" s="3">
        <f t="shared" si="103"/>
        <v>103.74251</v>
      </c>
      <c r="AC974" s="1">
        <f t="shared" si="101"/>
        <v>4.4543626583360488E-3</v>
      </c>
    </row>
    <row r="975" spans="19:29" x14ac:dyDescent="0.2">
      <c r="S975" s="4">
        <v>250.00905</v>
      </c>
      <c r="T975" s="1">
        <v>484.5</v>
      </c>
      <c r="U975" s="3">
        <v>97.610950000000003</v>
      </c>
      <c r="V975" s="3">
        <f t="shared" si="102"/>
        <v>100.93464</v>
      </c>
      <c r="W975" s="1">
        <f t="shared" si="104"/>
        <v>1.1902764486032521E-2</v>
      </c>
      <c r="Y975" s="4">
        <v>250.01486</v>
      </c>
      <c r="Z975" s="1">
        <v>484.5</v>
      </c>
      <c r="AA975" s="3">
        <v>105.46704</v>
      </c>
      <c r="AB975" s="3">
        <f t="shared" si="103"/>
        <v>103.85802</v>
      </c>
      <c r="AC975" s="1">
        <f t="shared" si="101"/>
        <v>3.3329812520104117E-3</v>
      </c>
    </row>
    <row r="976" spans="19:29" x14ac:dyDescent="0.2">
      <c r="S976" s="4">
        <v>250.00601</v>
      </c>
      <c r="T976" s="1">
        <v>485</v>
      </c>
      <c r="U976" s="5">
        <v>97.608699999999999</v>
      </c>
      <c r="V976" s="3">
        <f t="shared" si="102"/>
        <v>100.93239</v>
      </c>
      <c r="W976" s="1">
        <f t="shared" si="104"/>
        <v>1.1925049299344233E-2</v>
      </c>
      <c r="Y976" s="4">
        <v>250.01273</v>
      </c>
      <c r="Z976" s="1">
        <v>485</v>
      </c>
      <c r="AA976" s="5">
        <v>105.39467</v>
      </c>
      <c r="AB976" s="3">
        <f t="shared" si="103"/>
        <v>103.78565</v>
      </c>
      <c r="AC976" s="1">
        <f t="shared" si="101"/>
        <v>4.0355556817201982E-3</v>
      </c>
    </row>
    <row r="977" spans="19:29" x14ac:dyDescent="0.2">
      <c r="S977" s="4">
        <v>250.00593000000001</v>
      </c>
      <c r="T977" s="1">
        <v>485.5</v>
      </c>
      <c r="U977" s="3">
        <v>97.621200000000002</v>
      </c>
      <c r="V977" s="3">
        <f t="shared" si="102"/>
        <v>100.94489</v>
      </c>
      <c r="W977" s="1">
        <f t="shared" si="104"/>
        <v>1.1801244780946005E-2</v>
      </c>
      <c r="Y977" s="4">
        <v>250.01186999999999</v>
      </c>
      <c r="Z977" s="1">
        <v>485.5</v>
      </c>
      <c r="AA977" s="3">
        <v>105.35073</v>
      </c>
      <c r="AB977" s="3">
        <f t="shared" si="103"/>
        <v>103.74171</v>
      </c>
      <c r="AC977" s="1">
        <f t="shared" si="101"/>
        <v>4.4621291298541721E-3</v>
      </c>
    </row>
    <row r="978" spans="19:29" x14ac:dyDescent="0.2">
      <c r="S978" s="4">
        <v>250.00505999999999</v>
      </c>
      <c r="T978" s="1">
        <v>486</v>
      </c>
      <c r="U978" s="5">
        <v>97.620980000000003</v>
      </c>
      <c r="V978" s="3">
        <f t="shared" si="102"/>
        <v>100.94467</v>
      </c>
      <c r="W978" s="1">
        <f t="shared" si="104"/>
        <v>1.18034237404698E-2</v>
      </c>
      <c r="Y978" s="4">
        <v>250.01007999999999</v>
      </c>
      <c r="Z978" s="1">
        <v>486</v>
      </c>
      <c r="AA978" s="5">
        <v>105.33387</v>
      </c>
      <c r="AB978" s="3">
        <f t="shared" si="103"/>
        <v>103.72485</v>
      </c>
      <c r="AC978" s="1">
        <f t="shared" si="101"/>
        <v>4.6258075170989435E-3</v>
      </c>
    </row>
    <row r="979" spans="19:29" x14ac:dyDescent="0.2">
      <c r="S979" s="4">
        <v>250.00698</v>
      </c>
      <c r="T979" s="1">
        <v>486.5</v>
      </c>
      <c r="U979" s="3">
        <v>97.642269999999996</v>
      </c>
      <c r="V979" s="3">
        <f t="shared" si="102"/>
        <v>100.96596</v>
      </c>
      <c r="W979" s="1">
        <f t="shared" si="104"/>
        <v>1.1592559884734049E-2</v>
      </c>
      <c r="Y979" s="4">
        <v>250.01571999999999</v>
      </c>
      <c r="Z979" s="1">
        <v>486.5</v>
      </c>
      <c r="AA979" s="3">
        <v>105.34471000000001</v>
      </c>
      <c r="AB979" s="3">
        <f t="shared" si="103"/>
        <v>103.73569000000001</v>
      </c>
      <c r="AC979" s="1">
        <f t="shared" si="101"/>
        <v>4.5205718280281115E-3</v>
      </c>
    </row>
    <row r="980" spans="19:29" x14ac:dyDescent="0.2">
      <c r="S980" s="4">
        <v>250.00694999999999</v>
      </c>
      <c r="T980" s="1">
        <v>487</v>
      </c>
      <c r="U980" s="5">
        <v>97.639759999999995</v>
      </c>
      <c r="V980" s="3">
        <f t="shared" si="102"/>
        <v>100.96344999999999</v>
      </c>
      <c r="W980" s="1">
        <f t="shared" si="104"/>
        <v>1.1617419832028417E-2</v>
      </c>
      <c r="Y980" s="4">
        <v>250.01883000000001</v>
      </c>
      <c r="Z980" s="1">
        <v>487</v>
      </c>
      <c r="AA980" s="5">
        <v>105.35585</v>
      </c>
      <c r="AB980" s="3">
        <f t="shared" si="103"/>
        <v>103.74683</v>
      </c>
      <c r="AC980" s="1">
        <f t="shared" si="101"/>
        <v>4.4124237121380182E-3</v>
      </c>
    </row>
    <row r="981" spans="19:29" x14ac:dyDescent="0.2">
      <c r="S981" s="4">
        <v>250.00803999999999</v>
      </c>
      <c r="T981" s="1">
        <v>487.5</v>
      </c>
      <c r="U981" s="3">
        <v>97.618840000000006</v>
      </c>
      <c r="V981" s="3">
        <f t="shared" si="102"/>
        <v>100.94253</v>
      </c>
      <c r="W981" s="1">
        <f t="shared" si="104"/>
        <v>1.1824619074019544E-2</v>
      </c>
      <c r="Y981" s="4">
        <v>250.01918000000001</v>
      </c>
      <c r="Z981" s="1">
        <v>487.5</v>
      </c>
      <c r="AA981" s="3">
        <v>105.29537999999999</v>
      </c>
      <c r="AB981" s="3">
        <f t="shared" si="103"/>
        <v>103.68635999999999</v>
      </c>
      <c r="AC981" s="1">
        <f t="shared" si="101"/>
        <v>4.9994718780156178E-3</v>
      </c>
    </row>
    <row r="982" spans="19:29" x14ac:dyDescent="0.2">
      <c r="S982" s="4">
        <v>250.00894</v>
      </c>
      <c r="T982" s="1">
        <v>488</v>
      </c>
      <c r="U982" s="5">
        <v>97.625360000000001</v>
      </c>
      <c r="V982" s="3">
        <f t="shared" si="102"/>
        <v>100.94905</v>
      </c>
      <c r="W982" s="1">
        <f t="shared" si="104"/>
        <v>1.1760042637223094E-2</v>
      </c>
      <c r="Y982" s="4">
        <v>250.01826</v>
      </c>
      <c r="Z982" s="1">
        <v>488</v>
      </c>
      <c r="AA982" s="5">
        <v>105.49978</v>
      </c>
      <c r="AB982" s="3">
        <f t="shared" si="103"/>
        <v>103.89076</v>
      </c>
      <c r="AC982" s="1">
        <f t="shared" si="101"/>
        <v>3.0151384051304384E-3</v>
      </c>
    </row>
    <row r="983" spans="19:29" x14ac:dyDescent="0.2">
      <c r="S983" s="4">
        <v>250.00998999999999</v>
      </c>
      <c r="T983" s="1">
        <v>488.5</v>
      </c>
      <c r="U983" s="3">
        <v>97.615039999999993</v>
      </c>
      <c r="V983" s="3">
        <f t="shared" si="102"/>
        <v>100.93872999999999</v>
      </c>
      <c r="W983" s="1">
        <f t="shared" si="104"/>
        <v>1.1862255647612721E-2</v>
      </c>
      <c r="Y983" s="4">
        <v>250.01388</v>
      </c>
      <c r="Z983" s="1">
        <v>488.5</v>
      </c>
      <c r="AA983" s="3">
        <v>105.43617999999999</v>
      </c>
      <c r="AB983" s="3">
        <f t="shared" si="103"/>
        <v>103.82715999999999</v>
      </c>
      <c r="AC983" s="1">
        <f t="shared" si="101"/>
        <v>3.6325728908227538E-3</v>
      </c>
    </row>
    <row r="984" spans="19:29" x14ac:dyDescent="0.2">
      <c r="S984" s="4">
        <v>250.00799000000001</v>
      </c>
      <c r="T984" s="1">
        <v>489</v>
      </c>
      <c r="U984" s="5">
        <v>97.602699999999999</v>
      </c>
      <c r="V984" s="3">
        <f t="shared" si="102"/>
        <v>100.92639</v>
      </c>
      <c r="W984" s="1">
        <f t="shared" si="104"/>
        <v>1.1984475468175373E-2</v>
      </c>
      <c r="Y984" s="4">
        <v>250.01170999999999</v>
      </c>
      <c r="Z984" s="1">
        <v>489</v>
      </c>
      <c r="AA984" s="5">
        <v>105.43662</v>
      </c>
      <c r="AB984" s="3">
        <f t="shared" si="103"/>
        <v>103.8276</v>
      </c>
      <c r="AC984" s="1">
        <f t="shared" si="101"/>
        <v>3.628301331487662E-3</v>
      </c>
    </row>
    <row r="985" spans="19:29" x14ac:dyDescent="0.2">
      <c r="S985" s="4">
        <v>250.006</v>
      </c>
      <c r="T985" s="1">
        <v>489.5</v>
      </c>
      <c r="U985" s="3">
        <v>97.625360000000001</v>
      </c>
      <c r="V985" s="3">
        <f t="shared" si="102"/>
        <v>100.94905</v>
      </c>
      <c r="W985" s="1">
        <f t="shared" si="104"/>
        <v>1.1760042637223094E-2</v>
      </c>
      <c r="Y985" s="4">
        <v>250.01035999999999</v>
      </c>
      <c r="Z985" s="1">
        <v>489.5</v>
      </c>
      <c r="AA985" s="3">
        <v>105.39877</v>
      </c>
      <c r="AB985" s="3">
        <f t="shared" si="103"/>
        <v>103.78975</v>
      </c>
      <c r="AC985" s="1">
        <f t="shared" si="101"/>
        <v>3.9957525151897814E-3</v>
      </c>
    </row>
    <row r="986" spans="19:29" x14ac:dyDescent="0.2">
      <c r="S986" s="4">
        <v>250.00407999999999</v>
      </c>
      <c r="T986" s="1">
        <v>490</v>
      </c>
      <c r="U986" s="5">
        <v>97.623429999999999</v>
      </c>
      <c r="V986" s="3">
        <f t="shared" si="102"/>
        <v>100.94712</v>
      </c>
      <c r="W986" s="1">
        <f t="shared" si="104"/>
        <v>1.1779158054863792E-2</v>
      </c>
      <c r="Y986" s="4">
        <v>250.01311999999999</v>
      </c>
      <c r="Z986" s="1">
        <v>490</v>
      </c>
      <c r="AA986" s="5">
        <v>105.39228</v>
      </c>
      <c r="AB986" s="3">
        <f t="shared" si="103"/>
        <v>103.78326</v>
      </c>
      <c r="AC986" s="1">
        <f t="shared" si="101"/>
        <v>4.0587580153806976E-3</v>
      </c>
    </row>
    <row r="987" spans="19:29" x14ac:dyDescent="0.2">
      <c r="S987" s="4">
        <v>250.00904</v>
      </c>
      <c r="T987" s="1">
        <v>490.5</v>
      </c>
      <c r="U987" s="3">
        <v>97.629440000000002</v>
      </c>
      <c r="V987" s="3">
        <f t="shared" si="102"/>
        <v>100.95313</v>
      </c>
      <c r="W987" s="1">
        <f t="shared" si="104"/>
        <v>1.1719632842417903E-2</v>
      </c>
      <c r="Y987" s="4">
        <v>250.01414</v>
      </c>
      <c r="Z987" s="1">
        <v>490.5</v>
      </c>
      <c r="AA987" s="3">
        <v>105.51031999999999</v>
      </c>
      <c r="AB987" s="3">
        <f t="shared" si="103"/>
        <v>103.90129999999999</v>
      </c>
      <c r="AC987" s="1">
        <f t="shared" si="101"/>
        <v>2.912815142879006E-3</v>
      </c>
    </row>
    <row r="988" spans="19:29" x14ac:dyDescent="0.2">
      <c r="S988" s="4">
        <v>249.99799999999999</v>
      </c>
      <c r="T988" s="1">
        <v>491</v>
      </c>
      <c r="U988" s="5">
        <v>97.610820000000004</v>
      </c>
      <c r="V988" s="3">
        <f t="shared" si="102"/>
        <v>100.93451</v>
      </c>
      <c r="W988" s="1">
        <f t="shared" si="104"/>
        <v>1.1904052053023849E-2</v>
      </c>
      <c r="Y988" s="4">
        <v>250.01453000000001</v>
      </c>
      <c r="Z988" s="1">
        <v>491</v>
      </c>
      <c r="AA988" s="5">
        <v>105.3486</v>
      </c>
      <c r="AB988" s="3">
        <f t="shared" si="103"/>
        <v>103.73958</v>
      </c>
      <c r="AC988" s="1">
        <f t="shared" si="101"/>
        <v>4.4828073602711654E-3</v>
      </c>
    </row>
    <row r="989" spans="19:29" x14ac:dyDescent="0.2">
      <c r="S989" s="4">
        <v>250.00692000000001</v>
      </c>
      <c r="T989" s="1">
        <v>491.5</v>
      </c>
      <c r="U989" s="3">
        <v>97.608919999999998</v>
      </c>
      <c r="V989" s="3">
        <f t="shared" si="102"/>
        <v>100.93261</v>
      </c>
      <c r="W989" s="1">
        <f t="shared" si="104"/>
        <v>1.1922870339820438E-2</v>
      </c>
      <c r="Y989" s="4">
        <v>250.01702</v>
      </c>
      <c r="Z989" s="1">
        <v>491.5</v>
      </c>
      <c r="AA989" s="3">
        <v>105.39394</v>
      </c>
      <c r="AB989" s="3">
        <f t="shared" si="103"/>
        <v>103.78492</v>
      </c>
      <c r="AC989" s="1">
        <f t="shared" ref="AC989:AC1052" si="105">($AB$604-AB989)/($AB$604*(1-$H$1))</f>
        <v>4.042642586980544E-3</v>
      </c>
    </row>
    <row r="990" spans="19:29" x14ac:dyDescent="0.2">
      <c r="S990" s="4">
        <v>250.00312</v>
      </c>
      <c r="T990" s="1">
        <v>492</v>
      </c>
      <c r="U990" s="5">
        <v>97.617469999999997</v>
      </c>
      <c r="V990" s="3">
        <f t="shared" si="102"/>
        <v>100.94116</v>
      </c>
      <c r="W990" s="1">
        <f t="shared" si="104"/>
        <v>1.1838188049236071E-2</v>
      </c>
      <c r="Y990" s="4">
        <v>250.01517000000001</v>
      </c>
      <c r="Z990" s="1">
        <v>492</v>
      </c>
      <c r="AA990" s="5">
        <v>105.39297000000001</v>
      </c>
      <c r="AB990" s="3">
        <f t="shared" si="103"/>
        <v>103.78395</v>
      </c>
      <c r="AC990" s="1">
        <f t="shared" si="105"/>
        <v>4.0520594336962441E-3</v>
      </c>
    </row>
    <row r="991" spans="19:29" x14ac:dyDescent="0.2">
      <c r="S991" s="4">
        <v>250.00695999999999</v>
      </c>
      <c r="T991" s="1">
        <v>492.5</v>
      </c>
      <c r="U991" s="3">
        <v>97.611199999999997</v>
      </c>
      <c r="V991" s="3">
        <f t="shared" si="102"/>
        <v>100.93489</v>
      </c>
      <c r="W991" s="1">
        <f t="shared" si="104"/>
        <v>1.1900288395664616E-2</v>
      </c>
      <c r="Y991" s="4">
        <v>250.01685000000001</v>
      </c>
      <c r="Z991" s="1">
        <v>492.5</v>
      </c>
      <c r="AA991" s="3">
        <v>105.31288000000001</v>
      </c>
      <c r="AB991" s="3">
        <f t="shared" si="103"/>
        <v>103.70386000000001</v>
      </c>
      <c r="AC991" s="1">
        <f t="shared" si="105"/>
        <v>4.8295803135561541E-3</v>
      </c>
    </row>
    <row r="992" spans="19:29" x14ac:dyDescent="0.2">
      <c r="S992" s="4">
        <v>250.00801000000001</v>
      </c>
      <c r="T992" s="1">
        <v>493</v>
      </c>
      <c r="U992" s="5">
        <v>97.62321</v>
      </c>
      <c r="V992" s="3">
        <f t="shared" si="102"/>
        <v>100.9469</v>
      </c>
      <c r="W992" s="1">
        <f t="shared" si="104"/>
        <v>1.1781337014387588E-2</v>
      </c>
      <c r="Y992" s="4">
        <v>250.01605000000001</v>
      </c>
      <c r="Z992" s="1">
        <v>493</v>
      </c>
      <c r="AA992" s="5">
        <v>105.34899</v>
      </c>
      <c r="AB992" s="3">
        <f t="shared" si="103"/>
        <v>103.73997</v>
      </c>
      <c r="AC992" s="1">
        <f t="shared" si="105"/>
        <v>4.4790212054061111E-3</v>
      </c>
    </row>
    <row r="993" spans="19:29" x14ac:dyDescent="0.2">
      <c r="S993" s="4">
        <v>250.005</v>
      </c>
      <c r="T993" s="1">
        <v>493.5</v>
      </c>
      <c r="U993" s="3">
        <v>97.631299999999996</v>
      </c>
      <c r="V993" s="3">
        <f t="shared" si="102"/>
        <v>100.95499</v>
      </c>
      <c r="W993" s="1">
        <f t="shared" si="104"/>
        <v>1.1701210730080314E-2</v>
      </c>
      <c r="Y993" s="4">
        <v>250.01445000000001</v>
      </c>
      <c r="Z993" s="1">
        <v>493.5</v>
      </c>
      <c r="AA993" s="3">
        <v>105.46598</v>
      </c>
      <c r="AB993" s="3">
        <f t="shared" si="103"/>
        <v>103.85696</v>
      </c>
      <c r="AC993" s="1">
        <f t="shared" si="105"/>
        <v>3.3432718267719041E-3</v>
      </c>
    </row>
    <row r="994" spans="19:29" x14ac:dyDescent="0.2">
      <c r="S994" s="4">
        <v>250.00503</v>
      </c>
      <c r="T994" s="1">
        <v>494</v>
      </c>
      <c r="U994" s="5">
        <v>97.629390000000001</v>
      </c>
      <c r="V994" s="3">
        <f t="shared" si="102"/>
        <v>100.95308</v>
      </c>
      <c r="W994" s="1">
        <f t="shared" si="104"/>
        <v>1.1720128060491513E-2</v>
      </c>
      <c r="Y994" s="4">
        <v>250.01519999999999</v>
      </c>
      <c r="Z994" s="1">
        <v>494</v>
      </c>
      <c r="AA994" s="5">
        <v>105.41327</v>
      </c>
      <c r="AB994" s="3">
        <f t="shared" si="103"/>
        <v>103.80425</v>
      </c>
      <c r="AC994" s="1">
        <f t="shared" si="105"/>
        <v>3.8549852189234874E-3</v>
      </c>
    </row>
    <row r="995" spans="19:29" x14ac:dyDescent="0.2">
      <c r="S995" s="4">
        <v>250.00394</v>
      </c>
      <c r="T995" s="1">
        <v>494.5</v>
      </c>
      <c r="U995" s="3">
        <v>97.620949999999993</v>
      </c>
      <c r="V995" s="3">
        <f t="shared" si="102"/>
        <v>100.94463999999999</v>
      </c>
      <c r="W995" s="1">
        <f t="shared" si="104"/>
        <v>1.1803720871314051E-2</v>
      </c>
      <c r="Y995" s="4">
        <v>250.01621</v>
      </c>
      <c r="Z995" s="1">
        <v>494.5</v>
      </c>
      <c r="AA995" s="3">
        <v>105.48966</v>
      </c>
      <c r="AB995" s="3">
        <f t="shared" si="103"/>
        <v>103.88064</v>
      </c>
      <c r="AC995" s="1">
        <f t="shared" si="105"/>
        <v>3.113384269834932E-3</v>
      </c>
    </row>
    <row r="996" spans="19:29" x14ac:dyDescent="0.2">
      <c r="S996" s="4">
        <v>250.00608</v>
      </c>
      <c r="T996" s="1">
        <v>495</v>
      </c>
      <c r="U996" s="5">
        <v>97.617490000000004</v>
      </c>
      <c r="V996" s="3">
        <f t="shared" si="102"/>
        <v>100.94118</v>
      </c>
      <c r="W996" s="1">
        <f t="shared" si="104"/>
        <v>1.1837989962006572E-2</v>
      </c>
      <c r="Y996" s="4">
        <v>250.01425</v>
      </c>
      <c r="Z996" s="1">
        <v>495</v>
      </c>
      <c r="AA996" s="5">
        <v>105.38717</v>
      </c>
      <c r="AB996" s="3">
        <f t="shared" si="103"/>
        <v>103.77815</v>
      </c>
      <c r="AC996" s="1">
        <f t="shared" si="105"/>
        <v>4.1083663522028446E-3</v>
      </c>
    </row>
    <row r="997" spans="19:29" x14ac:dyDescent="0.2">
      <c r="S997" s="4">
        <v>250.00890999999999</v>
      </c>
      <c r="T997" s="1">
        <v>495.5</v>
      </c>
      <c r="U997" s="3">
        <v>97.607020000000006</v>
      </c>
      <c r="V997" s="3">
        <f t="shared" si="102"/>
        <v>100.93071</v>
      </c>
      <c r="W997" s="1">
        <f t="shared" si="104"/>
        <v>1.1941688626616886E-2</v>
      </c>
      <c r="Y997" s="4">
        <v>250.012</v>
      </c>
      <c r="Z997" s="1">
        <v>495.5</v>
      </c>
      <c r="AA997" s="3">
        <v>105.35760000000001</v>
      </c>
      <c r="AB997" s="3">
        <f t="shared" si="103"/>
        <v>103.74858</v>
      </c>
      <c r="AC997" s="1">
        <f t="shared" si="105"/>
        <v>4.3954345556920715E-3</v>
      </c>
    </row>
    <row r="998" spans="19:29" x14ac:dyDescent="0.2">
      <c r="S998" s="4">
        <v>250.00399999999999</v>
      </c>
      <c r="T998" s="1">
        <v>496</v>
      </c>
      <c r="U998" s="5">
        <v>97.614859999999993</v>
      </c>
      <c r="V998" s="3">
        <f t="shared" si="102"/>
        <v>100.93854999999999</v>
      </c>
      <c r="W998" s="1">
        <f t="shared" si="104"/>
        <v>1.1864038432677658E-2</v>
      </c>
      <c r="Y998" s="4">
        <v>250.01262</v>
      </c>
      <c r="Z998" s="1">
        <v>496</v>
      </c>
      <c r="AA998" s="5">
        <v>105.48271</v>
      </c>
      <c r="AB998" s="3">
        <f t="shared" si="103"/>
        <v>103.87369</v>
      </c>
      <c r="AC998" s="1">
        <f t="shared" si="105"/>
        <v>3.1808554911488176E-3</v>
      </c>
    </row>
    <row r="999" spans="19:29" x14ac:dyDescent="0.2">
      <c r="S999" s="4">
        <v>250.00494</v>
      </c>
      <c r="T999" s="1">
        <v>496.5</v>
      </c>
      <c r="U999" s="3">
        <v>97.623059999999995</v>
      </c>
      <c r="V999" s="3">
        <f t="shared" si="102"/>
        <v>100.94674999999999</v>
      </c>
      <c r="W999" s="1">
        <f t="shared" si="104"/>
        <v>1.1782822668608415E-2</v>
      </c>
      <c r="Y999" s="4">
        <v>250.01291000000001</v>
      </c>
      <c r="Z999" s="1">
        <v>496.5</v>
      </c>
      <c r="AA999" s="3">
        <v>105.3736</v>
      </c>
      <c r="AB999" s="3">
        <f t="shared" si="103"/>
        <v>103.76458</v>
      </c>
      <c r="AC999" s="1">
        <f t="shared" si="105"/>
        <v>4.2401051253293312E-3</v>
      </c>
    </row>
    <row r="1000" spans="19:29" x14ac:dyDescent="0.2">
      <c r="S1000" s="4">
        <v>250.00291999999999</v>
      </c>
      <c r="T1000" s="1">
        <v>497</v>
      </c>
      <c r="U1000" s="5">
        <v>97.635409999999993</v>
      </c>
      <c r="V1000" s="3">
        <f t="shared" si="102"/>
        <v>100.95909999999999</v>
      </c>
      <c r="W1000" s="1">
        <f t="shared" si="104"/>
        <v>1.1660503804431014E-2</v>
      </c>
      <c r="Y1000" s="4">
        <v>250.01674</v>
      </c>
      <c r="Z1000" s="1">
        <v>497</v>
      </c>
      <c r="AA1000" s="5">
        <v>105.39646</v>
      </c>
      <c r="AB1000" s="3">
        <f t="shared" si="103"/>
        <v>103.78744</v>
      </c>
      <c r="AC1000" s="1">
        <f t="shared" si="105"/>
        <v>4.0181782016983593E-3</v>
      </c>
    </row>
    <row r="1001" spans="19:29" x14ac:dyDescent="0.2">
      <c r="S1001" s="4">
        <v>250.00205</v>
      </c>
      <c r="T1001" s="1">
        <v>497.5</v>
      </c>
      <c r="U1001" s="3">
        <v>97.604399999999998</v>
      </c>
      <c r="V1001" s="3">
        <f t="shared" si="102"/>
        <v>100.92809</v>
      </c>
      <c r="W1001" s="1">
        <f t="shared" si="104"/>
        <v>1.1967638053673221E-2</v>
      </c>
      <c r="Y1001" s="4">
        <v>250.01679999999999</v>
      </c>
      <c r="Z1001" s="1">
        <v>497.5</v>
      </c>
      <c r="AA1001" s="3">
        <v>105.39310999999999</v>
      </c>
      <c r="AB1001" s="3">
        <f t="shared" si="103"/>
        <v>103.78408999999999</v>
      </c>
      <c r="AC1001" s="1">
        <f t="shared" si="105"/>
        <v>4.0507003011806897E-3</v>
      </c>
    </row>
    <row r="1002" spans="19:29" x14ac:dyDescent="0.2">
      <c r="S1002" s="4">
        <v>250.00800000000001</v>
      </c>
      <c r="T1002" s="1">
        <v>498</v>
      </c>
      <c r="U1002" s="5">
        <v>97.649879999999996</v>
      </c>
      <c r="V1002" s="3">
        <f t="shared" si="102"/>
        <v>100.97357</v>
      </c>
      <c r="W1002" s="1">
        <f t="shared" si="104"/>
        <v>1.1517187693933227E-2</v>
      </c>
      <c r="Y1002" s="4">
        <v>250.01769999999999</v>
      </c>
      <c r="Z1002" s="1">
        <v>498</v>
      </c>
      <c r="AA1002" s="5">
        <v>105.36145</v>
      </c>
      <c r="AB1002" s="3">
        <f t="shared" si="103"/>
        <v>103.75243</v>
      </c>
      <c r="AC1002" s="1">
        <f t="shared" si="105"/>
        <v>4.3580584115110177E-3</v>
      </c>
    </row>
    <row r="1003" spans="19:29" x14ac:dyDescent="0.2">
      <c r="S1003" s="4">
        <v>250.00704999999999</v>
      </c>
      <c r="T1003" s="1">
        <v>498.5</v>
      </c>
      <c r="U1003" s="3">
        <v>97.612679999999997</v>
      </c>
      <c r="V1003" s="3">
        <f t="shared" si="102"/>
        <v>100.93637</v>
      </c>
      <c r="W1003" s="1">
        <f t="shared" si="104"/>
        <v>1.1885629940686262E-2</v>
      </c>
      <c r="Y1003" s="4">
        <v>250.02289999999999</v>
      </c>
      <c r="Z1003" s="1">
        <v>498.5</v>
      </c>
      <c r="AA1003" s="3">
        <v>105.35053000000001</v>
      </c>
      <c r="AB1003" s="3">
        <f t="shared" si="103"/>
        <v>103.74151000000001</v>
      </c>
      <c r="AC1003" s="1">
        <f t="shared" si="105"/>
        <v>4.4640707477336342E-3</v>
      </c>
    </row>
    <row r="1004" spans="19:29" x14ac:dyDescent="0.2">
      <c r="S1004" s="4">
        <v>250.00694999999999</v>
      </c>
      <c r="T1004" s="1">
        <v>499</v>
      </c>
      <c r="U1004" s="5">
        <v>97.623310000000004</v>
      </c>
      <c r="V1004" s="3">
        <f t="shared" si="102"/>
        <v>100.947</v>
      </c>
      <c r="W1004" s="1">
        <f t="shared" si="104"/>
        <v>1.1780346578240369E-2</v>
      </c>
      <c r="Y1004" s="4">
        <v>250.02476999999999</v>
      </c>
      <c r="Z1004" s="1">
        <v>499</v>
      </c>
      <c r="AA1004" s="5">
        <v>105.42995000000001</v>
      </c>
      <c r="AB1004" s="3">
        <f t="shared" si="103"/>
        <v>103.82093</v>
      </c>
      <c r="AC1004" s="1">
        <f t="shared" si="105"/>
        <v>3.6930542877701626E-3</v>
      </c>
    </row>
    <row r="1005" spans="19:29" x14ac:dyDescent="0.2">
      <c r="S1005" s="4">
        <v>250.00697</v>
      </c>
      <c r="T1005" s="1">
        <v>499.5</v>
      </c>
      <c r="U1005" s="3">
        <v>97.61506</v>
      </c>
      <c r="V1005" s="3">
        <f t="shared" si="102"/>
        <v>100.93875</v>
      </c>
      <c r="W1005" s="1">
        <f t="shared" si="104"/>
        <v>1.1862057560383221E-2</v>
      </c>
      <c r="Y1005" s="4">
        <v>250.02521999999999</v>
      </c>
      <c r="Z1005" s="1">
        <v>499.5</v>
      </c>
      <c r="AA1005" s="3">
        <v>105.43397</v>
      </c>
      <c r="AB1005" s="3">
        <f t="shared" si="103"/>
        <v>103.82495</v>
      </c>
      <c r="AC1005" s="1">
        <f t="shared" si="105"/>
        <v>3.6540277683915312E-3</v>
      </c>
    </row>
    <row r="1006" spans="19:29" x14ac:dyDescent="0.2">
      <c r="S1006" s="4">
        <v>250.00397000000001</v>
      </c>
      <c r="T1006" s="1">
        <v>500</v>
      </c>
      <c r="U1006" s="5">
        <v>97.591909999999999</v>
      </c>
      <c r="V1006" s="3">
        <f t="shared" si="102"/>
        <v>100.9156</v>
      </c>
      <c r="W1006" s="1">
        <f t="shared" si="104"/>
        <v>1.2091343528456701E-2</v>
      </c>
      <c r="Y1006" s="4">
        <v>250.02376000000001</v>
      </c>
      <c r="Z1006" s="1">
        <v>500</v>
      </c>
      <c r="AA1006" s="5">
        <v>105.44428000000001</v>
      </c>
      <c r="AB1006" s="3">
        <f t="shared" si="103"/>
        <v>103.83526000000001</v>
      </c>
      <c r="AC1006" s="1">
        <f t="shared" si="105"/>
        <v>3.5539373667014458E-3</v>
      </c>
    </row>
    <row r="1007" spans="19:29" x14ac:dyDescent="0.2">
      <c r="S1007" s="4">
        <v>250.00603000000001</v>
      </c>
      <c r="T1007" s="1">
        <v>500.5</v>
      </c>
      <c r="U1007" s="3">
        <v>97.621039999999994</v>
      </c>
      <c r="V1007" s="3">
        <f t="shared" si="102"/>
        <v>100.94472999999999</v>
      </c>
      <c r="W1007" s="1">
        <f t="shared" si="104"/>
        <v>1.1802829478781581E-2</v>
      </c>
      <c r="Y1007" s="4">
        <v>250.01983000000001</v>
      </c>
      <c r="Z1007" s="1">
        <v>500.5</v>
      </c>
      <c r="AA1007" s="3">
        <v>105.32446</v>
      </c>
      <c r="AB1007" s="3">
        <f t="shared" si="103"/>
        <v>103.71544</v>
      </c>
      <c r="AC1007" s="1">
        <f t="shared" si="105"/>
        <v>4.7171606383311065E-3</v>
      </c>
    </row>
    <row r="1008" spans="19:29" x14ac:dyDescent="0.2">
      <c r="S1008" s="4">
        <v>250.00603000000001</v>
      </c>
      <c r="T1008" s="1">
        <v>501</v>
      </c>
      <c r="U1008" s="5">
        <v>97.621669999999995</v>
      </c>
      <c r="V1008" s="3">
        <f t="shared" si="102"/>
        <v>100.94535999999999</v>
      </c>
      <c r="W1008" s="1">
        <f t="shared" si="104"/>
        <v>1.1796589731054302E-2</v>
      </c>
      <c r="Y1008" s="4">
        <v>250.01787999999999</v>
      </c>
      <c r="Z1008" s="1">
        <v>501</v>
      </c>
      <c r="AA1008" s="5">
        <v>105.32943</v>
      </c>
      <c r="AB1008" s="3">
        <f t="shared" si="103"/>
        <v>103.72041</v>
      </c>
      <c r="AC1008" s="1">
        <f t="shared" si="105"/>
        <v>4.6689114340246517E-3</v>
      </c>
    </row>
    <row r="1009" spans="19:29" x14ac:dyDescent="0.2">
      <c r="S1009" s="4">
        <v>250.00894</v>
      </c>
      <c r="T1009" s="1">
        <v>501.5</v>
      </c>
      <c r="U1009" s="3">
        <v>97.63176</v>
      </c>
      <c r="V1009" s="3">
        <f t="shared" si="102"/>
        <v>100.95545</v>
      </c>
      <c r="W1009" s="1">
        <f t="shared" si="104"/>
        <v>1.1696654723803221E-2</v>
      </c>
      <c r="Y1009" s="4">
        <v>250.02081999999999</v>
      </c>
      <c r="Z1009" s="1">
        <v>501.5</v>
      </c>
      <c r="AA1009" s="3">
        <v>105.29528000000001</v>
      </c>
      <c r="AB1009" s="3">
        <f t="shared" si="103"/>
        <v>103.68626</v>
      </c>
      <c r="AC1009" s="1">
        <f t="shared" si="105"/>
        <v>5.000442686955279E-3</v>
      </c>
    </row>
    <row r="1010" spans="19:29" x14ac:dyDescent="0.2">
      <c r="S1010" s="4">
        <v>250.00788</v>
      </c>
      <c r="T1010" s="1">
        <v>502</v>
      </c>
      <c r="U1010" s="5">
        <v>97.631609999999995</v>
      </c>
      <c r="V1010" s="3">
        <f t="shared" si="102"/>
        <v>100.95529999999999</v>
      </c>
      <c r="W1010" s="1">
        <f t="shared" si="104"/>
        <v>1.1698140378024049E-2</v>
      </c>
      <c r="Y1010" s="4">
        <v>250.02058</v>
      </c>
      <c r="Z1010" s="1">
        <v>502</v>
      </c>
      <c r="AA1010" s="5">
        <v>105.41589</v>
      </c>
      <c r="AB1010" s="3">
        <f t="shared" si="103"/>
        <v>103.80687</v>
      </c>
      <c r="AC1010" s="1">
        <f t="shared" si="105"/>
        <v>3.8295500247015027E-3</v>
      </c>
    </row>
    <row r="1011" spans="19:29" x14ac:dyDescent="0.2">
      <c r="S1011" s="4">
        <v>250.00901999999999</v>
      </c>
      <c r="T1011" s="1">
        <v>502.5</v>
      </c>
      <c r="U1011" s="3">
        <v>97.62961</v>
      </c>
      <c r="V1011" s="3">
        <f t="shared" si="102"/>
        <v>100.9533</v>
      </c>
      <c r="W1011" s="1">
        <f t="shared" si="104"/>
        <v>1.1717949100967715E-2</v>
      </c>
      <c r="Y1011" s="4">
        <v>250.01846</v>
      </c>
      <c r="Z1011" s="1">
        <v>502.5</v>
      </c>
      <c r="AA1011" s="3">
        <v>105.40723</v>
      </c>
      <c r="AB1011" s="3">
        <f t="shared" si="103"/>
        <v>103.79821</v>
      </c>
      <c r="AC1011" s="1">
        <f t="shared" si="105"/>
        <v>3.9136220788854419E-3</v>
      </c>
    </row>
    <row r="1012" spans="19:29" x14ac:dyDescent="0.2">
      <c r="S1012" s="4">
        <v>250.00498999999999</v>
      </c>
      <c r="T1012" s="1">
        <v>503</v>
      </c>
      <c r="U1012" s="5">
        <v>97.633210000000005</v>
      </c>
      <c r="V1012" s="3">
        <f t="shared" si="102"/>
        <v>100.9569</v>
      </c>
      <c r="W1012" s="1">
        <f t="shared" si="104"/>
        <v>1.1682293399668977E-2</v>
      </c>
      <c r="Y1012" s="4">
        <v>250.01660000000001</v>
      </c>
      <c r="Z1012" s="1">
        <v>503</v>
      </c>
      <c r="AA1012" s="5">
        <v>105.37688</v>
      </c>
      <c r="AB1012" s="3">
        <f t="shared" si="103"/>
        <v>103.76786</v>
      </c>
      <c r="AC1012" s="1">
        <f t="shared" si="105"/>
        <v>4.2082625921049154E-3</v>
      </c>
    </row>
    <row r="1013" spans="19:29" x14ac:dyDescent="0.2">
      <c r="S1013" s="4">
        <v>250.01195000000001</v>
      </c>
      <c r="T1013" s="1">
        <v>503.5</v>
      </c>
      <c r="U1013" s="3">
        <v>97.623490000000004</v>
      </c>
      <c r="V1013" s="3">
        <f t="shared" si="102"/>
        <v>100.94718</v>
      </c>
      <c r="W1013" s="1">
        <f t="shared" si="104"/>
        <v>1.1778563793175432E-2</v>
      </c>
      <c r="Y1013" s="4">
        <v>250.01498000000001</v>
      </c>
      <c r="Z1013" s="1">
        <v>503.5</v>
      </c>
      <c r="AA1013" s="3">
        <v>105.35487999999999</v>
      </c>
      <c r="AB1013" s="3">
        <f t="shared" si="103"/>
        <v>103.74585999999999</v>
      </c>
      <c r="AC1013" s="1">
        <f t="shared" si="105"/>
        <v>4.4218405588538562E-3</v>
      </c>
    </row>
    <row r="1014" spans="19:29" x14ac:dyDescent="0.2">
      <c r="S1014" s="4">
        <v>250</v>
      </c>
      <c r="T1014" s="1">
        <v>504</v>
      </c>
      <c r="U1014" s="5">
        <v>97.613100000000003</v>
      </c>
      <c r="V1014" s="3">
        <f t="shared" si="102"/>
        <v>100.93679</v>
      </c>
      <c r="W1014" s="1">
        <f t="shared" si="104"/>
        <v>1.1881470108868027E-2</v>
      </c>
      <c r="Y1014" s="4">
        <v>250.01584</v>
      </c>
      <c r="Z1014" s="1">
        <v>504</v>
      </c>
      <c r="AA1014" s="5">
        <v>105.43004000000001</v>
      </c>
      <c r="AB1014" s="3">
        <f t="shared" si="103"/>
        <v>103.82102</v>
      </c>
      <c r="AC1014" s="1">
        <f t="shared" si="105"/>
        <v>3.6921805597243704E-3</v>
      </c>
    </row>
    <row r="1015" spans="19:29" x14ac:dyDescent="0.2">
      <c r="S1015" s="4">
        <v>250.00106</v>
      </c>
      <c r="T1015" s="1">
        <v>504.5</v>
      </c>
      <c r="U1015" s="3">
        <v>97.602779999999996</v>
      </c>
      <c r="V1015" s="3">
        <f t="shared" si="102"/>
        <v>100.92646999999999</v>
      </c>
      <c r="W1015" s="1">
        <f t="shared" si="104"/>
        <v>1.1983683119257654E-2</v>
      </c>
      <c r="Y1015" s="4">
        <v>250.01938999999999</v>
      </c>
      <c r="Z1015" s="1">
        <v>504.5</v>
      </c>
      <c r="AA1015" s="3">
        <v>105.27424000000001</v>
      </c>
      <c r="AB1015" s="3">
        <f t="shared" si="103"/>
        <v>103.66522000000001</v>
      </c>
      <c r="AC1015" s="1">
        <f t="shared" si="105"/>
        <v>5.2047008878823896E-3</v>
      </c>
    </row>
    <row r="1016" spans="19:29" x14ac:dyDescent="0.2">
      <c r="S1016" s="4">
        <v>250.01393999999999</v>
      </c>
      <c r="T1016" s="1">
        <v>505</v>
      </c>
      <c r="U1016" s="5">
        <v>97.604669999999999</v>
      </c>
      <c r="V1016" s="3">
        <f t="shared" si="102"/>
        <v>100.92836</v>
      </c>
      <c r="W1016" s="1">
        <f t="shared" si="104"/>
        <v>1.1964963876075816E-2</v>
      </c>
      <c r="Y1016" s="4">
        <v>250.02051</v>
      </c>
      <c r="Z1016" s="1">
        <v>505</v>
      </c>
      <c r="AA1016" s="5">
        <v>105.23693</v>
      </c>
      <c r="AB1016" s="3">
        <f t="shared" si="103"/>
        <v>103.62791</v>
      </c>
      <c r="AC1016" s="1">
        <f t="shared" si="105"/>
        <v>5.566909703309756E-3</v>
      </c>
    </row>
    <row r="1017" spans="19:29" x14ac:dyDescent="0.2">
      <c r="S1017" s="4">
        <v>250.00503</v>
      </c>
      <c r="T1017" s="1">
        <v>505.5</v>
      </c>
      <c r="U1017" s="3">
        <v>97.598770000000002</v>
      </c>
      <c r="V1017" s="3">
        <f t="shared" si="102"/>
        <v>100.92246</v>
      </c>
      <c r="W1017" s="1">
        <f t="shared" si="104"/>
        <v>1.2023399608759738E-2</v>
      </c>
      <c r="Y1017" s="4">
        <v>250.01849000000001</v>
      </c>
      <c r="Z1017" s="1">
        <v>505.5</v>
      </c>
      <c r="AA1017" s="3">
        <v>105.3425</v>
      </c>
      <c r="AB1017" s="3">
        <f t="shared" si="103"/>
        <v>103.73348</v>
      </c>
      <c r="AC1017" s="1">
        <f t="shared" si="105"/>
        <v>4.5420267055970272E-3</v>
      </c>
    </row>
    <row r="1018" spans="19:29" x14ac:dyDescent="0.2">
      <c r="S1018" s="4">
        <v>250.00389000000001</v>
      </c>
      <c r="T1018" s="1">
        <v>506</v>
      </c>
      <c r="U1018" s="5">
        <v>97.61054</v>
      </c>
      <c r="V1018" s="3">
        <f t="shared" si="102"/>
        <v>100.93423</v>
      </c>
      <c r="W1018" s="1">
        <f t="shared" si="104"/>
        <v>1.1906825274236005E-2</v>
      </c>
      <c r="Y1018" s="4">
        <v>250.01919000000001</v>
      </c>
      <c r="Z1018" s="1">
        <v>506</v>
      </c>
      <c r="AA1018" s="5">
        <v>105.315</v>
      </c>
      <c r="AB1018" s="3">
        <f t="shared" si="103"/>
        <v>103.70598</v>
      </c>
      <c r="AC1018" s="1">
        <f t="shared" si="105"/>
        <v>4.8089991640331694E-3</v>
      </c>
    </row>
    <row r="1019" spans="19:29" x14ac:dyDescent="0.2">
      <c r="S1019" s="4">
        <v>250.00488999999999</v>
      </c>
      <c r="T1019" s="1">
        <v>506.5</v>
      </c>
      <c r="U1019" s="3">
        <v>97.598550000000003</v>
      </c>
      <c r="V1019" s="3">
        <f t="shared" si="102"/>
        <v>100.92224</v>
      </c>
      <c r="W1019" s="1">
        <f t="shared" si="104"/>
        <v>1.2025578568283533E-2</v>
      </c>
      <c r="Y1019" s="4">
        <v>250.02086</v>
      </c>
      <c r="Z1019" s="1">
        <v>506.5</v>
      </c>
      <c r="AA1019" s="3">
        <v>105.31413999999999</v>
      </c>
      <c r="AB1019" s="3">
        <f t="shared" si="103"/>
        <v>103.70511999999999</v>
      </c>
      <c r="AC1019" s="1">
        <f t="shared" si="105"/>
        <v>4.8173481209151997E-3</v>
      </c>
    </row>
    <row r="1020" spans="19:29" x14ac:dyDescent="0.2">
      <c r="S1020" s="4">
        <v>250.00106</v>
      </c>
      <c r="T1020" s="1">
        <v>507</v>
      </c>
      <c r="U1020" s="5">
        <v>97.615009999999998</v>
      </c>
      <c r="V1020" s="3">
        <f t="shared" si="102"/>
        <v>100.9387</v>
      </c>
      <c r="W1020" s="1">
        <f t="shared" si="104"/>
        <v>1.186255277845683E-2</v>
      </c>
      <c r="Y1020" s="4">
        <v>250.01572999999999</v>
      </c>
      <c r="Z1020" s="1">
        <v>507</v>
      </c>
      <c r="AA1020" s="5">
        <v>105.46472</v>
      </c>
      <c r="AB1020" s="3">
        <f t="shared" si="103"/>
        <v>103.8557</v>
      </c>
      <c r="AC1020" s="1">
        <f t="shared" si="105"/>
        <v>3.3555040194129969E-3</v>
      </c>
    </row>
    <row r="1021" spans="19:29" x14ac:dyDescent="0.2">
      <c r="S1021" s="4">
        <v>250.00298000000001</v>
      </c>
      <c r="T1021" s="1">
        <v>507.5</v>
      </c>
      <c r="U1021" s="3">
        <v>97.620930000000001</v>
      </c>
      <c r="V1021" s="3">
        <f t="shared" si="102"/>
        <v>100.94462</v>
      </c>
      <c r="W1021" s="1">
        <f t="shared" si="104"/>
        <v>1.180391895854341E-2</v>
      </c>
      <c r="Y1021" s="4">
        <v>250.01393999999999</v>
      </c>
      <c r="Z1021" s="1">
        <v>507.5</v>
      </c>
      <c r="AA1021" s="3">
        <v>105.36192</v>
      </c>
      <c r="AB1021" s="3">
        <f t="shared" si="103"/>
        <v>103.7529</v>
      </c>
      <c r="AC1021" s="1">
        <f t="shared" si="105"/>
        <v>4.3534956094941788E-3</v>
      </c>
    </row>
    <row r="1022" spans="19:29" x14ac:dyDescent="0.2">
      <c r="S1022" s="4">
        <v>250.00198</v>
      </c>
      <c r="T1022" s="1">
        <v>508</v>
      </c>
      <c r="U1022" s="5">
        <v>97.605090000000004</v>
      </c>
      <c r="V1022" s="3">
        <f t="shared" si="102"/>
        <v>100.92878</v>
      </c>
      <c r="W1022" s="1">
        <f t="shared" si="104"/>
        <v>1.1960804044257584E-2</v>
      </c>
      <c r="Y1022" s="4">
        <v>250.01598000000001</v>
      </c>
      <c r="Z1022" s="1">
        <v>508</v>
      </c>
      <c r="AA1022" s="5">
        <v>105.37496</v>
      </c>
      <c r="AB1022" s="3">
        <f t="shared" si="103"/>
        <v>103.76594</v>
      </c>
      <c r="AC1022" s="1">
        <f t="shared" si="105"/>
        <v>4.2269021237484388E-3</v>
      </c>
    </row>
    <row r="1023" spans="19:29" x14ac:dyDescent="0.2">
      <c r="S1023" s="4">
        <v>250.00202999999999</v>
      </c>
      <c r="T1023" s="1">
        <v>508.5</v>
      </c>
      <c r="U1023" s="3">
        <v>97.611090000000004</v>
      </c>
      <c r="V1023" s="3">
        <f t="shared" si="102"/>
        <v>100.93478</v>
      </c>
      <c r="W1023" s="1">
        <f t="shared" si="104"/>
        <v>1.1901377875426444E-2</v>
      </c>
      <c r="Y1023" s="4">
        <v>250.01616999999999</v>
      </c>
      <c r="Z1023" s="1">
        <v>508.5</v>
      </c>
      <c r="AA1023" s="3">
        <v>105.28046000000001</v>
      </c>
      <c r="AB1023" s="3">
        <f t="shared" si="103"/>
        <v>103.67144</v>
      </c>
      <c r="AC1023" s="1">
        <f t="shared" si="105"/>
        <v>5.1443165718288502E-3</v>
      </c>
    </row>
    <row r="1024" spans="19:29" x14ac:dyDescent="0.2">
      <c r="S1024" s="4">
        <v>250.00486000000001</v>
      </c>
      <c r="T1024" s="1">
        <v>509</v>
      </c>
      <c r="U1024" s="5">
        <v>97.617230000000006</v>
      </c>
      <c r="V1024" s="3">
        <f t="shared" si="102"/>
        <v>100.94092000000001</v>
      </c>
      <c r="W1024" s="1">
        <f t="shared" si="104"/>
        <v>1.1840565095989228E-2</v>
      </c>
      <c r="Y1024" s="4">
        <v>250.01575</v>
      </c>
      <c r="Z1024" s="1">
        <v>509</v>
      </c>
      <c r="AA1024" s="5">
        <v>105.23772</v>
      </c>
      <c r="AB1024" s="3">
        <f t="shared" si="103"/>
        <v>103.62869999999999</v>
      </c>
      <c r="AC1024" s="1">
        <f t="shared" si="105"/>
        <v>5.5592403126856404E-3</v>
      </c>
    </row>
    <row r="1025" spans="19:29" x14ac:dyDescent="0.2">
      <c r="S1025" s="4">
        <v>250.00701000000001</v>
      </c>
      <c r="T1025" s="1">
        <v>509.5</v>
      </c>
      <c r="U1025" s="3">
        <v>97.629260000000002</v>
      </c>
      <c r="V1025" s="3">
        <f t="shared" si="102"/>
        <v>100.95295</v>
      </c>
      <c r="W1025" s="1">
        <f t="shared" si="104"/>
        <v>1.1721415627482839E-2</v>
      </c>
      <c r="Y1025" s="4">
        <v>250.01974000000001</v>
      </c>
      <c r="Z1025" s="1">
        <v>509.5</v>
      </c>
      <c r="AA1025" s="3">
        <v>105.28528</v>
      </c>
      <c r="AB1025" s="3">
        <f t="shared" si="103"/>
        <v>103.67626</v>
      </c>
      <c r="AC1025" s="1">
        <f t="shared" si="105"/>
        <v>5.0975235809320955E-3</v>
      </c>
    </row>
    <row r="1026" spans="19:29" x14ac:dyDescent="0.2">
      <c r="S1026" s="4">
        <v>250.00502</v>
      </c>
      <c r="T1026" s="1">
        <v>510</v>
      </c>
      <c r="U1026" s="5">
        <v>97.621219999999994</v>
      </c>
      <c r="V1026" s="3">
        <f t="shared" si="102"/>
        <v>100.94490999999999</v>
      </c>
      <c r="W1026" s="1">
        <f t="shared" si="104"/>
        <v>1.1801046693716646E-2</v>
      </c>
      <c r="Y1026" s="4">
        <v>250.02023</v>
      </c>
      <c r="Z1026" s="1">
        <v>510</v>
      </c>
      <c r="AA1026" s="5">
        <v>105.49669</v>
      </c>
      <c r="AB1026" s="3">
        <f t="shared" si="103"/>
        <v>103.88767</v>
      </c>
      <c r="AC1026" s="1">
        <f t="shared" si="105"/>
        <v>3.045136401369262E-3</v>
      </c>
    </row>
    <row r="1027" spans="19:29" x14ac:dyDescent="0.2">
      <c r="S1027" s="4">
        <v>250.00900999999999</v>
      </c>
      <c r="T1027" s="1">
        <v>510.5</v>
      </c>
      <c r="U1027" s="3">
        <v>97.613330000000005</v>
      </c>
      <c r="V1027" s="3">
        <f t="shared" si="102"/>
        <v>100.93702</v>
      </c>
      <c r="W1027" s="1">
        <f t="shared" si="104"/>
        <v>1.1879192105729481E-2</v>
      </c>
      <c r="Y1027" s="4">
        <v>250.01991000000001</v>
      </c>
      <c r="Z1027" s="1">
        <v>510.5</v>
      </c>
      <c r="AA1027" s="3">
        <v>105.27188</v>
      </c>
      <c r="AB1027" s="3">
        <f t="shared" si="103"/>
        <v>103.66285999999999</v>
      </c>
      <c r="AC1027" s="1">
        <f t="shared" si="105"/>
        <v>5.2276119788610053E-3</v>
      </c>
    </row>
    <row r="1028" spans="19:29" x14ac:dyDescent="0.2">
      <c r="S1028" s="4">
        <v>250.00604000000001</v>
      </c>
      <c r="T1028" s="1">
        <v>511</v>
      </c>
      <c r="U1028" s="5">
        <v>97.625240000000005</v>
      </c>
      <c r="V1028" s="3">
        <f t="shared" si="102"/>
        <v>100.94893</v>
      </c>
      <c r="W1028" s="1">
        <f t="shared" si="104"/>
        <v>1.1761231160599671E-2</v>
      </c>
      <c r="Y1028" s="4">
        <v>250.01978</v>
      </c>
      <c r="Z1028" s="1">
        <v>511</v>
      </c>
      <c r="AA1028" s="5">
        <v>105.40873000000001</v>
      </c>
      <c r="AB1028" s="3">
        <f t="shared" si="103"/>
        <v>103.79971</v>
      </c>
      <c r="AC1028" s="1">
        <f t="shared" si="105"/>
        <v>3.8990599447888577E-3</v>
      </c>
    </row>
    <row r="1029" spans="19:29" x14ac:dyDescent="0.2">
      <c r="S1029" s="4">
        <v>250.00584000000001</v>
      </c>
      <c r="T1029" s="1">
        <v>511.5</v>
      </c>
      <c r="U1029" s="3">
        <v>97.606499999999997</v>
      </c>
      <c r="V1029" s="3">
        <f t="shared" si="102"/>
        <v>100.93019</v>
      </c>
      <c r="W1029" s="1">
        <f t="shared" si="104"/>
        <v>1.1946838894582337E-2</v>
      </c>
      <c r="Y1029" s="4">
        <v>250.01972000000001</v>
      </c>
      <c r="Z1029" s="1">
        <v>511.5</v>
      </c>
      <c r="AA1029" s="3">
        <v>105.37067</v>
      </c>
      <c r="AB1029" s="3">
        <f t="shared" si="103"/>
        <v>103.76165</v>
      </c>
      <c r="AC1029" s="1">
        <f t="shared" si="105"/>
        <v>4.268549827264447E-3</v>
      </c>
    </row>
    <row r="1030" spans="19:29" x14ac:dyDescent="0.2">
      <c r="S1030" s="4">
        <v>250.00602000000001</v>
      </c>
      <c r="T1030" s="1">
        <v>512</v>
      </c>
      <c r="U1030" s="5">
        <v>97.627279999999999</v>
      </c>
      <c r="V1030" s="3">
        <f t="shared" si="102"/>
        <v>100.95097</v>
      </c>
      <c r="W1030" s="1">
        <f t="shared" si="104"/>
        <v>1.1741026263197146E-2</v>
      </c>
      <c r="Y1030" s="4">
        <v>250.01555999999999</v>
      </c>
      <c r="Z1030" s="1">
        <v>512</v>
      </c>
      <c r="AA1030" s="5">
        <v>105.337</v>
      </c>
      <c r="AB1030" s="3">
        <f t="shared" si="103"/>
        <v>103.72798</v>
      </c>
      <c r="AC1030" s="1">
        <f t="shared" si="105"/>
        <v>4.5954211972842277E-3</v>
      </c>
    </row>
    <row r="1031" spans="19:29" x14ac:dyDescent="0.2">
      <c r="S1031" s="4">
        <v>250.00698</v>
      </c>
      <c r="T1031" s="1">
        <v>512.5</v>
      </c>
      <c r="U1031" s="3">
        <v>97.612970000000004</v>
      </c>
      <c r="V1031" s="3">
        <f t="shared" ref="V1031:V1094" si="106">100-($U$6-U1031)</f>
        <v>100.93666</v>
      </c>
      <c r="W1031" s="1">
        <f t="shared" si="104"/>
        <v>1.1882757675859355E-2</v>
      </c>
      <c r="Y1031" s="4">
        <v>250.01429999999999</v>
      </c>
      <c r="Z1031" s="1">
        <v>512.5</v>
      </c>
      <c r="AA1031" s="3">
        <v>105.40118</v>
      </c>
      <c r="AB1031" s="3">
        <f t="shared" ref="AB1031:AB1094" si="107">100-($AA$6-AA1031)</f>
        <v>103.79216</v>
      </c>
      <c r="AC1031" s="1">
        <f t="shared" si="105"/>
        <v>3.9723560197414045E-3</v>
      </c>
    </row>
    <row r="1032" spans="19:29" x14ac:dyDescent="0.2">
      <c r="S1032" s="4">
        <v>250.00895</v>
      </c>
      <c r="T1032" s="1">
        <v>513</v>
      </c>
      <c r="U1032" s="5">
        <v>97.614990000000006</v>
      </c>
      <c r="V1032" s="3">
        <f t="shared" si="106"/>
        <v>100.93868000000001</v>
      </c>
      <c r="W1032" s="1">
        <f t="shared" ref="W1032:W1095" si="108">($V$199-V1032)/($V$199*(1-$H$1))</f>
        <v>1.1862750865686189E-2</v>
      </c>
      <c r="Y1032" s="4">
        <v>250.01639</v>
      </c>
      <c r="Z1032" s="1">
        <v>513</v>
      </c>
      <c r="AA1032" s="5">
        <v>105.36553000000001</v>
      </c>
      <c r="AB1032" s="3">
        <f t="shared" si="107"/>
        <v>103.75651000000001</v>
      </c>
      <c r="AC1032" s="1">
        <f t="shared" si="105"/>
        <v>4.3184494067684785E-3</v>
      </c>
    </row>
    <row r="1033" spans="19:29" x14ac:dyDescent="0.2">
      <c r="S1033" s="4">
        <v>250.01102</v>
      </c>
      <c r="T1033" s="1">
        <v>513.5</v>
      </c>
      <c r="U1033" s="3">
        <v>97.62133</v>
      </c>
      <c r="V1033" s="3">
        <f t="shared" si="106"/>
        <v>100.94502</v>
      </c>
      <c r="W1033" s="1">
        <f t="shared" si="108"/>
        <v>1.1799957213954677E-2</v>
      </c>
      <c r="Y1033" s="4">
        <v>250.02124000000001</v>
      </c>
      <c r="Z1033" s="1">
        <v>513.5</v>
      </c>
      <c r="AA1033" s="3">
        <v>105.39718999999999</v>
      </c>
      <c r="AB1033" s="3">
        <f t="shared" si="107"/>
        <v>103.78816999999999</v>
      </c>
      <c r="AC1033" s="1">
        <f t="shared" si="105"/>
        <v>4.0110912964381514E-3</v>
      </c>
    </row>
    <row r="1034" spans="19:29" x14ac:dyDescent="0.2">
      <c r="S1034" s="4">
        <v>250.00199000000001</v>
      </c>
      <c r="T1034" s="1">
        <v>514</v>
      </c>
      <c r="U1034" s="5">
        <v>97.61103</v>
      </c>
      <c r="V1034" s="3">
        <f t="shared" si="106"/>
        <v>100.93472</v>
      </c>
      <c r="W1034" s="1">
        <f t="shared" si="108"/>
        <v>1.1901972137114802E-2</v>
      </c>
      <c r="Y1034" s="4">
        <v>250.02144000000001</v>
      </c>
      <c r="Z1034" s="1">
        <v>514</v>
      </c>
      <c r="AA1034" s="5">
        <v>105.37112999999999</v>
      </c>
      <c r="AB1034" s="3">
        <f t="shared" si="107"/>
        <v>103.76210999999999</v>
      </c>
      <c r="AC1034" s="1">
        <f t="shared" si="105"/>
        <v>4.2640841061416159E-3</v>
      </c>
    </row>
    <row r="1035" spans="19:29" x14ac:dyDescent="0.2">
      <c r="S1035" s="4">
        <v>250.00805</v>
      </c>
      <c r="T1035" s="1">
        <v>514.5</v>
      </c>
      <c r="U1035" s="3">
        <v>97.631699999999995</v>
      </c>
      <c r="V1035" s="3">
        <f t="shared" si="106"/>
        <v>100.95538999999999</v>
      </c>
      <c r="W1035" s="1">
        <f t="shared" si="108"/>
        <v>1.1697248985491581E-2</v>
      </c>
      <c r="Y1035" s="4">
        <v>250.01919000000001</v>
      </c>
      <c r="Z1035" s="1">
        <v>514.5</v>
      </c>
      <c r="AA1035" s="3">
        <v>105.34192</v>
      </c>
      <c r="AB1035" s="3">
        <f t="shared" si="107"/>
        <v>103.7329</v>
      </c>
      <c r="AC1035" s="1">
        <f t="shared" si="105"/>
        <v>4.5476573974476738E-3</v>
      </c>
    </row>
    <row r="1036" spans="19:29" x14ac:dyDescent="0.2">
      <c r="S1036" s="4">
        <v>250.00488999999999</v>
      </c>
      <c r="T1036" s="1">
        <v>515</v>
      </c>
      <c r="U1036" s="5">
        <v>97.618020000000001</v>
      </c>
      <c r="V1036" s="3">
        <f t="shared" si="106"/>
        <v>100.94171</v>
      </c>
      <c r="W1036" s="1">
        <f t="shared" si="108"/>
        <v>1.1832740650426511E-2</v>
      </c>
      <c r="Y1036" s="4">
        <v>250.01901000000001</v>
      </c>
      <c r="Z1036" s="1">
        <v>515</v>
      </c>
      <c r="AA1036" s="5">
        <v>105.29003</v>
      </c>
      <c r="AB1036" s="3">
        <f t="shared" si="107"/>
        <v>103.68101</v>
      </c>
      <c r="AC1036" s="1">
        <f t="shared" si="105"/>
        <v>5.0514101562931183E-3</v>
      </c>
    </row>
    <row r="1037" spans="19:29" x14ac:dyDescent="0.2">
      <c r="S1037" s="4">
        <v>250.00691</v>
      </c>
      <c r="T1037" s="1">
        <v>515.5</v>
      </c>
      <c r="U1037" s="3">
        <v>97.619079999999997</v>
      </c>
      <c r="V1037" s="3">
        <f t="shared" si="106"/>
        <v>100.94277</v>
      </c>
      <c r="W1037" s="1">
        <f t="shared" si="108"/>
        <v>1.1822242027266389E-2</v>
      </c>
      <c r="Y1037" s="4">
        <v>250.01595</v>
      </c>
      <c r="Z1037" s="1">
        <v>515.5</v>
      </c>
      <c r="AA1037" s="3">
        <v>105.37208</v>
      </c>
      <c r="AB1037" s="3">
        <f t="shared" si="107"/>
        <v>103.76306</v>
      </c>
      <c r="AC1037" s="1">
        <f t="shared" si="105"/>
        <v>4.2548614212137926E-3</v>
      </c>
    </row>
    <row r="1038" spans="19:29" x14ac:dyDescent="0.2">
      <c r="S1038" s="4">
        <v>250.00606999999999</v>
      </c>
      <c r="T1038" s="1">
        <v>516</v>
      </c>
      <c r="U1038" s="5">
        <v>97.633430000000004</v>
      </c>
      <c r="V1038" s="3">
        <f t="shared" si="106"/>
        <v>100.95712</v>
      </c>
      <c r="W1038" s="1">
        <f t="shared" si="108"/>
        <v>1.1680114440145179E-2</v>
      </c>
      <c r="Y1038" s="4">
        <v>250.01245</v>
      </c>
      <c r="Z1038" s="1">
        <v>516</v>
      </c>
      <c r="AA1038" s="5">
        <v>105.24682</v>
      </c>
      <c r="AB1038" s="3">
        <f t="shared" si="107"/>
        <v>103.6378</v>
      </c>
      <c r="AC1038" s="1">
        <f t="shared" si="105"/>
        <v>5.4708966991667465E-3</v>
      </c>
    </row>
    <row r="1039" spans="19:29" x14ac:dyDescent="0.2">
      <c r="S1039" s="4">
        <v>250.00304</v>
      </c>
      <c r="T1039" s="1">
        <v>516.5</v>
      </c>
      <c r="U1039" s="3">
        <v>97.635779999999997</v>
      </c>
      <c r="V1039" s="3">
        <f t="shared" si="106"/>
        <v>100.95947</v>
      </c>
      <c r="W1039" s="1">
        <f t="shared" si="108"/>
        <v>1.1656839190686389E-2</v>
      </c>
      <c r="Y1039" s="4">
        <v>250.01154</v>
      </c>
      <c r="Z1039" s="1">
        <v>516.5</v>
      </c>
      <c r="AA1039" s="3">
        <v>105.39032</v>
      </c>
      <c r="AB1039" s="3">
        <f t="shared" si="107"/>
        <v>103.7813</v>
      </c>
      <c r="AC1039" s="1">
        <f t="shared" si="105"/>
        <v>4.0777858706001133E-3</v>
      </c>
    </row>
    <row r="1040" spans="19:29" x14ac:dyDescent="0.2">
      <c r="S1040" s="4">
        <v>250.00309999999999</v>
      </c>
      <c r="T1040" s="1">
        <v>517</v>
      </c>
      <c r="U1040" s="5">
        <v>97.623109999999997</v>
      </c>
      <c r="V1040" s="3">
        <f t="shared" si="106"/>
        <v>100.9468</v>
      </c>
      <c r="W1040" s="1">
        <f t="shared" si="108"/>
        <v>1.1782327450534806E-2</v>
      </c>
      <c r="Y1040" s="4">
        <v>250.01525000000001</v>
      </c>
      <c r="Z1040" s="1">
        <v>517</v>
      </c>
      <c r="AA1040" s="5">
        <v>105.27732</v>
      </c>
      <c r="AB1040" s="3">
        <f t="shared" si="107"/>
        <v>103.6683</v>
      </c>
      <c r="AC1040" s="1">
        <f t="shared" si="105"/>
        <v>5.1747999725375738E-3</v>
      </c>
    </row>
    <row r="1041" spans="19:29" x14ac:dyDescent="0.2">
      <c r="S1041" s="4">
        <v>249.99790999999999</v>
      </c>
      <c r="T1041" s="1">
        <v>517.5</v>
      </c>
      <c r="U1041" s="3">
        <v>97.600520000000003</v>
      </c>
      <c r="V1041" s="3">
        <f t="shared" si="106"/>
        <v>100.92421</v>
      </c>
      <c r="W1041" s="1">
        <f t="shared" si="108"/>
        <v>1.2006066976183977E-2</v>
      </c>
      <c r="Y1041" s="4">
        <v>250.02096</v>
      </c>
      <c r="Z1041" s="1">
        <v>517.5</v>
      </c>
      <c r="AA1041" s="3">
        <v>105.33723999999999</v>
      </c>
      <c r="AB1041" s="3">
        <f t="shared" si="107"/>
        <v>103.72821999999999</v>
      </c>
      <c r="AC1041" s="1">
        <f t="shared" si="105"/>
        <v>4.5930912558288742E-3</v>
      </c>
    </row>
    <row r="1042" spans="19:29" x14ac:dyDescent="0.2">
      <c r="S1042" s="4">
        <v>250.00488000000001</v>
      </c>
      <c r="T1042" s="1">
        <v>518</v>
      </c>
      <c r="U1042" s="5">
        <v>97.618539999999996</v>
      </c>
      <c r="V1042" s="3">
        <f t="shared" si="106"/>
        <v>100.94223</v>
      </c>
      <c r="W1042" s="1">
        <f t="shared" si="108"/>
        <v>1.1827590382461201E-2</v>
      </c>
      <c r="Y1042" s="4">
        <v>250.01795999999999</v>
      </c>
      <c r="Z1042" s="1">
        <v>518</v>
      </c>
      <c r="AA1042" s="5">
        <v>105.31482</v>
      </c>
      <c r="AB1042" s="3">
        <f t="shared" si="107"/>
        <v>103.7058</v>
      </c>
      <c r="AC1042" s="1">
        <f t="shared" si="105"/>
        <v>4.8107466201247539E-3</v>
      </c>
    </row>
    <row r="1043" spans="19:29" x14ac:dyDescent="0.2">
      <c r="S1043" s="4">
        <v>250.00297</v>
      </c>
      <c r="T1043" s="1">
        <v>518.5</v>
      </c>
      <c r="U1043" s="3">
        <v>97.646060000000006</v>
      </c>
      <c r="V1043" s="3">
        <f t="shared" si="106"/>
        <v>100.96975</v>
      </c>
      <c r="W1043" s="1">
        <f t="shared" si="108"/>
        <v>1.1555022354755622E-2</v>
      </c>
      <c r="Y1043" s="4">
        <v>250.01714999999999</v>
      </c>
      <c r="Z1043" s="1">
        <v>518.5</v>
      </c>
      <c r="AA1043" s="3">
        <v>105.31520999999999</v>
      </c>
      <c r="AB1043" s="3">
        <f t="shared" si="107"/>
        <v>103.70618999999999</v>
      </c>
      <c r="AC1043" s="1">
        <f t="shared" si="105"/>
        <v>4.8069604652596996E-3</v>
      </c>
    </row>
    <row r="1044" spans="19:29" x14ac:dyDescent="0.2">
      <c r="S1044" s="4">
        <v>250.00109</v>
      </c>
      <c r="T1044" s="1">
        <v>519</v>
      </c>
      <c r="U1044" s="5">
        <v>97.607029999999995</v>
      </c>
      <c r="V1044" s="3">
        <f t="shared" si="106"/>
        <v>100.93071999999999</v>
      </c>
      <c r="W1044" s="1">
        <f t="shared" si="108"/>
        <v>1.1941589583002276E-2</v>
      </c>
      <c r="Y1044" s="4">
        <v>250.01591999999999</v>
      </c>
      <c r="Z1044" s="1">
        <v>519</v>
      </c>
      <c r="AA1044" s="5">
        <v>105.35147000000001</v>
      </c>
      <c r="AB1044" s="3">
        <f t="shared" si="107"/>
        <v>103.74245000000001</v>
      </c>
      <c r="AC1044" s="1">
        <f t="shared" si="105"/>
        <v>4.4549451436998186E-3</v>
      </c>
    </row>
    <row r="1045" spans="19:29" x14ac:dyDescent="0.2">
      <c r="S1045" s="4">
        <v>250.00399999999999</v>
      </c>
      <c r="T1045" s="1">
        <v>519.5</v>
      </c>
      <c r="U1045" s="3">
        <v>97.640249999999995</v>
      </c>
      <c r="V1045" s="3">
        <f t="shared" si="106"/>
        <v>100.96393999999999</v>
      </c>
      <c r="W1045" s="1">
        <f t="shared" si="108"/>
        <v>1.1612566694907215E-2</v>
      </c>
      <c r="Y1045" s="4">
        <v>250.01646</v>
      </c>
      <c r="Z1045" s="1">
        <v>519.5</v>
      </c>
      <c r="AA1045" s="3">
        <v>105.31031</v>
      </c>
      <c r="AB1045" s="3">
        <f t="shared" si="107"/>
        <v>103.70129</v>
      </c>
      <c r="AC1045" s="1">
        <f t="shared" si="105"/>
        <v>4.8545301033082388E-3</v>
      </c>
    </row>
    <row r="1046" spans="19:29" x14ac:dyDescent="0.2">
      <c r="S1046" s="4">
        <v>250.00093000000001</v>
      </c>
      <c r="T1046" s="1">
        <v>520</v>
      </c>
      <c r="U1046" s="5">
        <v>97.619169999999997</v>
      </c>
      <c r="V1046" s="3">
        <f t="shared" si="106"/>
        <v>100.94286</v>
      </c>
      <c r="W1046" s="1">
        <f t="shared" si="108"/>
        <v>1.182135063473392E-2</v>
      </c>
      <c r="Y1046" s="4">
        <v>250.01068000000001</v>
      </c>
      <c r="Z1046" s="1">
        <v>520</v>
      </c>
      <c r="AA1046" s="5">
        <v>105.30634999999999</v>
      </c>
      <c r="AB1046" s="3">
        <f t="shared" si="107"/>
        <v>103.69732999999999</v>
      </c>
      <c r="AC1046" s="1">
        <f t="shared" si="105"/>
        <v>4.8929741373231004E-3</v>
      </c>
    </row>
    <row r="1047" spans="19:29" x14ac:dyDescent="0.2">
      <c r="S1047" s="4">
        <v>250.005</v>
      </c>
      <c r="T1047" s="1">
        <v>520.5</v>
      </c>
      <c r="U1047" s="3">
        <v>97.631529999999998</v>
      </c>
      <c r="V1047" s="3">
        <f t="shared" si="106"/>
        <v>100.95522</v>
      </c>
      <c r="W1047" s="1">
        <f t="shared" si="108"/>
        <v>1.1698932726941768E-2</v>
      </c>
      <c r="Y1047" s="4">
        <v>250.01310000000001</v>
      </c>
      <c r="Z1047" s="1">
        <v>520.5</v>
      </c>
      <c r="AA1047" s="3">
        <v>105.31319999999999</v>
      </c>
      <c r="AB1047" s="3">
        <f t="shared" si="107"/>
        <v>103.70417999999999</v>
      </c>
      <c r="AC1047" s="1">
        <f t="shared" si="105"/>
        <v>4.8264737249490153E-3</v>
      </c>
    </row>
    <row r="1048" spans="19:29" x14ac:dyDescent="0.2">
      <c r="S1048" s="4">
        <v>250.00596999999999</v>
      </c>
      <c r="T1048" s="1">
        <v>521</v>
      </c>
      <c r="U1048" s="5">
        <v>97.639870000000002</v>
      </c>
      <c r="V1048" s="3">
        <f t="shared" si="106"/>
        <v>100.96356</v>
      </c>
      <c r="W1048" s="1">
        <f t="shared" si="108"/>
        <v>1.1616330352266448E-2</v>
      </c>
      <c r="Y1048" s="4">
        <v>250.01900000000001</v>
      </c>
      <c r="Z1048" s="1">
        <v>521</v>
      </c>
      <c r="AA1048" s="5">
        <v>105.35124999999999</v>
      </c>
      <c r="AB1048" s="3">
        <f t="shared" si="107"/>
        <v>103.74222999999999</v>
      </c>
      <c r="AC1048" s="1">
        <f t="shared" si="105"/>
        <v>4.4570809233674333E-3</v>
      </c>
    </row>
    <row r="1049" spans="19:29" x14ac:dyDescent="0.2">
      <c r="S1049" s="4">
        <v>250.00702000000001</v>
      </c>
      <c r="T1049" s="1">
        <v>521.5</v>
      </c>
      <c r="U1049" s="3">
        <v>97.619349999999997</v>
      </c>
      <c r="V1049" s="3">
        <f t="shared" si="106"/>
        <v>100.94304</v>
      </c>
      <c r="W1049" s="1">
        <f t="shared" si="108"/>
        <v>1.1819567849668984E-2</v>
      </c>
      <c r="Y1049" s="4">
        <v>250.01984999999999</v>
      </c>
      <c r="Z1049" s="1">
        <v>521.5</v>
      </c>
      <c r="AA1049" s="3">
        <v>105.29173</v>
      </c>
      <c r="AB1049" s="3">
        <f t="shared" si="107"/>
        <v>103.68271</v>
      </c>
      <c r="AC1049" s="1">
        <f t="shared" si="105"/>
        <v>5.0349064043170725E-3</v>
      </c>
    </row>
    <row r="1050" spans="19:29" x14ac:dyDescent="0.2">
      <c r="S1050" s="4">
        <v>250.01093</v>
      </c>
      <c r="T1050" s="1">
        <v>522</v>
      </c>
      <c r="U1050" s="5">
        <v>97.641639999999995</v>
      </c>
      <c r="V1050" s="3">
        <f t="shared" si="106"/>
        <v>100.96532999999999</v>
      </c>
      <c r="W1050" s="1">
        <f t="shared" si="108"/>
        <v>1.1598799632461328E-2</v>
      </c>
      <c r="Y1050" s="4">
        <v>250.01953</v>
      </c>
      <c r="Z1050" s="1">
        <v>522</v>
      </c>
      <c r="AA1050" s="5">
        <v>105.25344</v>
      </c>
      <c r="AB1050" s="3">
        <f t="shared" si="107"/>
        <v>103.64442</v>
      </c>
      <c r="AC1050" s="1">
        <f t="shared" si="105"/>
        <v>5.4066291473541458E-3</v>
      </c>
    </row>
    <row r="1051" spans="19:29" x14ac:dyDescent="0.2">
      <c r="S1051" s="4">
        <v>250.00599</v>
      </c>
      <c r="T1051" s="1">
        <v>522.5</v>
      </c>
      <c r="U1051" s="3">
        <v>97.590530000000001</v>
      </c>
      <c r="V1051" s="3">
        <f t="shared" si="106"/>
        <v>100.91422</v>
      </c>
      <c r="W1051" s="1">
        <f t="shared" si="108"/>
        <v>1.2105011547287839E-2</v>
      </c>
      <c r="Y1051" s="4">
        <v>250.01784000000001</v>
      </c>
      <c r="Z1051" s="1">
        <v>522.5</v>
      </c>
      <c r="AA1051" s="3">
        <v>105.3809</v>
      </c>
      <c r="AB1051" s="3">
        <f t="shared" si="107"/>
        <v>103.77188</v>
      </c>
      <c r="AC1051" s="1">
        <f t="shared" si="105"/>
        <v>4.169236072726284E-3</v>
      </c>
    </row>
    <row r="1052" spans="19:29" x14ac:dyDescent="0.2">
      <c r="S1052" s="4">
        <v>250.00498999999999</v>
      </c>
      <c r="T1052" s="1">
        <v>523</v>
      </c>
      <c r="U1052" s="5">
        <v>97.617549999999994</v>
      </c>
      <c r="V1052" s="3">
        <f t="shared" si="106"/>
        <v>100.94123999999999</v>
      </c>
      <c r="W1052" s="1">
        <f t="shared" si="108"/>
        <v>1.1837395700318352E-2</v>
      </c>
      <c r="Y1052" s="4">
        <v>250.01546999999999</v>
      </c>
      <c r="Z1052" s="1">
        <v>523</v>
      </c>
      <c r="AA1052" s="5">
        <v>105.3185</v>
      </c>
      <c r="AB1052" s="3">
        <f t="shared" si="107"/>
        <v>103.70948</v>
      </c>
      <c r="AC1052" s="1">
        <f t="shared" si="105"/>
        <v>4.775020851141276E-3</v>
      </c>
    </row>
    <row r="1053" spans="19:29" x14ac:dyDescent="0.2">
      <c r="S1053" s="4">
        <v>250.00701000000001</v>
      </c>
      <c r="T1053" s="1">
        <v>523.5</v>
      </c>
      <c r="U1053" s="3">
        <v>97.614980000000003</v>
      </c>
      <c r="V1053" s="3">
        <f t="shared" si="106"/>
        <v>100.93867</v>
      </c>
      <c r="W1053" s="1">
        <f t="shared" si="108"/>
        <v>1.186284990930094E-2</v>
      </c>
      <c r="Y1053" s="4">
        <v>250.01447999999999</v>
      </c>
      <c r="Z1053" s="1">
        <v>523.5</v>
      </c>
      <c r="AA1053" s="3">
        <v>105.36578</v>
      </c>
      <c r="AB1053" s="3">
        <f t="shared" si="107"/>
        <v>103.75676</v>
      </c>
      <c r="AC1053" s="1">
        <f t="shared" ref="AC1053:AC1116" si="109">($AB$604-AB1053)/($AB$604*(1-$H$1))</f>
        <v>4.3160223844191164E-3</v>
      </c>
    </row>
    <row r="1054" spans="19:29" x14ac:dyDescent="0.2">
      <c r="S1054" s="4">
        <v>250.00299000000001</v>
      </c>
      <c r="T1054" s="1">
        <v>524</v>
      </c>
      <c r="U1054" s="5">
        <v>97.619730000000004</v>
      </c>
      <c r="V1054" s="3">
        <f t="shared" si="106"/>
        <v>100.94342</v>
      </c>
      <c r="W1054" s="1">
        <f t="shared" si="108"/>
        <v>1.1815804192309608E-2</v>
      </c>
      <c r="Y1054" s="4">
        <v>250.01548</v>
      </c>
      <c r="Z1054" s="1">
        <v>524</v>
      </c>
      <c r="AA1054" s="5">
        <v>105.29867</v>
      </c>
      <c r="AB1054" s="3">
        <f t="shared" si="107"/>
        <v>103.68965</v>
      </c>
      <c r="AC1054" s="1">
        <f t="shared" si="109"/>
        <v>4.9675322638971942E-3</v>
      </c>
    </row>
    <row r="1055" spans="19:29" x14ac:dyDescent="0.2">
      <c r="S1055" s="4">
        <v>250.00496999999999</v>
      </c>
      <c r="T1055" s="1">
        <v>524.5</v>
      </c>
      <c r="U1055" s="3">
        <v>97.631550000000004</v>
      </c>
      <c r="V1055" s="3">
        <f t="shared" si="106"/>
        <v>100.95524</v>
      </c>
      <c r="W1055" s="1">
        <f t="shared" si="108"/>
        <v>1.1698734639712268E-2</v>
      </c>
      <c r="Y1055" s="4">
        <v>250.01392000000001</v>
      </c>
      <c r="Z1055" s="1">
        <v>524.5</v>
      </c>
      <c r="AA1055" s="3">
        <v>105.29338</v>
      </c>
      <c r="AB1055" s="3">
        <f t="shared" si="107"/>
        <v>103.68436</v>
      </c>
      <c r="AC1055" s="1">
        <f t="shared" si="109"/>
        <v>5.0188880568109258E-3</v>
      </c>
    </row>
    <row r="1056" spans="19:29" x14ac:dyDescent="0.2">
      <c r="S1056" s="4">
        <v>250.01300000000001</v>
      </c>
      <c r="T1056" s="1">
        <v>525</v>
      </c>
      <c r="U1056" s="5">
        <v>97.623350000000002</v>
      </c>
      <c r="V1056" s="3">
        <f t="shared" si="106"/>
        <v>100.94704</v>
      </c>
      <c r="W1056" s="1">
        <f t="shared" si="108"/>
        <v>1.1779950403781511E-2</v>
      </c>
      <c r="Y1056" s="4">
        <v>250.01464999999999</v>
      </c>
      <c r="Z1056" s="1">
        <v>525</v>
      </c>
      <c r="AA1056" s="5">
        <v>105.40203</v>
      </c>
      <c r="AB1056" s="3">
        <f t="shared" si="107"/>
        <v>103.79301</v>
      </c>
      <c r="AC1056" s="1">
        <f t="shared" si="109"/>
        <v>3.9641041437533811E-3</v>
      </c>
    </row>
    <row r="1057" spans="19:29" x14ac:dyDescent="0.2">
      <c r="S1057" s="4">
        <v>250.00996000000001</v>
      </c>
      <c r="T1057" s="1">
        <v>525.5</v>
      </c>
      <c r="U1057" s="3">
        <v>97.631709999999998</v>
      </c>
      <c r="V1057" s="3">
        <f t="shared" si="106"/>
        <v>100.9554</v>
      </c>
      <c r="W1057" s="1">
        <f t="shared" si="108"/>
        <v>1.169714994187683E-2</v>
      </c>
      <c r="Y1057" s="4">
        <v>250.01682</v>
      </c>
      <c r="Z1057" s="1">
        <v>525.5</v>
      </c>
      <c r="AA1057" s="3">
        <v>105.23915</v>
      </c>
      <c r="AB1057" s="3">
        <f t="shared" si="107"/>
        <v>103.63012999999999</v>
      </c>
      <c r="AC1057" s="1">
        <f t="shared" si="109"/>
        <v>5.5453577448469705E-3</v>
      </c>
    </row>
    <row r="1058" spans="19:29" x14ac:dyDescent="0.2">
      <c r="S1058" s="4">
        <v>250.00700000000001</v>
      </c>
      <c r="T1058" s="1">
        <v>526</v>
      </c>
      <c r="U1058" s="5">
        <v>97.635769999999994</v>
      </c>
      <c r="V1058" s="3">
        <f t="shared" si="106"/>
        <v>100.95945999999999</v>
      </c>
      <c r="W1058" s="1">
        <f t="shared" si="108"/>
        <v>1.165693823430114E-2</v>
      </c>
      <c r="Y1058" s="4">
        <v>250.01615000000001</v>
      </c>
      <c r="Z1058" s="1">
        <v>526</v>
      </c>
      <c r="AA1058" s="5">
        <v>105.3317</v>
      </c>
      <c r="AB1058" s="3">
        <f t="shared" si="107"/>
        <v>103.72268</v>
      </c>
      <c r="AC1058" s="1">
        <f t="shared" si="109"/>
        <v>4.646874071091967E-3</v>
      </c>
    </row>
    <row r="1059" spans="19:29" x14ac:dyDescent="0.2">
      <c r="S1059" s="4">
        <v>250.00303</v>
      </c>
      <c r="T1059" s="1">
        <v>526.5</v>
      </c>
      <c r="U1059" s="3">
        <v>97.641990000000007</v>
      </c>
      <c r="V1059" s="3">
        <f t="shared" si="106"/>
        <v>100.96568000000001</v>
      </c>
      <c r="W1059" s="1">
        <f t="shared" si="108"/>
        <v>1.1595333105946064E-2</v>
      </c>
      <c r="Y1059" s="4">
        <v>250.01569000000001</v>
      </c>
      <c r="Z1059" s="1">
        <v>526.5</v>
      </c>
      <c r="AA1059" s="3">
        <v>105.29828000000001</v>
      </c>
      <c r="AB1059" s="3">
        <f t="shared" si="107"/>
        <v>103.68926</v>
      </c>
      <c r="AC1059" s="1">
        <f t="shared" si="109"/>
        <v>4.9713184187622486E-3</v>
      </c>
    </row>
    <row r="1060" spans="19:29" x14ac:dyDescent="0.2">
      <c r="S1060" s="4">
        <v>250.00684999999999</v>
      </c>
      <c r="T1060" s="1">
        <v>527</v>
      </c>
      <c r="U1060" s="5">
        <v>97.623440000000002</v>
      </c>
      <c r="V1060" s="3">
        <f t="shared" si="106"/>
        <v>100.94713</v>
      </c>
      <c r="W1060" s="1">
        <f t="shared" si="108"/>
        <v>1.1779059011249041E-2</v>
      </c>
      <c r="Y1060" s="4">
        <v>250.01456999999999</v>
      </c>
      <c r="Z1060" s="1">
        <v>527</v>
      </c>
      <c r="AA1060" s="5">
        <v>105.29207</v>
      </c>
      <c r="AB1060" s="3">
        <f t="shared" si="107"/>
        <v>103.68304999999999</v>
      </c>
      <c r="AC1060" s="1">
        <f t="shared" si="109"/>
        <v>5.0316056539219181E-3</v>
      </c>
    </row>
    <row r="1061" spans="19:29" x14ac:dyDescent="0.2">
      <c r="S1061" s="4">
        <v>250.00498999999999</v>
      </c>
      <c r="T1061" s="1">
        <v>527.5</v>
      </c>
      <c r="U1061" s="3">
        <v>97.643709999999999</v>
      </c>
      <c r="V1061" s="3">
        <f t="shared" si="106"/>
        <v>100.9674</v>
      </c>
      <c r="W1061" s="1">
        <f t="shared" si="108"/>
        <v>1.1578297604214553E-2</v>
      </c>
      <c r="Y1061" s="4">
        <v>250.01061999999999</v>
      </c>
      <c r="Z1061" s="1">
        <v>527.5</v>
      </c>
      <c r="AA1061" s="3">
        <v>105.27213999999999</v>
      </c>
      <c r="AB1061" s="3">
        <f t="shared" si="107"/>
        <v>103.66311999999999</v>
      </c>
      <c r="AC1061" s="1">
        <f t="shared" si="109"/>
        <v>5.2250878756176355E-3</v>
      </c>
    </row>
    <row r="1062" spans="19:29" x14ac:dyDescent="0.2">
      <c r="S1062" s="4">
        <v>250.00789</v>
      </c>
      <c r="T1062" s="1">
        <v>528</v>
      </c>
      <c r="U1062" s="5">
        <v>97.608819999999994</v>
      </c>
      <c r="V1062" s="3">
        <f t="shared" si="106"/>
        <v>100.93250999999999</v>
      </c>
      <c r="W1062" s="1">
        <f t="shared" si="108"/>
        <v>1.1923860775967656E-2</v>
      </c>
      <c r="Y1062" s="4">
        <v>250.00738000000001</v>
      </c>
      <c r="Z1062" s="1">
        <v>528</v>
      </c>
      <c r="AA1062" s="5">
        <v>105.2617</v>
      </c>
      <c r="AB1062" s="3">
        <f t="shared" si="107"/>
        <v>103.65268</v>
      </c>
      <c r="AC1062" s="1">
        <f t="shared" si="109"/>
        <v>5.3264403289292684E-3</v>
      </c>
    </row>
    <row r="1063" spans="19:29" x14ac:dyDescent="0.2">
      <c r="S1063" s="4">
        <v>250.01101</v>
      </c>
      <c r="T1063" s="1">
        <v>528.5</v>
      </c>
      <c r="U1063" s="3">
        <v>97.615020000000001</v>
      </c>
      <c r="V1063" s="3">
        <f t="shared" si="106"/>
        <v>100.93871</v>
      </c>
      <c r="W1063" s="1">
        <f t="shared" si="108"/>
        <v>1.186245373484208E-2</v>
      </c>
      <c r="Y1063" s="4">
        <v>250.01288</v>
      </c>
      <c r="Z1063" s="1">
        <v>528.5</v>
      </c>
      <c r="AA1063" s="3">
        <v>105.30235999999999</v>
      </c>
      <c r="AB1063" s="3">
        <f t="shared" si="107"/>
        <v>103.69333999999999</v>
      </c>
      <c r="AC1063" s="1">
        <f t="shared" si="109"/>
        <v>4.9317094140198473E-3</v>
      </c>
    </row>
    <row r="1064" spans="19:29" x14ac:dyDescent="0.2">
      <c r="S1064" s="4">
        <v>250.00885</v>
      </c>
      <c r="T1064" s="1">
        <v>529</v>
      </c>
      <c r="U1064" s="5">
        <v>97.623400000000004</v>
      </c>
      <c r="V1064" s="3">
        <f t="shared" si="106"/>
        <v>100.94709</v>
      </c>
      <c r="W1064" s="1">
        <f t="shared" si="108"/>
        <v>1.1779455185707902E-2</v>
      </c>
      <c r="Y1064" s="4">
        <v>250.01625000000001</v>
      </c>
      <c r="Z1064" s="1">
        <v>529</v>
      </c>
      <c r="AA1064" s="5">
        <v>105.30524</v>
      </c>
      <c r="AB1064" s="3">
        <f t="shared" si="107"/>
        <v>103.69622</v>
      </c>
      <c r="AC1064" s="1">
        <f t="shared" si="109"/>
        <v>4.9037501165544936E-3</v>
      </c>
    </row>
    <row r="1065" spans="19:29" x14ac:dyDescent="0.2">
      <c r="S1065" s="4">
        <v>250.00694999999999</v>
      </c>
      <c r="T1065" s="1">
        <v>529.5</v>
      </c>
      <c r="U1065" s="3">
        <v>97.608699999999999</v>
      </c>
      <c r="V1065" s="3">
        <f t="shared" si="106"/>
        <v>100.93239</v>
      </c>
      <c r="W1065" s="1">
        <f t="shared" si="108"/>
        <v>1.1925049299344233E-2</v>
      </c>
      <c r="Y1065" s="4">
        <v>250.01412999999999</v>
      </c>
      <c r="Z1065" s="1">
        <v>529.5</v>
      </c>
      <c r="AA1065" s="3">
        <v>105.25313</v>
      </c>
      <c r="AB1065" s="3">
        <f t="shared" si="107"/>
        <v>103.64411</v>
      </c>
      <c r="AC1065" s="1">
        <f t="shared" si="109"/>
        <v>5.4096386550674148E-3</v>
      </c>
    </row>
    <row r="1066" spans="19:29" x14ac:dyDescent="0.2">
      <c r="S1066" s="4">
        <v>250.00495000000001</v>
      </c>
      <c r="T1066" s="1">
        <v>530</v>
      </c>
      <c r="U1066" s="5">
        <v>97.623189999999994</v>
      </c>
      <c r="V1066" s="3">
        <f t="shared" si="106"/>
        <v>100.94687999999999</v>
      </c>
      <c r="W1066" s="1">
        <f t="shared" si="108"/>
        <v>1.1781535101617087E-2</v>
      </c>
      <c r="Y1066" s="4">
        <v>250.00985</v>
      </c>
      <c r="Z1066" s="1">
        <v>530</v>
      </c>
      <c r="AA1066" s="5">
        <v>105.24892</v>
      </c>
      <c r="AB1066" s="3">
        <f t="shared" si="107"/>
        <v>103.6399</v>
      </c>
      <c r="AC1066" s="1">
        <f t="shared" si="109"/>
        <v>5.4505097114316385E-3</v>
      </c>
    </row>
    <row r="1067" spans="19:29" x14ac:dyDescent="0.2">
      <c r="S1067" s="4">
        <v>250.00703999999999</v>
      </c>
      <c r="T1067" s="1">
        <v>530.5</v>
      </c>
      <c r="U1067" s="3">
        <v>97.608860000000007</v>
      </c>
      <c r="V1067" s="3">
        <f t="shared" si="106"/>
        <v>100.93255000000001</v>
      </c>
      <c r="W1067" s="1">
        <f t="shared" si="108"/>
        <v>1.1923464601508657E-2</v>
      </c>
      <c r="Y1067" s="4">
        <v>250.01105000000001</v>
      </c>
      <c r="Z1067" s="1">
        <v>530.5</v>
      </c>
      <c r="AA1067" s="3">
        <v>105.39479</v>
      </c>
      <c r="AB1067" s="3">
        <f t="shared" si="107"/>
        <v>103.78577</v>
      </c>
      <c r="AC1067" s="1">
        <f t="shared" si="109"/>
        <v>4.0343907109925206E-3</v>
      </c>
    </row>
    <row r="1068" spans="19:29" x14ac:dyDescent="0.2">
      <c r="S1068" s="4">
        <v>250.00900999999999</v>
      </c>
      <c r="T1068" s="1">
        <v>531</v>
      </c>
      <c r="U1068" s="5">
        <v>97.612960000000001</v>
      </c>
      <c r="V1068" s="3">
        <f t="shared" si="106"/>
        <v>100.93665</v>
      </c>
      <c r="W1068" s="1">
        <f t="shared" si="108"/>
        <v>1.1882856719474106E-2</v>
      </c>
      <c r="Y1068" s="4">
        <v>250.01548</v>
      </c>
      <c r="Z1068" s="1">
        <v>531</v>
      </c>
      <c r="AA1068" s="5">
        <v>105.37048</v>
      </c>
      <c r="AB1068" s="3">
        <f t="shared" si="107"/>
        <v>103.76146</v>
      </c>
      <c r="AC1068" s="1">
        <f t="shared" si="109"/>
        <v>4.2703943642500393E-3</v>
      </c>
    </row>
    <row r="1069" spans="19:29" x14ac:dyDescent="0.2">
      <c r="S1069" s="4">
        <v>250.00791000000001</v>
      </c>
      <c r="T1069" s="1">
        <v>531.5</v>
      </c>
      <c r="U1069" s="3">
        <v>97.61694</v>
      </c>
      <c r="V1069" s="3">
        <f t="shared" si="106"/>
        <v>100.94063</v>
      </c>
      <c r="W1069" s="1">
        <f t="shared" si="108"/>
        <v>1.1843437360816132E-2</v>
      </c>
      <c r="Y1069" s="4">
        <v>250.01344</v>
      </c>
      <c r="Z1069" s="1">
        <v>531.5</v>
      </c>
      <c r="AA1069" s="3">
        <v>105.26828999999999</v>
      </c>
      <c r="AB1069" s="3">
        <f t="shared" si="107"/>
        <v>103.65926999999999</v>
      </c>
      <c r="AC1069" s="1">
        <f t="shared" si="109"/>
        <v>5.2624640197986901E-3</v>
      </c>
    </row>
    <row r="1070" spans="19:29" x14ac:dyDescent="0.2">
      <c r="S1070" s="4">
        <v>250.00503</v>
      </c>
      <c r="T1070" s="1">
        <v>532</v>
      </c>
      <c r="U1070" s="5">
        <v>97.618979999999993</v>
      </c>
      <c r="V1070" s="3">
        <f t="shared" si="106"/>
        <v>100.94266999999999</v>
      </c>
      <c r="W1070" s="1">
        <f t="shared" si="108"/>
        <v>1.1823232463413607E-2</v>
      </c>
      <c r="Y1070" s="4">
        <v>250.01213000000001</v>
      </c>
      <c r="Z1070" s="1">
        <v>532</v>
      </c>
      <c r="AA1070" s="5">
        <v>105.23716</v>
      </c>
      <c r="AB1070" s="3">
        <f t="shared" si="107"/>
        <v>103.62814</v>
      </c>
      <c r="AC1070" s="1">
        <f t="shared" si="109"/>
        <v>5.5646768427482715E-3</v>
      </c>
    </row>
    <row r="1071" spans="19:29" x14ac:dyDescent="0.2">
      <c r="S1071" s="4">
        <v>250.00998000000001</v>
      </c>
      <c r="T1071" s="1">
        <v>532.5</v>
      </c>
      <c r="U1071" s="3">
        <v>97.608900000000006</v>
      </c>
      <c r="V1071" s="3">
        <f t="shared" si="106"/>
        <v>100.93259</v>
      </c>
      <c r="W1071" s="1">
        <f t="shared" si="108"/>
        <v>1.1923068427049797E-2</v>
      </c>
      <c r="Y1071" s="4">
        <v>250.01358999999999</v>
      </c>
      <c r="Z1071" s="1">
        <v>532.5</v>
      </c>
      <c r="AA1071" s="3">
        <v>105.28639</v>
      </c>
      <c r="AB1071" s="3">
        <f t="shared" si="107"/>
        <v>103.67737</v>
      </c>
      <c r="AC1071" s="1">
        <f t="shared" si="109"/>
        <v>5.0867476017007031E-3</v>
      </c>
    </row>
    <row r="1072" spans="19:29" x14ac:dyDescent="0.2">
      <c r="S1072" s="4">
        <v>250.00393</v>
      </c>
      <c r="T1072" s="1">
        <v>533</v>
      </c>
      <c r="U1072" s="5">
        <v>97.613339999999994</v>
      </c>
      <c r="V1072" s="3">
        <f t="shared" si="106"/>
        <v>100.93702999999999</v>
      </c>
      <c r="W1072" s="1">
        <f t="shared" si="108"/>
        <v>1.1879093062114873E-2</v>
      </c>
      <c r="Y1072" s="4">
        <v>250.01651000000001</v>
      </c>
      <c r="Z1072" s="1">
        <v>533</v>
      </c>
      <c r="AA1072" s="5">
        <v>105.30109</v>
      </c>
      <c r="AB1072" s="3">
        <f t="shared" si="107"/>
        <v>103.69207</v>
      </c>
      <c r="AC1072" s="1">
        <f t="shared" si="109"/>
        <v>4.9440386875548095E-3</v>
      </c>
    </row>
    <row r="1073" spans="19:29" x14ac:dyDescent="0.2">
      <c r="S1073" s="4">
        <v>250.00299999999999</v>
      </c>
      <c r="T1073" s="1">
        <v>533.5</v>
      </c>
      <c r="U1073" s="3">
        <v>97.607060000000004</v>
      </c>
      <c r="V1073" s="3">
        <f t="shared" si="106"/>
        <v>100.93075</v>
      </c>
      <c r="W1073" s="1">
        <f t="shared" si="108"/>
        <v>1.1941292452158025E-2</v>
      </c>
      <c r="Y1073" s="4">
        <v>250.01461</v>
      </c>
      <c r="Z1073" s="1">
        <v>533.5</v>
      </c>
      <c r="AA1073" s="3">
        <v>105.28892</v>
      </c>
      <c r="AB1073" s="3">
        <f t="shared" si="107"/>
        <v>103.6799</v>
      </c>
      <c r="AC1073" s="1">
        <f t="shared" si="109"/>
        <v>5.0621861355245107E-3</v>
      </c>
    </row>
    <row r="1074" spans="19:29" x14ac:dyDescent="0.2">
      <c r="S1074" s="4">
        <v>250.00597999999999</v>
      </c>
      <c r="T1074" s="1">
        <v>534</v>
      </c>
      <c r="U1074" s="5">
        <v>97.618809999999996</v>
      </c>
      <c r="V1074" s="3">
        <f t="shared" si="106"/>
        <v>100.9425</v>
      </c>
      <c r="W1074" s="1">
        <f t="shared" si="108"/>
        <v>1.1824916204863794E-2</v>
      </c>
      <c r="Y1074" s="4">
        <v>250.01261</v>
      </c>
      <c r="Z1074" s="1">
        <v>534</v>
      </c>
      <c r="AA1074" s="5">
        <v>105.28874999999999</v>
      </c>
      <c r="AB1074" s="3">
        <f t="shared" si="107"/>
        <v>103.67972999999999</v>
      </c>
      <c r="AC1074" s="1">
        <f t="shared" si="109"/>
        <v>5.0638365107222262E-3</v>
      </c>
    </row>
    <row r="1075" spans="19:29" x14ac:dyDescent="0.2">
      <c r="S1075" s="4">
        <v>250.00692000000001</v>
      </c>
      <c r="T1075" s="1">
        <v>534.5</v>
      </c>
      <c r="U1075" s="3">
        <v>97.61739</v>
      </c>
      <c r="V1075" s="3">
        <f t="shared" si="106"/>
        <v>100.94108</v>
      </c>
      <c r="W1075" s="1">
        <f t="shared" si="108"/>
        <v>1.183898039815379E-2</v>
      </c>
      <c r="Y1075" s="4">
        <v>250.01226</v>
      </c>
      <c r="Z1075" s="1">
        <v>534.5</v>
      </c>
      <c r="AA1075" s="3">
        <v>105.38097</v>
      </c>
      <c r="AB1075" s="3">
        <f t="shared" si="107"/>
        <v>103.77195</v>
      </c>
      <c r="AC1075" s="1">
        <f t="shared" si="109"/>
        <v>4.1685565064683685E-3</v>
      </c>
    </row>
    <row r="1076" spans="19:29" x14ac:dyDescent="0.2">
      <c r="S1076" s="4">
        <v>250.00998000000001</v>
      </c>
      <c r="T1076" s="1">
        <v>535</v>
      </c>
      <c r="U1076" s="5">
        <v>97.629239999999996</v>
      </c>
      <c r="V1076" s="3">
        <f t="shared" si="106"/>
        <v>100.95292999999999</v>
      </c>
      <c r="W1076" s="1">
        <f t="shared" si="108"/>
        <v>1.172161371471234E-2</v>
      </c>
      <c r="Y1076" s="4">
        <v>250.01446999999999</v>
      </c>
      <c r="Z1076" s="1">
        <v>535</v>
      </c>
      <c r="AA1076" s="5">
        <v>105.21978</v>
      </c>
      <c r="AB1076" s="3">
        <f t="shared" si="107"/>
        <v>103.61076</v>
      </c>
      <c r="AC1076" s="1">
        <f t="shared" si="109"/>
        <v>5.7334034364799197E-3</v>
      </c>
    </row>
    <row r="1077" spans="19:29" x14ac:dyDescent="0.2">
      <c r="S1077" s="4">
        <v>250.00903</v>
      </c>
      <c r="T1077" s="1">
        <v>535.5</v>
      </c>
      <c r="U1077" s="3">
        <v>97.635800000000003</v>
      </c>
      <c r="V1077" s="3">
        <f t="shared" si="106"/>
        <v>100.95949</v>
      </c>
      <c r="W1077" s="1">
        <f t="shared" si="108"/>
        <v>1.1656641103456889E-2</v>
      </c>
      <c r="Y1077" s="4">
        <v>250.0145</v>
      </c>
      <c r="Z1077" s="1">
        <v>535.5</v>
      </c>
      <c r="AA1077" s="3">
        <v>105.28664999999999</v>
      </c>
      <c r="AB1077" s="3">
        <f t="shared" si="107"/>
        <v>103.67762999999999</v>
      </c>
      <c r="AC1077" s="1">
        <f t="shared" si="109"/>
        <v>5.0842234984573341E-3</v>
      </c>
    </row>
    <row r="1078" spans="19:29" x14ac:dyDescent="0.2">
      <c r="S1078" s="4">
        <v>250.00998999999999</v>
      </c>
      <c r="T1078" s="1">
        <v>536</v>
      </c>
      <c r="U1078" s="5">
        <v>97.615359999999995</v>
      </c>
      <c r="V1078" s="3">
        <f t="shared" si="106"/>
        <v>100.93904999999999</v>
      </c>
      <c r="W1078" s="1">
        <f t="shared" si="108"/>
        <v>1.1859086251941707E-2</v>
      </c>
      <c r="Y1078" s="4">
        <v>250.01927000000001</v>
      </c>
      <c r="Z1078" s="1">
        <v>536</v>
      </c>
      <c r="AA1078" s="5">
        <v>105.24445</v>
      </c>
      <c r="AB1078" s="3">
        <f t="shared" si="107"/>
        <v>103.63543</v>
      </c>
      <c r="AC1078" s="1">
        <f t="shared" si="109"/>
        <v>5.493904871039232E-3</v>
      </c>
    </row>
    <row r="1079" spans="19:29" x14ac:dyDescent="0.2">
      <c r="S1079" s="4">
        <v>250.00295</v>
      </c>
      <c r="T1079" s="1">
        <v>536.5</v>
      </c>
      <c r="U1079" s="3">
        <v>97.604640000000003</v>
      </c>
      <c r="V1079" s="3">
        <f t="shared" si="106"/>
        <v>100.92833</v>
      </c>
      <c r="W1079" s="1">
        <f t="shared" si="108"/>
        <v>1.1965261006919926E-2</v>
      </c>
      <c r="Y1079" s="4">
        <v>250.02065999999999</v>
      </c>
      <c r="Z1079" s="1">
        <v>536.5</v>
      </c>
      <c r="AA1079" s="3">
        <v>105.32097</v>
      </c>
      <c r="AB1079" s="3">
        <f t="shared" si="107"/>
        <v>103.71195</v>
      </c>
      <c r="AC1079" s="1">
        <f t="shared" si="109"/>
        <v>4.7510418703289913E-3</v>
      </c>
    </row>
    <row r="1080" spans="19:29" x14ac:dyDescent="0.2">
      <c r="S1080" s="4">
        <v>250.00296</v>
      </c>
      <c r="T1080" s="1">
        <v>537</v>
      </c>
      <c r="U1080" s="5">
        <v>97.610420000000005</v>
      </c>
      <c r="V1080" s="3">
        <f t="shared" si="106"/>
        <v>100.93411</v>
      </c>
      <c r="W1080" s="1">
        <f t="shared" si="108"/>
        <v>1.1908013797612582E-2</v>
      </c>
      <c r="Y1080" s="4">
        <v>250.02676</v>
      </c>
      <c r="Z1080" s="1">
        <v>537</v>
      </c>
      <c r="AA1080" s="5">
        <v>105.26588</v>
      </c>
      <c r="AB1080" s="3">
        <f t="shared" si="107"/>
        <v>103.65685999999999</v>
      </c>
      <c r="AC1080" s="1">
        <f t="shared" si="109"/>
        <v>5.2858605152470671E-3</v>
      </c>
    </row>
    <row r="1081" spans="19:29" x14ac:dyDescent="0.2">
      <c r="S1081" s="4">
        <v>250.00390999999999</v>
      </c>
      <c r="T1081" s="1">
        <v>537.5</v>
      </c>
      <c r="U1081" s="3">
        <v>97.611170000000001</v>
      </c>
      <c r="V1081" s="3">
        <f t="shared" si="106"/>
        <v>100.93486</v>
      </c>
      <c r="W1081" s="1">
        <f t="shared" si="108"/>
        <v>1.1900585526508725E-2</v>
      </c>
      <c r="Y1081" s="4">
        <v>250.0309</v>
      </c>
      <c r="Z1081" s="1">
        <v>537.5</v>
      </c>
      <c r="AA1081" s="3">
        <v>105.36029000000001</v>
      </c>
      <c r="AB1081" s="3">
        <f t="shared" si="107"/>
        <v>103.75127000000001</v>
      </c>
      <c r="AC1081" s="1">
        <f t="shared" si="109"/>
        <v>4.36931979521231E-3</v>
      </c>
    </row>
    <row r="1082" spans="19:29" x14ac:dyDescent="0.2">
      <c r="S1082" s="4">
        <v>250.00117</v>
      </c>
      <c r="T1082" s="1">
        <v>538</v>
      </c>
      <c r="U1082" s="5">
        <v>97.611440000000002</v>
      </c>
      <c r="V1082" s="3">
        <f t="shared" si="106"/>
        <v>100.93513</v>
      </c>
      <c r="W1082" s="1">
        <f t="shared" si="108"/>
        <v>1.1897911348911321E-2</v>
      </c>
      <c r="Y1082" s="4">
        <v>250.02787000000001</v>
      </c>
      <c r="Z1082" s="1">
        <v>538</v>
      </c>
      <c r="AA1082" s="5">
        <v>105.47797</v>
      </c>
      <c r="AB1082" s="3">
        <f t="shared" si="107"/>
        <v>103.86895</v>
      </c>
      <c r="AC1082" s="1">
        <f t="shared" si="109"/>
        <v>3.2268718348937874E-3</v>
      </c>
    </row>
    <row r="1083" spans="19:29" x14ac:dyDescent="0.2">
      <c r="S1083" s="4">
        <v>250.00800000000001</v>
      </c>
      <c r="T1083" s="1">
        <v>538.5</v>
      </c>
      <c r="U1083" s="3">
        <v>97.629469999999998</v>
      </c>
      <c r="V1083" s="3">
        <f t="shared" si="106"/>
        <v>100.95316</v>
      </c>
      <c r="W1083" s="1">
        <f t="shared" si="108"/>
        <v>1.1719335711573794E-2</v>
      </c>
      <c r="Y1083" s="4">
        <v>250.02413000000001</v>
      </c>
      <c r="Z1083" s="1">
        <v>538.5</v>
      </c>
      <c r="AA1083" s="3">
        <v>105.2803</v>
      </c>
      <c r="AB1083" s="3">
        <f t="shared" si="107"/>
        <v>103.67128</v>
      </c>
      <c r="AC1083" s="1">
        <f t="shared" si="109"/>
        <v>5.145869866132558E-3</v>
      </c>
    </row>
    <row r="1084" spans="19:29" x14ac:dyDescent="0.2">
      <c r="S1084" s="4">
        <v>250.00711000000001</v>
      </c>
      <c r="T1084" s="1">
        <v>539</v>
      </c>
      <c r="U1084" s="5">
        <v>97.638199999999998</v>
      </c>
      <c r="V1084" s="3">
        <f t="shared" si="106"/>
        <v>100.96189</v>
      </c>
      <c r="W1084" s="1">
        <f t="shared" si="108"/>
        <v>1.163287063592449E-2</v>
      </c>
      <c r="Y1084" s="4">
        <v>250.02148</v>
      </c>
      <c r="Z1084" s="1">
        <v>539</v>
      </c>
      <c r="AA1084" s="5">
        <v>105.30932</v>
      </c>
      <c r="AB1084" s="3">
        <f t="shared" si="107"/>
        <v>103.7003</v>
      </c>
      <c r="AC1084" s="1">
        <f t="shared" si="109"/>
        <v>4.8641411118119544E-3</v>
      </c>
    </row>
    <row r="1085" spans="19:29" x14ac:dyDescent="0.2">
      <c r="S1085" s="4">
        <v>250.00606999999999</v>
      </c>
      <c r="T1085" s="1">
        <v>539.5</v>
      </c>
      <c r="U1085" s="3">
        <v>97.619349999999997</v>
      </c>
      <c r="V1085" s="3">
        <f t="shared" si="106"/>
        <v>100.94304</v>
      </c>
      <c r="W1085" s="1">
        <f t="shared" si="108"/>
        <v>1.1819567849668984E-2</v>
      </c>
      <c r="Y1085" s="4">
        <v>250.02267000000001</v>
      </c>
      <c r="Z1085" s="1">
        <v>539.5</v>
      </c>
      <c r="AA1085" s="3">
        <v>105.19795999999999</v>
      </c>
      <c r="AB1085" s="3">
        <f t="shared" si="107"/>
        <v>103.58893999999999</v>
      </c>
      <c r="AC1085" s="1">
        <f t="shared" si="109"/>
        <v>5.945233947137276E-3</v>
      </c>
    </row>
    <row r="1086" spans="19:29" x14ac:dyDescent="0.2">
      <c r="S1086" s="4">
        <v>250.00403</v>
      </c>
      <c r="T1086" s="1">
        <v>540</v>
      </c>
      <c r="U1086" s="5">
        <v>97.608220000000003</v>
      </c>
      <c r="V1086" s="3">
        <f t="shared" si="106"/>
        <v>100.93191</v>
      </c>
      <c r="W1086" s="1">
        <f t="shared" si="108"/>
        <v>1.1929803392850685E-2</v>
      </c>
      <c r="Y1086" s="4">
        <v>250.02457000000001</v>
      </c>
      <c r="Z1086" s="1">
        <v>540</v>
      </c>
      <c r="AA1086" s="5">
        <v>105.29427</v>
      </c>
      <c r="AB1086" s="3">
        <f t="shared" si="107"/>
        <v>103.68525</v>
      </c>
      <c r="AC1086" s="1">
        <f t="shared" si="109"/>
        <v>5.0102478572470101E-3</v>
      </c>
    </row>
    <row r="1087" spans="19:29" x14ac:dyDescent="0.2">
      <c r="S1087" s="4">
        <v>250.00604999999999</v>
      </c>
      <c r="T1087" s="1">
        <v>540.5</v>
      </c>
      <c r="U1087" s="3">
        <v>97.621260000000007</v>
      </c>
      <c r="V1087" s="3">
        <f t="shared" si="106"/>
        <v>100.94495000000001</v>
      </c>
      <c r="W1087" s="1">
        <f t="shared" si="108"/>
        <v>1.1800650519257645E-2</v>
      </c>
      <c r="Y1087" s="4">
        <v>250.0205</v>
      </c>
      <c r="Z1087" s="1">
        <v>540.5</v>
      </c>
      <c r="AA1087" s="3">
        <v>105.33544000000001</v>
      </c>
      <c r="AB1087" s="3">
        <f t="shared" si="107"/>
        <v>103.72642</v>
      </c>
      <c r="AC1087" s="1">
        <f t="shared" si="109"/>
        <v>4.6105658167445822E-3</v>
      </c>
    </row>
    <row r="1088" spans="19:29" x14ac:dyDescent="0.2">
      <c r="S1088" s="4">
        <v>250.00899999999999</v>
      </c>
      <c r="T1088" s="1">
        <v>541</v>
      </c>
      <c r="U1088" s="5">
        <v>97.629720000000006</v>
      </c>
      <c r="V1088" s="3">
        <f t="shared" si="106"/>
        <v>100.95341000000001</v>
      </c>
      <c r="W1088" s="1">
        <f t="shared" si="108"/>
        <v>1.1716859621205748E-2</v>
      </c>
      <c r="Y1088" s="4">
        <v>250.01940999999999</v>
      </c>
      <c r="Z1088" s="1">
        <v>541</v>
      </c>
      <c r="AA1088" s="5">
        <v>105.26846999999999</v>
      </c>
      <c r="AB1088" s="3">
        <f t="shared" si="107"/>
        <v>103.65944999999999</v>
      </c>
      <c r="AC1088" s="1">
        <f t="shared" si="109"/>
        <v>5.2607165637071057E-3</v>
      </c>
    </row>
    <row r="1089" spans="19:29" x14ac:dyDescent="0.2">
      <c r="S1089" s="4">
        <v>250.00894</v>
      </c>
      <c r="T1089" s="1">
        <v>541.5</v>
      </c>
      <c r="U1089" s="3">
        <v>97.639889999999994</v>
      </c>
      <c r="V1089" s="3">
        <f t="shared" si="106"/>
        <v>100.96357999999999</v>
      </c>
      <c r="W1089" s="1">
        <f t="shared" si="108"/>
        <v>1.1616132265037089E-2</v>
      </c>
      <c r="Y1089" s="4">
        <v>250.01940999999999</v>
      </c>
      <c r="Z1089" s="1">
        <v>541.5</v>
      </c>
      <c r="AA1089" s="3">
        <v>105.20871</v>
      </c>
      <c r="AB1089" s="3">
        <f t="shared" si="107"/>
        <v>103.59969</v>
      </c>
      <c r="AC1089" s="1">
        <f t="shared" si="109"/>
        <v>5.8408719861122362E-3</v>
      </c>
    </row>
    <row r="1090" spans="19:29" x14ac:dyDescent="0.2">
      <c r="S1090" s="4">
        <v>250.00698</v>
      </c>
      <c r="T1090" s="1">
        <v>542</v>
      </c>
      <c r="U1090" s="5">
        <v>97.635720000000006</v>
      </c>
      <c r="V1090" s="3">
        <f t="shared" si="106"/>
        <v>100.95941000000001</v>
      </c>
      <c r="W1090" s="1">
        <f t="shared" si="108"/>
        <v>1.1657433452374608E-2</v>
      </c>
      <c r="Y1090" s="4">
        <v>250.02062000000001</v>
      </c>
      <c r="Z1090" s="1">
        <v>542</v>
      </c>
      <c r="AA1090" s="5">
        <v>105.22761</v>
      </c>
      <c r="AB1090" s="3">
        <f t="shared" si="107"/>
        <v>103.61859</v>
      </c>
      <c r="AC1090" s="1">
        <f t="shared" si="109"/>
        <v>5.6573890964961258E-3</v>
      </c>
    </row>
    <row r="1091" spans="19:29" x14ac:dyDescent="0.2">
      <c r="S1091" s="4">
        <v>250.00703999999999</v>
      </c>
      <c r="T1091" s="1">
        <v>542.5</v>
      </c>
      <c r="U1091" s="3">
        <v>97.641810000000007</v>
      </c>
      <c r="V1091" s="3">
        <f t="shared" si="106"/>
        <v>100.96550000000001</v>
      </c>
      <c r="W1091" s="1">
        <f t="shared" si="108"/>
        <v>1.1597115891011001E-2</v>
      </c>
      <c r="Y1091" s="4">
        <v>250.01902999999999</v>
      </c>
      <c r="Z1091" s="1">
        <v>542.5</v>
      </c>
      <c r="AA1091" s="3">
        <v>105.3562</v>
      </c>
      <c r="AB1091" s="3">
        <f t="shared" si="107"/>
        <v>103.74718</v>
      </c>
      <c r="AC1091" s="1">
        <f t="shared" si="109"/>
        <v>4.4090258808488561E-3</v>
      </c>
    </row>
    <row r="1092" spans="19:29" x14ac:dyDescent="0.2">
      <c r="S1092" s="4">
        <v>250.0069</v>
      </c>
      <c r="T1092" s="1">
        <v>543</v>
      </c>
      <c r="U1092" s="5">
        <v>97.633719999999997</v>
      </c>
      <c r="V1092" s="3">
        <f t="shared" si="106"/>
        <v>100.95741</v>
      </c>
      <c r="W1092" s="1">
        <f t="shared" si="108"/>
        <v>1.1677242175318415E-2</v>
      </c>
      <c r="Y1092" s="4">
        <v>250.01813000000001</v>
      </c>
      <c r="Z1092" s="1">
        <v>543</v>
      </c>
      <c r="AA1092" s="5">
        <v>105.14803999999999</v>
      </c>
      <c r="AB1092" s="3">
        <f t="shared" si="107"/>
        <v>103.53901999999999</v>
      </c>
      <c r="AC1092" s="1">
        <f t="shared" si="109"/>
        <v>6.429861769869297E-3</v>
      </c>
    </row>
    <row r="1093" spans="19:29" x14ac:dyDescent="0.2">
      <c r="S1093" s="4">
        <v>250.00397000000001</v>
      </c>
      <c r="T1093" s="1">
        <v>543.5</v>
      </c>
      <c r="U1093" s="3">
        <v>97.648169999999993</v>
      </c>
      <c r="V1093" s="3">
        <f t="shared" si="106"/>
        <v>100.97185999999999</v>
      </c>
      <c r="W1093" s="1">
        <f t="shared" si="108"/>
        <v>1.1534124152050127E-2</v>
      </c>
      <c r="Y1093" s="4">
        <v>250.01607000000001</v>
      </c>
      <c r="Z1093" s="1">
        <v>543.5</v>
      </c>
      <c r="AA1093" s="3">
        <v>105.30396</v>
      </c>
      <c r="AB1093" s="3">
        <f t="shared" si="107"/>
        <v>103.69494</v>
      </c>
      <c r="AC1093" s="1">
        <f t="shared" si="109"/>
        <v>4.9161764709834627E-3</v>
      </c>
    </row>
    <row r="1094" spans="19:29" x14ac:dyDescent="0.2">
      <c r="S1094" s="4">
        <v>250.00201999999999</v>
      </c>
      <c r="T1094" s="1">
        <v>544</v>
      </c>
      <c r="U1094" s="5">
        <v>97.631159999999994</v>
      </c>
      <c r="V1094" s="3">
        <f t="shared" si="106"/>
        <v>100.95484999999999</v>
      </c>
      <c r="W1094" s="1">
        <f t="shared" si="108"/>
        <v>1.1702597340686393E-2</v>
      </c>
      <c r="Y1094" s="4">
        <v>250.01281</v>
      </c>
      <c r="Z1094" s="1">
        <v>544</v>
      </c>
      <c r="AA1094" s="5">
        <v>105.26197999999999</v>
      </c>
      <c r="AB1094" s="3">
        <f t="shared" si="107"/>
        <v>103.65295999999999</v>
      </c>
      <c r="AC1094" s="1">
        <f t="shared" si="109"/>
        <v>5.3237220638980218E-3</v>
      </c>
    </row>
    <row r="1095" spans="19:29" x14ac:dyDescent="0.2">
      <c r="S1095" s="4">
        <v>250.00301999999999</v>
      </c>
      <c r="T1095" s="1">
        <v>544.5</v>
      </c>
      <c r="U1095" s="3">
        <v>97.646109999999993</v>
      </c>
      <c r="V1095" s="3">
        <f t="shared" ref="V1095:V1158" si="110">100-($U$6-U1095)</f>
        <v>100.96979999999999</v>
      </c>
      <c r="W1095" s="1">
        <f t="shared" si="108"/>
        <v>1.1554527136682154E-2</v>
      </c>
      <c r="Y1095" s="4">
        <v>250.01549</v>
      </c>
      <c r="Z1095" s="1">
        <v>544.5</v>
      </c>
      <c r="AA1095" s="3">
        <v>105.29159</v>
      </c>
      <c r="AB1095" s="3">
        <f t="shared" ref="AB1095:AB1158" si="111">100-($AA$6-AA1095)</f>
        <v>103.68257</v>
      </c>
      <c r="AC1095" s="1">
        <f t="shared" si="109"/>
        <v>5.0362655368327647E-3</v>
      </c>
    </row>
    <row r="1096" spans="19:29" x14ac:dyDescent="0.2">
      <c r="S1096" s="4">
        <v>250.00503</v>
      </c>
      <c r="T1096" s="1">
        <v>545</v>
      </c>
      <c r="U1096" s="5">
        <v>97.63937</v>
      </c>
      <c r="V1096" s="3">
        <f t="shared" si="110"/>
        <v>100.96306</v>
      </c>
      <c r="W1096" s="1">
        <f t="shared" ref="W1096:W1159" si="112">($V$199-V1096)/($V$199*(1-$H$1))</f>
        <v>1.1621282533002399E-2</v>
      </c>
      <c r="Y1096" s="4">
        <v>250.01991000000001</v>
      </c>
      <c r="Z1096" s="1">
        <v>545</v>
      </c>
      <c r="AA1096" s="5">
        <v>105.29353999999999</v>
      </c>
      <c r="AB1096" s="3">
        <f t="shared" si="111"/>
        <v>103.68451999999999</v>
      </c>
      <c r="AC1096" s="1">
        <f t="shared" si="109"/>
        <v>5.0173347625073559E-3</v>
      </c>
    </row>
    <row r="1097" spans="19:29" x14ac:dyDescent="0.2">
      <c r="S1097" s="4">
        <v>250.00407000000001</v>
      </c>
      <c r="T1097" s="1">
        <v>545.5</v>
      </c>
      <c r="U1097" s="3">
        <v>97.652119999999996</v>
      </c>
      <c r="V1097" s="3">
        <f t="shared" si="110"/>
        <v>100.97581</v>
      </c>
      <c r="W1097" s="1">
        <f t="shared" si="112"/>
        <v>1.1495001924236265E-2</v>
      </c>
      <c r="Y1097" s="4">
        <v>250.01828</v>
      </c>
      <c r="Z1097" s="1">
        <v>545.5</v>
      </c>
      <c r="AA1097" s="3">
        <v>105.22631</v>
      </c>
      <c r="AB1097" s="3">
        <f t="shared" si="111"/>
        <v>103.61729</v>
      </c>
      <c r="AC1097" s="1">
        <f t="shared" si="109"/>
        <v>5.6700096127131104E-3</v>
      </c>
    </row>
    <row r="1098" spans="19:29" x14ac:dyDescent="0.2">
      <c r="S1098" s="4">
        <v>250.005</v>
      </c>
      <c r="T1098" s="1">
        <v>546</v>
      </c>
      <c r="U1098" s="5">
        <v>97.660640000000001</v>
      </c>
      <c r="V1098" s="3">
        <f t="shared" si="110"/>
        <v>100.98433</v>
      </c>
      <c r="W1098" s="1">
        <f t="shared" si="112"/>
        <v>1.1410616764496007E-2</v>
      </c>
      <c r="Y1098" s="4">
        <v>250.01661999999999</v>
      </c>
      <c r="Z1098" s="1">
        <v>546</v>
      </c>
      <c r="AA1098" s="5">
        <v>105.31037999999999</v>
      </c>
      <c r="AB1098" s="3">
        <f t="shared" si="111"/>
        <v>103.70135999999999</v>
      </c>
      <c r="AC1098" s="1">
        <f t="shared" si="109"/>
        <v>4.8538505370504621E-3</v>
      </c>
    </row>
    <row r="1099" spans="19:29" x14ac:dyDescent="0.2">
      <c r="S1099" s="4">
        <v>250.00409999999999</v>
      </c>
      <c r="T1099" s="1">
        <v>546.5</v>
      </c>
      <c r="U1099" s="3">
        <v>97.64188</v>
      </c>
      <c r="V1099" s="3">
        <f t="shared" si="110"/>
        <v>100.96557</v>
      </c>
      <c r="W1099" s="1">
        <f t="shared" si="112"/>
        <v>1.1596422585708033E-2</v>
      </c>
      <c r="Y1099" s="4">
        <v>250.01607000000001</v>
      </c>
      <c r="Z1099" s="1">
        <v>546.5</v>
      </c>
      <c r="AA1099" s="3">
        <v>105.31935</v>
      </c>
      <c r="AB1099" s="3">
        <f t="shared" si="111"/>
        <v>103.71033</v>
      </c>
      <c r="AC1099" s="1">
        <f t="shared" si="109"/>
        <v>4.7667689751532535E-3</v>
      </c>
    </row>
    <row r="1100" spans="19:29" x14ac:dyDescent="0.2">
      <c r="S1100" s="4">
        <v>250.00503</v>
      </c>
      <c r="T1100" s="1">
        <v>547</v>
      </c>
      <c r="U1100" s="5">
        <v>97.637540000000001</v>
      </c>
      <c r="V1100" s="3">
        <f t="shared" si="110"/>
        <v>100.96123</v>
      </c>
      <c r="W1100" s="1">
        <f t="shared" si="112"/>
        <v>1.1639407514495879E-2</v>
      </c>
      <c r="Y1100" s="4">
        <v>250.01224999999999</v>
      </c>
      <c r="Z1100" s="1">
        <v>547</v>
      </c>
      <c r="AA1100" s="5">
        <v>105.25051999999999</v>
      </c>
      <c r="AB1100" s="3">
        <f t="shared" si="111"/>
        <v>103.64149999999999</v>
      </c>
      <c r="AC1100" s="1">
        <f t="shared" si="109"/>
        <v>5.4349767683953927E-3</v>
      </c>
    </row>
    <row r="1101" spans="19:29" x14ac:dyDescent="0.2">
      <c r="S1101" s="4">
        <v>250.00905</v>
      </c>
      <c r="T1101" s="1">
        <v>547.5</v>
      </c>
      <c r="U1101" s="3">
        <v>97.662379999999999</v>
      </c>
      <c r="V1101" s="3">
        <f t="shared" si="110"/>
        <v>100.98607</v>
      </c>
      <c r="W1101" s="1">
        <f t="shared" si="112"/>
        <v>1.1393383175534996E-2</v>
      </c>
      <c r="Y1101" s="4">
        <v>250.01276999999999</v>
      </c>
      <c r="Z1101" s="1">
        <v>547.5</v>
      </c>
      <c r="AA1101" s="3">
        <v>105.22327</v>
      </c>
      <c r="AB1101" s="3">
        <f t="shared" si="111"/>
        <v>103.61425</v>
      </c>
      <c r="AC1101" s="1">
        <f t="shared" si="109"/>
        <v>5.699522204482034E-3</v>
      </c>
    </row>
    <row r="1102" spans="19:29" x14ac:dyDescent="0.2">
      <c r="S1102" s="4">
        <v>250.00202999999999</v>
      </c>
      <c r="T1102" s="1">
        <v>548</v>
      </c>
      <c r="U1102" s="5">
        <v>97.66901</v>
      </c>
      <c r="V1102" s="3">
        <f t="shared" si="110"/>
        <v>100.9927</v>
      </c>
      <c r="W1102" s="1">
        <f t="shared" si="112"/>
        <v>1.1327717258976577E-2</v>
      </c>
      <c r="Y1102" s="4">
        <v>250.01643999999999</v>
      </c>
      <c r="Z1102" s="1">
        <v>548</v>
      </c>
      <c r="AA1102" s="5">
        <v>105.33754999999999</v>
      </c>
      <c r="AB1102" s="3">
        <f t="shared" si="111"/>
        <v>103.72852999999999</v>
      </c>
      <c r="AC1102" s="1">
        <f t="shared" si="109"/>
        <v>4.5900817481156044E-3</v>
      </c>
    </row>
    <row r="1103" spans="19:29" x14ac:dyDescent="0.2">
      <c r="S1103" s="4">
        <v>250.00597999999999</v>
      </c>
      <c r="T1103" s="1">
        <v>548.5</v>
      </c>
      <c r="U1103" s="3">
        <v>97.668940000000006</v>
      </c>
      <c r="V1103" s="3">
        <f t="shared" si="110"/>
        <v>100.99263000000001</v>
      </c>
      <c r="W1103" s="1">
        <f t="shared" si="112"/>
        <v>1.1328410564279547E-2</v>
      </c>
      <c r="Y1103" s="4">
        <v>250.01952</v>
      </c>
      <c r="Z1103" s="1">
        <v>548.5</v>
      </c>
      <c r="AA1103" s="3">
        <v>105.24974</v>
      </c>
      <c r="AB1103" s="3">
        <f t="shared" si="111"/>
        <v>103.64072</v>
      </c>
      <c r="AC1103" s="1">
        <f t="shared" si="109"/>
        <v>5.4425490781255005E-3</v>
      </c>
    </row>
    <row r="1104" spans="19:29" x14ac:dyDescent="0.2">
      <c r="S1104" s="4">
        <v>250.00307000000001</v>
      </c>
      <c r="T1104" s="1">
        <v>549</v>
      </c>
      <c r="U1104" s="5">
        <v>97.662959999999998</v>
      </c>
      <c r="V1104" s="3">
        <f t="shared" si="110"/>
        <v>100.98665</v>
      </c>
      <c r="W1104" s="1">
        <f t="shared" si="112"/>
        <v>1.1387638645881326E-2</v>
      </c>
      <c r="Y1104" s="4">
        <v>250.01764</v>
      </c>
      <c r="Z1104" s="1">
        <v>549</v>
      </c>
      <c r="AA1104" s="5">
        <v>105.22721</v>
      </c>
      <c r="AB1104" s="3">
        <f t="shared" si="111"/>
        <v>103.61819</v>
      </c>
      <c r="AC1104" s="1">
        <f t="shared" si="109"/>
        <v>5.661272332255188E-3</v>
      </c>
    </row>
    <row r="1105" spans="19:29" x14ac:dyDescent="0.2">
      <c r="S1105" s="4">
        <v>250.00502</v>
      </c>
      <c r="T1105" s="1">
        <v>549.5</v>
      </c>
      <c r="U1105" s="3">
        <v>97.662289999999999</v>
      </c>
      <c r="V1105" s="3">
        <f t="shared" si="110"/>
        <v>100.98598</v>
      </c>
      <c r="W1105" s="1">
        <f t="shared" si="112"/>
        <v>1.1394274568067466E-2</v>
      </c>
      <c r="Y1105" s="4">
        <v>250.01373000000001</v>
      </c>
      <c r="Z1105" s="1">
        <v>549.5</v>
      </c>
      <c r="AA1105" s="3">
        <v>105.34326</v>
      </c>
      <c r="AB1105" s="3">
        <f t="shared" si="111"/>
        <v>103.73424</v>
      </c>
      <c r="AC1105" s="1">
        <f t="shared" si="109"/>
        <v>4.5346485576547961E-3</v>
      </c>
    </row>
    <row r="1106" spans="19:29" x14ac:dyDescent="0.2">
      <c r="S1106" s="4">
        <v>250.00985</v>
      </c>
      <c r="T1106" s="1">
        <v>550</v>
      </c>
      <c r="U1106" s="5">
        <v>97.647959999999998</v>
      </c>
      <c r="V1106" s="3">
        <f t="shared" si="110"/>
        <v>100.97165</v>
      </c>
      <c r="W1106" s="1">
        <f t="shared" si="112"/>
        <v>1.1536204067959174E-2</v>
      </c>
      <c r="Y1106" s="4">
        <v>250.01559</v>
      </c>
      <c r="Z1106" s="1">
        <v>550</v>
      </c>
      <c r="AA1106" s="5">
        <v>105.21723</v>
      </c>
      <c r="AB1106" s="3">
        <f t="shared" si="111"/>
        <v>103.60821</v>
      </c>
      <c r="AC1106" s="1">
        <f t="shared" si="109"/>
        <v>5.7581590644439889E-3</v>
      </c>
    </row>
    <row r="1107" spans="19:29" x14ac:dyDescent="0.2">
      <c r="S1107" s="4">
        <v>250.00107</v>
      </c>
      <c r="T1107" s="1">
        <v>550.5</v>
      </c>
      <c r="U1107" s="3">
        <v>97.652259999999998</v>
      </c>
      <c r="V1107" s="3">
        <f t="shared" si="110"/>
        <v>100.97595</v>
      </c>
      <c r="W1107" s="1">
        <f t="shared" si="112"/>
        <v>1.1493615313630186E-2</v>
      </c>
      <c r="Y1107" s="4">
        <v>250.01638</v>
      </c>
      <c r="Z1107" s="1">
        <v>550.5</v>
      </c>
      <c r="AA1107" s="3">
        <v>105.19580000000001</v>
      </c>
      <c r="AB1107" s="3">
        <f t="shared" si="111"/>
        <v>103.58678</v>
      </c>
      <c r="AC1107" s="1">
        <f t="shared" si="109"/>
        <v>5.966203420236153E-3</v>
      </c>
    </row>
    <row r="1108" spans="19:29" x14ac:dyDescent="0.2">
      <c r="S1108" s="4">
        <v>250.00200000000001</v>
      </c>
      <c r="T1108" s="1">
        <v>551</v>
      </c>
      <c r="U1108" s="5">
        <v>97.654439999999994</v>
      </c>
      <c r="V1108" s="3">
        <f t="shared" si="110"/>
        <v>100.97812999999999</v>
      </c>
      <c r="W1108" s="1">
        <f t="shared" si="112"/>
        <v>1.1472023805621583E-2</v>
      </c>
      <c r="Y1108" s="4">
        <v>250.01375999999999</v>
      </c>
      <c r="Z1108" s="1">
        <v>551</v>
      </c>
      <c r="AA1108" s="5">
        <v>105.28377999999999</v>
      </c>
      <c r="AB1108" s="3">
        <f t="shared" si="111"/>
        <v>103.67475999999999</v>
      </c>
      <c r="AC1108" s="1">
        <f t="shared" si="109"/>
        <v>5.1120857150286801E-3</v>
      </c>
    </row>
    <row r="1109" spans="19:29" x14ac:dyDescent="0.2">
      <c r="S1109" s="4">
        <v>250.00491</v>
      </c>
      <c r="T1109" s="1">
        <v>551.5</v>
      </c>
      <c r="U1109" s="3">
        <v>97.648259999999993</v>
      </c>
      <c r="V1109" s="3">
        <f t="shared" si="110"/>
        <v>100.97194999999999</v>
      </c>
      <c r="W1109" s="1">
        <f t="shared" si="112"/>
        <v>1.153323275951766E-2</v>
      </c>
      <c r="Y1109" s="4">
        <v>250.01223999999999</v>
      </c>
      <c r="Z1109" s="1">
        <v>551.5</v>
      </c>
      <c r="AA1109" s="3">
        <v>105.21731</v>
      </c>
      <c r="AB1109" s="3">
        <f t="shared" si="111"/>
        <v>103.60829</v>
      </c>
      <c r="AC1109" s="1">
        <f t="shared" si="109"/>
        <v>5.7573824172922044E-3</v>
      </c>
    </row>
    <row r="1110" spans="19:29" x14ac:dyDescent="0.2">
      <c r="S1110" s="4">
        <v>250.00699</v>
      </c>
      <c r="T1110" s="1">
        <v>552</v>
      </c>
      <c r="U1110" s="5">
        <v>97.674760000000006</v>
      </c>
      <c r="V1110" s="3">
        <f t="shared" si="110"/>
        <v>100.99845000000001</v>
      </c>
      <c r="W1110" s="1">
        <f t="shared" si="112"/>
        <v>1.1270767180513345E-2</v>
      </c>
      <c r="Y1110" s="4">
        <v>250.01218</v>
      </c>
      <c r="Z1110" s="1">
        <v>552</v>
      </c>
      <c r="AA1110" s="5">
        <v>105.2153</v>
      </c>
      <c r="AB1110" s="3">
        <f t="shared" si="111"/>
        <v>103.60628</v>
      </c>
      <c r="AC1110" s="1">
        <f t="shared" si="109"/>
        <v>5.7768956769815201E-3</v>
      </c>
    </row>
    <row r="1111" spans="19:29" x14ac:dyDescent="0.2">
      <c r="S1111" s="4">
        <v>250.00396000000001</v>
      </c>
      <c r="T1111" s="1">
        <v>552.5</v>
      </c>
      <c r="U1111" s="3">
        <v>97.658330000000007</v>
      </c>
      <c r="V1111" s="3">
        <f t="shared" si="110"/>
        <v>100.98202000000001</v>
      </c>
      <c r="W1111" s="1">
        <f t="shared" si="112"/>
        <v>1.1433495839495938E-2</v>
      </c>
      <c r="Y1111" s="4">
        <v>250.01334</v>
      </c>
      <c r="Z1111" s="1">
        <v>552.5</v>
      </c>
      <c r="AA1111" s="3">
        <v>105.29245</v>
      </c>
      <c r="AB1111" s="3">
        <f t="shared" si="111"/>
        <v>103.68343</v>
      </c>
      <c r="AC1111" s="1">
        <f t="shared" si="109"/>
        <v>5.0279165799507336E-3</v>
      </c>
    </row>
    <row r="1112" spans="19:29" x14ac:dyDescent="0.2">
      <c r="S1112" s="4">
        <v>250.00800000000001</v>
      </c>
      <c r="T1112" s="1">
        <v>553</v>
      </c>
      <c r="U1112" s="5">
        <v>97.652019999999993</v>
      </c>
      <c r="V1112" s="3">
        <f t="shared" si="110"/>
        <v>100.97570999999999</v>
      </c>
      <c r="W1112" s="1">
        <f t="shared" si="112"/>
        <v>1.1495992360383483E-2</v>
      </c>
      <c r="Y1112" s="4">
        <v>250.01536999999999</v>
      </c>
      <c r="Z1112" s="1">
        <v>553</v>
      </c>
      <c r="AA1112" s="5">
        <v>105.26484000000001</v>
      </c>
      <c r="AB1112" s="3">
        <f t="shared" si="111"/>
        <v>103.65582000000001</v>
      </c>
      <c r="AC1112" s="1">
        <f t="shared" si="109"/>
        <v>5.2959569282205448E-3</v>
      </c>
    </row>
    <row r="1113" spans="19:29" x14ac:dyDescent="0.2">
      <c r="S1113" s="4">
        <v>250.00803999999999</v>
      </c>
      <c r="T1113" s="1">
        <v>553.5</v>
      </c>
      <c r="U1113" s="3">
        <v>97.653959999999998</v>
      </c>
      <c r="V1113" s="3">
        <f t="shared" si="110"/>
        <v>100.97765</v>
      </c>
      <c r="W1113" s="1">
        <f t="shared" si="112"/>
        <v>1.1476777899128035E-2</v>
      </c>
      <c r="Y1113" s="4">
        <v>250.01626999999999</v>
      </c>
      <c r="Z1113" s="1">
        <v>553.5</v>
      </c>
      <c r="AA1113" s="3">
        <v>105.33154</v>
      </c>
      <c r="AB1113" s="3">
        <f t="shared" si="111"/>
        <v>103.72252</v>
      </c>
      <c r="AC1113" s="1">
        <f t="shared" si="109"/>
        <v>4.648427365395536E-3</v>
      </c>
    </row>
    <row r="1114" spans="19:29" x14ac:dyDescent="0.2">
      <c r="S1114" s="4">
        <v>250.00292999999999</v>
      </c>
      <c r="T1114" s="1">
        <v>554</v>
      </c>
      <c r="U1114" s="5">
        <v>97.670519999999996</v>
      </c>
      <c r="V1114" s="3">
        <f t="shared" si="110"/>
        <v>100.99421</v>
      </c>
      <c r="W1114" s="1">
        <f t="shared" si="112"/>
        <v>1.1312761673154113E-2</v>
      </c>
      <c r="Y1114" s="4">
        <v>250.01917</v>
      </c>
      <c r="Z1114" s="1">
        <v>554</v>
      </c>
      <c r="AA1114" s="5">
        <v>105.20799</v>
      </c>
      <c r="AB1114" s="3">
        <f t="shared" si="111"/>
        <v>103.59896999999999</v>
      </c>
      <c r="AC1114" s="1">
        <f t="shared" si="109"/>
        <v>5.8478618104785742E-3</v>
      </c>
    </row>
    <row r="1115" spans="19:29" x14ac:dyDescent="0.2">
      <c r="S1115" s="4">
        <v>250.00298000000001</v>
      </c>
      <c r="T1115" s="1">
        <v>554.5</v>
      </c>
      <c r="U1115" s="3">
        <v>97.646000000000001</v>
      </c>
      <c r="V1115" s="3">
        <f t="shared" si="110"/>
        <v>100.96969</v>
      </c>
      <c r="W1115" s="1">
        <f t="shared" si="112"/>
        <v>1.155561661644398E-2</v>
      </c>
      <c r="Y1115" s="4">
        <v>250.01987</v>
      </c>
      <c r="Z1115" s="1">
        <v>554.5</v>
      </c>
      <c r="AA1115" s="3">
        <v>105.30407</v>
      </c>
      <c r="AB1115" s="3">
        <f t="shared" si="111"/>
        <v>103.69504999999999</v>
      </c>
      <c r="AC1115" s="1">
        <f t="shared" si="109"/>
        <v>4.9151085811497937E-3</v>
      </c>
    </row>
    <row r="1116" spans="19:29" x14ac:dyDescent="0.2">
      <c r="S1116" s="4">
        <v>250.00502</v>
      </c>
      <c r="T1116" s="1">
        <v>555</v>
      </c>
      <c r="U1116" s="5">
        <v>97.670500000000004</v>
      </c>
      <c r="V1116" s="3">
        <f t="shared" si="110"/>
        <v>100.99419</v>
      </c>
      <c r="W1116" s="1">
        <f t="shared" si="112"/>
        <v>1.1312959760383472E-2</v>
      </c>
      <c r="Y1116" s="4">
        <v>250.02162999999999</v>
      </c>
      <c r="Z1116" s="1">
        <v>555</v>
      </c>
      <c r="AA1116" s="5">
        <v>105.18420999999999</v>
      </c>
      <c r="AB1116" s="3">
        <f t="shared" si="111"/>
        <v>103.57518999999999</v>
      </c>
      <c r="AC1116" s="1">
        <f t="shared" si="109"/>
        <v>6.0787201763553463E-3</v>
      </c>
    </row>
    <row r="1117" spans="19:29" x14ac:dyDescent="0.2">
      <c r="S1117" s="4">
        <v>249.99995000000001</v>
      </c>
      <c r="T1117" s="1">
        <v>555.5</v>
      </c>
      <c r="U1117" s="3">
        <v>97.68338</v>
      </c>
      <c r="V1117" s="3">
        <f t="shared" si="110"/>
        <v>101.00707</v>
      </c>
      <c r="W1117" s="1">
        <f t="shared" si="112"/>
        <v>1.118539158462601E-2</v>
      </c>
      <c r="Y1117" s="4">
        <v>250.02305999999999</v>
      </c>
      <c r="Z1117" s="1">
        <v>555.5</v>
      </c>
      <c r="AA1117" s="3">
        <v>105.26376</v>
      </c>
      <c r="AB1117" s="3">
        <f t="shared" si="111"/>
        <v>103.65474</v>
      </c>
      <c r="AC1117" s="1">
        <f t="shared" ref="AC1117:AC1180" si="113">($AB$604-AB1117)/($AB$604*(1-$H$1))</f>
        <v>5.3064416647700527E-3</v>
      </c>
    </row>
    <row r="1118" spans="19:29" x14ac:dyDescent="0.2">
      <c r="S1118" s="4">
        <v>250.00201999999999</v>
      </c>
      <c r="T1118" s="1">
        <v>556</v>
      </c>
      <c r="U1118" s="5">
        <v>97.679100000000005</v>
      </c>
      <c r="V1118" s="3">
        <f t="shared" si="110"/>
        <v>101.00279</v>
      </c>
      <c r="W1118" s="1">
        <f t="shared" si="112"/>
        <v>1.1227782251725497E-2</v>
      </c>
      <c r="Y1118" s="4">
        <v>250.01954000000001</v>
      </c>
      <c r="Z1118" s="1">
        <v>556</v>
      </c>
      <c r="AA1118" s="5">
        <v>105.30577</v>
      </c>
      <c r="AB1118" s="3">
        <f t="shared" si="111"/>
        <v>103.69674999999999</v>
      </c>
      <c r="AC1118" s="1">
        <f t="shared" si="113"/>
        <v>4.898604829173747E-3</v>
      </c>
    </row>
    <row r="1119" spans="19:29" x14ac:dyDescent="0.2">
      <c r="S1119" s="4">
        <v>250.00106</v>
      </c>
      <c r="T1119" s="1">
        <v>556.5</v>
      </c>
      <c r="U1119" s="3">
        <v>97.677229999999994</v>
      </c>
      <c r="V1119" s="3">
        <f t="shared" si="110"/>
        <v>101.00091999999999</v>
      </c>
      <c r="W1119" s="1">
        <f t="shared" si="112"/>
        <v>1.1246303407677977E-2</v>
      </c>
      <c r="Y1119" s="4">
        <v>250.01944</v>
      </c>
      <c r="Z1119" s="1">
        <v>556.5</v>
      </c>
      <c r="AA1119" s="3">
        <v>105.27176</v>
      </c>
      <c r="AB1119" s="3">
        <f t="shared" si="111"/>
        <v>103.66274</v>
      </c>
      <c r="AC1119" s="1">
        <f t="shared" si="113"/>
        <v>5.2287769495886821E-3</v>
      </c>
    </row>
    <row r="1120" spans="19:29" x14ac:dyDescent="0.2">
      <c r="S1120" s="4">
        <v>250.00305</v>
      </c>
      <c r="T1120" s="1">
        <v>557</v>
      </c>
      <c r="U1120" s="5">
        <v>97.672780000000003</v>
      </c>
      <c r="V1120" s="3">
        <f t="shared" si="110"/>
        <v>100.99647</v>
      </c>
      <c r="W1120" s="1">
        <f t="shared" si="112"/>
        <v>1.1290377816227652E-2</v>
      </c>
      <c r="Y1120" s="4">
        <v>250.0214</v>
      </c>
      <c r="Z1120" s="1">
        <v>557</v>
      </c>
      <c r="AA1120" s="5">
        <v>105.34225000000001</v>
      </c>
      <c r="AB1120" s="3">
        <f t="shared" si="111"/>
        <v>103.73323000000001</v>
      </c>
      <c r="AC1120" s="1">
        <f t="shared" si="113"/>
        <v>4.5444537279463893E-3</v>
      </c>
    </row>
    <row r="1121" spans="19:29" x14ac:dyDescent="0.2">
      <c r="S1121" s="4">
        <v>250.01199</v>
      </c>
      <c r="T1121" s="1">
        <v>557.5</v>
      </c>
      <c r="U1121" s="3">
        <v>97.665989999999994</v>
      </c>
      <c r="V1121" s="3">
        <f t="shared" si="110"/>
        <v>100.98967999999999</v>
      </c>
      <c r="W1121" s="1">
        <f t="shared" si="112"/>
        <v>1.1357628430621648E-2</v>
      </c>
      <c r="Y1121" s="4">
        <v>250.01669999999999</v>
      </c>
      <c r="Z1121" s="1">
        <v>557.5</v>
      </c>
      <c r="AA1121" s="3">
        <v>105.25713</v>
      </c>
      <c r="AB1121" s="3">
        <f t="shared" si="111"/>
        <v>103.64811</v>
      </c>
      <c r="AC1121" s="1">
        <f t="shared" si="113"/>
        <v>5.370806297476661E-3</v>
      </c>
    </row>
    <row r="1122" spans="19:29" x14ac:dyDescent="0.2">
      <c r="S1122" s="4">
        <v>250.00806</v>
      </c>
      <c r="T1122" s="1">
        <v>558</v>
      </c>
      <c r="U1122" s="5">
        <v>97.664810000000003</v>
      </c>
      <c r="V1122" s="3">
        <f t="shared" si="110"/>
        <v>100.9885</v>
      </c>
      <c r="W1122" s="1">
        <f t="shared" si="112"/>
        <v>1.1369315577158347E-2</v>
      </c>
      <c r="Y1122" s="4">
        <v>250.01732999999999</v>
      </c>
      <c r="Z1122" s="1">
        <v>558</v>
      </c>
      <c r="AA1122" s="5">
        <v>105.24187000000001</v>
      </c>
      <c r="AB1122" s="3">
        <f t="shared" si="111"/>
        <v>103.63285</v>
      </c>
      <c r="AC1122" s="1">
        <f t="shared" si="113"/>
        <v>5.5189517416851857E-3</v>
      </c>
    </row>
    <row r="1123" spans="19:29" x14ac:dyDescent="0.2">
      <c r="S1123" s="4">
        <v>250.00798</v>
      </c>
      <c r="T1123" s="1">
        <v>558.5</v>
      </c>
      <c r="U1123" s="3">
        <v>97.676869999999994</v>
      </c>
      <c r="V1123" s="3">
        <f t="shared" si="110"/>
        <v>101.00055999999999</v>
      </c>
      <c r="W1123" s="1">
        <f t="shared" si="112"/>
        <v>1.124986897780785E-2</v>
      </c>
      <c r="Y1123" s="4">
        <v>250.02122</v>
      </c>
      <c r="Z1123" s="1">
        <v>558.5</v>
      </c>
      <c r="AA1123" s="3">
        <v>105.08262000000001</v>
      </c>
      <c r="AB1123" s="3">
        <f t="shared" si="111"/>
        <v>103.4736</v>
      </c>
      <c r="AC1123" s="1">
        <f t="shared" si="113"/>
        <v>7.064964978265198E-3</v>
      </c>
    </row>
    <row r="1124" spans="19:29" x14ac:dyDescent="0.2">
      <c r="S1124" s="4">
        <v>250.00900999999999</v>
      </c>
      <c r="T1124" s="1">
        <v>559</v>
      </c>
      <c r="U1124" s="5">
        <v>97.693280000000001</v>
      </c>
      <c r="V1124" s="3">
        <f t="shared" si="110"/>
        <v>101.01697</v>
      </c>
      <c r="W1124" s="1">
        <f t="shared" si="112"/>
        <v>1.1087338406054616E-2</v>
      </c>
      <c r="Y1124" s="4">
        <v>250.02195</v>
      </c>
      <c r="Z1124" s="1">
        <v>559</v>
      </c>
      <c r="AA1124" s="5">
        <v>105.26259</v>
      </c>
      <c r="AB1124" s="3">
        <f t="shared" si="111"/>
        <v>103.65357</v>
      </c>
      <c r="AC1124" s="1">
        <f t="shared" si="113"/>
        <v>5.3178001293653528E-3</v>
      </c>
    </row>
    <row r="1125" spans="19:29" x14ac:dyDescent="0.2">
      <c r="S1125" s="4">
        <v>250.00498999999999</v>
      </c>
      <c r="T1125" s="1">
        <v>559.5</v>
      </c>
      <c r="U1125" s="3">
        <v>97.687150000000003</v>
      </c>
      <c r="V1125" s="3">
        <f t="shared" si="110"/>
        <v>101.01084</v>
      </c>
      <c r="W1125" s="1">
        <f t="shared" si="112"/>
        <v>1.1148052141877083E-2</v>
      </c>
      <c r="Y1125" s="4">
        <v>250.02081000000001</v>
      </c>
      <c r="Z1125" s="1">
        <v>559.5</v>
      </c>
      <c r="AA1125" s="3">
        <v>105.18725000000001</v>
      </c>
      <c r="AB1125" s="3">
        <f t="shared" si="111"/>
        <v>103.57823</v>
      </c>
      <c r="AC1125" s="1">
        <f t="shared" si="113"/>
        <v>6.0492075845862848E-3</v>
      </c>
    </row>
    <row r="1126" spans="19:29" x14ac:dyDescent="0.2">
      <c r="S1126" s="4">
        <v>250.00597999999999</v>
      </c>
      <c r="T1126" s="1">
        <v>560</v>
      </c>
      <c r="U1126" s="5">
        <v>97.693659999999994</v>
      </c>
      <c r="V1126" s="3">
        <f t="shared" si="110"/>
        <v>101.01734999999999</v>
      </c>
      <c r="W1126" s="1">
        <f t="shared" si="112"/>
        <v>1.1083574748695382E-2</v>
      </c>
      <c r="Y1126" s="4">
        <v>250.01589000000001</v>
      </c>
      <c r="Z1126" s="1">
        <v>560</v>
      </c>
      <c r="AA1126" s="5">
        <v>105.23972999999999</v>
      </c>
      <c r="AB1126" s="3">
        <f t="shared" si="111"/>
        <v>103.63070999999999</v>
      </c>
      <c r="AC1126" s="1">
        <f t="shared" si="113"/>
        <v>5.5397270529963247E-3</v>
      </c>
    </row>
    <row r="1127" spans="19:29" x14ac:dyDescent="0.2">
      <c r="S1127" s="4">
        <v>250.00897000000001</v>
      </c>
      <c r="T1127" s="1">
        <v>560.5</v>
      </c>
      <c r="U1127" s="3">
        <v>97.697429999999997</v>
      </c>
      <c r="V1127" s="3">
        <f t="shared" si="110"/>
        <v>101.02112</v>
      </c>
      <c r="W1127" s="1">
        <f t="shared" si="112"/>
        <v>1.1046235305946455E-2</v>
      </c>
      <c r="Y1127" s="4">
        <v>250.01177000000001</v>
      </c>
      <c r="Z1127" s="1">
        <v>560.5</v>
      </c>
      <c r="AA1127" s="3">
        <v>105.18943</v>
      </c>
      <c r="AB1127" s="3">
        <f t="shared" si="111"/>
        <v>103.58041</v>
      </c>
      <c r="AC1127" s="1">
        <f t="shared" si="113"/>
        <v>6.0280439496993923E-3</v>
      </c>
    </row>
    <row r="1128" spans="19:29" x14ac:dyDescent="0.2">
      <c r="S1128" s="4">
        <v>250.00394</v>
      </c>
      <c r="T1128" s="1">
        <v>561</v>
      </c>
      <c r="U1128" s="5">
        <v>97.683340000000001</v>
      </c>
      <c r="V1128" s="3">
        <f t="shared" si="110"/>
        <v>101.00703</v>
      </c>
      <c r="W1128" s="1">
        <f t="shared" si="112"/>
        <v>1.1185787759084869E-2</v>
      </c>
      <c r="Y1128" s="4">
        <v>250.01025999999999</v>
      </c>
      <c r="Z1128" s="1">
        <v>561</v>
      </c>
      <c r="AA1128" s="5">
        <v>105.14615000000001</v>
      </c>
      <c r="AB1128" s="3">
        <f t="shared" si="111"/>
        <v>103.53713</v>
      </c>
      <c r="AC1128" s="1">
        <f t="shared" si="113"/>
        <v>6.4482100588307981E-3</v>
      </c>
    </row>
    <row r="1129" spans="19:29" x14ac:dyDescent="0.2">
      <c r="S1129" s="4">
        <v>250.00393</v>
      </c>
      <c r="T1129" s="1">
        <v>561.5</v>
      </c>
      <c r="U1129" s="3">
        <v>97.676990000000004</v>
      </c>
      <c r="V1129" s="3">
        <f t="shared" si="110"/>
        <v>101.00068</v>
      </c>
      <c r="W1129" s="1">
        <f t="shared" si="112"/>
        <v>1.1248680454431132E-2</v>
      </c>
      <c r="Y1129" s="4">
        <v>250.00987000000001</v>
      </c>
      <c r="Z1129" s="1">
        <v>561.5</v>
      </c>
      <c r="AA1129" s="3">
        <v>105.19707</v>
      </c>
      <c r="AB1129" s="3">
        <f t="shared" si="111"/>
        <v>103.58805</v>
      </c>
      <c r="AC1129" s="1">
        <f t="shared" si="113"/>
        <v>5.9538741467011916E-3</v>
      </c>
    </row>
    <row r="1130" spans="19:29" x14ac:dyDescent="0.2">
      <c r="S1130" s="4">
        <v>250.00811999999999</v>
      </c>
      <c r="T1130" s="1">
        <v>562</v>
      </c>
      <c r="U1130" s="5">
        <v>97.687920000000005</v>
      </c>
      <c r="V1130" s="3">
        <f t="shared" si="110"/>
        <v>101.01161</v>
      </c>
      <c r="W1130" s="1">
        <f t="shared" si="112"/>
        <v>1.1140425783543725E-2</v>
      </c>
      <c r="Y1130" s="4">
        <v>250.00918999999999</v>
      </c>
      <c r="Z1130" s="1">
        <v>562</v>
      </c>
      <c r="AA1130" s="5">
        <v>105.14018</v>
      </c>
      <c r="AB1130" s="3">
        <f t="shared" si="111"/>
        <v>103.53116</v>
      </c>
      <c r="AC1130" s="1">
        <f t="shared" si="113"/>
        <v>6.5061673525349754E-3</v>
      </c>
    </row>
    <row r="1131" spans="19:29" x14ac:dyDescent="0.2">
      <c r="S1131" s="4">
        <v>250.00805</v>
      </c>
      <c r="T1131" s="1">
        <v>562.5</v>
      </c>
      <c r="U1131" s="3">
        <v>97.675489999999996</v>
      </c>
      <c r="V1131" s="3">
        <f t="shared" si="110"/>
        <v>100.99918</v>
      </c>
      <c r="W1131" s="1">
        <f t="shared" si="112"/>
        <v>1.1263536996638988E-2</v>
      </c>
      <c r="Y1131" s="4">
        <v>250.00834</v>
      </c>
      <c r="Z1131" s="1">
        <v>562.5</v>
      </c>
      <c r="AA1131" s="3">
        <v>105.22757</v>
      </c>
      <c r="AB1131" s="3">
        <f t="shared" si="111"/>
        <v>103.61855</v>
      </c>
      <c r="AC1131" s="1">
        <f t="shared" si="113"/>
        <v>5.6577774200720181E-3</v>
      </c>
    </row>
    <row r="1132" spans="19:29" x14ac:dyDescent="0.2">
      <c r="S1132" s="4">
        <v>250.00202999999999</v>
      </c>
      <c r="T1132" s="1">
        <v>563</v>
      </c>
      <c r="U1132" s="5">
        <v>97.689509999999999</v>
      </c>
      <c r="V1132" s="3">
        <f t="shared" si="110"/>
        <v>101.0132</v>
      </c>
      <c r="W1132" s="1">
        <f t="shared" si="112"/>
        <v>1.1124677848803543E-2</v>
      </c>
      <c r="Y1132" s="4">
        <v>250.00943000000001</v>
      </c>
      <c r="Z1132" s="1">
        <v>563</v>
      </c>
      <c r="AA1132" s="5">
        <v>105.14812999999999</v>
      </c>
      <c r="AB1132" s="3">
        <f t="shared" si="111"/>
        <v>103.53910999999999</v>
      </c>
      <c r="AC1132" s="1">
        <f t="shared" si="113"/>
        <v>6.4289880418235048E-3</v>
      </c>
    </row>
    <row r="1133" spans="19:29" x14ac:dyDescent="0.2">
      <c r="S1133" s="4">
        <v>250.00505000000001</v>
      </c>
      <c r="T1133" s="1">
        <v>563.5</v>
      </c>
      <c r="U1133" s="3">
        <v>97.699889999999996</v>
      </c>
      <c r="V1133" s="3">
        <f t="shared" si="110"/>
        <v>101.02358</v>
      </c>
      <c r="W1133" s="1">
        <f t="shared" si="112"/>
        <v>1.1021870576725698E-2</v>
      </c>
      <c r="Y1133" s="4">
        <v>250.01165</v>
      </c>
      <c r="Z1133" s="1">
        <v>563.5</v>
      </c>
      <c r="AA1133" s="3">
        <v>105.27238</v>
      </c>
      <c r="AB1133" s="3">
        <f t="shared" si="111"/>
        <v>103.66336</v>
      </c>
      <c r="AC1133" s="1">
        <f t="shared" si="113"/>
        <v>5.2227579341621432E-3</v>
      </c>
    </row>
    <row r="1134" spans="19:29" x14ac:dyDescent="0.2">
      <c r="S1134" s="4">
        <v>250.00505999999999</v>
      </c>
      <c r="T1134" s="1">
        <v>564</v>
      </c>
      <c r="U1134" s="5">
        <v>97.715919999999997</v>
      </c>
      <c r="V1134" s="3">
        <f t="shared" si="110"/>
        <v>101.03961</v>
      </c>
      <c r="W1134" s="1">
        <f t="shared" si="112"/>
        <v>1.0863103662331838E-2</v>
      </c>
      <c r="Y1134" s="4">
        <v>250.01604</v>
      </c>
      <c r="Z1134" s="1">
        <v>564</v>
      </c>
      <c r="AA1134" s="5">
        <v>105.19410999999999</v>
      </c>
      <c r="AB1134" s="3">
        <f t="shared" si="111"/>
        <v>103.58508999999999</v>
      </c>
      <c r="AC1134" s="1">
        <f t="shared" si="113"/>
        <v>5.9826100913183298E-3</v>
      </c>
    </row>
    <row r="1135" spans="19:29" x14ac:dyDescent="0.2">
      <c r="S1135" s="4">
        <v>250.00399999999999</v>
      </c>
      <c r="T1135" s="1">
        <v>564.5</v>
      </c>
      <c r="U1135" s="3">
        <v>97.703760000000003</v>
      </c>
      <c r="V1135" s="3">
        <f t="shared" si="110"/>
        <v>101.02745</v>
      </c>
      <c r="W1135" s="1">
        <f t="shared" si="112"/>
        <v>1.0983540697829553E-2</v>
      </c>
      <c r="Y1135" s="4">
        <v>250.01629</v>
      </c>
      <c r="Z1135" s="1">
        <v>564.5</v>
      </c>
      <c r="AA1135" s="3">
        <v>105.13782999999999</v>
      </c>
      <c r="AB1135" s="3">
        <f t="shared" si="111"/>
        <v>103.52880999999999</v>
      </c>
      <c r="AC1135" s="1">
        <f t="shared" si="113"/>
        <v>6.5289813626195833E-3</v>
      </c>
    </row>
    <row r="1136" spans="19:29" x14ac:dyDescent="0.2">
      <c r="S1136" s="4">
        <v>249.99898999999999</v>
      </c>
      <c r="T1136" s="1">
        <v>565</v>
      </c>
      <c r="U1136" s="5">
        <v>97.69708</v>
      </c>
      <c r="V1136" s="3">
        <f t="shared" si="110"/>
        <v>101.02077</v>
      </c>
      <c r="W1136" s="1">
        <f t="shared" si="112"/>
        <v>1.1049701832461581E-2</v>
      </c>
      <c r="Y1136" s="4">
        <v>250.0198</v>
      </c>
      <c r="Z1136" s="1">
        <v>565</v>
      </c>
      <c r="AA1136" s="5">
        <v>105.24351</v>
      </c>
      <c r="AB1136" s="3">
        <f t="shared" si="111"/>
        <v>103.63449</v>
      </c>
      <c r="AC1136" s="1">
        <f t="shared" si="113"/>
        <v>5.5030304750730476E-3</v>
      </c>
    </row>
    <row r="1137" spans="19:29" x14ac:dyDescent="0.2">
      <c r="S1137" s="4">
        <v>250.00594000000001</v>
      </c>
      <c r="T1137" s="1">
        <v>565.5</v>
      </c>
      <c r="U1137" s="3">
        <v>97.724050000000005</v>
      </c>
      <c r="V1137" s="3">
        <f t="shared" si="110"/>
        <v>101.04774</v>
      </c>
      <c r="W1137" s="1">
        <f t="shared" si="112"/>
        <v>1.0782581203565563E-2</v>
      </c>
      <c r="Y1137" s="4">
        <v>250.01964000000001</v>
      </c>
      <c r="Z1137" s="1">
        <v>565.5</v>
      </c>
      <c r="AA1137" s="3">
        <v>105.23951</v>
      </c>
      <c r="AB1137" s="3">
        <f t="shared" si="111"/>
        <v>103.63048999999999</v>
      </c>
      <c r="AC1137" s="1">
        <f t="shared" si="113"/>
        <v>5.5418628326638015E-3</v>
      </c>
    </row>
    <row r="1138" spans="19:29" x14ac:dyDescent="0.2">
      <c r="S1138" s="4">
        <v>250.00701000000001</v>
      </c>
      <c r="T1138" s="1">
        <v>566</v>
      </c>
      <c r="U1138" s="5">
        <v>97.704170000000005</v>
      </c>
      <c r="V1138" s="3">
        <f t="shared" si="110"/>
        <v>101.02786</v>
      </c>
      <c r="W1138" s="1">
        <f t="shared" si="112"/>
        <v>1.0979479909626069E-2</v>
      </c>
      <c r="Y1138" s="4">
        <v>250.02018000000001</v>
      </c>
      <c r="Z1138" s="1">
        <v>566</v>
      </c>
      <c r="AA1138" s="5">
        <v>105.27795</v>
      </c>
      <c r="AB1138" s="3">
        <f t="shared" si="111"/>
        <v>103.66893</v>
      </c>
      <c r="AC1138" s="1">
        <f t="shared" si="113"/>
        <v>5.1686838762170281E-3</v>
      </c>
    </row>
    <row r="1139" spans="19:29" x14ac:dyDescent="0.2">
      <c r="S1139" s="4">
        <v>250.00997000000001</v>
      </c>
      <c r="T1139" s="1">
        <v>566.5</v>
      </c>
      <c r="U1139" s="3">
        <v>97.735119999999995</v>
      </c>
      <c r="V1139" s="3">
        <f t="shared" si="110"/>
        <v>101.05880999999999</v>
      </c>
      <c r="W1139" s="1">
        <f t="shared" si="112"/>
        <v>1.067293992207222E-2</v>
      </c>
      <c r="Y1139" s="4">
        <v>250.02085</v>
      </c>
      <c r="Z1139" s="1">
        <v>566.5</v>
      </c>
      <c r="AA1139" s="3">
        <v>105.22329000000001</v>
      </c>
      <c r="AB1139" s="3">
        <f t="shared" si="111"/>
        <v>103.61427</v>
      </c>
      <c r="AC1139" s="1">
        <f t="shared" si="113"/>
        <v>5.6993280426940194E-3</v>
      </c>
    </row>
    <row r="1140" spans="19:29" x14ac:dyDescent="0.2">
      <c r="S1140" s="4">
        <v>250.00295</v>
      </c>
      <c r="T1140" s="1">
        <v>567</v>
      </c>
      <c r="U1140" s="5">
        <v>97.703999999999994</v>
      </c>
      <c r="V1140" s="3">
        <f t="shared" si="110"/>
        <v>101.02768999999999</v>
      </c>
      <c r="W1140" s="1">
        <f t="shared" si="112"/>
        <v>1.0981163651076396E-2</v>
      </c>
      <c r="Y1140" s="4">
        <v>250.01895999999999</v>
      </c>
      <c r="Z1140" s="1">
        <v>567</v>
      </c>
      <c r="AA1140" s="5">
        <v>105.13795</v>
      </c>
      <c r="AB1140" s="3">
        <f t="shared" si="111"/>
        <v>103.52893</v>
      </c>
      <c r="AC1140" s="1">
        <f t="shared" si="113"/>
        <v>6.5278163918917678E-3</v>
      </c>
    </row>
    <row r="1141" spans="19:29" x14ac:dyDescent="0.2">
      <c r="S1141" s="4">
        <v>250.00503</v>
      </c>
      <c r="T1141" s="1">
        <v>567.5</v>
      </c>
      <c r="U1141" s="3">
        <v>97.724289999999996</v>
      </c>
      <c r="V1141" s="3">
        <f t="shared" si="110"/>
        <v>101.04798</v>
      </c>
      <c r="W1141" s="1">
        <f t="shared" si="112"/>
        <v>1.0780204156812408E-2</v>
      </c>
      <c r="Y1141" s="4">
        <v>250.01813999999999</v>
      </c>
      <c r="Z1141" s="1">
        <v>567.5</v>
      </c>
      <c r="AA1141" s="3">
        <v>105.21033</v>
      </c>
      <c r="AB1141" s="3">
        <f t="shared" si="111"/>
        <v>103.60131</v>
      </c>
      <c r="AC1141" s="1">
        <f t="shared" si="113"/>
        <v>5.825144881287974E-3</v>
      </c>
    </row>
    <row r="1142" spans="19:29" x14ac:dyDescent="0.2">
      <c r="S1142" s="4">
        <v>250.01002</v>
      </c>
      <c r="T1142" s="1">
        <v>568</v>
      </c>
      <c r="U1142" s="5">
        <v>97.734679999999997</v>
      </c>
      <c r="V1142" s="3">
        <f t="shared" si="110"/>
        <v>101.05837</v>
      </c>
      <c r="W1142" s="1">
        <f t="shared" si="112"/>
        <v>1.0677297841119813E-2</v>
      </c>
      <c r="Y1142" s="4">
        <v>250.01719</v>
      </c>
      <c r="Z1142" s="1">
        <v>568</v>
      </c>
      <c r="AA1142" s="5">
        <v>105.28961</v>
      </c>
      <c r="AB1142" s="3">
        <f t="shared" si="111"/>
        <v>103.68059</v>
      </c>
      <c r="AC1142" s="1">
        <f t="shared" si="113"/>
        <v>5.0554875538401951E-3</v>
      </c>
    </row>
    <row r="1143" spans="19:29" x14ac:dyDescent="0.2">
      <c r="S1143" s="4">
        <v>250.00602000000001</v>
      </c>
      <c r="T1143" s="1">
        <v>568.5</v>
      </c>
      <c r="U1143" s="3">
        <v>97.71808</v>
      </c>
      <c r="V1143" s="3">
        <f t="shared" si="110"/>
        <v>101.04177</v>
      </c>
      <c r="W1143" s="1">
        <f t="shared" si="112"/>
        <v>1.0841710241552593E-2</v>
      </c>
      <c r="Y1143" s="4">
        <v>250.01750000000001</v>
      </c>
      <c r="Z1143" s="1">
        <v>568.5</v>
      </c>
      <c r="AA1143" s="3">
        <v>105.21850000000001</v>
      </c>
      <c r="AB1143" s="3">
        <f t="shared" si="111"/>
        <v>103.60948</v>
      </c>
      <c r="AC1143" s="1">
        <f t="shared" si="113"/>
        <v>5.7458297909088888E-3</v>
      </c>
    </row>
    <row r="1144" spans="19:29" x14ac:dyDescent="0.2">
      <c r="S1144" s="4">
        <v>250.00793999999999</v>
      </c>
      <c r="T1144" s="1">
        <v>569</v>
      </c>
      <c r="U1144" s="5">
        <v>97.710080000000005</v>
      </c>
      <c r="V1144" s="3">
        <f t="shared" si="110"/>
        <v>101.03377</v>
      </c>
      <c r="W1144" s="1">
        <f t="shared" si="112"/>
        <v>1.0920945133327399E-2</v>
      </c>
      <c r="Y1144" s="4">
        <v>250.01784000000001</v>
      </c>
      <c r="Z1144" s="1">
        <v>569</v>
      </c>
      <c r="AA1144" s="5">
        <v>105.17543999999999</v>
      </c>
      <c r="AB1144" s="3">
        <f t="shared" si="111"/>
        <v>103.56641999999999</v>
      </c>
      <c r="AC1144" s="1">
        <f t="shared" si="113"/>
        <v>6.1638601203729557E-3</v>
      </c>
    </row>
    <row r="1145" spans="19:29" x14ac:dyDescent="0.2">
      <c r="S1145" s="4">
        <v>250.00395</v>
      </c>
      <c r="T1145" s="1">
        <v>569.5</v>
      </c>
      <c r="U1145" s="3">
        <v>97.710070000000002</v>
      </c>
      <c r="V1145" s="3">
        <f t="shared" si="110"/>
        <v>101.03376</v>
      </c>
      <c r="W1145" s="1">
        <f t="shared" si="112"/>
        <v>1.0921044176942148E-2</v>
      </c>
      <c r="Y1145" s="4">
        <v>250.02181999999999</v>
      </c>
      <c r="Z1145" s="1">
        <v>569.5</v>
      </c>
      <c r="AA1145" s="3">
        <v>105.29404</v>
      </c>
      <c r="AB1145" s="3">
        <f t="shared" si="111"/>
        <v>103.68501999999999</v>
      </c>
      <c r="AC1145" s="1">
        <f t="shared" si="113"/>
        <v>5.0124807178084946E-3</v>
      </c>
    </row>
    <row r="1146" spans="19:29" x14ac:dyDescent="0.2">
      <c r="S1146" s="4">
        <v>250.00003000000001</v>
      </c>
      <c r="T1146" s="1">
        <v>570</v>
      </c>
      <c r="U1146" s="5">
        <v>97.718419999999995</v>
      </c>
      <c r="V1146" s="3">
        <f t="shared" si="110"/>
        <v>101.04210999999999</v>
      </c>
      <c r="W1146" s="1">
        <f t="shared" si="112"/>
        <v>1.083834275865222E-2</v>
      </c>
      <c r="Y1146" s="4">
        <v>250.02395999999999</v>
      </c>
      <c r="Z1146" s="1">
        <v>570</v>
      </c>
      <c r="AA1146" s="5">
        <v>105.18109</v>
      </c>
      <c r="AB1146" s="3">
        <f t="shared" si="111"/>
        <v>103.57207</v>
      </c>
      <c r="AC1146" s="1">
        <f t="shared" si="113"/>
        <v>6.1090094152760552E-3</v>
      </c>
    </row>
    <row r="1147" spans="19:29" x14ac:dyDescent="0.2">
      <c r="S1147" s="4">
        <v>250.00805</v>
      </c>
      <c r="T1147" s="1">
        <v>570.5</v>
      </c>
      <c r="U1147" s="3">
        <v>97.722650000000002</v>
      </c>
      <c r="V1147" s="3">
        <f t="shared" si="110"/>
        <v>101.04634</v>
      </c>
      <c r="W1147" s="1">
        <f t="shared" si="112"/>
        <v>1.07964473096262E-2</v>
      </c>
      <c r="Y1147" s="4">
        <v>250.02008000000001</v>
      </c>
      <c r="Z1147" s="1">
        <v>570.5</v>
      </c>
      <c r="AA1147" s="3">
        <v>105.20095000000001</v>
      </c>
      <c r="AB1147" s="3">
        <f t="shared" si="111"/>
        <v>103.59193</v>
      </c>
      <c r="AC1147" s="1">
        <f t="shared" si="113"/>
        <v>5.9162067598381145E-3</v>
      </c>
    </row>
    <row r="1148" spans="19:29" x14ac:dyDescent="0.2">
      <c r="S1148" s="4">
        <v>250.00998999999999</v>
      </c>
      <c r="T1148" s="1">
        <v>571</v>
      </c>
      <c r="U1148" s="5">
        <v>97.714380000000006</v>
      </c>
      <c r="V1148" s="3">
        <f t="shared" si="110"/>
        <v>101.03807</v>
      </c>
      <c r="W1148" s="1">
        <f t="shared" si="112"/>
        <v>1.0878356378998411E-2</v>
      </c>
      <c r="Y1148" s="4">
        <v>250.01722000000001</v>
      </c>
      <c r="Z1148" s="1">
        <v>571</v>
      </c>
      <c r="AA1148" s="5">
        <v>105.23377000000001</v>
      </c>
      <c r="AB1148" s="3">
        <f t="shared" si="111"/>
        <v>103.62475000000001</v>
      </c>
      <c r="AC1148" s="1">
        <f t="shared" si="113"/>
        <v>5.5975872658063563E-3</v>
      </c>
    </row>
    <row r="1149" spans="19:29" x14ac:dyDescent="0.2">
      <c r="S1149" s="4">
        <v>250.00897000000001</v>
      </c>
      <c r="T1149" s="1">
        <v>571.5</v>
      </c>
      <c r="U1149" s="3">
        <v>97.732590000000002</v>
      </c>
      <c r="V1149" s="3">
        <f t="shared" si="110"/>
        <v>101.05628</v>
      </c>
      <c r="W1149" s="1">
        <f t="shared" si="112"/>
        <v>1.0697997956595947E-2</v>
      </c>
      <c r="Y1149" s="4">
        <v>250.01884000000001</v>
      </c>
      <c r="Z1149" s="1">
        <v>571.5</v>
      </c>
      <c r="AA1149" s="3">
        <v>105.1798</v>
      </c>
      <c r="AB1149" s="3">
        <f t="shared" si="111"/>
        <v>103.57078</v>
      </c>
      <c r="AC1149" s="1">
        <f t="shared" si="113"/>
        <v>6.121532850599032E-3</v>
      </c>
    </row>
    <row r="1150" spans="19:29" x14ac:dyDescent="0.2">
      <c r="S1150" s="4">
        <v>250.01097999999999</v>
      </c>
      <c r="T1150" s="1">
        <v>572</v>
      </c>
      <c r="U1150" s="5">
        <v>97.714209999999994</v>
      </c>
      <c r="V1150" s="3">
        <f t="shared" si="110"/>
        <v>101.03789999999999</v>
      </c>
      <c r="W1150" s="1">
        <f t="shared" si="112"/>
        <v>1.0880040120448738E-2</v>
      </c>
      <c r="Y1150" s="4">
        <v>250.01718</v>
      </c>
      <c r="Z1150" s="1">
        <v>572</v>
      </c>
      <c r="AA1150" s="5">
        <v>105.21672</v>
      </c>
      <c r="AB1150" s="3">
        <f t="shared" si="111"/>
        <v>103.60769999999999</v>
      </c>
      <c r="AC1150" s="1">
        <f t="shared" si="113"/>
        <v>5.7631101900368579E-3</v>
      </c>
    </row>
    <row r="1151" spans="19:29" x14ac:dyDescent="0.2">
      <c r="S1151" s="4">
        <v>250.00794999999999</v>
      </c>
      <c r="T1151" s="1">
        <v>572.5</v>
      </c>
      <c r="U1151" s="3">
        <v>97.724540000000005</v>
      </c>
      <c r="V1151" s="3">
        <f t="shared" si="110"/>
        <v>101.04823</v>
      </c>
      <c r="W1151" s="1">
        <f t="shared" si="112"/>
        <v>1.0777728066444362E-2</v>
      </c>
      <c r="Y1151" s="4">
        <v>250.01392000000001</v>
      </c>
      <c r="Z1151" s="1">
        <v>572.5</v>
      </c>
      <c r="AA1151" s="3">
        <v>105.1534</v>
      </c>
      <c r="AB1151" s="3">
        <f t="shared" si="111"/>
        <v>103.54438</v>
      </c>
      <c r="AC1151" s="1">
        <f t="shared" si="113"/>
        <v>6.3778264106976509E-3</v>
      </c>
    </row>
    <row r="1152" spans="19:29" x14ac:dyDescent="0.2">
      <c r="S1152" s="4">
        <v>250.00503</v>
      </c>
      <c r="T1152" s="1">
        <v>573</v>
      </c>
      <c r="U1152" s="5">
        <v>97.70326</v>
      </c>
      <c r="V1152" s="3">
        <f t="shared" si="110"/>
        <v>101.02695</v>
      </c>
      <c r="W1152" s="1">
        <f t="shared" si="112"/>
        <v>1.0988492878565504E-2</v>
      </c>
      <c r="Y1152" s="4">
        <v>250.01392999999999</v>
      </c>
      <c r="Z1152" s="1">
        <v>573</v>
      </c>
      <c r="AA1152" s="5">
        <v>105.11296</v>
      </c>
      <c r="AB1152" s="3">
        <f t="shared" si="111"/>
        <v>103.50394</v>
      </c>
      <c r="AC1152" s="1">
        <f t="shared" si="113"/>
        <v>6.7704215459397331E-3</v>
      </c>
    </row>
    <row r="1153" spans="19:29" x14ac:dyDescent="0.2">
      <c r="S1153" s="4">
        <v>250.00507999999999</v>
      </c>
      <c r="T1153" s="1">
        <v>573.5</v>
      </c>
      <c r="U1153" s="3">
        <v>97.718379999999996</v>
      </c>
      <c r="V1153" s="3">
        <f t="shared" si="110"/>
        <v>101.04207</v>
      </c>
      <c r="W1153" s="1">
        <f t="shared" si="112"/>
        <v>1.0838738933111079E-2</v>
      </c>
      <c r="Y1153" s="4">
        <v>250.01750999999999</v>
      </c>
      <c r="Z1153" s="1">
        <v>573.5</v>
      </c>
      <c r="AA1153" s="3">
        <v>105.16528</v>
      </c>
      <c r="AB1153" s="3">
        <f t="shared" si="111"/>
        <v>103.55625999999999</v>
      </c>
      <c r="AC1153" s="1">
        <f t="shared" si="113"/>
        <v>6.2624943086533411E-3</v>
      </c>
    </row>
    <row r="1154" spans="19:29" x14ac:dyDescent="0.2">
      <c r="S1154" s="4">
        <v>250.00501</v>
      </c>
      <c r="T1154" s="1">
        <v>574</v>
      </c>
      <c r="U1154" s="5">
        <v>97.722899999999996</v>
      </c>
      <c r="V1154" s="3">
        <f t="shared" si="110"/>
        <v>101.04658999999999</v>
      </c>
      <c r="W1154" s="1">
        <f t="shared" si="112"/>
        <v>1.0793971219258295E-2</v>
      </c>
      <c r="Y1154" s="4">
        <v>250.01403999999999</v>
      </c>
      <c r="Z1154" s="1">
        <v>574</v>
      </c>
      <c r="AA1154" s="5">
        <v>105.13368</v>
      </c>
      <c r="AB1154" s="3">
        <f t="shared" si="111"/>
        <v>103.52466</v>
      </c>
      <c r="AC1154" s="1">
        <f t="shared" si="113"/>
        <v>6.5692699336198992E-3</v>
      </c>
    </row>
    <row r="1155" spans="19:29" x14ac:dyDescent="0.2">
      <c r="S1155" s="4">
        <v>250.00805</v>
      </c>
      <c r="T1155" s="1">
        <v>574.5</v>
      </c>
      <c r="U1155" s="3">
        <v>97.701939999999993</v>
      </c>
      <c r="V1155" s="3">
        <f t="shared" si="110"/>
        <v>101.02562999999999</v>
      </c>
      <c r="W1155" s="1">
        <f t="shared" si="112"/>
        <v>1.1001566635708422E-2</v>
      </c>
      <c r="Y1155" s="4">
        <v>250.01204000000001</v>
      </c>
      <c r="Z1155" s="1">
        <v>574.5</v>
      </c>
      <c r="AA1155" s="3">
        <v>105.18616</v>
      </c>
      <c r="AB1155" s="3">
        <f t="shared" si="111"/>
        <v>103.57714</v>
      </c>
      <c r="AC1155" s="1">
        <f t="shared" si="113"/>
        <v>6.0597894020298004E-3</v>
      </c>
    </row>
    <row r="1156" spans="19:29" x14ac:dyDescent="0.2">
      <c r="S1156" s="4">
        <v>250.00806</v>
      </c>
      <c r="T1156" s="1">
        <v>575</v>
      </c>
      <c r="U1156" s="5">
        <v>97.724419999999995</v>
      </c>
      <c r="V1156" s="3">
        <f t="shared" si="110"/>
        <v>101.04810999999999</v>
      </c>
      <c r="W1156" s="1">
        <f t="shared" si="112"/>
        <v>1.077891658982108E-2</v>
      </c>
      <c r="Y1156" s="4">
        <v>250.01069000000001</v>
      </c>
      <c r="Z1156" s="1">
        <v>575</v>
      </c>
      <c r="AA1156" s="5">
        <v>105.19538</v>
      </c>
      <c r="AB1156" s="3">
        <f t="shared" si="111"/>
        <v>103.58636</v>
      </c>
      <c r="AC1156" s="1">
        <f t="shared" si="113"/>
        <v>5.9702808177832297E-3</v>
      </c>
    </row>
    <row r="1157" spans="19:29" x14ac:dyDescent="0.2">
      <c r="S1157" s="4">
        <v>250.00595999999999</v>
      </c>
      <c r="T1157" s="1">
        <v>575.5</v>
      </c>
      <c r="U1157" s="3">
        <v>97.722239999999999</v>
      </c>
      <c r="V1157" s="3">
        <f t="shared" si="110"/>
        <v>101.04593</v>
      </c>
      <c r="W1157" s="1">
        <f t="shared" si="112"/>
        <v>1.0800508097829684E-2</v>
      </c>
      <c r="Y1157" s="4">
        <v>250.01394999999999</v>
      </c>
      <c r="Z1157" s="1">
        <v>575.5</v>
      </c>
      <c r="AA1157" s="3">
        <v>105.02486</v>
      </c>
      <c r="AB1157" s="3">
        <f t="shared" si="111"/>
        <v>103.41584</v>
      </c>
      <c r="AC1157" s="1">
        <f t="shared" si="113"/>
        <v>7.6257042218750206E-3</v>
      </c>
    </row>
    <row r="1158" spans="19:29" x14ac:dyDescent="0.2">
      <c r="S1158" s="4">
        <v>250.00901999999999</v>
      </c>
      <c r="T1158" s="1">
        <v>576</v>
      </c>
      <c r="U1158" s="5">
        <v>97.720460000000003</v>
      </c>
      <c r="V1158" s="3">
        <f t="shared" si="110"/>
        <v>101.04415</v>
      </c>
      <c r="W1158" s="1">
        <f t="shared" si="112"/>
        <v>1.0818137861249553E-2</v>
      </c>
      <c r="Y1158" s="4">
        <v>250.0187</v>
      </c>
      <c r="Z1158" s="1">
        <v>576</v>
      </c>
      <c r="AA1158" s="5">
        <v>105.16540000000001</v>
      </c>
      <c r="AB1158" s="3">
        <f t="shared" si="111"/>
        <v>103.55638</v>
      </c>
      <c r="AC1158" s="1">
        <f t="shared" si="113"/>
        <v>6.2613293379255265E-3</v>
      </c>
    </row>
    <row r="1159" spans="19:29" x14ac:dyDescent="0.2">
      <c r="S1159" s="4">
        <v>250.00299000000001</v>
      </c>
      <c r="T1159" s="1">
        <v>576.5</v>
      </c>
      <c r="U1159" s="3">
        <v>97.739019999999996</v>
      </c>
      <c r="V1159" s="3">
        <f t="shared" ref="V1159:V1205" si="114">100-($U$6-U1159)</f>
        <v>101.06271</v>
      </c>
      <c r="W1159" s="1">
        <f t="shared" si="112"/>
        <v>1.0634312912331965E-2</v>
      </c>
      <c r="Y1159" s="4">
        <v>250.02307999999999</v>
      </c>
      <c r="Z1159" s="1">
        <v>576.5</v>
      </c>
      <c r="AA1159" s="3">
        <v>105.21764</v>
      </c>
      <c r="AB1159" s="3">
        <f t="shared" ref="AB1159:AB1205" si="115">100-($AA$6-AA1159)</f>
        <v>103.60862</v>
      </c>
      <c r="AC1159" s="1">
        <f t="shared" si="113"/>
        <v>5.7541787477909199E-3</v>
      </c>
    </row>
    <row r="1160" spans="19:29" x14ac:dyDescent="0.2">
      <c r="S1160" s="4">
        <v>249.99901</v>
      </c>
      <c r="T1160" s="1">
        <v>577</v>
      </c>
      <c r="U1160" s="5">
        <v>97.710059999999999</v>
      </c>
      <c r="V1160" s="3">
        <f t="shared" si="114"/>
        <v>101.03375</v>
      </c>
      <c r="W1160" s="1">
        <f t="shared" ref="W1160:W1205" si="116">($V$199-V1160)/($V$199*(1-$H$1))</f>
        <v>1.0921143220556899E-2</v>
      </c>
      <c r="Y1160" s="4">
        <v>250.02108999999999</v>
      </c>
      <c r="Z1160" s="1">
        <v>577</v>
      </c>
      <c r="AA1160" s="5">
        <v>105.22686</v>
      </c>
      <c r="AB1160" s="3">
        <f t="shared" si="115"/>
        <v>103.61784</v>
      </c>
      <c r="AC1160" s="1">
        <f t="shared" si="113"/>
        <v>5.6646701635443492E-3</v>
      </c>
    </row>
    <row r="1161" spans="19:29" x14ac:dyDescent="0.2">
      <c r="S1161" s="4">
        <v>250.00404</v>
      </c>
      <c r="T1161" s="1">
        <v>577.5</v>
      </c>
      <c r="U1161" s="3">
        <v>97.717600000000004</v>
      </c>
      <c r="V1161" s="3">
        <f t="shared" si="114"/>
        <v>101.04129</v>
      </c>
      <c r="W1161" s="1">
        <f t="shared" si="116"/>
        <v>1.0846464335059045E-2</v>
      </c>
      <c r="Y1161" s="4">
        <v>250.01739000000001</v>
      </c>
      <c r="Z1161" s="1">
        <v>577.5</v>
      </c>
      <c r="AA1161" s="3">
        <v>105.19746000000001</v>
      </c>
      <c r="AB1161" s="3">
        <f t="shared" si="115"/>
        <v>103.58844000000001</v>
      </c>
      <c r="AC1161" s="1">
        <f t="shared" si="113"/>
        <v>5.9500879918359994E-3</v>
      </c>
    </row>
    <row r="1162" spans="19:29" x14ac:dyDescent="0.2">
      <c r="S1162" s="4">
        <v>250.00515999999999</v>
      </c>
      <c r="T1162" s="1">
        <v>578</v>
      </c>
      <c r="U1162" s="5">
        <v>97.722539999999995</v>
      </c>
      <c r="V1162" s="3">
        <f t="shared" si="114"/>
        <v>101.04622999999999</v>
      </c>
      <c r="W1162" s="1">
        <f t="shared" si="116"/>
        <v>1.0797536789388169E-2</v>
      </c>
      <c r="Y1162" s="4">
        <v>250.01674</v>
      </c>
      <c r="Z1162" s="1">
        <v>578</v>
      </c>
      <c r="AA1162" s="5">
        <v>105.1463</v>
      </c>
      <c r="AB1162" s="3">
        <f t="shared" si="115"/>
        <v>103.53728</v>
      </c>
      <c r="AC1162" s="1">
        <f t="shared" si="113"/>
        <v>6.446753845421236E-3</v>
      </c>
    </row>
    <row r="1163" spans="19:29" x14ac:dyDescent="0.2">
      <c r="S1163" s="4">
        <v>250.00906000000001</v>
      </c>
      <c r="T1163" s="1">
        <v>578.5</v>
      </c>
      <c r="U1163" s="3">
        <v>97.724369999999993</v>
      </c>
      <c r="V1163" s="3">
        <f t="shared" si="114"/>
        <v>101.04805999999999</v>
      </c>
      <c r="W1163" s="1">
        <f t="shared" si="116"/>
        <v>1.077941180789469E-2</v>
      </c>
      <c r="Y1163" s="4">
        <v>250.01363000000001</v>
      </c>
      <c r="Z1163" s="1">
        <v>578.5</v>
      </c>
      <c r="AA1163" s="3">
        <v>105.09451</v>
      </c>
      <c r="AB1163" s="3">
        <f t="shared" si="115"/>
        <v>103.48549</v>
      </c>
      <c r="AC1163" s="1">
        <f t="shared" si="113"/>
        <v>6.9495357953268814E-3</v>
      </c>
    </row>
    <row r="1164" spans="19:29" x14ac:dyDescent="0.2">
      <c r="S1164" s="4">
        <v>250.01301000000001</v>
      </c>
      <c r="T1164" s="1">
        <v>579</v>
      </c>
      <c r="U1164" s="5">
        <v>97.736879999999999</v>
      </c>
      <c r="V1164" s="3">
        <f t="shared" si="114"/>
        <v>101.06057</v>
      </c>
      <c r="W1164" s="1">
        <f t="shared" si="116"/>
        <v>1.065550824588171E-2</v>
      </c>
      <c r="Y1164" s="4">
        <v>250.01262</v>
      </c>
      <c r="Z1164" s="1">
        <v>579</v>
      </c>
      <c r="AA1164" s="5">
        <v>105.28145000000001</v>
      </c>
      <c r="AB1164" s="3">
        <f t="shared" si="115"/>
        <v>103.67243000000001</v>
      </c>
      <c r="AC1164" s="1">
        <f t="shared" si="113"/>
        <v>5.1347055633251346E-3</v>
      </c>
    </row>
    <row r="1165" spans="19:29" x14ac:dyDescent="0.2">
      <c r="S1165" s="4">
        <v>250.00707</v>
      </c>
      <c r="T1165" s="1">
        <v>579.5</v>
      </c>
      <c r="U1165" s="3">
        <v>97.747339999999994</v>
      </c>
      <c r="V1165" s="3">
        <f t="shared" si="114"/>
        <v>101.07102999999999</v>
      </c>
      <c r="W1165" s="1">
        <f t="shared" si="116"/>
        <v>1.0551908624886145E-2</v>
      </c>
      <c r="Y1165" s="4">
        <v>250.00982999999999</v>
      </c>
      <c r="Z1165" s="1">
        <v>579.5</v>
      </c>
      <c r="AA1165" s="3">
        <v>105.2064</v>
      </c>
      <c r="AB1165" s="3">
        <f t="shared" si="115"/>
        <v>103.59738</v>
      </c>
      <c r="AC1165" s="1">
        <f t="shared" si="113"/>
        <v>5.8632976726208132E-3</v>
      </c>
    </row>
    <row r="1166" spans="19:29" x14ac:dyDescent="0.2">
      <c r="S1166" s="4">
        <v>250.00397000000001</v>
      </c>
      <c r="T1166" s="1">
        <v>580</v>
      </c>
      <c r="U1166" s="5">
        <v>97.744950000000003</v>
      </c>
      <c r="V1166" s="3">
        <f t="shared" si="114"/>
        <v>101.06864</v>
      </c>
      <c r="W1166" s="1">
        <f t="shared" si="116"/>
        <v>1.0575580048803795E-2</v>
      </c>
      <c r="Y1166" s="4">
        <v>250.01016999999999</v>
      </c>
      <c r="Z1166" s="1">
        <v>580</v>
      </c>
      <c r="AA1166" s="5">
        <v>105.10941</v>
      </c>
      <c r="AB1166" s="3">
        <f t="shared" si="115"/>
        <v>103.50039</v>
      </c>
      <c r="AC1166" s="1">
        <f t="shared" si="113"/>
        <v>6.8048852633015256E-3</v>
      </c>
    </row>
    <row r="1167" spans="19:29" x14ac:dyDescent="0.2">
      <c r="S1167" s="4">
        <v>250.00396000000001</v>
      </c>
      <c r="T1167" s="1">
        <v>580.5</v>
      </c>
      <c r="U1167" s="3">
        <v>97.734629999999996</v>
      </c>
      <c r="V1167" s="3">
        <f t="shared" si="114"/>
        <v>101.05831999999999</v>
      </c>
      <c r="W1167" s="1">
        <f t="shared" si="116"/>
        <v>1.0677793059193422E-2</v>
      </c>
      <c r="Y1167" s="4">
        <v>250.01061000000001</v>
      </c>
      <c r="Z1167" s="1">
        <v>580.5</v>
      </c>
      <c r="AA1167" s="3">
        <v>105.10055</v>
      </c>
      <c r="AB1167" s="3">
        <f t="shared" si="115"/>
        <v>103.49153</v>
      </c>
      <c r="AC1167" s="1">
        <f t="shared" si="113"/>
        <v>6.8908989353649265E-3</v>
      </c>
    </row>
    <row r="1168" spans="19:29" x14ac:dyDescent="0.2">
      <c r="S1168" s="4">
        <v>250.00497999999999</v>
      </c>
      <c r="T1168" s="1">
        <v>581</v>
      </c>
      <c r="U1168" s="5">
        <v>97.768240000000006</v>
      </c>
      <c r="V1168" s="3">
        <f t="shared" si="114"/>
        <v>101.09193</v>
      </c>
      <c r="W1168" s="1">
        <f t="shared" si="116"/>
        <v>1.0344907470124237E-2</v>
      </c>
      <c r="Y1168" s="4">
        <v>250.00924000000001</v>
      </c>
      <c r="Z1168" s="1">
        <v>581</v>
      </c>
      <c r="AA1168" s="5">
        <v>105.18597</v>
      </c>
      <c r="AB1168" s="3">
        <f t="shared" si="115"/>
        <v>103.57695</v>
      </c>
      <c r="AC1168" s="1">
        <f t="shared" si="113"/>
        <v>6.0616339390153927E-3</v>
      </c>
    </row>
    <row r="1169" spans="19:29" x14ac:dyDescent="0.2">
      <c r="S1169" s="4">
        <v>249.999</v>
      </c>
      <c r="T1169" s="1">
        <v>581.5</v>
      </c>
      <c r="U1169" s="3">
        <v>97.738950000000003</v>
      </c>
      <c r="V1169" s="3">
        <f t="shared" si="114"/>
        <v>101.06264</v>
      </c>
      <c r="W1169" s="1">
        <f t="shared" si="116"/>
        <v>1.0635006217634933E-2</v>
      </c>
      <c r="Y1169" s="4">
        <v>250.00935000000001</v>
      </c>
      <c r="Z1169" s="1">
        <v>581.5</v>
      </c>
      <c r="AA1169" s="3">
        <v>105.09077000000001</v>
      </c>
      <c r="AB1169" s="3">
        <f t="shared" si="115"/>
        <v>103.48175000000001</v>
      </c>
      <c r="AC1169" s="1">
        <f t="shared" si="113"/>
        <v>6.9858440496741283E-3</v>
      </c>
    </row>
    <row r="1170" spans="19:29" x14ac:dyDescent="0.2">
      <c r="S1170" s="4">
        <v>250.00299999999999</v>
      </c>
      <c r="T1170" s="1">
        <v>582</v>
      </c>
      <c r="U1170" s="5">
        <v>97.751249999999999</v>
      </c>
      <c r="V1170" s="3">
        <f t="shared" si="114"/>
        <v>101.07494</v>
      </c>
      <c r="W1170" s="1">
        <f t="shared" si="116"/>
        <v>1.0513182571531141E-2</v>
      </c>
      <c r="Y1170" s="4">
        <v>250.00747999999999</v>
      </c>
      <c r="Z1170" s="1">
        <v>582</v>
      </c>
      <c r="AA1170" s="5">
        <v>105.07437</v>
      </c>
      <c r="AB1170" s="3">
        <f t="shared" si="115"/>
        <v>103.46535</v>
      </c>
      <c r="AC1170" s="1">
        <f t="shared" si="113"/>
        <v>7.1450567157960686E-3</v>
      </c>
    </row>
    <row r="1171" spans="19:29" x14ac:dyDescent="0.2">
      <c r="S1171" s="4">
        <v>250.00806</v>
      </c>
      <c r="T1171" s="1">
        <v>582.5</v>
      </c>
      <c r="U1171" s="3">
        <v>97.732879999999994</v>
      </c>
      <c r="V1171" s="3">
        <f t="shared" si="114"/>
        <v>101.05656999999999</v>
      </c>
      <c r="W1171" s="1">
        <f t="shared" si="116"/>
        <v>1.0695125691769182E-2</v>
      </c>
      <c r="Y1171" s="4">
        <v>250.01070999999999</v>
      </c>
      <c r="Z1171" s="1">
        <v>582.5</v>
      </c>
      <c r="AA1171" s="3">
        <v>105.13634</v>
      </c>
      <c r="AB1171" s="3">
        <f t="shared" si="115"/>
        <v>103.52732</v>
      </c>
      <c r="AC1171" s="1">
        <f t="shared" si="113"/>
        <v>6.5434464158220223E-3</v>
      </c>
    </row>
    <row r="1172" spans="19:29" x14ac:dyDescent="0.2">
      <c r="S1172" s="4">
        <v>250.00505999999999</v>
      </c>
      <c r="T1172" s="1">
        <v>583</v>
      </c>
      <c r="U1172" s="5">
        <v>97.738879999999995</v>
      </c>
      <c r="V1172" s="3">
        <f t="shared" si="114"/>
        <v>101.06256999999999</v>
      </c>
      <c r="W1172" s="1">
        <f t="shared" si="116"/>
        <v>1.0635699522938044E-2</v>
      </c>
      <c r="Y1172" s="4">
        <v>250.01390000000001</v>
      </c>
      <c r="Z1172" s="1">
        <v>583</v>
      </c>
      <c r="AA1172" s="5">
        <v>105.09113000000001</v>
      </c>
      <c r="AB1172" s="3">
        <f t="shared" si="115"/>
        <v>103.48211000000001</v>
      </c>
      <c r="AC1172" s="1">
        <f t="shared" si="113"/>
        <v>6.9823491374909584E-3</v>
      </c>
    </row>
    <row r="1173" spans="19:29" x14ac:dyDescent="0.2">
      <c r="S1173" s="4">
        <v>250.00798</v>
      </c>
      <c r="T1173" s="1">
        <v>583.5</v>
      </c>
      <c r="U1173" s="3">
        <v>97.763850000000005</v>
      </c>
      <c r="V1173" s="3">
        <f t="shared" si="114"/>
        <v>101.08754</v>
      </c>
      <c r="W1173" s="1">
        <f t="shared" si="116"/>
        <v>1.0388387616985692E-2</v>
      </c>
      <c r="Y1173" s="4">
        <v>250.01567</v>
      </c>
      <c r="Z1173" s="1">
        <v>583.5</v>
      </c>
      <c r="AA1173" s="3">
        <v>105.08877</v>
      </c>
      <c r="AB1173" s="3">
        <f t="shared" si="115"/>
        <v>103.47975</v>
      </c>
      <c r="AC1173" s="1">
        <f t="shared" si="113"/>
        <v>7.0052602284695741E-3</v>
      </c>
    </row>
    <row r="1174" spans="19:29" x14ac:dyDescent="0.2">
      <c r="S1174" s="4">
        <v>250.00592</v>
      </c>
      <c r="T1174" s="1">
        <v>584</v>
      </c>
      <c r="U1174" s="5">
        <v>97.753399999999999</v>
      </c>
      <c r="V1174" s="3">
        <f t="shared" si="114"/>
        <v>101.07709</v>
      </c>
      <c r="W1174" s="1">
        <f t="shared" si="116"/>
        <v>1.0491888194366647E-2</v>
      </c>
      <c r="Y1174" s="4">
        <v>250.0172</v>
      </c>
      <c r="Z1174" s="1">
        <v>584</v>
      </c>
      <c r="AA1174" s="5">
        <v>105.23075</v>
      </c>
      <c r="AB1174" s="3">
        <f t="shared" si="115"/>
        <v>103.62173</v>
      </c>
      <c r="AC1174" s="1">
        <f t="shared" si="113"/>
        <v>5.6269056957874023E-3</v>
      </c>
    </row>
    <row r="1175" spans="19:29" x14ac:dyDescent="0.2">
      <c r="S1175" s="4">
        <v>250.01000999999999</v>
      </c>
      <c r="T1175" s="1">
        <v>584.5</v>
      </c>
      <c r="U1175" s="3">
        <v>97.759609999999995</v>
      </c>
      <c r="V1175" s="3">
        <f t="shared" si="114"/>
        <v>101.08329999999999</v>
      </c>
      <c r="W1175" s="1">
        <f t="shared" si="116"/>
        <v>1.0430382109626463E-2</v>
      </c>
      <c r="Y1175" s="4">
        <v>250.01716999999999</v>
      </c>
      <c r="Z1175" s="1">
        <v>584.5</v>
      </c>
      <c r="AA1175" s="3">
        <v>105.17887</v>
      </c>
      <c r="AB1175" s="3">
        <f t="shared" si="115"/>
        <v>103.56985</v>
      </c>
      <c r="AC1175" s="1">
        <f t="shared" si="113"/>
        <v>6.1305613737388399E-3</v>
      </c>
    </row>
    <row r="1176" spans="19:29" x14ac:dyDescent="0.2">
      <c r="S1176" s="4">
        <v>250.00399999999999</v>
      </c>
      <c r="T1176" s="1">
        <v>585</v>
      </c>
      <c r="U1176" s="5">
        <v>97.749219999999994</v>
      </c>
      <c r="V1176" s="3">
        <f t="shared" si="114"/>
        <v>101.07290999999999</v>
      </c>
      <c r="W1176" s="1">
        <f t="shared" si="116"/>
        <v>1.0533288425319058E-2</v>
      </c>
      <c r="Y1176" s="4">
        <v>250.01912999999999</v>
      </c>
      <c r="Z1176" s="1">
        <v>585</v>
      </c>
      <c r="AA1176" s="5">
        <v>105.23102</v>
      </c>
      <c r="AB1176" s="3">
        <f t="shared" si="115"/>
        <v>103.622</v>
      </c>
      <c r="AC1176" s="1">
        <f t="shared" si="113"/>
        <v>5.6242845116500255E-3</v>
      </c>
    </row>
    <row r="1177" spans="19:29" x14ac:dyDescent="0.2">
      <c r="S1177" s="4">
        <v>250.00597999999999</v>
      </c>
      <c r="T1177" s="1">
        <v>585.5</v>
      </c>
      <c r="U1177" s="3">
        <v>97.765559999999994</v>
      </c>
      <c r="V1177" s="3">
        <f t="shared" si="114"/>
        <v>101.08924999999999</v>
      </c>
      <c r="W1177" s="1">
        <f t="shared" si="116"/>
        <v>1.0371451158868932E-2</v>
      </c>
      <c r="Y1177" s="4">
        <v>250.02092999999999</v>
      </c>
      <c r="Z1177" s="1">
        <v>585.5</v>
      </c>
      <c r="AA1177" s="3">
        <v>105.22915</v>
      </c>
      <c r="AB1177" s="3">
        <f t="shared" si="115"/>
        <v>103.62013</v>
      </c>
      <c r="AC1177" s="1">
        <f t="shared" si="113"/>
        <v>5.642438638823649E-3</v>
      </c>
    </row>
    <row r="1178" spans="19:29" x14ac:dyDescent="0.2">
      <c r="S1178" s="4">
        <v>250.00299000000001</v>
      </c>
      <c r="T1178" s="1">
        <v>586</v>
      </c>
      <c r="U1178" s="5">
        <v>97.751400000000004</v>
      </c>
      <c r="V1178" s="3">
        <f t="shared" si="114"/>
        <v>101.07509</v>
      </c>
      <c r="W1178" s="1">
        <f t="shared" si="116"/>
        <v>1.0511696917310314E-2</v>
      </c>
      <c r="Y1178" s="4">
        <v>250.01979</v>
      </c>
      <c r="Z1178" s="1">
        <v>586</v>
      </c>
      <c r="AA1178" s="5">
        <v>105.14071</v>
      </c>
      <c r="AB1178" s="3">
        <f t="shared" si="115"/>
        <v>103.53169</v>
      </c>
      <c r="AC1178" s="1">
        <f t="shared" si="113"/>
        <v>6.5010220651542288E-3</v>
      </c>
    </row>
    <row r="1179" spans="19:29" x14ac:dyDescent="0.2">
      <c r="S1179" s="4">
        <v>250.00496999999999</v>
      </c>
      <c r="T1179" s="1">
        <v>586.5</v>
      </c>
      <c r="U1179" s="3">
        <v>97.775970000000001</v>
      </c>
      <c r="V1179" s="3">
        <f t="shared" si="114"/>
        <v>101.09966</v>
      </c>
      <c r="W1179" s="1">
        <f t="shared" si="116"/>
        <v>1.0268346755946837E-2</v>
      </c>
      <c r="Y1179" s="4">
        <v>250.02251000000001</v>
      </c>
      <c r="Z1179" s="1">
        <v>586.5</v>
      </c>
      <c r="AA1179" s="3">
        <v>105.17037999999999</v>
      </c>
      <c r="AB1179" s="3">
        <f t="shared" si="115"/>
        <v>103.56135999999999</v>
      </c>
      <c r="AC1179" s="1">
        <f t="shared" si="113"/>
        <v>6.2129830527252019E-3</v>
      </c>
    </row>
    <row r="1180" spans="19:29" x14ac:dyDescent="0.2">
      <c r="S1180" s="4">
        <v>250.00596999999999</v>
      </c>
      <c r="T1180" s="1">
        <v>587</v>
      </c>
      <c r="U1180" s="5">
        <v>97.782859999999999</v>
      </c>
      <c r="V1180" s="3">
        <f t="shared" si="114"/>
        <v>101.10655</v>
      </c>
      <c r="W1180" s="1">
        <f t="shared" si="116"/>
        <v>1.0200105705405763E-2</v>
      </c>
      <c r="Y1180" s="4">
        <v>250.02115000000001</v>
      </c>
      <c r="Z1180" s="1">
        <v>587</v>
      </c>
      <c r="AA1180" s="5">
        <v>105.18226</v>
      </c>
      <c r="AB1180" s="3">
        <f t="shared" si="115"/>
        <v>103.57324</v>
      </c>
      <c r="AC1180" s="1">
        <f t="shared" si="113"/>
        <v>6.0976509506807551E-3</v>
      </c>
    </row>
    <row r="1181" spans="19:29" x14ac:dyDescent="0.2">
      <c r="S1181" s="4">
        <v>250.00193999999999</v>
      </c>
      <c r="T1181" s="1">
        <v>587.5</v>
      </c>
      <c r="U1181" s="3">
        <v>97.76567</v>
      </c>
      <c r="V1181" s="3">
        <f t="shared" si="114"/>
        <v>101.08936</v>
      </c>
      <c r="W1181" s="1">
        <f t="shared" si="116"/>
        <v>1.0370361679106963E-2</v>
      </c>
      <c r="Y1181" s="4">
        <v>250.02223000000001</v>
      </c>
      <c r="Z1181" s="1">
        <v>587.5</v>
      </c>
      <c r="AA1181" s="3">
        <v>105.09446</v>
      </c>
      <c r="AB1181" s="3">
        <f t="shared" si="115"/>
        <v>103.48544</v>
      </c>
      <c r="AC1181" s="1">
        <f t="shared" ref="AC1181:AC1205" si="117">($AB$604-AB1181)/($AB$604*(1-$H$1))</f>
        <v>6.9500211997967814E-3</v>
      </c>
    </row>
    <row r="1182" spans="19:29" x14ac:dyDescent="0.2">
      <c r="S1182" s="4">
        <v>250.00402</v>
      </c>
      <c r="T1182" s="1">
        <v>588</v>
      </c>
      <c r="U1182" s="5">
        <v>97.782020000000003</v>
      </c>
      <c r="V1182" s="3">
        <f t="shared" si="114"/>
        <v>101.10571</v>
      </c>
      <c r="W1182" s="1">
        <f t="shared" si="116"/>
        <v>1.0208425369042089E-2</v>
      </c>
      <c r="Y1182" s="4">
        <v>250.02574000000001</v>
      </c>
      <c r="Z1182" s="1">
        <v>588</v>
      </c>
      <c r="AA1182" s="5">
        <v>105.04340999999999</v>
      </c>
      <c r="AB1182" s="3">
        <f t="shared" si="115"/>
        <v>103.43438999999999</v>
      </c>
      <c r="AC1182" s="1">
        <f t="shared" si="117"/>
        <v>7.4456191635482102E-3</v>
      </c>
    </row>
    <row r="1183" spans="19:29" x14ac:dyDescent="0.2">
      <c r="S1183" s="4">
        <v>250.01000999999999</v>
      </c>
      <c r="T1183" s="1">
        <v>588.5</v>
      </c>
      <c r="U1183" s="3">
        <v>97.778289999999998</v>
      </c>
      <c r="V1183" s="3">
        <f t="shared" si="114"/>
        <v>101.10198</v>
      </c>
      <c r="W1183" s="1">
        <f t="shared" si="116"/>
        <v>1.0245368637332155E-2</v>
      </c>
      <c r="Y1183" s="4">
        <v>250.02189000000001</v>
      </c>
      <c r="Z1183" s="1">
        <v>588.5</v>
      </c>
      <c r="AA1183" s="3">
        <v>105.11297</v>
      </c>
      <c r="AB1183" s="3">
        <f t="shared" si="115"/>
        <v>103.50395</v>
      </c>
      <c r="AC1183" s="1">
        <f t="shared" si="117"/>
        <v>6.7703244650457253E-3</v>
      </c>
    </row>
    <row r="1184" spans="19:29" x14ac:dyDescent="0.2">
      <c r="S1184" s="4">
        <v>250.00397000000001</v>
      </c>
      <c r="T1184" s="1">
        <v>589</v>
      </c>
      <c r="U1184" s="5">
        <v>97.786590000000004</v>
      </c>
      <c r="V1184" s="3">
        <f t="shared" si="114"/>
        <v>101.11028</v>
      </c>
      <c r="W1184" s="1">
        <f t="shared" si="116"/>
        <v>1.0163162437115694E-2</v>
      </c>
      <c r="Y1184" s="4">
        <v>250.01727</v>
      </c>
      <c r="Z1184" s="1">
        <v>589</v>
      </c>
      <c r="AA1184" s="5">
        <v>105.13997999999999</v>
      </c>
      <c r="AB1184" s="3">
        <f t="shared" si="115"/>
        <v>103.53095999999999</v>
      </c>
      <c r="AC1184" s="1">
        <f t="shared" si="117"/>
        <v>6.5081089704145754E-3</v>
      </c>
    </row>
    <row r="1185" spans="19:29" x14ac:dyDescent="0.2">
      <c r="S1185" s="4">
        <v>250.00498999999999</v>
      </c>
      <c r="T1185" s="1">
        <v>589.5</v>
      </c>
      <c r="U1185" s="3">
        <v>97.786429999999996</v>
      </c>
      <c r="V1185" s="3">
        <f t="shared" si="114"/>
        <v>101.11011999999999</v>
      </c>
      <c r="W1185" s="1">
        <f t="shared" si="116"/>
        <v>1.0164747134951272E-2</v>
      </c>
      <c r="Y1185" s="4">
        <v>250.01586</v>
      </c>
      <c r="Z1185" s="1">
        <v>589.5</v>
      </c>
      <c r="AA1185" s="3">
        <v>105.24106999999999</v>
      </c>
      <c r="AB1185" s="3">
        <f t="shared" si="115"/>
        <v>103.63204999999999</v>
      </c>
      <c r="AC1185" s="1">
        <f t="shared" si="117"/>
        <v>5.526718213203447E-3</v>
      </c>
    </row>
    <row r="1186" spans="19:29" x14ac:dyDescent="0.2">
      <c r="S1186" s="4">
        <v>250.00489999999999</v>
      </c>
      <c r="T1186" s="1">
        <v>590</v>
      </c>
      <c r="U1186" s="5">
        <v>97.786469999999994</v>
      </c>
      <c r="V1186" s="3">
        <f t="shared" si="114"/>
        <v>101.11015999999999</v>
      </c>
      <c r="W1186" s="1">
        <f t="shared" si="116"/>
        <v>1.0164350960492414E-2</v>
      </c>
      <c r="Y1186" s="4">
        <v>250.01616000000001</v>
      </c>
      <c r="Z1186" s="1">
        <v>590</v>
      </c>
      <c r="AA1186" s="5">
        <v>105.14373000000001</v>
      </c>
      <c r="AB1186" s="3">
        <f t="shared" si="115"/>
        <v>103.53471</v>
      </c>
      <c r="AC1186" s="1">
        <f t="shared" si="117"/>
        <v>6.4717036351731828E-3</v>
      </c>
    </row>
    <row r="1187" spans="19:29" x14ac:dyDescent="0.2">
      <c r="S1187" s="4">
        <v>250.00699</v>
      </c>
      <c r="T1187" s="1">
        <v>590.5</v>
      </c>
      <c r="U1187" s="3">
        <v>97.775559999999999</v>
      </c>
      <c r="V1187" s="3">
        <f t="shared" si="114"/>
        <v>101.09925</v>
      </c>
      <c r="W1187" s="1">
        <f t="shared" si="116"/>
        <v>1.0272407544150319E-2</v>
      </c>
      <c r="Y1187" s="4">
        <v>250.0154</v>
      </c>
      <c r="Z1187" s="1">
        <v>590.5</v>
      </c>
      <c r="AA1187" s="3">
        <v>105.26063000000001</v>
      </c>
      <c r="AB1187" s="3">
        <f t="shared" si="115"/>
        <v>103.65161000000001</v>
      </c>
      <c r="AC1187" s="1">
        <f t="shared" si="117"/>
        <v>5.3368279845847685E-3</v>
      </c>
    </row>
    <row r="1188" spans="19:29" x14ac:dyDescent="0.2">
      <c r="S1188" s="4">
        <v>250.00800000000001</v>
      </c>
      <c r="T1188" s="1">
        <v>591</v>
      </c>
      <c r="U1188" s="5">
        <v>97.79665</v>
      </c>
      <c r="V1188" s="3">
        <f t="shared" si="114"/>
        <v>101.12034</v>
      </c>
      <c r="W1188" s="1">
        <f t="shared" si="116"/>
        <v>1.0063524560708864E-2</v>
      </c>
      <c r="Y1188" s="4">
        <v>250.01308</v>
      </c>
      <c r="Z1188" s="1">
        <v>591</v>
      </c>
      <c r="AA1188" s="5">
        <v>105.19744</v>
      </c>
      <c r="AB1188" s="3">
        <f t="shared" si="115"/>
        <v>103.58842</v>
      </c>
      <c r="AC1188" s="1">
        <f t="shared" si="117"/>
        <v>5.9502821536240149E-3</v>
      </c>
    </row>
    <row r="1189" spans="19:29" x14ac:dyDescent="0.2">
      <c r="S1189" s="4">
        <v>250.00908999999999</v>
      </c>
      <c r="T1189" s="1">
        <v>591.5</v>
      </c>
      <c r="U1189" s="3">
        <v>97.794520000000006</v>
      </c>
      <c r="V1189" s="3">
        <f t="shared" si="114"/>
        <v>101.11821</v>
      </c>
      <c r="W1189" s="1">
        <f t="shared" si="116"/>
        <v>1.0084620850643858E-2</v>
      </c>
      <c r="Y1189" s="4">
        <v>250.01267999999999</v>
      </c>
      <c r="Z1189" s="1">
        <v>591.5</v>
      </c>
      <c r="AA1189" s="3">
        <v>105.14695</v>
      </c>
      <c r="AB1189" s="3">
        <f t="shared" si="115"/>
        <v>103.53793</v>
      </c>
      <c r="AC1189" s="1">
        <f t="shared" si="117"/>
        <v>6.4404435873126747E-3</v>
      </c>
    </row>
    <row r="1190" spans="19:29" x14ac:dyDescent="0.2">
      <c r="S1190" s="4">
        <v>250.00505000000001</v>
      </c>
      <c r="T1190" s="1">
        <v>592</v>
      </c>
      <c r="U1190" s="5">
        <v>97.792140000000003</v>
      </c>
      <c r="V1190" s="3">
        <f t="shared" si="114"/>
        <v>101.11583</v>
      </c>
      <c r="W1190" s="1">
        <f t="shared" si="116"/>
        <v>1.0108193230946898E-2</v>
      </c>
      <c r="Y1190" s="4">
        <v>250.01069000000001</v>
      </c>
      <c r="Z1190" s="1">
        <v>592</v>
      </c>
      <c r="AA1190" s="5">
        <v>105.11771</v>
      </c>
      <c r="AB1190" s="3">
        <f t="shared" si="115"/>
        <v>103.50869</v>
      </c>
      <c r="AC1190" s="1">
        <f t="shared" si="117"/>
        <v>6.7243081213007551E-3</v>
      </c>
    </row>
    <row r="1191" spans="19:29" x14ac:dyDescent="0.2">
      <c r="S1191" s="4">
        <v>250.00299000000001</v>
      </c>
      <c r="T1191" s="1">
        <v>592.5</v>
      </c>
      <c r="U1191" s="3">
        <v>97.803269999999998</v>
      </c>
      <c r="V1191" s="3">
        <f t="shared" si="114"/>
        <v>101.12696</v>
      </c>
      <c r="W1191" s="1">
        <f t="shared" si="116"/>
        <v>9.9979576877651955E-3</v>
      </c>
      <c r="Y1191" s="4">
        <v>250.01348999999999</v>
      </c>
      <c r="Z1191" s="1">
        <v>592.5</v>
      </c>
      <c r="AA1191" s="3">
        <v>105.13261</v>
      </c>
      <c r="AB1191" s="3">
        <f t="shared" si="115"/>
        <v>103.52359</v>
      </c>
      <c r="AC1191" s="1">
        <f t="shared" si="117"/>
        <v>6.5796575892753994E-3</v>
      </c>
    </row>
    <row r="1192" spans="19:29" x14ac:dyDescent="0.2">
      <c r="S1192" s="4">
        <v>250.006</v>
      </c>
      <c r="T1192" s="1">
        <v>593</v>
      </c>
      <c r="U1192" s="5">
        <v>97.778890000000004</v>
      </c>
      <c r="V1192" s="3">
        <f t="shared" si="114"/>
        <v>101.10258</v>
      </c>
      <c r="W1192" s="1">
        <f t="shared" si="116"/>
        <v>1.0239426020448986E-2</v>
      </c>
      <c r="Y1192" s="4">
        <v>250.01609999999999</v>
      </c>
      <c r="Z1192" s="1">
        <v>593</v>
      </c>
      <c r="AA1192" s="5">
        <v>105.09138</v>
      </c>
      <c r="AB1192" s="3">
        <f t="shared" si="115"/>
        <v>103.48236</v>
      </c>
      <c r="AC1192" s="1">
        <f t="shared" si="117"/>
        <v>6.9799221151415972E-3</v>
      </c>
    </row>
    <row r="1193" spans="19:29" x14ac:dyDescent="0.2">
      <c r="S1193" s="4">
        <v>249.99996999999999</v>
      </c>
      <c r="T1193" s="1">
        <v>593.5</v>
      </c>
      <c r="U1193" s="3">
        <v>97.794849999999997</v>
      </c>
      <c r="V1193" s="3">
        <f t="shared" si="114"/>
        <v>101.11854</v>
      </c>
      <c r="W1193" s="1">
        <f t="shared" si="116"/>
        <v>1.0081352411358234E-2</v>
      </c>
      <c r="Y1193" s="4">
        <v>250.01573999999999</v>
      </c>
      <c r="Z1193" s="1">
        <v>593.5</v>
      </c>
      <c r="AA1193" s="3">
        <v>105.14530999999999</v>
      </c>
      <c r="AB1193" s="3">
        <f t="shared" si="115"/>
        <v>103.53628999999999</v>
      </c>
      <c r="AC1193" s="1">
        <f t="shared" si="117"/>
        <v>6.4563648539249516E-3</v>
      </c>
    </row>
    <row r="1194" spans="19:29" x14ac:dyDescent="0.2">
      <c r="S1194" s="4">
        <v>250.00810999999999</v>
      </c>
      <c r="T1194" s="1">
        <v>594</v>
      </c>
      <c r="U1194" s="5">
        <v>97.788679999999999</v>
      </c>
      <c r="V1194" s="3">
        <f t="shared" si="114"/>
        <v>101.11237</v>
      </c>
      <c r="W1194" s="1">
        <f t="shared" si="116"/>
        <v>1.014246232163956E-2</v>
      </c>
      <c r="Y1194" s="4">
        <v>250.01651000000001</v>
      </c>
      <c r="Z1194" s="1">
        <v>594</v>
      </c>
      <c r="AA1194" s="5">
        <v>105.08248</v>
      </c>
      <c r="AB1194" s="3">
        <f t="shared" si="115"/>
        <v>103.47346</v>
      </c>
      <c r="AC1194" s="1">
        <f t="shared" si="117"/>
        <v>7.0663241107808902E-3</v>
      </c>
    </row>
    <row r="1195" spans="19:29" x14ac:dyDescent="0.2">
      <c r="S1195" s="4">
        <v>250.00597999999999</v>
      </c>
      <c r="T1195" s="1">
        <v>594.5</v>
      </c>
      <c r="U1195" s="3">
        <v>97.80301</v>
      </c>
      <c r="V1195" s="3">
        <f t="shared" si="114"/>
        <v>101.1267</v>
      </c>
      <c r="W1195" s="1">
        <f t="shared" si="116"/>
        <v>1.0000532821747852E-2</v>
      </c>
      <c r="Y1195" s="4">
        <v>250.01876999999999</v>
      </c>
      <c r="Z1195" s="1">
        <v>594.5</v>
      </c>
      <c r="AA1195" s="3">
        <v>105.12168</v>
      </c>
      <c r="AB1195" s="3">
        <f t="shared" si="115"/>
        <v>103.51266</v>
      </c>
      <c r="AC1195" s="1">
        <f t="shared" si="117"/>
        <v>6.6857670063920236E-3</v>
      </c>
    </row>
    <row r="1196" spans="19:29" x14ac:dyDescent="0.2">
      <c r="S1196" s="4">
        <v>250.00409999999999</v>
      </c>
      <c r="T1196" s="1">
        <v>595</v>
      </c>
      <c r="U1196" s="5">
        <v>97.782309999999995</v>
      </c>
      <c r="V1196" s="3">
        <f t="shared" si="114"/>
        <v>101.10599999999999</v>
      </c>
      <c r="W1196" s="1">
        <f t="shared" si="116"/>
        <v>1.0205553104215323E-2</v>
      </c>
      <c r="Y1196" s="4">
        <v>250.0231</v>
      </c>
      <c r="Z1196" s="1">
        <v>595</v>
      </c>
      <c r="AA1196" s="5">
        <v>105.15602</v>
      </c>
      <c r="AB1196" s="3">
        <f t="shared" si="115"/>
        <v>103.547</v>
      </c>
      <c r="AC1196" s="1">
        <f t="shared" si="117"/>
        <v>6.3523912164758041E-3</v>
      </c>
    </row>
    <row r="1197" spans="19:29" x14ac:dyDescent="0.2">
      <c r="S1197" s="4">
        <v>250.00603000000001</v>
      </c>
      <c r="T1197" s="1">
        <v>595.5</v>
      </c>
      <c r="U1197" s="3">
        <v>97.807339999999996</v>
      </c>
      <c r="V1197" s="3">
        <f t="shared" si="114"/>
        <v>101.13103</v>
      </c>
      <c r="W1197" s="1">
        <f t="shared" si="116"/>
        <v>9.9576469365747541E-3</v>
      </c>
      <c r="Y1197" s="4">
        <v>250.02540999999999</v>
      </c>
      <c r="Z1197" s="1">
        <v>595.5</v>
      </c>
      <c r="AA1197" s="3">
        <v>105.10871</v>
      </c>
      <c r="AB1197" s="3">
        <f t="shared" si="115"/>
        <v>103.49969</v>
      </c>
      <c r="AC1197" s="1">
        <f t="shared" si="117"/>
        <v>6.811680925879849E-3</v>
      </c>
    </row>
    <row r="1198" spans="19:29" x14ac:dyDescent="0.2">
      <c r="S1198" s="4">
        <v>250.0061</v>
      </c>
      <c r="T1198" s="1">
        <v>596</v>
      </c>
      <c r="U1198" s="5">
        <v>97.776349999999994</v>
      </c>
      <c r="V1198" s="3">
        <f t="shared" si="114"/>
        <v>101.10003999999999</v>
      </c>
      <c r="W1198" s="1">
        <f t="shared" si="116"/>
        <v>1.0264583098587604E-2</v>
      </c>
      <c r="Y1198" s="4">
        <v>250.02453</v>
      </c>
      <c r="Z1198" s="1">
        <v>596</v>
      </c>
      <c r="AA1198" s="5">
        <v>105.15864999999999</v>
      </c>
      <c r="AB1198" s="3">
        <f t="shared" si="115"/>
        <v>103.54962999999999</v>
      </c>
      <c r="AC1198" s="1">
        <f t="shared" si="117"/>
        <v>6.3268589413599495E-3</v>
      </c>
    </row>
    <row r="1199" spans="19:29" x14ac:dyDescent="0.2">
      <c r="S1199" s="4">
        <v>250.00892999999999</v>
      </c>
      <c r="T1199" s="1">
        <v>596.5</v>
      </c>
      <c r="U1199" s="3">
        <v>97.800880000000006</v>
      </c>
      <c r="V1199" s="3">
        <f t="shared" si="114"/>
        <v>101.12457000000001</v>
      </c>
      <c r="W1199" s="1">
        <f t="shared" si="116"/>
        <v>1.0021629111682846E-2</v>
      </c>
      <c r="Y1199" s="4">
        <v>250.02347</v>
      </c>
      <c r="Z1199" s="1">
        <v>596.5</v>
      </c>
      <c r="AA1199" s="3">
        <v>105.13648999999999</v>
      </c>
      <c r="AB1199" s="3">
        <f t="shared" si="115"/>
        <v>103.52746999999999</v>
      </c>
      <c r="AC1199" s="1">
        <f t="shared" si="117"/>
        <v>6.5419902024124602E-3</v>
      </c>
    </row>
    <row r="1200" spans="19:29" x14ac:dyDescent="0.2">
      <c r="S1200" s="4">
        <v>250.00495000000001</v>
      </c>
      <c r="T1200" s="1">
        <v>597</v>
      </c>
      <c r="U1200" s="5">
        <v>97.786320000000003</v>
      </c>
      <c r="V1200" s="3">
        <f t="shared" si="114"/>
        <v>101.11001</v>
      </c>
      <c r="W1200" s="1">
        <f t="shared" si="116"/>
        <v>1.0165836614713101E-2</v>
      </c>
      <c r="Y1200" s="4">
        <v>250.02373</v>
      </c>
      <c r="Z1200" s="1">
        <v>597</v>
      </c>
      <c r="AA1200" s="5">
        <v>105.04985000000001</v>
      </c>
      <c r="AB1200" s="3">
        <f t="shared" si="115"/>
        <v>103.44083000000001</v>
      </c>
      <c r="AC1200" s="1">
        <f t="shared" si="117"/>
        <v>7.3830990678270562E-3</v>
      </c>
    </row>
    <row r="1201" spans="19:29" x14ac:dyDescent="0.2">
      <c r="S1201" s="4">
        <v>250.00398000000001</v>
      </c>
      <c r="T1201" s="1">
        <v>597.5</v>
      </c>
      <c r="U1201" s="3">
        <v>97.800799999999995</v>
      </c>
      <c r="V1201" s="3">
        <f t="shared" si="114"/>
        <v>101.12448999999999</v>
      </c>
      <c r="W1201" s="1">
        <f t="shared" si="116"/>
        <v>1.0022421460600705E-2</v>
      </c>
      <c r="Y1201" s="4">
        <v>250.02493999999999</v>
      </c>
      <c r="Z1201" s="1">
        <v>597.5</v>
      </c>
      <c r="AA1201" s="3">
        <v>105.07665</v>
      </c>
      <c r="AB1201" s="3">
        <f t="shared" si="115"/>
        <v>103.46763</v>
      </c>
      <c r="AC1201" s="1">
        <f t="shared" si="117"/>
        <v>7.1229222719693753E-3</v>
      </c>
    </row>
    <row r="1202" spans="19:29" x14ac:dyDescent="0.2">
      <c r="S1202" s="4">
        <v>250.01006000000001</v>
      </c>
      <c r="T1202" s="1">
        <v>598</v>
      </c>
      <c r="U1202" s="5">
        <v>97.793199999999999</v>
      </c>
      <c r="V1202" s="3">
        <f t="shared" si="114"/>
        <v>101.11689</v>
      </c>
      <c r="W1202" s="1">
        <f t="shared" si="116"/>
        <v>1.0097694607786777E-2</v>
      </c>
      <c r="Y1202" s="4">
        <v>250.02137999999999</v>
      </c>
      <c r="Z1202" s="1">
        <v>598</v>
      </c>
      <c r="AA1202" s="5">
        <v>105.02139</v>
      </c>
      <c r="AB1202" s="3">
        <f t="shared" si="115"/>
        <v>103.41237</v>
      </c>
      <c r="AC1202" s="1">
        <f t="shared" si="117"/>
        <v>7.6593912920850287E-3</v>
      </c>
    </row>
    <row r="1203" spans="19:29" x14ac:dyDescent="0.2">
      <c r="S1203" s="4">
        <v>250.00505000000001</v>
      </c>
      <c r="T1203" s="1">
        <v>598.5</v>
      </c>
      <c r="U1203" s="3">
        <v>97.805120000000002</v>
      </c>
      <c r="V1203" s="3">
        <f t="shared" si="114"/>
        <v>101.12881</v>
      </c>
      <c r="W1203" s="1">
        <f t="shared" si="116"/>
        <v>9.9796346190422162E-3</v>
      </c>
      <c r="Y1203" s="4">
        <v>250.01886999999999</v>
      </c>
      <c r="Z1203" s="1">
        <v>598.5</v>
      </c>
      <c r="AA1203" s="3">
        <v>105.20173</v>
      </c>
      <c r="AB1203" s="3">
        <f t="shared" si="115"/>
        <v>103.59271</v>
      </c>
      <c r="AC1203" s="1">
        <f t="shared" si="117"/>
        <v>5.9086344501080058E-3</v>
      </c>
    </row>
    <row r="1204" spans="19:29" x14ac:dyDescent="0.2">
      <c r="S1204" s="4">
        <v>250.00291999999999</v>
      </c>
      <c r="T1204" s="1">
        <v>599</v>
      </c>
      <c r="U1204" s="5">
        <v>97.800439999999995</v>
      </c>
      <c r="V1204" s="3">
        <f t="shared" si="114"/>
        <v>101.12412999999999</v>
      </c>
      <c r="W1204" s="1">
        <f t="shared" si="116"/>
        <v>1.0025987030730578E-2</v>
      </c>
      <c r="Y1204" s="4">
        <v>250.0196</v>
      </c>
      <c r="Z1204" s="1">
        <v>599</v>
      </c>
      <c r="AA1204" s="5">
        <v>105.09218</v>
      </c>
      <c r="AB1204" s="3">
        <f t="shared" si="115"/>
        <v>103.48316</v>
      </c>
      <c r="AC1204" s="1">
        <f t="shared" si="117"/>
        <v>6.9721556436234738E-3</v>
      </c>
    </row>
    <row r="1205" spans="19:29" x14ac:dyDescent="0.2">
      <c r="S1205" s="4">
        <v>250.00399999999999</v>
      </c>
      <c r="T1205" s="1">
        <v>599.5</v>
      </c>
      <c r="U1205" s="3">
        <v>97.811909999999997</v>
      </c>
      <c r="V1205" s="3">
        <f t="shared" si="114"/>
        <v>101.1356</v>
      </c>
      <c r="W1205" s="1">
        <f t="shared" si="116"/>
        <v>9.9123840046483613E-3</v>
      </c>
      <c r="Y1205" s="4">
        <v>250.01361</v>
      </c>
      <c r="Z1205" s="1">
        <v>599.5</v>
      </c>
      <c r="AA1205" s="3">
        <v>105.12735000000001</v>
      </c>
      <c r="AB1205" s="3">
        <f t="shared" si="115"/>
        <v>103.51833000000001</v>
      </c>
      <c r="AC1205" s="1">
        <f t="shared" si="117"/>
        <v>6.6307221395071076E-3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Overview, 20% O2</vt:lpstr>
      <vt:lpstr>All Data, BRF500 20% O2</vt:lpstr>
      <vt:lpstr>All Data, WS500 20% O2</vt:lpstr>
      <vt:lpstr>All Data, PW500, 20% 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Cornelius Hedegaard Reetz</dc:creator>
  <cp:lastModifiedBy>Cornelius Hedegaard Reetz</cp:lastModifiedBy>
  <dcterms:created xsi:type="dcterms:W3CDTF">2025-11-19T11:30:33Z</dcterms:created>
  <dcterms:modified xsi:type="dcterms:W3CDTF">2025-12-15T16:33:06Z</dcterms:modified>
</cp:coreProperties>
</file>